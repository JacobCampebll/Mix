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dialogsheets/sheet1.xml" ContentType="application/vnd.openxmlformats-officedocument.spreadsheetml.dialog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3.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8.xml" ContentType="application/vnd.openxmlformats-officedocument.drawing+xml"/>
  <Override PartName="/xl/ctrlProps/ctrlProp28.xml" ContentType="application/vnd.ms-excel.controlproperties+xml"/>
  <Override PartName="/xl/drawings/drawing9.xml" ContentType="application/vnd.openxmlformats-officedocument.drawing+xml"/>
  <Override PartName="/xl/ctrlProps/ctrlProp29.xml" ContentType="application/vnd.ms-excel.controlproperties+xml"/>
  <Override PartName="/xl/drawings/drawing10.xml" ContentType="application/vnd.openxmlformats-officedocument.drawing+xml"/>
  <Override PartName="/xl/ctrlProps/ctrlProp30.xml" ContentType="application/vnd.ms-excel.controlproperties+xml"/>
  <Override PartName="/xl/drawings/drawing11.xml" ContentType="application/vnd.openxmlformats-officedocument.drawing+xml"/>
  <Override PartName="/xl/ctrlProps/ctrlProp31.xml" ContentType="application/vnd.ms-excel.controlproperties+xml"/>
  <Override PartName="/xl/drawings/drawing12.xml" ContentType="application/vnd.openxmlformats-officedocument.drawing+xml"/>
  <Override PartName="/xl/activeX/activeX12.xml" ContentType="application/vnd.ms-office.activeX+xml"/>
  <Override PartName="/xl/activeX/activeX12.bin" ContentType="application/vnd.ms-office.activeX"/>
  <Override PartName="/xl/drawings/drawing1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2.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3.xml" ContentType="application/vnd.openxmlformats-officedocument.spreadsheetml.comment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4.xml" ContentType="application/vnd.openxmlformats-officedocument.spreadsheetml.comments+xml"/>
  <Override PartName="/xl/drawings/drawing16.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5.xml" ContentType="application/vnd.openxmlformats-officedocument.spreadsheetml.comments+xml"/>
  <Override PartName="/xl/drawings/drawing17.xml" ContentType="application/vnd.openxmlformats-officedocument.drawing+xml"/>
  <Override PartName="/xl/activeX/activeX21.xml" ContentType="application/vnd.ms-office.activeX+xml"/>
  <Override PartName="/xl/activeX/activeX21.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comments6.xml" ContentType="application/vnd.openxmlformats-officedocument.spreadsheetml.comments+xml"/>
  <Override PartName="/xl/tables/table4.xml" ContentType="application/vnd.openxmlformats-officedocument.spreadsheetml.table+xml"/>
  <Override PartName="/xl/comments7.xml" ContentType="application/vnd.openxmlformats-officedocument.spreadsheetml.comments+xml"/>
  <Override PartName="/xl/tables/table5.xml" ContentType="application/vnd.openxmlformats-officedocument.spreadsheetml.table+xml"/>
  <Override PartName="/xl/comments8.xml" ContentType="application/vnd.openxmlformats-officedocument.spreadsheetml.comments+xml"/>
  <Override PartName="/xl/tables/table6.xml" ContentType="application/vnd.openxmlformats-officedocument.spreadsheetml.table+xml"/>
  <Override PartName="/xl/comments9.xml" ContentType="application/vnd.openxmlformats-officedocument.spreadsheetml.comments+xml"/>
  <Override PartName="/xl/tables/table7.xml" ContentType="application/vnd.openxmlformats-officedocument.spreadsheetml.table+xml"/>
  <Override PartName="/xl/comments10.xml" ContentType="application/vnd.openxmlformats-officedocument.spreadsheetml.comments+xml"/>
  <Override PartName="/xl/tables/table8.xml" ContentType="application/vnd.openxmlformats-officedocument.spreadsheetml.table+xml"/>
  <Override PartName="/xl/comments11.xml" ContentType="application/vnd.openxmlformats-officedocument.spreadsheetml.comments+xml"/>
  <Override PartName="/xl/tables/table9.xml" ContentType="application/vnd.openxmlformats-officedocument.spreadsheetml.table+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andrew.denmark\Desktop\"/>
    </mc:Choice>
  </mc:AlternateContent>
  <xr:revisionPtr revIDLastSave="0" documentId="13_ncr:1_{F70407AA-57D3-4204-87B9-DAF6462A2707}" xr6:coauthVersionLast="47" xr6:coauthVersionMax="47" xr10:uidLastSave="{00000000-0000-0000-0000-000000000000}"/>
  <bookViews>
    <workbookView xWindow="28680" yWindow="-120" windowWidth="29040" windowHeight="15720" tabRatio="875" xr2:uid="{00000000-000D-0000-FFFF-FFFF00000000}"/>
  </bookViews>
  <sheets>
    <sheet name="Pay Values" sheetId="2" r:id="rId1"/>
    <sheet name="Project Items" sheetId="30" r:id="rId2"/>
    <sheet name="Calculations" sheetId="5" state="veryHidden" r:id="rId3"/>
    <sheet name="Superpave" sheetId="3" state="hidden" r:id="rId4"/>
    <sheet name="Cores" sheetId="4" state="hidden" r:id="rId5"/>
    <sheet name="Super Verify" sheetId="6" state="hidden" r:id="rId6"/>
    <sheet name="Gradation" sheetId="7" state="hidden" r:id="rId7"/>
    <sheet name="0.45 Chart" sheetId="8" state="hidden" r:id="rId8"/>
    <sheet name="Control Charts" sheetId="45" state="hidden" r:id="rId9"/>
    <sheet name="Comments" sheetId="13" r:id="rId10"/>
    <sheet name="Accept. Grad. # 1" sheetId="9" state="hidden" r:id="rId11"/>
    <sheet name="Accept. Grad. # 2" sheetId="10" state="hidden" r:id="rId12"/>
    <sheet name="Accept. Grad. # 3" sheetId="11" state="hidden" r:id="rId13"/>
    <sheet name="Accept. Grad. # 4" sheetId="12" state="hidden" r:id="rId14"/>
    <sheet name="PG Producer" sheetId="14" r:id="rId15"/>
    <sheet name="Producer supplier" sheetId="21" state="veryHidden" r:id="rId16"/>
    <sheet name=".45 Data" sheetId="1" state="veryHidden" r:id="rId17"/>
    <sheet name="Performance Specimens" sheetId="46" state="veryHidden" r:id="rId18"/>
    <sheet name="KYCT Data Sublot # 1" sheetId="47" state="veryHidden" r:id="rId19"/>
    <sheet name="KYCT Data Sublot # 2" sheetId="49" state="veryHidden" r:id="rId20"/>
    <sheet name="KYCT Data Sublot # 3" sheetId="50" state="veryHidden" r:id="rId21"/>
    <sheet name="KYCT Data Sublot # 4" sheetId="51" state="veryHidden" r:id="rId22"/>
    <sheet name="Field Rutting" sheetId="48" state="veryHidden" r:id="rId23"/>
    <sheet name="Cert. Techs" sheetId="22" r:id="rId24"/>
    <sheet name="AMAMAW" sheetId="23" state="veryHidden" r:id="rId25"/>
    <sheet name="Workbook Edits" sheetId="28" state="veryHidden" r:id="rId26"/>
    <sheet name="discipline" sheetId="34" state="veryHidden" r:id="rId27"/>
    <sheet name="t_smpl" sheetId="35" state="veryHidden" r:id="rId28"/>
    <sheet name="t_cont_smpl" sheetId="36" state="veryHidden" r:id="rId29"/>
    <sheet name="t_rmks_dtl" sheetId="37" state="veryHidden" r:id="rId30"/>
    <sheet name="t_smpl_tst" sheetId="38" state="veryHidden" r:id="rId31"/>
    <sheet name="t_smpl_tstr" sheetId="39" state="veryHidden" r:id="rId32"/>
    <sheet name="t_tst_rslt_hdr" sheetId="40" state="veryHidden" r:id="rId33"/>
    <sheet name="t_tst_rslt_dtl" sheetId="41" state="veryHidden" r:id="rId34"/>
    <sheet name="Drop_Downs_and_Tables" sheetId="44" state="veryHidden" r:id="rId35"/>
    <sheet name="Module1" sheetId="15" state="veryHidden" r:id=""/>
    <sheet name="Dialog1" sheetId="16" state="hidden" r:id="rId36"/>
  </sheets>
  <functionGroups builtInGroupCount="19"/>
  <externalReferences>
    <externalReference r:id="rId37"/>
    <externalReference r:id="rId38"/>
    <externalReference r:id="rId39"/>
    <externalReference r:id="rId40"/>
  </externalReferences>
  <definedNames>
    <definedName name="_xlnm._FilterDatabase" localSheetId="26" hidden="1">discipline!$A$1:$E$2</definedName>
    <definedName name="_xlnm._FilterDatabase" localSheetId="34" hidden="1">Drop_Downs_and_Tables!#REF!</definedName>
    <definedName name="_xlnm._FilterDatabase" localSheetId="1" hidden="1">'Project Items'!$A$5:$C$99</definedName>
    <definedName name="_xlnm._FilterDatabase" localSheetId="28" hidden="1">t_cont_smpl!$B$7:$H$14</definedName>
    <definedName name="_xlnm._FilterDatabase" localSheetId="29" hidden="1">t_rmks_dtl!$B$7:$G$357</definedName>
    <definedName name="_xlnm._FilterDatabase" localSheetId="27" hidden="1">t_smpl!$B$7:$BC$14</definedName>
    <definedName name="_xlnm._FilterDatabase" localSheetId="30" hidden="1">t_smpl_tst!$B$7:$K$14</definedName>
    <definedName name="_xlnm._FilterDatabase" localSheetId="31" hidden="1">t_smpl_tstr!$B$7:$G$14</definedName>
    <definedName name="_xlnm._FilterDatabase" localSheetId="33" hidden="1">t_tst_rslt_dtl!$B$7:$I$1477</definedName>
    <definedName name="_xlnm._FilterDatabase" localSheetId="32" hidden="1">t_tst_rslt_hdr!$B$7:$H$14</definedName>
    <definedName name="Age" localSheetId="22">#REF!</definedName>
    <definedName name="Age" localSheetId="19">#REF!</definedName>
    <definedName name="Age" localSheetId="20">#REF!</definedName>
    <definedName name="Age" localSheetId="21">#REF!</definedName>
    <definedName name="Age" localSheetId="17">#REF!</definedName>
    <definedName name="Age">#REF!</definedName>
    <definedName name="agg" localSheetId="22">#REF!</definedName>
    <definedName name="agg" localSheetId="19">#REF!</definedName>
    <definedName name="agg" localSheetId="20">#REF!</definedName>
    <definedName name="agg" localSheetId="21">#REF!</definedName>
    <definedName name="agg" localSheetId="17">#REF!</definedName>
    <definedName name="agg">#REF!</definedName>
    <definedName name="Aggsize">'[1]Chart Data'!$AR$1:$AR$137</definedName>
    <definedName name="AggType">Calculations!$BM$1:$BM$140</definedName>
    <definedName name="AirVoids" localSheetId="19">'KYCT Data Sublot # 2'!$Y$24</definedName>
    <definedName name="AirVoids" localSheetId="20">'KYCT Data Sublot # 3'!$Y$24</definedName>
    <definedName name="AirVoids" localSheetId="21">'KYCT Data Sublot # 4'!$Y$24</definedName>
    <definedName name="AirVoids">'KYCT Data Sublot # 1'!$Y$24</definedName>
    <definedName name="Answer">'[2]Drop Downs and Tables'!$A$23:$A$24</definedName>
    <definedName name="CellType" localSheetId="22">[3]Drop_Downs_and_Tables!#REF!</definedName>
    <definedName name="CellType" localSheetId="19">[3]Drop_Downs_and_Tables!#REF!</definedName>
    <definedName name="CellType" localSheetId="20">[3]Drop_Downs_and_Tables!#REF!</definedName>
    <definedName name="CellType" localSheetId="21">[3]Drop_Downs_and_Tables!#REF!</definedName>
    <definedName name="CellType" localSheetId="17">[3]Drop_Downs_and_Tables!#REF!</definedName>
    <definedName name="CellType">[3]Drop_Downs_and_Tables!#REF!</definedName>
    <definedName name="COM_Port" localSheetId="19">'KYCT Data Sublot # 2'!$S$32</definedName>
    <definedName name="COM_Port" localSheetId="20">'KYCT Data Sublot # 3'!$S$32</definedName>
    <definedName name="COM_Port" localSheetId="21">'KYCT Data Sublot # 4'!$S$32</definedName>
    <definedName name="COM_Port">'KYCT Data Sublot # 1'!$S$32</definedName>
    <definedName name="COM_Settings" localSheetId="19">'KYCT Data Sublot # 2'!$S$33</definedName>
    <definedName name="COM_Settings" localSheetId="20">'KYCT Data Sublot # 3'!$S$33</definedName>
    <definedName name="COM_Settings" localSheetId="21">'KYCT Data Sublot # 4'!$S$33</definedName>
    <definedName name="COM_Settings">'KYCT Data Sublot # 1'!$S$33</definedName>
    <definedName name="Correction" localSheetId="22">#REF!</definedName>
    <definedName name="Correction" localSheetId="19">#REF!</definedName>
    <definedName name="Correction" localSheetId="20">#REF!</definedName>
    <definedName name="Correction" localSheetId="21">#REF!</definedName>
    <definedName name="Correction" localSheetId="17">#REF!</definedName>
    <definedName name="Correction">#REF!</definedName>
    <definedName name="CT_Index" localSheetId="19">'KYCT Data Sublot # 2'!$Y$21</definedName>
    <definedName name="CT_Index" localSheetId="20">'KYCT Data Sublot # 3'!$Y$21</definedName>
    <definedName name="CT_Index" localSheetId="21">'KYCT Data Sublot # 4'!$Y$21</definedName>
    <definedName name="CT_Index">'KYCT Data Sublot # 1'!$Y$21</definedName>
    <definedName name="CylinderSize" localSheetId="22">#REF!</definedName>
    <definedName name="CylinderSize" localSheetId="19">#REF!</definedName>
    <definedName name="CylinderSize" localSheetId="20">#REF!</definedName>
    <definedName name="CylinderSize" localSheetId="21">#REF!</definedName>
    <definedName name="CylinderSize" localSheetId="17">#REF!</definedName>
    <definedName name="CylinderSize">#REF!</definedName>
    <definedName name="disp75" localSheetId="19">'KYCT Data Sublot # 2'!$Y$14</definedName>
    <definedName name="disp75" localSheetId="20">'KYCT Data Sublot # 3'!$Y$14</definedName>
    <definedName name="disp75" localSheetId="21">'KYCT Data Sublot # 4'!$Y$14</definedName>
    <definedName name="disp75">'KYCT Data Sublot # 1'!$Y$14</definedName>
    <definedName name="District" localSheetId="22">[3]Drop_Downs_and_Tables!#REF!</definedName>
    <definedName name="District" localSheetId="19">[3]Drop_Downs_and_Tables!#REF!</definedName>
    <definedName name="District" localSheetId="20">[3]Drop_Downs_and_Tables!#REF!</definedName>
    <definedName name="District" localSheetId="21">[3]Drop_Downs_and_Tables!#REF!</definedName>
    <definedName name="District" localSheetId="17">[3]Drop_Downs_and_Tables!#REF!</definedName>
    <definedName name="District">[3]Drop_Downs_and_Tables!#REF!</definedName>
    <definedName name="EnergyOfFailure" localSheetId="19">'KYCT Data Sublot # 2'!$Y$20</definedName>
    <definedName name="EnergyOfFailure" localSheetId="20">'KYCT Data Sublot # 3'!$Y$20</definedName>
    <definedName name="EnergyOfFailure" localSheetId="21">'KYCT Data Sublot # 4'!$Y$20</definedName>
    <definedName name="EnergyOfFailure">'KYCT Data Sublot # 1'!$Y$20</definedName>
    <definedName name="First_Data_Point" localSheetId="19">'KYCT Data Sublot # 2'!$B$31</definedName>
    <definedName name="First_Data_Point" localSheetId="20">'KYCT Data Sublot # 3'!$B$31</definedName>
    <definedName name="First_Data_Point" localSheetId="21">'KYCT Data Sublot # 4'!$B$31</definedName>
    <definedName name="First_Data_Point">'KYCT Data Sublot # 1'!$B$31</definedName>
    <definedName name="FirstRow" localSheetId="22">#REF!</definedName>
    <definedName name="FirstRow" localSheetId="18">'KYCT Data Sublot # 1'!$S$6</definedName>
    <definedName name="FirstRow" localSheetId="19">'KYCT Data Sublot # 2'!$S$6</definedName>
    <definedName name="FirstRow" localSheetId="20">'KYCT Data Sublot # 3'!$S$6</definedName>
    <definedName name="FirstRow" localSheetId="21">'KYCT Data Sublot # 4'!$S$6</definedName>
    <definedName name="FirstRow">#REF!</definedName>
    <definedName name="fracture" localSheetId="22">#REF!</definedName>
    <definedName name="fracture" localSheetId="19">#REF!</definedName>
    <definedName name="fracture" localSheetId="20">#REF!</definedName>
    <definedName name="fracture" localSheetId="21">#REF!</definedName>
    <definedName name="fracture" localSheetId="17">#REF!</definedName>
    <definedName name="fracture">#REF!</definedName>
    <definedName name="l_at_PeakStability" localSheetId="19">'KYCT Data Sublot # 2'!$X$29</definedName>
    <definedName name="l_at_PeakStability" localSheetId="20">'KYCT Data Sublot # 3'!$X$29</definedName>
    <definedName name="l_at_PeakStability" localSheetId="21">'KYCT Data Sublot # 4'!$X$29</definedName>
    <definedName name="l_at_PeakStability">'KYCT Data Sublot # 1'!$X$29</definedName>
    <definedName name="LabUnits">'[1]Chart Data'!$AV$1:$AV$14</definedName>
    <definedName name="load" localSheetId="22">#REF!</definedName>
    <definedName name="load" localSheetId="19">#REF!</definedName>
    <definedName name="load" localSheetId="20">#REF!</definedName>
    <definedName name="load" localSheetId="21">#REF!</definedName>
    <definedName name="load" localSheetId="17">#REF!</definedName>
    <definedName name="load">#REF!</definedName>
    <definedName name="Location" localSheetId="22">[3]Drop_Downs_and_Tables!#REF!</definedName>
    <definedName name="Location" localSheetId="19">[3]Drop_Downs_and_Tables!#REF!</definedName>
    <definedName name="Location" localSheetId="20">[3]Drop_Downs_and_Tables!#REF!</definedName>
    <definedName name="Location" localSheetId="21">[3]Drop_Downs_and_Tables!#REF!</definedName>
    <definedName name="Location" localSheetId="17">[3]Drop_Downs_and_Tables!#REF!</definedName>
    <definedName name="Location">[3]Drop_Downs_and_Tables!#REF!</definedName>
    <definedName name="MaxStability" localSheetId="19">'KYCT Data Sublot # 2'!$S$31</definedName>
    <definedName name="MaxStability" localSheetId="20">'KYCT Data Sublot # 3'!$S$31</definedName>
    <definedName name="MaxStability" localSheetId="21">'KYCT Data Sublot # 4'!$S$31</definedName>
    <definedName name="MaxStability">'KYCT Data Sublot # 1'!$S$31</definedName>
    <definedName name="OLE_LINK4" localSheetId="34">Drop_Downs_and_Tables!$A$59</definedName>
    <definedName name="OptionButton8">"Option Button 8"</definedName>
    <definedName name="PeakStability" localSheetId="19">'KYCT Data Sublot # 2'!$Y$6</definedName>
    <definedName name="PeakStability" localSheetId="20">'KYCT Data Sublot # 3'!$Y$6</definedName>
    <definedName name="PeakStability" localSheetId="21">'KYCT Data Sublot # 4'!$Y$6</definedName>
    <definedName name="PeakStability">'KYCT Data Sublot # 1'!$Y$6</definedName>
    <definedName name="_xlnm.Print_Area" localSheetId="10">'Accept. Grad. # 1'!$A$1:$I$46</definedName>
    <definedName name="_xlnm.Print_Area" localSheetId="11">'Accept. Grad. # 2'!$A$1:$I$46</definedName>
    <definedName name="_xlnm.Print_Area" localSheetId="12">'Accept. Grad. # 3'!$A$1:$I$46</definedName>
    <definedName name="_xlnm.Print_Area" localSheetId="13">'Accept. Grad. # 4'!$A$1:$I$46</definedName>
    <definedName name="_xlnm.Print_Area" localSheetId="24">AMAMAW!$A$1:$K$46</definedName>
    <definedName name="_xlnm.Print_Area" localSheetId="4">Cores!$A$1:$J$34</definedName>
    <definedName name="_xlnm.Print_Area" localSheetId="22">'Field Rutting'!$A$1:$O$29</definedName>
    <definedName name="_xlnm.Print_Area" localSheetId="6">Gradation!$A$1:$N$34</definedName>
    <definedName name="_xlnm.Print_Area" localSheetId="0">'Pay Values'!$A$1:$K$46</definedName>
    <definedName name="_xlnm.Print_Area" localSheetId="17">'Performance Specimens'!$A$1:$O$60</definedName>
    <definedName name="_xlnm.Print_Area" localSheetId="14">'PG Producer'!$C$1:$I$36</definedName>
    <definedName name="_xlnm.Print_Area" localSheetId="1">'Project Items'!$A$1:$D$46</definedName>
    <definedName name="_xlnm.Print_Area" localSheetId="3">Superpave!$A$1:$U$48</definedName>
    <definedName name="Project_ID" localSheetId="19">'KYCT Data Sublot # 2'!$B$4</definedName>
    <definedName name="Project_ID" localSheetId="20">'KYCT Data Sublot # 3'!$B$4</definedName>
    <definedName name="Project_ID" localSheetId="21">'KYCT Data Sublot # 4'!$B$4</definedName>
    <definedName name="Project_ID">'KYCT Data Sublot # 1'!$B$4</definedName>
    <definedName name="RowsAtTop" localSheetId="19">'KYCT Data Sublot # 2'!$S$6</definedName>
    <definedName name="RowsAtTop" localSheetId="20">'KYCT Data Sublot # 3'!$S$6</definedName>
    <definedName name="RowsAtTop" localSheetId="21">'KYCT Data Sublot # 4'!$S$6</definedName>
    <definedName name="RowsAtTop">'KYCT Data Sublot # 1'!$S$6</definedName>
    <definedName name="SampleUnit" localSheetId="22">#REF!</definedName>
    <definedName name="SampleUnit" localSheetId="19">#REF!</definedName>
    <definedName name="SampleUnit" localSheetId="20">#REF!</definedName>
    <definedName name="SampleUnit" localSheetId="21">#REF!</definedName>
    <definedName name="SampleUnit" localSheetId="17">#REF!</definedName>
    <definedName name="SampleUnit">#REF!</definedName>
    <definedName name="SelectedSpecimen_X" localSheetId="19">'KYCT Data Sublot # 2'!$X$31:$X$706</definedName>
    <definedName name="SelectedSpecimen_X" localSheetId="20">'KYCT Data Sublot # 3'!$X$31:$X$706</definedName>
    <definedName name="SelectedSpecimen_X" localSheetId="21">'KYCT Data Sublot # 4'!$X$31:$X$706</definedName>
    <definedName name="SelectedSpecimen_X">'KYCT Data Sublot # 1'!$X$31:$X$706</definedName>
    <definedName name="SelectedSpecimen_Y" localSheetId="19">'KYCT Data Sublot # 2'!$Y$31:$Y$706</definedName>
    <definedName name="SelectedSpecimen_Y" localSheetId="20">'KYCT Data Sublot # 3'!$Y$31:$Y$706</definedName>
    <definedName name="SelectedSpecimen_Y" localSheetId="21">'KYCT Data Sublot # 4'!$Y$31:$Y$706</definedName>
    <definedName name="SelectedSpecimen_Y">'KYCT Data Sublot # 1'!$Y$31:$Y$706</definedName>
    <definedName name="SelectedTest" localSheetId="19">'KYCT Data Sublot # 2'!$X$5:$Y$706</definedName>
    <definedName name="SelectedTest" localSheetId="20">'KYCT Data Sublot # 3'!$X$5:$Y$706</definedName>
    <definedName name="SelectedTest" localSheetId="21">'KYCT Data Sublot # 4'!$X$5:$Y$706</definedName>
    <definedName name="SelectedTest">'KYCT Data Sublot # 1'!$X$5:$Y$706</definedName>
    <definedName name="Series1_Name" localSheetId="19">'KYCT Data Sublot # 2'!$B$16</definedName>
    <definedName name="Series1_Name" localSheetId="20">'KYCT Data Sublot # 3'!$B$16</definedName>
    <definedName name="Series1_Name" localSheetId="21">'KYCT Data Sublot # 4'!$B$16</definedName>
    <definedName name="Series1_Name">'KYCT Data Sublot # 1'!$B$16</definedName>
    <definedName name="Series2_Name" localSheetId="19">'KYCT Data Sublot # 2'!$D$16</definedName>
    <definedName name="Series2_Name" localSheetId="20">'KYCT Data Sublot # 3'!$D$16</definedName>
    <definedName name="Series2_Name" localSheetId="21">'KYCT Data Sublot # 4'!$D$16</definedName>
    <definedName name="Series2_Name">'KYCT Data Sublot # 1'!$D$16</definedName>
    <definedName name="Series3_Name" localSheetId="19">'KYCT Data Sublot # 2'!$F$16</definedName>
    <definedName name="Series3_Name" localSheetId="20">'KYCT Data Sublot # 3'!$F$16</definedName>
    <definedName name="Series3_Name" localSheetId="21">'KYCT Data Sublot # 4'!$F$16</definedName>
    <definedName name="Series3_Name">'KYCT Data Sublot # 1'!$F$16</definedName>
    <definedName name="Series4_Name" localSheetId="19">'KYCT Data Sublot # 2'!$H$16</definedName>
    <definedName name="Series4_Name" localSheetId="20">'KYCT Data Sublot # 3'!$H$16</definedName>
    <definedName name="Series4_Name" localSheetId="21">'KYCT Data Sublot # 4'!$H$16</definedName>
    <definedName name="Series4_Name">'KYCT Data Sublot # 1'!$H$16</definedName>
    <definedName name="Series5_Name" localSheetId="19">'KYCT Data Sublot # 2'!$J$16</definedName>
    <definedName name="Series5_Name" localSheetId="20">'KYCT Data Sublot # 3'!$J$16</definedName>
    <definedName name="Series5_Name" localSheetId="21">'KYCT Data Sublot # 4'!$J$16</definedName>
    <definedName name="Series5_Name">'KYCT Data Sublot # 1'!$J$16</definedName>
    <definedName name="Series6_Name" localSheetId="19">'KYCT Data Sublot # 2'!$L$16</definedName>
    <definedName name="Series6_Name" localSheetId="20">'KYCT Data Sublot # 3'!$L$16</definedName>
    <definedName name="Series6_Name" localSheetId="21">'KYCT Data Sublot # 4'!$L$16</definedName>
    <definedName name="Series6_Name">'KYCT Data Sublot # 1'!$L$16</definedName>
    <definedName name="Series7_Name" localSheetId="19">'KYCT Data Sublot # 2'!$N$16</definedName>
    <definedName name="Series7_Name" localSheetId="20">'KYCT Data Sublot # 3'!$N$16</definedName>
    <definedName name="Series7_Name" localSheetId="21">'KYCT Data Sublot # 4'!$N$16</definedName>
    <definedName name="Series7_Name">'KYCT Data Sublot # 1'!$N$16</definedName>
    <definedName name="Series8_Name" localSheetId="19">'KYCT Data Sublot # 2'!$P$16</definedName>
    <definedName name="Series8_Name" localSheetId="20">'KYCT Data Sublot # 3'!$P$16</definedName>
    <definedName name="Series8_Name" localSheetId="21">'KYCT Data Sublot # 4'!$P$16</definedName>
    <definedName name="Series8_Name">'KYCT Data Sublot # 1'!$P$16</definedName>
    <definedName name="SeriesName" localSheetId="19">'KYCT Data Sublot # 2'!$Y$16</definedName>
    <definedName name="SeriesName" localSheetId="20">'KYCT Data Sublot # 3'!$Y$16</definedName>
    <definedName name="SeriesName" localSheetId="21">'KYCT Data Sublot # 4'!$Y$16</definedName>
    <definedName name="SeriesName">'KYCT Data Sublot # 1'!$Y$16</definedName>
    <definedName name="slope75" localSheetId="19">'KYCT Data Sublot # 2'!$Y$18</definedName>
    <definedName name="slope75" localSheetId="20">'KYCT Data Sublot # 3'!$Y$18</definedName>
    <definedName name="slope75" localSheetId="21">'KYCT Data Sublot # 4'!$Y$18</definedName>
    <definedName name="slope75">'KYCT Data Sublot # 1'!$Y$18</definedName>
    <definedName name="slump" localSheetId="22">#REF!</definedName>
    <definedName name="slump" localSheetId="19">#REF!</definedName>
    <definedName name="slump" localSheetId="20">#REF!</definedName>
    <definedName name="slump" localSheetId="21">#REF!</definedName>
    <definedName name="slump" localSheetId="17">#REF!</definedName>
    <definedName name="slump">#REF!</definedName>
    <definedName name="SMPLSTAT" localSheetId="22">#REF!</definedName>
    <definedName name="SMPLSTAT" localSheetId="17">#REF!</definedName>
    <definedName name="SMPLSTAT">Drop_Downs_and_Tables!$A$49:$A$52</definedName>
    <definedName name="Spec_diam" localSheetId="19">'KYCT Data Sublot # 2'!$Y$25</definedName>
    <definedName name="Spec_diam" localSheetId="20">'KYCT Data Sublot # 3'!$Y$25</definedName>
    <definedName name="Spec_diam" localSheetId="21">'KYCT Data Sublot # 4'!$Y$25</definedName>
    <definedName name="Spec_diam">'KYCT Data Sublot # 1'!$Y$25</definedName>
    <definedName name="Spec_t" localSheetId="19">'KYCT Data Sublot # 2'!$Y$26</definedName>
    <definedName name="Spec_t" localSheetId="20">'KYCT Data Sublot # 3'!$Y$26</definedName>
    <definedName name="Spec_t" localSheetId="21">'KYCT Data Sublot # 4'!$Y$26</definedName>
    <definedName name="Spec_t">'KYCT Data Sublot # 1'!$Y$26</definedName>
    <definedName name="Spec_temp" localSheetId="19">'KYCT Data Sublot # 2'!$Y$23</definedName>
    <definedName name="Spec_temp" localSheetId="20">'KYCT Data Sublot # 3'!$Y$23</definedName>
    <definedName name="Spec_temp" localSheetId="21">'KYCT Data Sublot # 4'!$Y$23</definedName>
    <definedName name="Spec_temp">'KYCT Data Sublot # 1'!$Y$23</definedName>
    <definedName name="SpreadsheetType" localSheetId="22">#REF!</definedName>
    <definedName name="SpreadsheetType" localSheetId="19">#REF!</definedName>
    <definedName name="SpreadsheetType" localSheetId="20">#REF!</definedName>
    <definedName name="SpreadsheetType" localSheetId="21">#REF!</definedName>
    <definedName name="SpreadsheetType" localSheetId="17">#REF!</definedName>
    <definedName name="SpreadsheetType">#REF!</definedName>
    <definedName name="SpringLimitsData" localSheetId="18">'KYCT Data Sublot # 1'!$W$31:$AA$331</definedName>
    <definedName name="SpringLimitsData" localSheetId="19">'KYCT Data Sublot # 2'!$W$31:$AA$331</definedName>
    <definedName name="SpringLimitsData" localSheetId="20">'KYCT Data Sublot # 3'!$W$31:$AA$331</definedName>
    <definedName name="SpringLimitsData" localSheetId="21">'KYCT Data Sublot # 4'!$W$31:$AA$331</definedName>
    <definedName name="SpringLimitsFirstCell" localSheetId="19">'KYCT Data Sublot # 2'!$W$31</definedName>
    <definedName name="SpringLimitsFirstCell" localSheetId="20">'KYCT Data Sublot # 3'!$W$31</definedName>
    <definedName name="SpringLimitsFirstCell" localSheetId="21">'KYCT Data Sublot # 4'!$W$31</definedName>
    <definedName name="SpringLimitsFirstCell">'KYCT Data Sublot # 1'!$W$31</definedName>
    <definedName name="strength" localSheetId="22">#REF!</definedName>
    <definedName name="strength" localSheetId="19">#REF!</definedName>
    <definedName name="strength" localSheetId="20">#REF!</definedName>
    <definedName name="strength" localSheetId="21">#REF!</definedName>
    <definedName name="strength" localSheetId="17">#REF!</definedName>
    <definedName name="strength">#REF!</definedName>
    <definedName name="temperature" localSheetId="22">#REF!</definedName>
    <definedName name="temperature" localSheetId="19">#REF!</definedName>
    <definedName name="temperature" localSheetId="20">#REF!</definedName>
    <definedName name="temperature" localSheetId="21">#REF!</definedName>
    <definedName name="temperature" localSheetId="17">#REF!</definedName>
    <definedName name="temperature">#REF!</definedName>
    <definedName name="TotalUnits" localSheetId="22">#REF!</definedName>
    <definedName name="TotalUnits" localSheetId="17">#REF!</definedName>
    <definedName name="TotalUnits">Drop_Downs_and_Tables!$A$63:$A$65</definedName>
    <definedName name="Version">[4]Revisions!$A$1</definedName>
    <definedName name="WhereIsThis" localSheetId="22">#REF!</definedName>
    <definedName name="WhereIsThis" localSheetId="19">#REF!</definedName>
    <definedName name="WhereIsThis" localSheetId="20">#REF!</definedName>
    <definedName name="WhereIsThis" localSheetId="21">#REF!</definedName>
    <definedName name="WhereIsThis" localSheetId="17">#REF!</definedName>
    <definedName name="WhereIsThis">#REF!</definedName>
    <definedName name="WorkOfFailure" localSheetId="19">'KYCT Data Sublot # 2'!$Y$19</definedName>
    <definedName name="WorkOfFailure" localSheetId="20">'KYCT Data Sublot # 3'!$Y$19</definedName>
    <definedName name="WorkOfFailure" localSheetId="21">'KYCT Data Sublot # 4'!$Y$19</definedName>
    <definedName name="WorkOfFailure">'KYCT Data Sublot # 1'!$Y$19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48" l="1"/>
  <c r="J23" i="48"/>
  <c r="J22" i="48"/>
  <c r="J21" i="48"/>
  <c r="O36" i="48"/>
  <c r="H36" i="48"/>
  <c r="O28" i="48"/>
  <c r="G28" i="48"/>
  <c r="F28" i="48"/>
  <c r="H28" i="48" s="1"/>
  <c r="E28" i="48"/>
  <c r="D28" i="48"/>
  <c r="C28" i="48"/>
  <c r="J20" i="48"/>
  <c r="J19" i="48"/>
  <c r="B24" i="48" l="1"/>
  <c r="B23" i="48"/>
  <c r="B22" i="48"/>
  <c r="B21" i="48"/>
  <c r="B20" i="48"/>
  <c r="C19" i="48"/>
  <c r="B19" i="48"/>
  <c r="E19" i="48" s="1"/>
  <c r="G1455" i="41"/>
  <c r="G1454" i="41"/>
  <c r="G1453" i="41"/>
  <c r="G1452" i="41"/>
  <c r="G1451" i="41"/>
  <c r="G1450" i="41"/>
  <c r="G1449" i="41"/>
  <c r="G1448" i="41"/>
  <c r="G1447" i="41"/>
  <c r="G1446" i="41"/>
  <c r="G1445" i="41"/>
  <c r="G1444" i="41"/>
  <c r="G1443" i="41"/>
  <c r="G1035" i="41"/>
  <c r="G1034" i="41"/>
  <c r="G1033" i="41"/>
  <c r="G1032" i="41"/>
  <c r="G1031" i="41"/>
  <c r="G1030" i="41"/>
  <c r="G1029" i="41"/>
  <c r="G1028" i="41"/>
  <c r="G1027" i="41"/>
  <c r="G1026" i="41"/>
  <c r="G1025" i="41"/>
  <c r="G1024" i="41"/>
  <c r="G1023" i="41"/>
  <c r="G825" i="41"/>
  <c r="G824" i="41"/>
  <c r="G823" i="41"/>
  <c r="G822" i="41"/>
  <c r="G821" i="41"/>
  <c r="G820" i="41"/>
  <c r="G819" i="41"/>
  <c r="G818" i="41"/>
  <c r="G817" i="41"/>
  <c r="G816" i="41"/>
  <c r="G815" i="41"/>
  <c r="G814" i="41"/>
  <c r="G813" i="41"/>
  <c r="G615" i="41"/>
  <c r="G614" i="41"/>
  <c r="G613" i="41"/>
  <c r="G612" i="41"/>
  <c r="G611" i="41"/>
  <c r="G610" i="41"/>
  <c r="G609" i="41"/>
  <c r="G608" i="41"/>
  <c r="G607" i="41"/>
  <c r="G606" i="41"/>
  <c r="G605" i="41"/>
  <c r="G604" i="41"/>
  <c r="G603" i="41"/>
  <c r="G405" i="41"/>
  <c r="G404" i="41"/>
  <c r="G403" i="41"/>
  <c r="G402" i="41"/>
  <c r="G401" i="41"/>
  <c r="G400" i="41"/>
  <c r="G399" i="41"/>
  <c r="G398" i="41"/>
  <c r="G397" i="41"/>
  <c r="G396" i="41"/>
  <c r="G395" i="41"/>
  <c r="G394" i="41"/>
  <c r="G393" i="41"/>
  <c r="B33" i="48"/>
  <c r="B34" i="48" s="1"/>
  <c r="B36" i="48" s="1"/>
  <c r="C33" i="48"/>
  <c r="C34" i="48" s="1"/>
  <c r="C36" i="48" s="1"/>
  <c r="D33" i="48"/>
  <c r="D34" i="48" s="1"/>
  <c r="D36" i="48" s="1"/>
  <c r="E33" i="48"/>
  <c r="E34" i="48" s="1"/>
  <c r="E36" i="48" s="1"/>
  <c r="F33" i="48"/>
  <c r="F34" i="48" s="1"/>
  <c r="F36" i="48" s="1"/>
  <c r="G33" i="48"/>
  <c r="G34" i="48" s="1"/>
  <c r="G36" i="48" s="1"/>
  <c r="N33" i="48"/>
  <c r="N34" i="48" s="1"/>
  <c r="N36" i="48" s="1"/>
  <c r="M33" i="48"/>
  <c r="M34" i="48" s="1"/>
  <c r="M36" i="48" s="1"/>
  <c r="L33" i="48"/>
  <c r="L34" i="48" s="1"/>
  <c r="L36" i="48" s="1"/>
  <c r="K33" i="48"/>
  <c r="K34" i="48" s="1"/>
  <c r="K36" i="48" s="1"/>
  <c r="J33" i="48"/>
  <c r="J34" i="48" s="1"/>
  <c r="J36" i="48" s="1"/>
  <c r="I33" i="48"/>
  <c r="I34" i="48" s="1"/>
  <c r="I36" i="48" s="1"/>
  <c r="F429" i="41"/>
  <c r="F435" i="41"/>
  <c r="F219" i="41"/>
  <c r="F225" i="41"/>
  <c r="G183" i="41" l="1"/>
  <c r="P1" i="51"/>
  <c r="P1" i="50"/>
  <c r="P1" i="49"/>
  <c r="G1400" i="41" l="1"/>
  <c r="G1399" i="41"/>
  <c r="G1190" i="41"/>
  <c r="G1189" i="41"/>
  <c r="G980" i="41"/>
  <c r="G979" i="41"/>
  <c r="G770" i="41"/>
  <c r="G769" i="41"/>
  <c r="G560" i="41"/>
  <c r="G559" i="41"/>
  <c r="G350" i="41"/>
  <c r="G349" i="41"/>
  <c r="G140" i="41"/>
  <c r="G139" i="41"/>
  <c r="F182" i="41" l="1"/>
  <c r="F392" i="41"/>
  <c r="F602" i="41"/>
  <c r="F812" i="41"/>
  <c r="F1022" i="41"/>
  <c r="F1232" i="41"/>
  <c r="F1442" i="41"/>
  <c r="F1401" i="41"/>
  <c r="F1191" i="41"/>
  <c r="F981" i="41"/>
  <c r="F771" i="41"/>
  <c r="F561" i="41"/>
  <c r="F351" i="41"/>
  <c r="F141" i="41"/>
  <c r="G637" i="41"/>
  <c r="F639" i="41"/>
  <c r="D1397" i="41" l="1"/>
  <c r="D1398" i="41" s="1"/>
  <c r="D1401" i="41" s="1"/>
  <c r="D1402" i="41" s="1"/>
  <c r="D1403" i="41" s="1"/>
  <c r="D1404" i="41" s="1"/>
  <c r="D1405" i="41" s="1"/>
  <c r="D1406" i="41" s="1"/>
  <c r="D1407" i="41" s="1"/>
  <c r="D1408" i="41" s="1"/>
  <c r="D1409" i="41" s="1"/>
  <c r="D1410" i="41" s="1"/>
  <c r="D1411" i="41" s="1"/>
  <c r="D1412" i="41" s="1"/>
  <c r="D1413" i="41" s="1"/>
  <c r="D1414" i="41" s="1"/>
  <c r="D1415" i="41" s="1"/>
  <c r="D1416" i="41" s="1"/>
  <c r="D1417" i="41" s="1"/>
  <c r="D1418" i="41" s="1"/>
  <c r="D1419" i="41" s="1"/>
  <c r="D1420" i="41" s="1"/>
  <c r="D1421" i="41" s="1"/>
  <c r="D1422" i="41" s="1"/>
  <c r="D1423" i="41" s="1"/>
  <c r="D1424" i="41" s="1"/>
  <c r="D1425" i="41" s="1"/>
  <c r="D1426" i="41" s="1"/>
  <c r="D1427" i="41" s="1"/>
  <c r="D1428" i="41" s="1"/>
  <c r="D1429" i="41" s="1"/>
  <c r="D1430" i="41" s="1"/>
  <c r="D1431" i="41" s="1"/>
  <c r="D1432" i="41" s="1"/>
  <c r="D1433" i="41" s="1"/>
  <c r="D1434" i="41" s="1"/>
  <c r="D1435" i="41" s="1"/>
  <c r="D1436" i="41" s="1"/>
  <c r="D1437" i="41" s="1"/>
  <c r="D1438" i="41" s="1"/>
  <c r="D1439" i="41" s="1"/>
  <c r="D1440" i="41" s="1"/>
  <c r="D1441" i="41" s="1"/>
  <c r="D1442" i="41" s="1"/>
  <c r="D1443" i="41" s="1"/>
  <c r="D1444" i="41" s="1"/>
  <c r="D1445" i="41" s="1"/>
  <c r="D1446" i="41" s="1"/>
  <c r="D1447" i="41" s="1"/>
  <c r="D1448" i="41" s="1"/>
  <c r="D1449" i="41" s="1"/>
  <c r="D1450" i="41" s="1"/>
  <c r="D1451" i="41" s="1"/>
  <c r="D1452" i="41" s="1"/>
  <c r="D1453" i="41" s="1"/>
  <c r="D1454" i="41" s="1"/>
  <c r="D1455" i="41" s="1"/>
  <c r="D1456" i="41" s="1"/>
  <c r="D1457" i="41" s="1"/>
  <c r="D1458" i="41" s="1"/>
  <c r="D1459" i="41" s="1"/>
  <c r="D1460" i="41" s="1"/>
  <c r="D1461" i="41" s="1"/>
  <c r="D1462" i="41" s="1"/>
  <c r="D1463" i="41" s="1"/>
  <c r="D1464" i="41" s="1"/>
  <c r="D1465" i="41" s="1"/>
  <c r="D1466" i="41" s="1"/>
  <c r="D1467" i="41" s="1"/>
  <c r="D1468" i="41" s="1"/>
  <c r="D1469" i="41" s="1"/>
  <c r="D1470" i="41" s="1"/>
  <c r="D1471" i="41" s="1"/>
  <c r="D1472" i="41" s="1"/>
  <c r="D1473" i="41" s="1"/>
  <c r="D1474" i="41" s="1"/>
  <c r="D1475" i="41" s="1"/>
  <c r="D1476" i="41" s="1"/>
  <c r="C1397" i="41"/>
  <c r="C1398" i="41" s="1"/>
  <c r="C1401" i="41" s="1"/>
  <c r="C1402" i="41" s="1"/>
  <c r="C1403" i="41" s="1"/>
  <c r="C1404" i="41" s="1"/>
  <c r="C1405" i="41" s="1"/>
  <c r="C1406" i="41" s="1"/>
  <c r="C1407" i="41" s="1"/>
  <c r="C1408" i="41" s="1"/>
  <c r="C1409" i="41" s="1"/>
  <c r="C1410" i="41" s="1"/>
  <c r="C1411" i="41" s="1"/>
  <c r="C1412" i="41" s="1"/>
  <c r="C1413" i="41" s="1"/>
  <c r="C1414" i="41" s="1"/>
  <c r="C1415" i="41" s="1"/>
  <c r="C1416" i="41" s="1"/>
  <c r="C1417" i="41" s="1"/>
  <c r="C1418" i="41" s="1"/>
  <c r="C1419" i="41" s="1"/>
  <c r="C1420" i="41" s="1"/>
  <c r="C1421" i="41" s="1"/>
  <c r="C1422" i="41" s="1"/>
  <c r="C1423" i="41" s="1"/>
  <c r="C1424" i="41" s="1"/>
  <c r="C1425" i="41" s="1"/>
  <c r="C1426" i="41" s="1"/>
  <c r="C1427" i="41" s="1"/>
  <c r="C1428" i="41" s="1"/>
  <c r="C1429" i="41" s="1"/>
  <c r="C1430" i="41" s="1"/>
  <c r="C1431" i="41" s="1"/>
  <c r="C1432" i="41" s="1"/>
  <c r="C1433" i="41" s="1"/>
  <c r="C1434" i="41" s="1"/>
  <c r="C1435" i="41" s="1"/>
  <c r="C1436" i="41" s="1"/>
  <c r="C1437" i="41" s="1"/>
  <c r="C1438" i="41" s="1"/>
  <c r="C1439" i="41" s="1"/>
  <c r="C1440" i="41" s="1"/>
  <c r="C1441" i="41" s="1"/>
  <c r="C1442" i="41" s="1"/>
  <c r="C1443" i="41" s="1"/>
  <c r="C1444" i="41" s="1"/>
  <c r="C1445" i="41" s="1"/>
  <c r="C1446" i="41" s="1"/>
  <c r="C1447" i="41" s="1"/>
  <c r="C1448" i="41" s="1"/>
  <c r="C1449" i="41" s="1"/>
  <c r="C1450" i="41" s="1"/>
  <c r="C1451" i="41" s="1"/>
  <c r="C1452" i="41" s="1"/>
  <c r="C1453" i="41" s="1"/>
  <c r="C1454" i="41" s="1"/>
  <c r="C1455" i="41" s="1"/>
  <c r="C1456" i="41" s="1"/>
  <c r="C1457" i="41" s="1"/>
  <c r="C1458" i="41" s="1"/>
  <c r="C1459" i="41" s="1"/>
  <c r="C1460" i="41" s="1"/>
  <c r="C1461" i="41" s="1"/>
  <c r="C1462" i="41" s="1"/>
  <c r="C1463" i="41" s="1"/>
  <c r="C1464" i="41" s="1"/>
  <c r="C1465" i="41" s="1"/>
  <c r="C1466" i="41" s="1"/>
  <c r="C1467" i="41" s="1"/>
  <c r="C1468" i="41" s="1"/>
  <c r="C1469" i="41" s="1"/>
  <c r="C1470" i="41" s="1"/>
  <c r="C1471" i="41" s="1"/>
  <c r="C1472" i="41" s="1"/>
  <c r="C1473" i="41" s="1"/>
  <c r="C1474" i="41" s="1"/>
  <c r="C1475" i="41" s="1"/>
  <c r="C1476" i="41" s="1"/>
  <c r="D1187" i="41"/>
  <c r="D1188" i="41" s="1"/>
  <c r="D1191" i="41" s="1"/>
  <c r="D1192" i="41" s="1"/>
  <c r="D1193" i="41" s="1"/>
  <c r="D1194" i="41" s="1"/>
  <c r="D1195" i="41" s="1"/>
  <c r="D1196" i="41" s="1"/>
  <c r="D1197" i="41" s="1"/>
  <c r="D1198" i="41" s="1"/>
  <c r="D1199" i="41" s="1"/>
  <c r="D1200" i="41" s="1"/>
  <c r="D1201" i="41" s="1"/>
  <c r="D1202" i="41" s="1"/>
  <c r="D1203" i="41" s="1"/>
  <c r="D1204" i="41" s="1"/>
  <c r="D1205" i="41" s="1"/>
  <c r="D1206" i="41" s="1"/>
  <c r="D1207" i="41" s="1"/>
  <c r="D1208" i="41" s="1"/>
  <c r="D1209" i="41" s="1"/>
  <c r="D1210" i="41" s="1"/>
  <c r="D1211" i="41" s="1"/>
  <c r="D1212" i="41" s="1"/>
  <c r="D1213" i="41" s="1"/>
  <c r="D1214" i="41" s="1"/>
  <c r="D1215" i="41" s="1"/>
  <c r="D1216" i="41" s="1"/>
  <c r="D1217" i="41" s="1"/>
  <c r="D1218" i="41" s="1"/>
  <c r="D1219" i="41" s="1"/>
  <c r="D1220" i="41" s="1"/>
  <c r="D1221" i="41" s="1"/>
  <c r="D1222" i="41" s="1"/>
  <c r="D1223" i="41" s="1"/>
  <c r="D1224" i="41" s="1"/>
  <c r="D1225" i="41" s="1"/>
  <c r="D1226" i="41" s="1"/>
  <c r="D1227" i="41" s="1"/>
  <c r="D1228" i="41" s="1"/>
  <c r="D1229" i="41" s="1"/>
  <c r="D1230" i="41" s="1"/>
  <c r="D1231" i="41" s="1"/>
  <c r="D1232" i="41" s="1"/>
  <c r="D1233" i="41" s="1"/>
  <c r="D1234" i="41" s="1"/>
  <c r="D1235" i="41" s="1"/>
  <c r="D1236" i="41" s="1"/>
  <c r="D1237" i="41" s="1"/>
  <c r="D1238" i="41" s="1"/>
  <c r="D1239" i="41" s="1"/>
  <c r="D1240" i="41" s="1"/>
  <c r="D1241" i="41" s="1"/>
  <c r="D1242" i="41" s="1"/>
  <c r="D1243" i="41" s="1"/>
  <c r="D1244" i="41" s="1"/>
  <c r="D1245" i="41" s="1"/>
  <c r="D1246" i="41" s="1"/>
  <c r="D1247" i="41" s="1"/>
  <c r="D1248" i="41" s="1"/>
  <c r="D1249" i="41" s="1"/>
  <c r="D1250" i="41" s="1"/>
  <c r="D1251" i="41" s="1"/>
  <c r="D1252" i="41" s="1"/>
  <c r="D1253" i="41" s="1"/>
  <c r="D1254" i="41" s="1"/>
  <c r="D1255" i="41" s="1"/>
  <c r="D1256" i="41" s="1"/>
  <c r="D1257" i="41" s="1"/>
  <c r="D1258" i="41" s="1"/>
  <c r="D1259" i="41" s="1"/>
  <c r="D1260" i="41" s="1"/>
  <c r="D1261" i="41" s="1"/>
  <c r="D1262" i="41" s="1"/>
  <c r="D1263" i="41" s="1"/>
  <c r="D1264" i="41" s="1"/>
  <c r="D1265" i="41" s="1"/>
  <c r="D1266" i="41" s="1"/>
  <c r="C1187" i="41"/>
  <c r="C1188" i="41" s="1"/>
  <c r="C1191" i="41" s="1"/>
  <c r="C1192" i="41" s="1"/>
  <c r="C1193" i="41" s="1"/>
  <c r="C1194" i="41" s="1"/>
  <c r="C1195" i="41" s="1"/>
  <c r="C1196" i="41" s="1"/>
  <c r="C1197" i="41" s="1"/>
  <c r="C1198" i="41" s="1"/>
  <c r="C1199" i="41" s="1"/>
  <c r="C1200" i="41" s="1"/>
  <c r="C1201" i="41" s="1"/>
  <c r="C1202" i="41" s="1"/>
  <c r="C1203" i="41" s="1"/>
  <c r="C1204" i="41" s="1"/>
  <c r="C1205" i="41" s="1"/>
  <c r="C1206" i="41" s="1"/>
  <c r="C1207" i="41" s="1"/>
  <c r="C1208" i="41" s="1"/>
  <c r="C1209" i="41" s="1"/>
  <c r="C1210" i="41" s="1"/>
  <c r="C1211" i="41" s="1"/>
  <c r="C1212" i="41" s="1"/>
  <c r="C1213" i="41" s="1"/>
  <c r="C1214" i="41" s="1"/>
  <c r="C1215" i="41" s="1"/>
  <c r="C1216" i="41" s="1"/>
  <c r="C1217" i="41" s="1"/>
  <c r="C1218" i="41" s="1"/>
  <c r="C1219" i="41" s="1"/>
  <c r="C1220" i="41" s="1"/>
  <c r="C1221" i="41" s="1"/>
  <c r="C1222" i="41" s="1"/>
  <c r="C1223" i="41" s="1"/>
  <c r="C1224" i="41" s="1"/>
  <c r="C1225" i="41" s="1"/>
  <c r="C1226" i="41" s="1"/>
  <c r="C1227" i="41" s="1"/>
  <c r="C1228" i="41" s="1"/>
  <c r="C1229" i="41" s="1"/>
  <c r="C1230" i="41" s="1"/>
  <c r="C1231" i="41" s="1"/>
  <c r="C1232" i="41" s="1"/>
  <c r="C1233" i="41" s="1"/>
  <c r="C1234" i="41" s="1"/>
  <c r="C1235" i="41" s="1"/>
  <c r="C1236" i="41" s="1"/>
  <c r="C1237" i="41" s="1"/>
  <c r="C1238" i="41" s="1"/>
  <c r="C1239" i="41" s="1"/>
  <c r="C1240" i="41" s="1"/>
  <c r="C1241" i="41" s="1"/>
  <c r="C1242" i="41" s="1"/>
  <c r="C1243" i="41" s="1"/>
  <c r="C1244" i="41" s="1"/>
  <c r="C1245" i="41" s="1"/>
  <c r="C1246" i="41" s="1"/>
  <c r="C1247" i="41" s="1"/>
  <c r="C1248" i="41" s="1"/>
  <c r="C1249" i="41" s="1"/>
  <c r="C1250" i="41" s="1"/>
  <c r="C1251" i="41" s="1"/>
  <c r="C1252" i="41" s="1"/>
  <c r="C1253" i="41" s="1"/>
  <c r="C1254" i="41" s="1"/>
  <c r="C1255" i="41" s="1"/>
  <c r="C1256" i="41" s="1"/>
  <c r="C1257" i="41" s="1"/>
  <c r="C1258" i="41" s="1"/>
  <c r="C1259" i="41" s="1"/>
  <c r="C1260" i="41" s="1"/>
  <c r="C1261" i="41" s="1"/>
  <c r="C1262" i="41" s="1"/>
  <c r="C1263" i="41" s="1"/>
  <c r="C1264" i="41" s="1"/>
  <c r="C1265" i="41" s="1"/>
  <c r="C1266" i="41" s="1"/>
  <c r="D977" i="41"/>
  <c r="D978" i="41" s="1"/>
  <c r="D981" i="41" s="1"/>
  <c r="D982" i="41" s="1"/>
  <c r="D983" i="41" s="1"/>
  <c r="D984" i="41" s="1"/>
  <c r="D985" i="41" s="1"/>
  <c r="D986" i="41" s="1"/>
  <c r="D987" i="41" s="1"/>
  <c r="D988" i="41" s="1"/>
  <c r="D989" i="41" s="1"/>
  <c r="D990" i="41" s="1"/>
  <c r="D991" i="41" s="1"/>
  <c r="D992" i="41" s="1"/>
  <c r="D993" i="41" s="1"/>
  <c r="D994" i="41" s="1"/>
  <c r="D995" i="41" s="1"/>
  <c r="D996" i="41" s="1"/>
  <c r="D997" i="41" s="1"/>
  <c r="D998" i="41" s="1"/>
  <c r="D999" i="41" s="1"/>
  <c r="D1000" i="41" s="1"/>
  <c r="D1001" i="41" s="1"/>
  <c r="D1002" i="41" s="1"/>
  <c r="D1003" i="41" s="1"/>
  <c r="D1004" i="41" s="1"/>
  <c r="D1005" i="41" s="1"/>
  <c r="D1006" i="41" s="1"/>
  <c r="D1007" i="41" s="1"/>
  <c r="D1008" i="41" s="1"/>
  <c r="D1009" i="41" s="1"/>
  <c r="D1010" i="41" s="1"/>
  <c r="D1011" i="41" s="1"/>
  <c r="D1012" i="41" s="1"/>
  <c r="D1013" i="41" s="1"/>
  <c r="D1014" i="41" s="1"/>
  <c r="D1015" i="41" s="1"/>
  <c r="D1016" i="41" s="1"/>
  <c r="D1017" i="41" s="1"/>
  <c r="D1018" i="41" s="1"/>
  <c r="D1019" i="41" s="1"/>
  <c r="D1020" i="41" s="1"/>
  <c r="D1021" i="41" s="1"/>
  <c r="D1022" i="41" s="1"/>
  <c r="D1023" i="41" s="1"/>
  <c r="D1024" i="41" s="1"/>
  <c r="D1025" i="41" s="1"/>
  <c r="D1026" i="41" s="1"/>
  <c r="D1027" i="41" s="1"/>
  <c r="D1028" i="41" s="1"/>
  <c r="D1029" i="41" s="1"/>
  <c r="D1030" i="41" s="1"/>
  <c r="D1031" i="41" s="1"/>
  <c r="D1032" i="41" s="1"/>
  <c r="D1033" i="41" s="1"/>
  <c r="D1034" i="41" s="1"/>
  <c r="D1035" i="41" s="1"/>
  <c r="D1036" i="41" s="1"/>
  <c r="D1037" i="41" s="1"/>
  <c r="D1038" i="41" s="1"/>
  <c r="D1039" i="41" s="1"/>
  <c r="D1040" i="41" s="1"/>
  <c r="D1041" i="41" s="1"/>
  <c r="D1042" i="41" s="1"/>
  <c r="D1043" i="41" s="1"/>
  <c r="D1044" i="41" s="1"/>
  <c r="D1045" i="41" s="1"/>
  <c r="D1046" i="41" s="1"/>
  <c r="D1047" i="41" s="1"/>
  <c r="D1048" i="41" s="1"/>
  <c r="D1049" i="41" s="1"/>
  <c r="D1050" i="41" s="1"/>
  <c r="D1051" i="41" s="1"/>
  <c r="D1052" i="41" s="1"/>
  <c r="D1053" i="41" s="1"/>
  <c r="D1054" i="41" s="1"/>
  <c r="D1055" i="41" s="1"/>
  <c r="D1056" i="41" s="1"/>
  <c r="C977" i="41"/>
  <c r="C978" i="41" s="1"/>
  <c r="C981" i="41" s="1"/>
  <c r="C982" i="41" s="1"/>
  <c r="C983" i="41" s="1"/>
  <c r="C984" i="41" s="1"/>
  <c r="C985" i="41" s="1"/>
  <c r="C986" i="41" s="1"/>
  <c r="C987" i="41" s="1"/>
  <c r="C988" i="41" s="1"/>
  <c r="C989" i="41" s="1"/>
  <c r="C990" i="41" s="1"/>
  <c r="C991" i="41" s="1"/>
  <c r="C992" i="41" s="1"/>
  <c r="C993" i="41" s="1"/>
  <c r="C994" i="41" s="1"/>
  <c r="C995" i="41" s="1"/>
  <c r="C996" i="41" s="1"/>
  <c r="C997" i="41" s="1"/>
  <c r="C998" i="41" s="1"/>
  <c r="C999" i="41" s="1"/>
  <c r="C1000" i="41" s="1"/>
  <c r="C1001" i="41" s="1"/>
  <c r="C1002" i="41" s="1"/>
  <c r="C1003" i="41" s="1"/>
  <c r="C1004" i="41" s="1"/>
  <c r="C1005" i="41" s="1"/>
  <c r="C1006" i="41" s="1"/>
  <c r="C1007" i="41" s="1"/>
  <c r="C1008" i="41" s="1"/>
  <c r="C1009" i="41" s="1"/>
  <c r="C1010" i="41" s="1"/>
  <c r="C1011" i="41" s="1"/>
  <c r="C1012" i="41" s="1"/>
  <c r="C1013" i="41" s="1"/>
  <c r="C1014" i="41" s="1"/>
  <c r="C1015" i="41" s="1"/>
  <c r="C1016" i="41" s="1"/>
  <c r="C1017" i="41" s="1"/>
  <c r="C1018" i="41" s="1"/>
  <c r="C1019" i="41" s="1"/>
  <c r="C1020" i="41" s="1"/>
  <c r="C1021" i="41" s="1"/>
  <c r="C1022" i="41" s="1"/>
  <c r="C1023" i="41" s="1"/>
  <c r="C1024" i="41" s="1"/>
  <c r="C1025" i="41" s="1"/>
  <c r="C1026" i="41" s="1"/>
  <c r="C1027" i="41" s="1"/>
  <c r="C1028" i="41" s="1"/>
  <c r="C1029" i="41" s="1"/>
  <c r="C1030" i="41" s="1"/>
  <c r="C1031" i="41" s="1"/>
  <c r="C1032" i="41" s="1"/>
  <c r="C1033" i="41" s="1"/>
  <c r="C1034" i="41" s="1"/>
  <c r="C1035" i="41" s="1"/>
  <c r="C1036" i="41" s="1"/>
  <c r="C1037" i="41" s="1"/>
  <c r="C1038" i="41" s="1"/>
  <c r="C1039" i="41" s="1"/>
  <c r="C1040" i="41" s="1"/>
  <c r="C1041" i="41" s="1"/>
  <c r="C1042" i="41" s="1"/>
  <c r="C1043" i="41" s="1"/>
  <c r="C1044" i="41" s="1"/>
  <c r="C1045" i="41" s="1"/>
  <c r="C1046" i="41" s="1"/>
  <c r="C1047" i="41" s="1"/>
  <c r="C1048" i="41" s="1"/>
  <c r="C1049" i="41" s="1"/>
  <c r="C1050" i="41" s="1"/>
  <c r="C1051" i="41" s="1"/>
  <c r="C1052" i="41" s="1"/>
  <c r="C1053" i="41" s="1"/>
  <c r="C1054" i="41" s="1"/>
  <c r="C1055" i="41" s="1"/>
  <c r="C1056" i="41" s="1"/>
  <c r="D767" i="41"/>
  <c r="D768" i="41" s="1"/>
  <c r="D771" i="41" s="1"/>
  <c r="D772" i="41" s="1"/>
  <c r="D773" i="41" s="1"/>
  <c r="D774" i="41" s="1"/>
  <c r="D775" i="41" s="1"/>
  <c r="D776" i="41" s="1"/>
  <c r="D777" i="41" s="1"/>
  <c r="D778" i="41" s="1"/>
  <c r="D779" i="41" s="1"/>
  <c r="D780" i="41" s="1"/>
  <c r="D781" i="41" s="1"/>
  <c r="D782" i="41" s="1"/>
  <c r="D783" i="41" s="1"/>
  <c r="D784" i="41" s="1"/>
  <c r="D785" i="41" s="1"/>
  <c r="D786" i="41" s="1"/>
  <c r="D787" i="41" s="1"/>
  <c r="D788" i="41" s="1"/>
  <c r="D789" i="41" s="1"/>
  <c r="D790" i="41" s="1"/>
  <c r="D791" i="41" s="1"/>
  <c r="D792" i="41" s="1"/>
  <c r="D793" i="41" s="1"/>
  <c r="D794" i="41" s="1"/>
  <c r="D795" i="41" s="1"/>
  <c r="D796" i="41" s="1"/>
  <c r="D797" i="41" s="1"/>
  <c r="D798" i="41" s="1"/>
  <c r="D799" i="41" s="1"/>
  <c r="D800" i="41" s="1"/>
  <c r="D801" i="41" s="1"/>
  <c r="D802" i="41" s="1"/>
  <c r="D803" i="41" s="1"/>
  <c r="D804" i="41" s="1"/>
  <c r="D805" i="41" s="1"/>
  <c r="D806" i="41" s="1"/>
  <c r="D807" i="41" s="1"/>
  <c r="D808" i="41" s="1"/>
  <c r="D809" i="41" s="1"/>
  <c r="D810" i="41" s="1"/>
  <c r="D811" i="41" s="1"/>
  <c r="D812" i="41" s="1"/>
  <c r="D813" i="41" s="1"/>
  <c r="D814" i="41" s="1"/>
  <c r="D815" i="41" s="1"/>
  <c r="D816" i="41" s="1"/>
  <c r="D817" i="41" s="1"/>
  <c r="D818" i="41" s="1"/>
  <c r="D819" i="41" s="1"/>
  <c r="D820" i="41" s="1"/>
  <c r="D821" i="41" s="1"/>
  <c r="D822" i="41" s="1"/>
  <c r="D823" i="41" s="1"/>
  <c r="D824" i="41" s="1"/>
  <c r="D825" i="41" s="1"/>
  <c r="D826" i="41" s="1"/>
  <c r="D827" i="41" s="1"/>
  <c r="D828" i="41" s="1"/>
  <c r="D829" i="41" s="1"/>
  <c r="D830" i="41" s="1"/>
  <c r="D831" i="41" s="1"/>
  <c r="D832" i="41" s="1"/>
  <c r="D833" i="41" s="1"/>
  <c r="D834" i="41" s="1"/>
  <c r="D835" i="41" s="1"/>
  <c r="D836" i="41" s="1"/>
  <c r="D837" i="41" s="1"/>
  <c r="D838" i="41" s="1"/>
  <c r="D839" i="41" s="1"/>
  <c r="D840" i="41" s="1"/>
  <c r="D841" i="41" s="1"/>
  <c r="D842" i="41" s="1"/>
  <c r="D843" i="41" s="1"/>
  <c r="D844" i="41" s="1"/>
  <c r="D845" i="41" s="1"/>
  <c r="D846" i="41" s="1"/>
  <c r="C767" i="41"/>
  <c r="C768" i="41" s="1"/>
  <c r="C771" i="41" s="1"/>
  <c r="C772" i="41" s="1"/>
  <c r="C773" i="41" s="1"/>
  <c r="C774" i="41" s="1"/>
  <c r="C775" i="41" s="1"/>
  <c r="C776" i="41" s="1"/>
  <c r="C777" i="41" s="1"/>
  <c r="C778" i="41" s="1"/>
  <c r="C779" i="41" s="1"/>
  <c r="C780" i="41" s="1"/>
  <c r="C781" i="41" s="1"/>
  <c r="C782" i="41" s="1"/>
  <c r="C783" i="41" s="1"/>
  <c r="C784" i="41" s="1"/>
  <c r="C785" i="41" s="1"/>
  <c r="C786" i="41" s="1"/>
  <c r="C787" i="41" s="1"/>
  <c r="C788" i="41" s="1"/>
  <c r="C789" i="41" s="1"/>
  <c r="C790" i="41" s="1"/>
  <c r="C791" i="41" s="1"/>
  <c r="C792" i="41" s="1"/>
  <c r="C793" i="41" s="1"/>
  <c r="C794" i="41" s="1"/>
  <c r="C795" i="41" s="1"/>
  <c r="C796" i="41" s="1"/>
  <c r="C797" i="41" s="1"/>
  <c r="C798" i="41" s="1"/>
  <c r="C799" i="41" s="1"/>
  <c r="C800" i="41" s="1"/>
  <c r="C801" i="41" s="1"/>
  <c r="C802" i="41" s="1"/>
  <c r="C803" i="41" s="1"/>
  <c r="C804" i="41" s="1"/>
  <c r="C805" i="41" s="1"/>
  <c r="C806" i="41" s="1"/>
  <c r="C807" i="41" s="1"/>
  <c r="C808" i="41" s="1"/>
  <c r="C809" i="41" s="1"/>
  <c r="C810" i="41" s="1"/>
  <c r="C811" i="41" s="1"/>
  <c r="C812" i="41" s="1"/>
  <c r="C813" i="41" s="1"/>
  <c r="C814" i="41" s="1"/>
  <c r="C815" i="41" s="1"/>
  <c r="C816" i="41" s="1"/>
  <c r="C817" i="41" s="1"/>
  <c r="C818" i="41" s="1"/>
  <c r="C819" i="41" s="1"/>
  <c r="C820" i="41" s="1"/>
  <c r="C821" i="41" s="1"/>
  <c r="C822" i="41" s="1"/>
  <c r="C823" i="41" s="1"/>
  <c r="C824" i="41" s="1"/>
  <c r="C825" i="41" s="1"/>
  <c r="C826" i="41" s="1"/>
  <c r="C827" i="41" s="1"/>
  <c r="C828" i="41" s="1"/>
  <c r="C829" i="41" s="1"/>
  <c r="C830" i="41" s="1"/>
  <c r="C831" i="41" s="1"/>
  <c r="C832" i="41" s="1"/>
  <c r="C833" i="41" s="1"/>
  <c r="C834" i="41" s="1"/>
  <c r="C835" i="41" s="1"/>
  <c r="C836" i="41" s="1"/>
  <c r="C837" i="41" s="1"/>
  <c r="C838" i="41" s="1"/>
  <c r="C839" i="41" s="1"/>
  <c r="C840" i="41" s="1"/>
  <c r="C841" i="41" s="1"/>
  <c r="C842" i="41" s="1"/>
  <c r="C843" i="41" s="1"/>
  <c r="C844" i="41" s="1"/>
  <c r="C845" i="41" s="1"/>
  <c r="C846" i="41" s="1"/>
  <c r="D557" i="41"/>
  <c r="D558" i="41" s="1"/>
  <c r="D561" i="41" s="1"/>
  <c r="D562" i="41" s="1"/>
  <c r="D563" i="41" s="1"/>
  <c r="D564" i="41" s="1"/>
  <c r="D565" i="41" s="1"/>
  <c r="D566" i="41" s="1"/>
  <c r="D567" i="41" s="1"/>
  <c r="D568" i="41" s="1"/>
  <c r="D569" i="41" s="1"/>
  <c r="D570" i="41" s="1"/>
  <c r="D571" i="41" s="1"/>
  <c r="D572" i="41" s="1"/>
  <c r="D573" i="41" s="1"/>
  <c r="D574" i="41" s="1"/>
  <c r="D575" i="41" s="1"/>
  <c r="D576" i="41" s="1"/>
  <c r="D577" i="41" s="1"/>
  <c r="D578" i="41" s="1"/>
  <c r="D579" i="41" s="1"/>
  <c r="D580" i="41" s="1"/>
  <c r="D581" i="41" s="1"/>
  <c r="D582" i="41" s="1"/>
  <c r="D583" i="41" s="1"/>
  <c r="D584" i="41" s="1"/>
  <c r="D585" i="41" s="1"/>
  <c r="D586" i="41" s="1"/>
  <c r="D587" i="41" s="1"/>
  <c r="D588" i="41" s="1"/>
  <c r="D589" i="41" s="1"/>
  <c r="D590" i="41" s="1"/>
  <c r="D591" i="41" s="1"/>
  <c r="D592" i="41" s="1"/>
  <c r="D593" i="41" s="1"/>
  <c r="D594" i="41" s="1"/>
  <c r="D595" i="41" s="1"/>
  <c r="D596" i="41" s="1"/>
  <c r="D597" i="41" s="1"/>
  <c r="D598" i="41" s="1"/>
  <c r="D599" i="41" s="1"/>
  <c r="D600" i="41" s="1"/>
  <c r="D601" i="41" s="1"/>
  <c r="D602" i="41" s="1"/>
  <c r="D603" i="41" s="1"/>
  <c r="D604" i="41" s="1"/>
  <c r="D605" i="41" s="1"/>
  <c r="D606" i="41" s="1"/>
  <c r="D607" i="41" s="1"/>
  <c r="D608" i="41" s="1"/>
  <c r="D609" i="41" s="1"/>
  <c r="D610" i="41" s="1"/>
  <c r="D611" i="41" s="1"/>
  <c r="D612" i="41" s="1"/>
  <c r="D613" i="41" s="1"/>
  <c r="D614" i="41" s="1"/>
  <c r="D615" i="41" s="1"/>
  <c r="D616" i="41" s="1"/>
  <c r="D617" i="41" s="1"/>
  <c r="D618" i="41" s="1"/>
  <c r="D619" i="41" s="1"/>
  <c r="D620" i="41" s="1"/>
  <c r="D621" i="41" s="1"/>
  <c r="D622" i="41" s="1"/>
  <c r="D623" i="41" s="1"/>
  <c r="D624" i="41" s="1"/>
  <c r="D625" i="41" s="1"/>
  <c r="D626" i="41" s="1"/>
  <c r="D627" i="41" s="1"/>
  <c r="D628" i="41" s="1"/>
  <c r="D629" i="41" s="1"/>
  <c r="D630" i="41" s="1"/>
  <c r="D631" i="41" s="1"/>
  <c r="D632" i="41" s="1"/>
  <c r="D633" i="41" s="1"/>
  <c r="D634" i="41" s="1"/>
  <c r="D635" i="41" s="1"/>
  <c r="D636" i="41" s="1"/>
  <c r="C557" i="41"/>
  <c r="C558" i="41" s="1"/>
  <c r="C561" i="41" s="1"/>
  <c r="C562" i="41" s="1"/>
  <c r="C563" i="41" s="1"/>
  <c r="C564" i="41" s="1"/>
  <c r="C565" i="41" s="1"/>
  <c r="C566" i="41" s="1"/>
  <c r="C567" i="41" s="1"/>
  <c r="C568" i="41" s="1"/>
  <c r="C569" i="41" s="1"/>
  <c r="C570" i="41" s="1"/>
  <c r="C571" i="41" s="1"/>
  <c r="C572" i="41" s="1"/>
  <c r="C573" i="41" s="1"/>
  <c r="C574" i="41" s="1"/>
  <c r="C575" i="41" s="1"/>
  <c r="C576" i="41" s="1"/>
  <c r="C577" i="41" s="1"/>
  <c r="C578" i="41" s="1"/>
  <c r="C579" i="41" s="1"/>
  <c r="C580" i="41" s="1"/>
  <c r="C581" i="41" s="1"/>
  <c r="C582" i="41" s="1"/>
  <c r="C583" i="41" s="1"/>
  <c r="C584" i="41" s="1"/>
  <c r="C585" i="41" s="1"/>
  <c r="C586" i="41" s="1"/>
  <c r="C587" i="41" s="1"/>
  <c r="C588" i="41" s="1"/>
  <c r="C589" i="41" s="1"/>
  <c r="C590" i="41" s="1"/>
  <c r="C591" i="41" s="1"/>
  <c r="C592" i="41" s="1"/>
  <c r="C593" i="41" s="1"/>
  <c r="C594" i="41" s="1"/>
  <c r="C595" i="41" s="1"/>
  <c r="C596" i="41" s="1"/>
  <c r="C597" i="41" s="1"/>
  <c r="C598" i="41" s="1"/>
  <c r="C599" i="41" s="1"/>
  <c r="C600" i="41" s="1"/>
  <c r="C601" i="41" s="1"/>
  <c r="C602" i="41" s="1"/>
  <c r="C603" i="41" s="1"/>
  <c r="C604" i="41" s="1"/>
  <c r="C605" i="41" s="1"/>
  <c r="C606" i="41" s="1"/>
  <c r="C607" i="41" s="1"/>
  <c r="C608" i="41" s="1"/>
  <c r="C609" i="41" s="1"/>
  <c r="C610" i="41" s="1"/>
  <c r="C611" i="41" s="1"/>
  <c r="C612" i="41" s="1"/>
  <c r="C613" i="41" s="1"/>
  <c r="C614" i="41" s="1"/>
  <c r="C615" i="41" s="1"/>
  <c r="C616" i="41" s="1"/>
  <c r="C617" i="41" s="1"/>
  <c r="C618" i="41" s="1"/>
  <c r="C619" i="41" s="1"/>
  <c r="C620" i="41" s="1"/>
  <c r="C621" i="41" s="1"/>
  <c r="C622" i="41" s="1"/>
  <c r="C623" i="41" s="1"/>
  <c r="C624" i="41" s="1"/>
  <c r="C625" i="41" s="1"/>
  <c r="C626" i="41" s="1"/>
  <c r="C627" i="41" s="1"/>
  <c r="C628" i="41" s="1"/>
  <c r="C629" i="41" s="1"/>
  <c r="C630" i="41" s="1"/>
  <c r="C631" i="41" s="1"/>
  <c r="C632" i="41" s="1"/>
  <c r="C633" i="41" s="1"/>
  <c r="C634" i="41" s="1"/>
  <c r="C635" i="41" s="1"/>
  <c r="C636" i="41" s="1"/>
  <c r="D347" i="41"/>
  <c r="D348" i="41" s="1"/>
  <c r="D351" i="41" s="1"/>
  <c r="D352" i="41" s="1"/>
  <c r="D353" i="41" s="1"/>
  <c r="D354" i="41" s="1"/>
  <c r="D355" i="41" s="1"/>
  <c r="D356" i="41" s="1"/>
  <c r="D357" i="41" s="1"/>
  <c r="D358" i="41" s="1"/>
  <c r="D359" i="41" s="1"/>
  <c r="D360" i="41" s="1"/>
  <c r="D361" i="41" s="1"/>
  <c r="D362" i="41" s="1"/>
  <c r="D363" i="41" s="1"/>
  <c r="D364" i="41" s="1"/>
  <c r="D365" i="41" s="1"/>
  <c r="D366" i="41" s="1"/>
  <c r="D367" i="41" s="1"/>
  <c r="D368" i="41" s="1"/>
  <c r="D369" i="41" s="1"/>
  <c r="D370" i="41" s="1"/>
  <c r="D371" i="41" s="1"/>
  <c r="D372" i="41" s="1"/>
  <c r="D373" i="41" s="1"/>
  <c r="D374" i="41" s="1"/>
  <c r="D375" i="41" s="1"/>
  <c r="D376" i="41" s="1"/>
  <c r="D377" i="41" s="1"/>
  <c r="D378" i="41" s="1"/>
  <c r="D379" i="41" s="1"/>
  <c r="D380" i="41" s="1"/>
  <c r="D381" i="41" s="1"/>
  <c r="D382" i="41" s="1"/>
  <c r="D383" i="41" s="1"/>
  <c r="D384" i="41" s="1"/>
  <c r="D385" i="41" s="1"/>
  <c r="D386" i="41" s="1"/>
  <c r="D387" i="41" s="1"/>
  <c r="D388" i="41" s="1"/>
  <c r="D389" i="41" s="1"/>
  <c r="D390" i="41" s="1"/>
  <c r="D391" i="41" s="1"/>
  <c r="D392" i="41" s="1"/>
  <c r="D393" i="41" s="1"/>
  <c r="D394" i="41" s="1"/>
  <c r="D395" i="41" s="1"/>
  <c r="D396" i="41" s="1"/>
  <c r="D397" i="41" s="1"/>
  <c r="D398" i="41" s="1"/>
  <c r="D399" i="41" s="1"/>
  <c r="D400" i="41" s="1"/>
  <c r="D401" i="41" s="1"/>
  <c r="D402" i="41" s="1"/>
  <c r="D403" i="41" s="1"/>
  <c r="D404" i="41" s="1"/>
  <c r="D405" i="41" s="1"/>
  <c r="D406" i="41" s="1"/>
  <c r="D407" i="41" s="1"/>
  <c r="D408" i="41" s="1"/>
  <c r="D409" i="41" s="1"/>
  <c r="D410" i="41" s="1"/>
  <c r="D411" i="41" s="1"/>
  <c r="D412" i="41" s="1"/>
  <c r="D413" i="41" s="1"/>
  <c r="D414" i="41" s="1"/>
  <c r="D415" i="41" s="1"/>
  <c r="D416" i="41" s="1"/>
  <c r="D417" i="41" s="1"/>
  <c r="D418" i="41" s="1"/>
  <c r="D419" i="41" s="1"/>
  <c r="D420" i="41" s="1"/>
  <c r="D421" i="41" s="1"/>
  <c r="D422" i="41" s="1"/>
  <c r="D423" i="41" s="1"/>
  <c r="D424" i="41" s="1"/>
  <c r="D425" i="41" s="1"/>
  <c r="D426" i="41" s="1"/>
  <c r="C347" i="41"/>
  <c r="C348" i="41" s="1"/>
  <c r="C351" i="41" s="1"/>
  <c r="C352" i="41" s="1"/>
  <c r="C353" i="41" s="1"/>
  <c r="C354" i="41" s="1"/>
  <c r="C355" i="41" s="1"/>
  <c r="C356" i="41" s="1"/>
  <c r="C357" i="41" s="1"/>
  <c r="C358" i="41" s="1"/>
  <c r="C359" i="41" s="1"/>
  <c r="C360" i="41" s="1"/>
  <c r="C361" i="41" s="1"/>
  <c r="C362" i="41" s="1"/>
  <c r="C363" i="41" s="1"/>
  <c r="C364" i="41" s="1"/>
  <c r="C365" i="41" s="1"/>
  <c r="C366" i="41" s="1"/>
  <c r="C367" i="41" s="1"/>
  <c r="C368" i="41" s="1"/>
  <c r="C369" i="41" s="1"/>
  <c r="C370" i="41" s="1"/>
  <c r="C371" i="41" s="1"/>
  <c r="C372" i="41" s="1"/>
  <c r="C373" i="41" s="1"/>
  <c r="C374" i="41" s="1"/>
  <c r="C375" i="41" s="1"/>
  <c r="C376" i="41" s="1"/>
  <c r="C377" i="41" s="1"/>
  <c r="C378" i="41" s="1"/>
  <c r="C379" i="41" s="1"/>
  <c r="C380" i="41" s="1"/>
  <c r="C381" i="41" s="1"/>
  <c r="C382" i="41" s="1"/>
  <c r="C383" i="41" s="1"/>
  <c r="C384" i="41" s="1"/>
  <c r="C385" i="41" s="1"/>
  <c r="C386" i="41" s="1"/>
  <c r="C387" i="41" s="1"/>
  <c r="C388" i="41" s="1"/>
  <c r="C389" i="41" s="1"/>
  <c r="C390" i="41" s="1"/>
  <c r="C391" i="41" s="1"/>
  <c r="C392" i="41" s="1"/>
  <c r="C393" i="41" s="1"/>
  <c r="C394" i="41" s="1"/>
  <c r="C395" i="41" s="1"/>
  <c r="C396" i="41" s="1"/>
  <c r="C397" i="41" s="1"/>
  <c r="C398" i="41" s="1"/>
  <c r="C399" i="41" s="1"/>
  <c r="C400" i="41" s="1"/>
  <c r="C401" i="41" s="1"/>
  <c r="C402" i="41" s="1"/>
  <c r="C403" i="41" s="1"/>
  <c r="C404" i="41" s="1"/>
  <c r="C405" i="41" s="1"/>
  <c r="C406" i="41" s="1"/>
  <c r="C407" i="41" s="1"/>
  <c r="C408" i="41" s="1"/>
  <c r="C409" i="41" s="1"/>
  <c r="C410" i="41" s="1"/>
  <c r="C411" i="41" s="1"/>
  <c r="C412" i="41" s="1"/>
  <c r="C413" i="41" s="1"/>
  <c r="C414" i="41" s="1"/>
  <c r="C415" i="41" s="1"/>
  <c r="C416" i="41" s="1"/>
  <c r="C417" i="41" s="1"/>
  <c r="C418" i="41" s="1"/>
  <c r="C419" i="41" s="1"/>
  <c r="C420" i="41" s="1"/>
  <c r="C421" i="41" s="1"/>
  <c r="C422" i="41" s="1"/>
  <c r="C423" i="41" s="1"/>
  <c r="C424" i="41" s="1"/>
  <c r="C425" i="41" s="1"/>
  <c r="C426" i="41" s="1"/>
  <c r="G240" i="41"/>
  <c r="G241" i="41"/>
  <c r="G242" i="41"/>
  <c r="G243" i="41"/>
  <c r="G244" i="41"/>
  <c r="G245" i="41"/>
  <c r="G246" i="41"/>
  <c r="G247" i="41"/>
  <c r="G248" i="41"/>
  <c r="G249" i="41"/>
  <c r="G250" i="41"/>
  <c r="G251" i="41"/>
  <c r="G253" i="41"/>
  <c r="G254" i="41"/>
  <c r="F255" i="41"/>
  <c r="G256" i="41"/>
  <c r="G267" i="41"/>
  <c r="D137" i="41"/>
  <c r="D138" i="41" s="1"/>
  <c r="D141" i="41" s="1"/>
  <c r="D142" i="41" s="1"/>
  <c r="D143" i="41" s="1"/>
  <c r="D144" i="41" s="1"/>
  <c r="D145" i="41" s="1"/>
  <c r="D146" i="41" s="1"/>
  <c r="D147" i="41" s="1"/>
  <c r="D148" i="41" s="1"/>
  <c r="D149" i="41" s="1"/>
  <c r="D150" i="41" s="1"/>
  <c r="D151" i="41" s="1"/>
  <c r="D152" i="41" s="1"/>
  <c r="D153" i="41" s="1"/>
  <c r="D154" i="41" s="1"/>
  <c r="D155" i="41" s="1"/>
  <c r="D156" i="41" s="1"/>
  <c r="D157" i="41" s="1"/>
  <c r="D158" i="41" s="1"/>
  <c r="D159" i="41" s="1"/>
  <c r="D160" i="41" s="1"/>
  <c r="D161" i="41" s="1"/>
  <c r="D162" i="41" s="1"/>
  <c r="D163" i="41" s="1"/>
  <c r="D164" i="41" s="1"/>
  <c r="D165" i="41" s="1"/>
  <c r="D166" i="41" s="1"/>
  <c r="D167" i="41" s="1"/>
  <c r="D168" i="41" s="1"/>
  <c r="D169" i="41" s="1"/>
  <c r="D170" i="41" s="1"/>
  <c r="D171" i="41" s="1"/>
  <c r="D172" i="41" s="1"/>
  <c r="D173" i="41" s="1"/>
  <c r="D174" i="41" s="1"/>
  <c r="D175" i="41" s="1"/>
  <c r="D176" i="41" s="1"/>
  <c r="D177" i="41" s="1"/>
  <c r="D178" i="41" s="1"/>
  <c r="D179" i="41" s="1"/>
  <c r="D180" i="41" s="1"/>
  <c r="D181" i="41" s="1"/>
  <c r="D182" i="41" s="1"/>
  <c r="D183" i="41" s="1"/>
  <c r="D184" i="41" s="1"/>
  <c r="D185" i="41" s="1"/>
  <c r="D186" i="41" s="1"/>
  <c r="D187" i="41" s="1"/>
  <c r="D188" i="41" s="1"/>
  <c r="D189" i="41" s="1"/>
  <c r="D190" i="41" s="1"/>
  <c r="D191" i="41" s="1"/>
  <c r="D192" i="41" s="1"/>
  <c r="D193" i="41" s="1"/>
  <c r="D194" i="41" s="1"/>
  <c r="D195" i="41" s="1"/>
  <c r="D196" i="41" s="1"/>
  <c r="D197" i="41" s="1"/>
  <c r="D198" i="41" s="1"/>
  <c r="D199" i="41" s="1"/>
  <c r="D200" i="41" s="1"/>
  <c r="D201" i="41" s="1"/>
  <c r="D202" i="41" s="1"/>
  <c r="D203" i="41" s="1"/>
  <c r="D204" i="41" s="1"/>
  <c r="D205" i="41" s="1"/>
  <c r="D206" i="41" s="1"/>
  <c r="D207" i="41" s="1"/>
  <c r="D208" i="41" s="1"/>
  <c r="D209" i="41" s="1"/>
  <c r="D210" i="41" s="1"/>
  <c r="D211" i="41" s="1"/>
  <c r="D212" i="41" s="1"/>
  <c r="D213" i="41" s="1"/>
  <c r="D214" i="41" s="1"/>
  <c r="D215" i="41" s="1"/>
  <c r="D216" i="41" s="1"/>
  <c r="C137" i="41"/>
  <c r="C138" i="41" s="1"/>
  <c r="C141" i="41" s="1"/>
  <c r="C142" i="41" s="1"/>
  <c r="C143" i="41" s="1"/>
  <c r="C144" i="41" s="1"/>
  <c r="C145" i="41" s="1"/>
  <c r="C146" i="41" s="1"/>
  <c r="C147" i="41" s="1"/>
  <c r="C148" i="41" s="1"/>
  <c r="C149" i="41" s="1"/>
  <c r="C150" i="41" s="1"/>
  <c r="C151" i="41" s="1"/>
  <c r="C152" i="41" s="1"/>
  <c r="C153" i="41" s="1"/>
  <c r="C154" i="41" s="1"/>
  <c r="C155" i="41" s="1"/>
  <c r="C156" i="41" s="1"/>
  <c r="C157" i="41" s="1"/>
  <c r="C158" i="41" s="1"/>
  <c r="C159" i="41" s="1"/>
  <c r="C160" i="41" s="1"/>
  <c r="C161" i="41" s="1"/>
  <c r="C162" i="41" s="1"/>
  <c r="C163" i="41" s="1"/>
  <c r="C164" i="41" s="1"/>
  <c r="C165" i="41" s="1"/>
  <c r="C166" i="41" s="1"/>
  <c r="C167" i="41" s="1"/>
  <c r="C168" i="41" s="1"/>
  <c r="C169" i="41" s="1"/>
  <c r="C170" i="41" s="1"/>
  <c r="C171" i="41" s="1"/>
  <c r="C172" i="41" s="1"/>
  <c r="C173" i="41" s="1"/>
  <c r="C174" i="41" s="1"/>
  <c r="C175" i="41" s="1"/>
  <c r="C176" i="41" s="1"/>
  <c r="C177" i="41" s="1"/>
  <c r="C178" i="41" s="1"/>
  <c r="C179" i="41" s="1"/>
  <c r="C180" i="41" s="1"/>
  <c r="C181" i="41" s="1"/>
  <c r="C182" i="41" s="1"/>
  <c r="C183" i="41" s="1"/>
  <c r="C184" i="41" s="1"/>
  <c r="C185" i="41" s="1"/>
  <c r="C186" i="41" s="1"/>
  <c r="C187" i="41" s="1"/>
  <c r="C188" i="41" s="1"/>
  <c r="C189" i="41" s="1"/>
  <c r="C190" i="41" s="1"/>
  <c r="C191" i="41" s="1"/>
  <c r="C192" i="41" s="1"/>
  <c r="C193" i="41" s="1"/>
  <c r="C194" i="41" s="1"/>
  <c r="C195" i="41" s="1"/>
  <c r="C196" i="41" s="1"/>
  <c r="C197" i="41" s="1"/>
  <c r="C198" i="41" s="1"/>
  <c r="C199" i="41" s="1"/>
  <c r="C200" i="41" s="1"/>
  <c r="C201" i="41" s="1"/>
  <c r="C202" i="41" s="1"/>
  <c r="C203" i="41" s="1"/>
  <c r="C204" i="41" s="1"/>
  <c r="C205" i="41" s="1"/>
  <c r="C206" i="41" s="1"/>
  <c r="C207" i="41" s="1"/>
  <c r="C208" i="41" s="1"/>
  <c r="C209" i="41" s="1"/>
  <c r="C210" i="41" s="1"/>
  <c r="C211" i="41" s="1"/>
  <c r="C212" i="41" s="1"/>
  <c r="C213" i="41" s="1"/>
  <c r="C214" i="41" s="1"/>
  <c r="C215" i="41" s="1"/>
  <c r="C216" i="41" s="1"/>
  <c r="C1399" i="41" l="1"/>
  <c r="C1400" i="41" s="1"/>
  <c r="D1399" i="41"/>
  <c r="D1400" i="41" s="1"/>
  <c r="C979" i="41"/>
  <c r="C980" i="41" s="1"/>
  <c r="D979" i="41"/>
  <c r="D980" i="41" s="1"/>
  <c r="C769" i="41"/>
  <c r="C770" i="41" s="1"/>
  <c r="D769" i="41"/>
  <c r="D770" i="41" s="1"/>
  <c r="C559" i="41"/>
  <c r="C560" i="41" s="1"/>
  <c r="D559" i="41"/>
  <c r="D560" i="41" s="1"/>
  <c r="C349" i="41"/>
  <c r="C350" i="41" s="1"/>
  <c r="D349" i="41"/>
  <c r="D350" i="41" s="1"/>
  <c r="C139" i="41"/>
  <c r="C140" i="41" s="1"/>
  <c r="D139" i="41"/>
  <c r="D140" i="41" s="1"/>
  <c r="N53" i="46" l="1"/>
  <c r="N54" i="46" s="1"/>
  <c r="N56" i="46" s="1"/>
  <c r="M53" i="46"/>
  <c r="M54" i="46" s="1"/>
  <c r="M56" i="46" s="1"/>
  <c r="L53" i="46"/>
  <c r="L54" i="46" s="1"/>
  <c r="L56" i="46" s="1"/>
  <c r="K53" i="46"/>
  <c r="K54" i="46" s="1"/>
  <c r="K56" i="46" s="1"/>
  <c r="J53" i="46"/>
  <c r="J54" i="46" s="1"/>
  <c r="J56" i="46" s="1"/>
  <c r="I53" i="46"/>
  <c r="I54" i="46" s="1"/>
  <c r="I56" i="46" s="1"/>
  <c r="O56" i="46" s="1"/>
  <c r="G53" i="46"/>
  <c r="G54" i="46" s="1"/>
  <c r="G56" i="46" s="1"/>
  <c r="F53" i="46"/>
  <c r="F54" i="46" s="1"/>
  <c r="F56" i="46" s="1"/>
  <c r="E53" i="46"/>
  <c r="E54" i="46" s="1"/>
  <c r="E56" i="46" s="1"/>
  <c r="D53" i="46"/>
  <c r="D54" i="46" s="1"/>
  <c r="D56" i="46" s="1"/>
  <c r="C53" i="46"/>
  <c r="C54" i="46" s="1"/>
  <c r="C56" i="46" s="1"/>
  <c r="B53" i="46"/>
  <c r="B54" i="46" s="1"/>
  <c r="B56" i="46" s="1"/>
  <c r="H56" i="46" s="1"/>
  <c r="N48" i="46"/>
  <c r="M48" i="46"/>
  <c r="L48" i="46"/>
  <c r="K48" i="46"/>
  <c r="J48" i="46"/>
  <c r="I48" i="46"/>
  <c r="G48" i="46"/>
  <c r="F48" i="46"/>
  <c r="E48" i="46"/>
  <c r="D48" i="46"/>
  <c r="C48" i="46"/>
  <c r="S31" i="51" l="1"/>
  <c r="P29" i="51"/>
  <c r="G1056" i="41" s="1"/>
  <c r="O29" i="51"/>
  <c r="N29" i="51"/>
  <c r="G1054" i="41" s="1"/>
  <c r="M29" i="51"/>
  <c r="L29" i="51"/>
  <c r="G1052" i="41" s="1"/>
  <c r="K29" i="51"/>
  <c r="J29" i="51"/>
  <c r="G1050" i="41" s="1"/>
  <c r="I29" i="51"/>
  <c r="H29" i="51"/>
  <c r="G1048" i="41" s="1"/>
  <c r="G29" i="51"/>
  <c r="F29" i="51"/>
  <c r="G1046" i="41" s="1"/>
  <c r="E29" i="51"/>
  <c r="D29" i="51"/>
  <c r="G1044" i="41" s="1"/>
  <c r="C29" i="51"/>
  <c r="B29" i="51"/>
  <c r="G1042" i="41" s="1"/>
  <c r="A29" i="51"/>
  <c r="P16" i="51"/>
  <c r="N16" i="51"/>
  <c r="L16" i="51"/>
  <c r="J16" i="51"/>
  <c r="H16" i="51"/>
  <c r="F16" i="51"/>
  <c r="D16" i="51"/>
  <c r="B16" i="51"/>
  <c r="X5" i="51" a="1"/>
  <c r="X972" i="51" s="1"/>
  <c r="X4" i="51"/>
  <c r="S31" i="50"/>
  <c r="P29" i="50"/>
  <c r="G846" i="41" s="1"/>
  <c r="O29" i="50"/>
  <c r="N29" i="50"/>
  <c r="G844" i="41" s="1"/>
  <c r="M29" i="50"/>
  <c r="L29" i="50"/>
  <c r="G842" i="41" s="1"/>
  <c r="K29" i="50"/>
  <c r="J29" i="50"/>
  <c r="G840" i="41" s="1"/>
  <c r="I29" i="50"/>
  <c r="H29" i="50"/>
  <c r="G838" i="41" s="1"/>
  <c r="G29" i="50"/>
  <c r="F29" i="50"/>
  <c r="G836" i="41" s="1"/>
  <c r="E29" i="50"/>
  <c r="D29" i="50"/>
  <c r="G834" i="41" s="1"/>
  <c r="C29" i="50"/>
  <c r="B29" i="50"/>
  <c r="G832" i="41" s="1"/>
  <c r="A29" i="50"/>
  <c r="P16" i="50"/>
  <c r="N16" i="50"/>
  <c r="L16" i="50"/>
  <c r="J16" i="50"/>
  <c r="H16" i="50"/>
  <c r="F16" i="50"/>
  <c r="D16" i="50"/>
  <c r="B16" i="50"/>
  <c r="X5" i="50" a="1"/>
  <c r="X4" i="50"/>
  <c r="S31" i="49"/>
  <c r="P29" i="49"/>
  <c r="G636" i="41" s="1"/>
  <c r="O29" i="49"/>
  <c r="N29" i="49"/>
  <c r="G634" i="41" s="1"/>
  <c r="M29" i="49"/>
  <c r="L29" i="49"/>
  <c r="G632" i="41" s="1"/>
  <c r="K29" i="49"/>
  <c r="J29" i="49"/>
  <c r="G630" i="41" s="1"/>
  <c r="I29" i="49"/>
  <c r="H29" i="49"/>
  <c r="G628" i="41" s="1"/>
  <c r="G29" i="49"/>
  <c r="F29" i="49"/>
  <c r="G626" i="41" s="1"/>
  <c r="E29" i="49"/>
  <c r="D29" i="49"/>
  <c r="G624" i="41" s="1"/>
  <c r="C29" i="49"/>
  <c r="B29" i="49"/>
  <c r="G622" i="41" s="1"/>
  <c r="A29" i="49"/>
  <c r="P16" i="49"/>
  <c r="N16" i="49"/>
  <c r="L16" i="49"/>
  <c r="J16" i="49"/>
  <c r="H16" i="49"/>
  <c r="F16" i="49"/>
  <c r="D16" i="49"/>
  <c r="B16" i="49"/>
  <c r="X5" i="49" a="1"/>
  <c r="Y752" i="49" s="1"/>
  <c r="X4" i="49"/>
  <c r="L5" i="51"/>
  <c r="F5" i="49"/>
  <c r="J5" i="49"/>
  <c r="N5" i="51"/>
  <c r="P5" i="49"/>
  <c r="N5" i="50"/>
  <c r="L5" i="49"/>
  <c r="P5" i="50"/>
  <c r="D5" i="50"/>
  <c r="B5" i="50"/>
  <c r="F5" i="51"/>
  <c r="P5" i="51"/>
  <c r="H5" i="49"/>
  <c r="F5" i="50"/>
  <c r="D5" i="49"/>
  <c r="J5" i="50"/>
  <c r="B5" i="49"/>
  <c r="H5" i="50"/>
  <c r="L5" i="50"/>
  <c r="J5" i="51"/>
  <c r="D5" i="51"/>
  <c r="B5" i="51"/>
  <c r="N5" i="49"/>
  <c r="H5" i="51"/>
  <c r="G835" i="41" l="1"/>
  <c r="G843" i="41"/>
  <c r="G629" i="41"/>
  <c r="G837" i="41"/>
  <c r="G845" i="41"/>
  <c r="G623" i="41"/>
  <c r="G631" i="41"/>
  <c r="G831" i="41"/>
  <c r="G839" i="41"/>
  <c r="G625" i="41"/>
  <c r="G633" i="41"/>
  <c r="G621" i="41"/>
  <c r="G833" i="41"/>
  <c r="G841" i="41"/>
  <c r="G627" i="41"/>
  <c r="G635" i="41"/>
  <c r="G1043" i="41"/>
  <c r="G1051" i="41"/>
  <c r="G1045" i="41"/>
  <c r="G1053" i="41"/>
  <c r="G1047" i="41"/>
  <c r="G1055" i="41"/>
  <c r="G1041" i="41"/>
  <c r="G1049" i="41"/>
  <c r="X6" i="51"/>
  <c r="X14" i="51"/>
  <c r="X22" i="51"/>
  <c r="X30" i="51"/>
  <c r="X38" i="51"/>
  <c r="X46" i="51"/>
  <c r="X54" i="51"/>
  <c r="X62" i="51"/>
  <c r="X70" i="51"/>
  <c r="X78" i="51"/>
  <c r="Y89" i="51"/>
  <c r="Y99" i="51"/>
  <c r="X110" i="51"/>
  <c r="Y121" i="51"/>
  <c r="Y131" i="51"/>
  <c r="X142" i="51"/>
  <c r="Y153" i="51"/>
  <c r="Y163" i="51"/>
  <c r="X174" i="51"/>
  <c r="Y185" i="51"/>
  <c r="Y195" i="51"/>
  <c r="X206" i="51"/>
  <c r="Y220" i="51"/>
  <c r="Y235" i="51"/>
  <c r="X252" i="51"/>
  <c r="X272" i="51"/>
  <c r="X292" i="51"/>
  <c r="Y312" i="51"/>
  <c r="X336" i="51"/>
  <c r="X356" i="51"/>
  <c r="X378" i="51"/>
  <c r="Y404" i="51"/>
  <c r="Y427" i="51"/>
  <c r="X451" i="51"/>
  <c r="Y478" i="51"/>
  <c r="Y504" i="51"/>
  <c r="X534" i="51"/>
  <c r="Y592" i="51"/>
  <c r="X665" i="51"/>
  <c r="X741" i="51"/>
  <c r="Y920" i="51"/>
  <c r="Y6" i="51"/>
  <c r="Y14" i="51"/>
  <c r="Y22" i="51"/>
  <c r="Y30" i="51"/>
  <c r="Y38" i="51"/>
  <c r="Y46" i="51"/>
  <c r="Y54" i="51"/>
  <c r="Y62" i="51"/>
  <c r="Y70" i="51"/>
  <c r="Y79" i="51"/>
  <c r="X90" i="51"/>
  <c r="Y101" i="51"/>
  <c r="Y111" i="51"/>
  <c r="X122" i="51"/>
  <c r="Y133" i="51"/>
  <c r="Y143" i="51"/>
  <c r="X154" i="51"/>
  <c r="Y165" i="51"/>
  <c r="Y175" i="51"/>
  <c r="X186" i="51"/>
  <c r="Y197" i="51"/>
  <c r="X208" i="51"/>
  <c r="X221" i="51"/>
  <c r="X239" i="51"/>
  <c r="X255" i="51"/>
  <c r="Y272" i="51"/>
  <c r="X296" i="51"/>
  <c r="X316" i="51"/>
  <c r="Y336" i="51"/>
  <c r="X360" i="51"/>
  <c r="X382" i="51"/>
  <c r="X405" i="51"/>
  <c r="X432" i="51"/>
  <c r="X455" i="51"/>
  <c r="X479" i="51"/>
  <c r="Y510" i="51"/>
  <c r="Y539" i="51"/>
  <c r="X595" i="51"/>
  <c r="X682" i="51"/>
  <c r="X757" i="51"/>
  <c r="X928" i="51"/>
  <c r="Y11" i="51"/>
  <c r="Y27" i="51"/>
  <c r="Y51" i="51"/>
  <c r="Y75" i="51"/>
  <c r="Y107" i="51"/>
  <c r="Y129" i="51"/>
  <c r="Y161" i="51"/>
  <c r="X182" i="51"/>
  <c r="Y193" i="51"/>
  <c r="X216" i="51"/>
  <c r="X248" i="51"/>
  <c r="X288" i="51"/>
  <c r="Y328" i="51"/>
  <c r="Y372" i="51"/>
  <c r="X469" i="51"/>
  <c r="Y13" i="51"/>
  <c r="Y37" i="51"/>
  <c r="Y53" i="51"/>
  <c r="Y69" i="51"/>
  <c r="X98" i="51"/>
  <c r="Y119" i="51"/>
  <c r="X130" i="51"/>
  <c r="Y151" i="51"/>
  <c r="X162" i="51"/>
  <c r="Y173" i="51"/>
  <c r="X194" i="51"/>
  <c r="Y217" i="51"/>
  <c r="Y232" i="51"/>
  <c r="Y251" i="51"/>
  <c r="Y288" i="51"/>
  <c r="X312" i="51"/>
  <c r="X332" i="51"/>
  <c r="Y352" i="51"/>
  <c r="X377" i="51"/>
  <c r="X400" i="51"/>
  <c r="Y423" i="51"/>
  <c r="Y450" i="51"/>
  <c r="X473" i="51"/>
  <c r="X500" i="51"/>
  <c r="Y532" i="51"/>
  <c r="Y579" i="51"/>
  <c r="Y654" i="51"/>
  <c r="X738" i="51"/>
  <c r="Y877" i="51"/>
  <c r="Y7" i="51"/>
  <c r="Y15" i="51"/>
  <c r="Y23" i="51"/>
  <c r="Y31" i="51"/>
  <c r="Y39" i="51"/>
  <c r="Y47" i="51"/>
  <c r="Y55" i="51"/>
  <c r="Y63" i="51"/>
  <c r="Y71" i="51"/>
  <c r="Y81" i="51"/>
  <c r="Y91" i="51"/>
  <c r="X102" i="51"/>
  <c r="Y113" i="51"/>
  <c r="Y123" i="51"/>
  <c r="X134" i="51"/>
  <c r="Y145" i="51"/>
  <c r="Y155" i="51"/>
  <c r="X166" i="51"/>
  <c r="Y177" i="51"/>
  <c r="Y187" i="51"/>
  <c r="X198" i="51"/>
  <c r="X210" i="51"/>
  <c r="Y223" i="51"/>
  <c r="Y239" i="51"/>
  <c r="X257" i="51"/>
  <c r="X276" i="51"/>
  <c r="Y296" i="51"/>
  <c r="X320" i="51"/>
  <c r="X340" i="51"/>
  <c r="Y360" i="51"/>
  <c r="Y386" i="51"/>
  <c r="X409" i="51"/>
  <c r="Y432" i="51"/>
  <c r="Y459" i="51"/>
  <c r="Y483" i="51"/>
  <c r="X511" i="51"/>
  <c r="Y547" i="51"/>
  <c r="X609" i="51"/>
  <c r="Y682" i="51"/>
  <c r="Y778" i="51"/>
  <c r="Y964" i="51"/>
  <c r="Y9" i="51"/>
  <c r="Y17" i="51"/>
  <c r="Y25" i="51"/>
  <c r="Y33" i="51"/>
  <c r="Y41" i="51"/>
  <c r="Y49" i="51"/>
  <c r="Y57" i="51"/>
  <c r="Y65" i="51"/>
  <c r="Y73" i="51"/>
  <c r="X82" i="51"/>
  <c r="Y93" i="51"/>
  <c r="Y103" i="51"/>
  <c r="X114" i="51"/>
  <c r="Y125" i="51"/>
  <c r="Y135" i="51"/>
  <c r="X146" i="51"/>
  <c r="Y157" i="51"/>
  <c r="Y167" i="51"/>
  <c r="X178" i="51"/>
  <c r="Y189" i="51"/>
  <c r="Y199" i="51"/>
  <c r="X211" i="51"/>
  <c r="Y225" i="51"/>
  <c r="X241" i="51"/>
  <c r="X259" i="51"/>
  <c r="X280" i="51"/>
  <c r="X300" i="51"/>
  <c r="Y320" i="51"/>
  <c r="X344" i="51"/>
  <c r="X364" i="51"/>
  <c r="X387" i="51"/>
  <c r="X414" i="51"/>
  <c r="Y436" i="51"/>
  <c r="X460" i="51"/>
  <c r="Y488" i="51"/>
  <c r="Y515" i="51"/>
  <c r="X548" i="51"/>
  <c r="X622" i="51"/>
  <c r="Y695" i="51"/>
  <c r="X780" i="51"/>
  <c r="Y1005" i="51"/>
  <c r="Y19" i="51"/>
  <c r="Y43" i="51"/>
  <c r="Y67" i="51"/>
  <c r="Y97" i="51"/>
  <c r="X150" i="51"/>
  <c r="X232" i="51"/>
  <c r="Y5" i="51"/>
  <c r="Y21" i="51"/>
  <c r="Y45" i="51"/>
  <c r="Y61" i="51"/>
  <c r="Y77" i="51"/>
  <c r="Y109" i="51"/>
  <c r="Y141" i="51"/>
  <c r="Y183" i="51"/>
  <c r="X268" i="51"/>
  <c r="X10" i="51"/>
  <c r="X18" i="51"/>
  <c r="X26" i="51"/>
  <c r="X34" i="51"/>
  <c r="X42" i="51"/>
  <c r="X50" i="51"/>
  <c r="X58" i="51"/>
  <c r="X66" i="51"/>
  <c r="X74" i="51"/>
  <c r="Y83" i="51"/>
  <c r="X94" i="51"/>
  <c r="Y105" i="51"/>
  <c r="Y115" i="51"/>
  <c r="X126" i="51"/>
  <c r="Y137" i="51"/>
  <c r="Y147" i="51"/>
  <c r="X158" i="51"/>
  <c r="Y169" i="51"/>
  <c r="Y179" i="51"/>
  <c r="X190" i="51"/>
  <c r="Y201" i="51"/>
  <c r="Y212" i="51"/>
  <c r="X227" i="51"/>
  <c r="Y244" i="51"/>
  <c r="Y260" i="51"/>
  <c r="Y280" i="51"/>
  <c r="X304" i="51"/>
  <c r="X324" i="51"/>
  <c r="Y344" i="51"/>
  <c r="X368" i="51"/>
  <c r="X391" i="51"/>
  <c r="Y414" i="51"/>
  <c r="X441" i="51"/>
  <c r="X464" i="51"/>
  <c r="X490" i="51"/>
  <c r="Y520" i="51"/>
  <c r="X555" i="51"/>
  <c r="Y622" i="51"/>
  <c r="X710" i="51"/>
  <c r="Y806" i="51"/>
  <c r="X1013" i="51"/>
  <c r="Y35" i="51"/>
  <c r="Y59" i="51"/>
  <c r="X86" i="51"/>
  <c r="X118" i="51"/>
  <c r="Y139" i="51"/>
  <c r="Y171" i="51"/>
  <c r="Y203" i="51"/>
  <c r="Y264" i="51"/>
  <c r="X308" i="51"/>
  <c r="X352" i="51"/>
  <c r="X396" i="51"/>
  <c r="X423" i="51"/>
  <c r="X446" i="51"/>
  <c r="Y499" i="51"/>
  <c r="X527" i="51"/>
  <c r="Y568" i="51"/>
  <c r="X650" i="51"/>
  <c r="Y723" i="51"/>
  <c r="X848" i="51"/>
  <c r="Y29" i="51"/>
  <c r="Y87" i="51"/>
  <c r="Y205" i="51"/>
  <c r="Y10" i="51"/>
  <c r="Y18" i="51"/>
  <c r="Y26" i="51"/>
  <c r="Y34" i="51"/>
  <c r="Y42" i="51"/>
  <c r="Y50" i="51"/>
  <c r="Y58" i="51"/>
  <c r="Y66" i="51"/>
  <c r="Y74" i="51"/>
  <c r="Y85" i="51"/>
  <c r="Y95" i="51"/>
  <c r="X106" i="51"/>
  <c r="Y117" i="51"/>
  <c r="Y127" i="51"/>
  <c r="X138" i="51"/>
  <c r="Y149" i="51"/>
  <c r="Y159" i="51"/>
  <c r="X170" i="51"/>
  <c r="Y181" i="51"/>
  <c r="Y191" i="51"/>
  <c r="X202" i="51"/>
  <c r="Y215" i="51"/>
  <c r="Y228" i="51"/>
  <c r="X245" i="51"/>
  <c r="X264" i="51"/>
  <c r="X284" i="51"/>
  <c r="Y304" i="51"/>
  <c r="X328" i="51"/>
  <c r="X348" i="51"/>
  <c r="Y368" i="51"/>
  <c r="Y395" i="51"/>
  <c r="Y418" i="51"/>
  <c r="X442" i="51"/>
  <c r="Y468" i="51"/>
  <c r="Y494" i="51"/>
  <c r="X522" i="51"/>
  <c r="X568" i="51"/>
  <c r="X637" i="51"/>
  <c r="Y710" i="51"/>
  <c r="Y841" i="51"/>
  <c r="X1028" i="50"/>
  <c r="X581" i="50"/>
  <c r="X424" i="50"/>
  <c r="X339" i="50"/>
  <c r="X271" i="50"/>
  <c r="Y220" i="50"/>
  <c r="X175" i="50"/>
  <c r="Y133" i="50"/>
  <c r="X97" i="50"/>
  <c r="X65" i="50"/>
  <c r="Y28" i="50"/>
  <c r="Y5" i="50"/>
  <c r="Y533" i="50"/>
  <c r="Y400" i="50"/>
  <c r="Y320" i="50"/>
  <c r="Y258" i="50"/>
  <c r="X207" i="50"/>
  <c r="X165" i="50"/>
  <c r="Y124" i="50"/>
  <c r="Y87" i="50"/>
  <c r="Y55" i="50"/>
  <c r="Y19" i="50"/>
  <c r="Y81" i="50"/>
  <c r="X186" i="50"/>
  <c r="Y329" i="50"/>
  <c r="X924" i="50"/>
  <c r="X6" i="50"/>
  <c r="X83" i="50"/>
  <c r="X191" i="50"/>
  <c r="X348" i="50"/>
  <c r="Y46" i="50"/>
  <c r="X143" i="50"/>
  <c r="X265" i="50"/>
  <c r="X495" i="50"/>
  <c r="Y10" i="50"/>
  <c r="X51" i="50"/>
  <c r="Y101" i="50"/>
  <c r="X149" i="50"/>
  <c r="X202" i="50"/>
  <c r="Y278" i="50"/>
  <c r="Y366" i="50"/>
  <c r="Y513" i="50"/>
  <c r="Y37" i="50"/>
  <c r="X129" i="50"/>
  <c r="Y245" i="50"/>
  <c r="Y455" i="50"/>
  <c r="X42" i="50"/>
  <c r="X138" i="50"/>
  <c r="Y252" i="50"/>
  <c r="Y474" i="50"/>
  <c r="X10" i="50"/>
  <c r="Y92" i="50"/>
  <c r="X197" i="50"/>
  <c r="X357" i="50"/>
  <c r="Y14" i="50"/>
  <c r="Y60" i="50"/>
  <c r="X106" i="50"/>
  <c r="X154" i="50"/>
  <c r="Y213" i="50"/>
  <c r="Y286" i="50"/>
  <c r="Y375" i="50"/>
  <c r="Y557" i="50"/>
  <c r="X19" i="50"/>
  <c r="Y69" i="50"/>
  <c r="Y110" i="50"/>
  <c r="X159" i="50"/>
  <c r="Y226" i="50"/>
  <c r="Y294" i="50"/>
  <c r="Y387" i="50"/>
  <c r="X625" i="50"/>
  <c r="Y23" i="50"/>
  <c r="X74" i="50"/>
  <c r="X115" i="50"/>
  <c r="X170" i="50"/>
  <c r="X233" i="50"/>
  <c r="Y302" i="50"/>
  <c r="X412" i="50"/>
  <c r="Y699" i="50"/>
  <c r="X33" i="50"/>
  <c r="Y78" i="50"/>
  <c r="Y119" i="50"/>
  <c r="X181" i="50"/>
  <c r="X239" i="50"/>
  <c r="Y311" i="50"/>
  <c r="Y438" i="50"/>
  <c r="Y777" i="50"/>
  <c r="Y78" i="51"/>
  <c r="Y82" i="51"/>
  <c r="Y86" i="51"/>
  <c r="Y90" i="51"/>
  <c r="Y94" i="51"/>
  <c r="Y98" i="51"/>
  <c r="Y102" i="51"/>
  <c r="Y106" i="51"/>
  <c r="Y110" i="51"/>
  <c r="Y114" i="51"/>
  <c r="Y118" i="51"/>
  <c r="Y122" i="51"/>
  <c r="Y126" i="51"/>
  <c r="Y130" i="51"/>
  <c r="Y134" i="51"/>
  <c r="Y138" i="51"/>
  <c r="Y142" i="51"/>
  <c r="Y146" i="51"/>
  <c r="Y150" i="51"/>
  <c r="Y154" i="51"/>
  <c r="Y158" i="51"/>
  <c r="Y162" i="51"/>
  <c r="Y166" i="51"/>
  <c r="Y170" i="51"/>
  <c r="Y174" i="51"/>
  <c r="Y178" i="51"/>
  <c r="Y182" i="51"/>
  <c r="Y186" i="51"/>
  <c r="Y190" i="51"/>
  <c r="Y194" i="51"/>
  <c r="Y198" i="51"/>
  <c r="Y202" i="51"/>
  <c r="X207" i="51"/>
  <c r="Y211" i="51"/>
  <c r="Y216" i="51"/>
  <c r="Y221" i="51"/>
  <c r="Y227" i="51"/>
  <c r="X233" i="51"/>
  <c r="X240" i="51"/>
  <c r="X247" i="51"/>
  <c r="Y252" i="51"/>
  <c r="Y259" i="51"/>
  <c r="X265" i="51"/>
  <c r="X273" i="51"/>
  <c r="X281" i="51"/>
  <c r="X289" i="51"/>
  <c r="X297" i="51"/>
  <c r="X305" i="51"/>
  <c r="X313" i="51"/>
  <c r="X321" i="51"/>
  <c r="X329" i="51"/>
  <c r="X337" i="51"/>
  <c r="X345" i="51"/>
  <c r="X353" i="51"/>
  <c r="X361" i="51"/>
  <c r="X369" i="51"/>
  <c r="Y378" i="51"/>
  <c r="Y387" i="51"/>
  <c r="Y396" i="51"/>
  <c r="X406" i="51"/>
  <c r="X415" i="51"/>
  <c r="X424" i="51"/>
  <c r="X433" i="51"/>
  <c r="Y442" i="51"/>
  <c r="Y451" i="51"/>
  <c r="Y460" i="51"/>
  <c r="X470" i="51"/>
  <c r="Y479" i="51"/>
  <c r="Y490" i="51"/>
  <c r="Y500" i="51"/>
  <c r="Y511" i="51"/>
  <c r="Y522" i="51"/>
  <c r="Y534" i="51"/>
  <c r="Y548" i="51"/>
  <c r="X571" i="51"/>
  <c r="Y595" i="51"/>
  <c r="Y627" i="51"/>
  <c r="Y655" i="51"/>
  <c r="Y683" i="51"/>
  <c r="Y713" i="51"/>
  <c r="Y741" i="51"/>
  <c r="X788" i="51"/>
  <c r="Y856" i="51"/>
  <c r="Y940" i="51"/>
  <c r="Y1024" i="51"/>
  <c r="X7" i="51"/>
  <c r="X11" i="51"/>
  <c r="X15" i="51"/>
  <c r="X19" i="51"/>
  <c r="X23" i="51"/>
  <c r="X27" i="51"/>
  <c r="X31" i="51"/>
  <c r="X35" i="51"/>
  <c r="X39" i="51"/>
  <c r="X43" i="51"/>
  <c r="X47" i="51"/>
  <c r="X51" i="51"/>
  <c r="X55" i="51"/>
  <c r="X59" i="51"/>
  <c r="X63" i="51"/>
  <c r="X67" i="51"/>
  <c r="X71" i="51"/>
  <c r="X75" i="51"/>
  <c r="X79" i="51"/>
  <c r="X83" i="51"/>
  <c r="X87" i="51"/>
  <c r="X91" i="51"/>
  <c r="X95" i="51"/>
  <c r="X99" i="51"/>
  <c r="X103" i="51"/>
  <c r="X107" i="51"/>
  <c r="X111" i="51"/>
  <c r="X115" i="51"/>
  <c r="X119" i="51"/>
  <c r="X123" i="51"/>
  <c r="X127" i="51"/>
  <c r="X131" i="51"/>
  <c r="X135" i="51"/>
  <c r="X139" i="51"/>
  <c r="X143" i="51"/>
  <c r="X147" i="51"/>
  <c r="X151" i="51"/>
  <c r="X155" i="51"/>
  <c r="X159" i="51"/>
  <c r="X163" i="51"/>
  <c r="X167" i="51"/>
  <c r="X171" i="51"/>
  <c r="X175" i="51"/>
  <c r="X179" i="51"/>
  <c r="X183" i="51"/>
  <c r="X187" i="51"/>
  <c r="X191" i="51"/>
  <c r="X195" i="51"/>
  <c r="X199" i="51"/>
  <c r="X203" i="51"/>
  <c r="Y207" i="51"/>
  <c r="X212" i="51"/>
  <c r="X217" i="51"/>
  <c r="X223" i="51"/>
  <c r="X228" i="51"/>
  <c r="X235" i="51"/>
  <c r="Y240" i="51"/>
  <c r="Y247" i="51"/>
  <c r="X253" i="51"/>
  <c r="X260" i="51"/>
  <c r="Y267" i="51"/>
  <c r="Y275" i="51"/>
  <c r="Y283" i="51"/>
  <c r="Y291" i="51"/>
  <c r="Y299" i="51"/>
  <c r="Y307" i="51"/>
  <c r="Y315" i="51"/>
  <c r="Y323" i="51"/>
  <c r="Y331" i="51"/>
  <c r="Y339" i="51"/>
  <c r="Y347" i="51"/>
  <c r="Y355" i="51"/>
  <c r="Y363" i="51"/>
  <c r="X372" i="51"/>
  <c r="X381" i="51"/>
  <c r="Y390" i="51"/>
  <c r="Y399" i="51"/>
  <c r="Y408" i="51"/>
  <c r="X418" i="51"/>
  <c r="X427" i="51"/>
  <c r="X436" i="51"/>
  <c r="X445" i="51"/>
  <c r="Y454" i="51"/>
  <c r="Y463" i="51"/>
  <c r="Y472" i="51"/>
  <c r="X483" i="51"/>
  <c r="X494" i="51"/>
  <c r="X504" i="51"/>
  <c r="X515" i="51"/>
  <c r="Y526" i="51"/>
  <c r="X539" i="51"/>
  <c r="Y554" i="51"/>
  <c r="X579" i="51"/>
  <c r="Y604" i="51"/>
  <c r="Y636" i="51"/>
  <c r="Y664" i="51"/>
  <c r="Y692" i="51"/>
  <c r="Y722" i="51"/>
  <c r="Y750" i="51"/>
  <c r="Y805" i="51"/>
  <c r="X877" i="51"/>
  <c r="X964" i="51"/>
  <c r="X8" i="51"/>
  <c r="X12" i="51"/>
  <c r="X16" i="51"/>
  <c r="X20" i="51"/>
  <c r="X24" i="51"/>
  <c r="X28" i="51"/>
  <c r="X32" i="51"/>
  <c r="X36" i="51"/>
  <c r="X40" i="51"/>
  <c r="X44" i="51"/>
  <c r="X48" i="51"/>
  <c r="X52" i="51"/>
  <c r="X56" i="51"/>
  <c r="X60" i="51"/>
  <c r="X64" i="51"/>
  <c r="X68" i="51"/>
  <c r="X72" i="51"/>
  <c r="X76" i="51"/>
  <c r="X80" i="51"/>
  <c r="X84" i="51"/>
  <c r="X88" i="51"/>
  <c r="X92" i="51"/>
  <c r="X96" i="51"/>
  <c r="X100" i="51"/>
  <c r="X104" i="51"/>
  <c r="X108" i="51"/>
  <c r="X112" i="51"/>
  <c r="X116" i="51"/>
  <c r="X120" i="51"/>
  <c r="X124" i="51"/>
  <c r="X128" i="51"/>
  <c r="X132" i="51"/>
  <c r="X136" i="51"/>
  <c r="X140" i="51"/>
  <c r="X144" i="51"/>
  <c r="X148" i="51"/>
  <c r="X152" i="51"/>
  <c r="X156" i="51"/>
  <c r="X160" i="51"/>
  <c r="X164" i="51"/>
  <c r="X168" i="51"/>
  <c r="X172" i="51"/>
  <c r="X176" i="51"/>
  <c r="X180" i="51"/>
  <c r="X184" i="51"/>
  <c r="X188" i="51"/>
  <c r="X192" i="51"/>
  <c r="X196" i="51"/>
  <c r="X200" i="51"/>
  <c r="X204" i="51"/>
  <c r="Y208" i="51"/>
  <c r="X213" i="51"/>
  <c r="X219" i="51"/>
  <c r="X224" i="51"/>
  <c r="X229" i="51"/>
  <c r="X236" i="51"/>
  <c r="X243" i="51"/>
  <c r="Y248" i="51"/>
  <c r="Y255" i="51"/>
  <c r="X261" i="51"/>
  <c r="Y268" i="51"/>
  <c r="Y276" i="51"/>
  <c r="Y284" i="51"/>
  <c r="Y292" i="51"/>
  <c r="Y300" i="51"/>
  <c r="Y308" i="51"/>
  <c r="Y316" i="51"/>
  <c r="Y324" i="51"/>
  <c r="Y332" i="51"/>
  <c r="Y340" i="51"/>
  <c r="Y348" i="51"/>
  <c r="Y356" i="51"/>
  <c r="Y364" i="51"/>
  <c r="X373" i="51"/>
  <c r="Y382" i="51"/>
  <c r="Y391" i="51"/>
  <c r="Y400" i="51"/>
  <c r="X410" i="51"/>
  <c r="X419" i="51"/>
  <c r="X428" i="51"/>
  <c r="X437" i="51"/>
  <c r="Y446" i="51"/>
  <c r="Y455" i="51"/>
  <c r="Y464" i="51"/>
  <c r="X474" i="51"/>
  <c r="X484" i="51"/>
  <c r="X495" i="51"/>
  <c r="X506" i="51"/>
  <c r="X516" i="51"/>
  <c r="Y527" i="51"/>
  <c r="X542" i="51"/>
  <c r="Y555" i="51"/>
  <c r="Y583" i="51"/>
  <c r="Y609" i="51"/>
  <c r="Y637" i="51"/>
  <c r="X668" i="51"/>
  <c r="X696" i="51"/>
  <c r="X728" i="51"/>
  <c r="Y757" i="51"/>
  <c r="Y812" i="51"/>
  <c r="X885" i="51"/>
  <c r="Y1031" i="51"/>
  <c r="Y1027" i="51"/>
  <c r="Y1023" i="51"/>
  <c r="Y1019" i="51"/>
  <c r="Y1015" i="51"/>
  <c r="Y1011" i="51"/>
  <c r="Y1007" i="51"/>
  <c r="Y1003" i="51"/>
  <c r="Y999" i="51"/>
  <c r="Y995" i="51"/>
  <c r="Y991" i="51"/>
  <c r="Y987" i="51"/>
  <c r="Y983" i="51"/>
  <c r="Y979" i="51"/>
  <c r="Y975" i="51"/>
  <c r="Y971" i="51"/>
  <c r="Y967" i="51"/>
  <c r="Y963" i="51"/>
  <c r="Y959" i="51"/>
  <c r="Y955" i="51"/>
  <c r="Y951" i="51"/>
  <c r="Y947" i="51"/>
  <c r="Y943" i="51"/>
  <c r="Y939" i="51"/>
  <c r="Y935" i="51"/>
  <c r="Y931" i="51"/>
  <c r="Y927" i="51"/>
  <c r="Y923" i="51"/>
  <c r="Y919" i="51"/>
  <c r="Y915" i="51"/>
  <c r="Y911" i="51"/>
  <c r="Y907" i="51"/>
  <c r="Y903" i="51"/>
  <c r="Y899" i="51"/>
  <c r="Y895" i="51"/>
  <c r="Y891" i="51"/>
  <c r="Y887" i="51"/>
  <c r="Y883" i="51"/>
  <c r="Y879" i="51"/>
  <c r="Y875" i="51"/>
  <c r="Y871" i="51"/>
  <c r="Y867" i="51"/>
  <c r="Y863" i="51"/>
  <c r="Y859" i="51"/>
  <c r="Y855" i="51"/>
  <c r="Y851" i="51"/>
  <c r="Y847" i="51"/>
  <c r="Y843" i="51"/>
  <c r="Y839" i="51"/>
  <c r="Y835" i="51"/>
  <c r="Y831" i="51"/>
  <c r="Y827" i="51"/>
  <c r="Y823" i="51"/>
  <c r="Y819" i="51"/>
  <c r="Y815" i="51"/>
  <c r="Y811" i="51"/>
  <c r="Y807" i="51"/>
  <c r="Y803" i="51"/>
  <c r="Y799" i="51"/>
  <c r="Y795" i="51"/>
  <c r="Y791" i="51"/>
  <c r="Y787" i="51"/>
  <c r="Y783" i="51"/>
  <c r="Y779" i="51"/>
  <c r="Y775" i="51"/>
  <c r="Y771" i="51"/>
  <c r="Y767" i="51"/>
  <c r="Y763" i="51"/>
  <c r="Y759" i="51"/>
  <c r="Y755" i="51"/>
  <c r="X1031" i="51"/>
  <c r="X1027" i="51"/>
  <c r="X1023" i="51"/>
  <c r="X1019" i="51"/>
  <c r="X1015" i="51"/>
  <c r="X1011" i="51"/>
  <c r="X1007" i="51"/>
  <c r="X1003" i="51"/>
  <c r="X999" i="51"/>
  <c r="X995" i="51"/>
  <c r="X991" i="51"/>
  <c r="X987" i="51"/>
  <c r="X983" i="51"/>
  <c r="X979" i="51"/>
  <c r="X975" i="51"/>
  <c r="X971" i="51"/>
  <c r="X967" i="51"/>
  <c r="X963" i="51"/>
  <c r="X959" i="51"/>
  <c r="X955" i="51"/>
  <c r="X951" i="51"/>
  <c r="X947" i="51"/>
  <c r="X943" i="51"/>
  <c r="X939" i="51"/>
  <c r="X935" i="51"/>
  <c r="X931" i="51"/>
  <c r="X927" i="51"/>
  <c r="X923" i="51"/>
  <c r="X919" i="51"/>
  <c r="X915" i="51"/>
  <c r="X911" i="51"/>
  <c r="X907" i="51"/>
  <c r="X903" i="51"/>
  <c r="X899" i="51"/>
  <c r="X895" i="51"/>
  <c r="X891" i="51"/>
  <c r="X887" i="51"/>
  <c r="X883" i="51"/>
  <c r="X879" i="51"/>
  <c r="X875" i="51"/>
  <c r="X871" i="51"/>
  <c r="X867" i="51"/>
  <c r="X863" i="51"/>
  <c r="X859" i="51"/>
  <c r="X855" i="51"/>
  <c r="X851" i="51"/>
  <c r="X847" i="51"/>
  <c r="X843" i="51"/>
  <c r="X839" i="51"/>
  <c r="X835" i="51"/>
  <c r="X831" i="51"/>
  <c r="X827" i="51"/>
  <c r="X823" i="51"/>
  <c r="X819" i="51"/>
  <c r="X815" i="51"/>
  <c r="X811" i="51"/>
  <c r="X807" i="51"/>
  <c r="X803" i="51"/>
  <c r="X799" i="51"/>
  <c r="X795" i="51"/>
  <c r="X791" i="51"/>
  <c r="X787" i="51"/>
  <c r="X783" i="51"/>
  <c r="X779" i="51"/>
  <c r="X775" i="51"/>
  <c r="X771" i="51"/>
  <c r="X767" i="51"/>
  <c r="X763" i="51"/>
  <c r="X759" i="51"/>
  <c r="X755" i="51"/>
  <c r="Y1030" i="51"/>
  <c r="Y1026" i="51"/>
  <c r="Y1022" i="51"/>
  <c r="Y1018" i="51"/>
  <c r="Y1014" i="51"/>
  <c r="Y1010" i="51"/>
  <c r="Y1006" i="51"/>
  <c r="Y1002" i="51"/>
  <c r="Y998" i="51"/>
  <c r="Y994" i="51"/>
  <c r="Y990" i="51"/>
  <c r="Y986" i="51"/>
  <c r="Y982" i="51"/>
  <c r="Y978" i="51"/>
  <c r="Y974" i="51"/>
  <c r="Y970" i="51"/>
  <c r="Y966" i="51"/>
  <c r="Y962" i="51"/>
  <c r="Y958" i="51"/>
  <c r="Y954" i="51"/>
  <c r="Y950" i="51"/>
  <c r="Y946" i="51"/>
  <c r="Y942" i="51"/>
  <c r="Y938" i="51"/>
  <c r="Y934" i="51"/>
  <c r="Y930" i="51"/>
  <c r="Y926" i="51"/>
  <c r="Y922" i="51"/>
  <c r="Y918" i="51"/>
  <c r="Y914" i="51"/>
  <c r="Y910" i="51"/>
  <c r="Y906" i="51"/>
  <c r="Y902" i="51"/>
  <c r="Y898" i="51"/>
  <c r="Y894" i="51"/>
  <c r="Y890" i="51"/>
  <c r="Y886" i="51"/>
  <c r="Y882" i="51"/>
  <c r="Y878" i="51"/>
  <c r="Y874" i="51"/>
  <c r="Y870" i="51"/>
  <c r="Y866" i="51"/>
  <c r="X1030" i="51"/>
  <c r="X1026" i="51"/>
  <c r="X1022" i="51"/>
  <c r="X1018" i="51"/>
  <c r="X1014" i="51"/>
  <c r="X1010" i="51"/>
  <c r="X1006" i="51"/>
  <c r="X1002" i="51"/>
  <c r="X998" i="51"/>
  <c r="X994" i="51"/>
  <c r="X990" i="51"/>
  <c r="X986" i="51"/>
  <c r="X982" i="51"/>
  <c r="X978" i="51"/>
  <c r="X974" i="51"/>
  <c r="X970" i="51"/>
  <c r="X966" i="51"/>
  <c r="X962" i="51"/>
  <c r="X958" i="51"/>
  <c r="X954" i="51"/>
  <c r="X950" i="51"/>
  <c r="X946" i="51"/>
  <c r="X942" i="51"/>
  <c r="X938" i="51"/>
  <c r="X934" i="51"/>
  <c r="X930" i="51"/>
  <c r="X926" i="51"/>
  <c r="X922" i="51"/>
  <c r="X918" i="51"/>
  <c r="X914" i="51"/>
  <c r="X910" i="51"/>
  <c r="X906" i="51"/>
  <c r="X902" i="51"/>
  <c r="X898" i="51"/>
  <c r="X894" i="51"/>
  <c r="X890" i="51"/>
  <c r="X886" i="51"/>
  <c r="X882" i="51"/>
  <c r="X878" i="51"/>
  <c r="X874" i="51"/>
  <c r="X870" i="51"/>
  <c r="X866" i="51"/>
  <c r="X862" i="51"/>
  <c r="X858" i="51"/>
  <c r="X854" i="51"/>
  <c r="X850" i="51"/>
  <c r="X846" i="51"/>
  <c r="X842" i="51"/>
  <c r="X838" i="51"/>
  <c r="X834" i="51"/>
  <c r="X830" i="51"/>
  <c r="X826" i="51"/>
  <c r="X822" i="51"/>
  <c r="X818" i="51"/>
  <c r="X814" i="51"/>
  <c r="X810" i="51"/>
  <c r="X806" i="51"/>
  <c r="X802" i="51"/>
  <c r="X798" i="51"/>
  <c r="X794" i="51"/>
  <c r="X790" i="51"/>
  <c r="X786" i="51"/>
  <c r="X782" i="51"/>
  <c r="X778" i="51"/>
  <c r="X774" i="51"/>
  <c r="X770" i="51"/>
  <c r="X766" i="51"/>
  <c r="X762" i="51"/>
  <c r="X758" i="51"/>
  <c r="X754" i="51"/>
  <c r="Y1025" i="51"/>
  <c r="Y1017" i="51"/>
  <c r="Y1009" i="51"/>
  <c r="Y1001" i="51"/>
  <c r="Y993" i="51"/>
  <c r="Y985" i="51"/>
  <c r="Y977" i="51"/>
  <c r="Y969" i="51"/>
  <c r="Y961" i="51"/>
  <c r="Y953" i="51"/>
  <c r="Y945" i="51"/>
  <c r="Y937" i="51"/>
  <c r="Y929" i="51"/>
  <c r="Y921" i="51"/>
  <c r="Y913" i="51"/>
  <c r="Y905" i="51"/>
  <c r="Y897" i="51"/>
  <c r="Y889" i="51"/>
  <c r="Y881" i="51"/>
  <c r="Y873" i="51"/>
  <c r="Y865" i="51"/>
  <c r="X860" i="51"/>
  <c r="X853" i="51"/>
  <c r="Y846" i="51"/>
  <c r="Y840" i="51"/>
  <c r="Y833" i="51"/>
  <c r="X828" i="51"/>
  <c r="X821" i="51"/>
  <c r="Y814" i="51"/>
  <c r="Y808" i="51"/>
  <c r="Y801" i="51"/>
  <c r="X796" i="51"/>
  <c r="X789" i="51"/>
  <c r="Y782" i="51"/>
  <c r="Y776" i="51"/>
  <c r="X1025" i="51"/>
  <c r="X1017" i="51"/>
  <c r="X1009" i="51"/>
  <c r="X1001" i="51"/>
  <c r="X993" i="51"/>
  <c r="X985" i="51"/>
  <c r="X977" i="51"/>
  <c r="X969" i="51"/>
  <c r="X961" i="51"/>
  <c r="X953" i="51"/>
  <c r="X945" i="51"/>
  <c r="X937" i="51"/>
  <c r="X929" i="51"/>
  <c r="X921" i="51"/>
  <c r="X913" i="51"/>
  <c r="X905" i="51"/>
  <c r="X897" i="51"/>
  <c r="X889" i="51"/>
  <c r="X881" i="51"/>
  <c r="X873" i="51"/>
  <c r="X865" i="51"/>
  <c r="Y858" i="51"/>
  <c r="Y852" i="51"/>
  <c r="Y845" i="51"/>
  <c r="X840" i="51"/>
  <c r="X833" i="51"/>
  <c r="Y826" i="51"/>
  <c r="Y820" i="51"/>
  <c r="Y813" i="51"/>
  <c r="X808" i="51"/>
  <c r="X801" i="51"/>
  <c r="Y794" i="51"/>
  <c r="Y788" i="51"/>
  <c r="Y781" i="51"/>
  <c r="X776" i="51"/>
  <c r="X769" i="51"/>
  <c r="Y762" i="51"/>
  <c r="Y756" i="51"/>
  <c r="X751" i="51"/>
  <c r="X747" i="51"/>
  <c r="X743" i="51"/>
  <c r="X739" i="51"/>
  <c r="X735" i="51"/>
  <c r="X731" i="51"/>
  <c r="X727" i="51"/>
  <c r="X723" i="51"/>
  <c r="X719" i="51"/>
  <c r="X715" i="51"/>
  <c r="X711" i="51"/>
  <c r="X707" i="51"/>
  <c r="X703" i="51"/>
  <c r="X699" i="51"/>
  <c r="X695" i="51"/>
  <c r="X691" i="51"/>
  <c r="X687" i="51"/>
  <c r="X683" i="51"/>
  <c r="X679" i="51"/>
  <c r="X675" i="51"/>
  <c r="X671" i="51"/>
  <c r="X667" i="51"/>
  <c r="X663" i="51"/>
  <c r="X659" i="51"/>
  <c r="X655" i="51"/>
  <c r="X651" i="51"/>
  <c r="X647" i="51"/>
  <c r="X643" i="51"/>
  <c r="X639" i="51"/>
  <c r="X635" i="51"/>
  <c r="X631" i="51"/>
  <c r="X627" i="51"/>
  <c r="X623" i="51"/>
  <c r="X619" i="51"/>
  <c r="X615" i="51"/>
  <c r="X611" i="51"/>
  <c r="X607" i="51"/>
  <c r="X603" i="51"/>
  <c r="X599" i="51"/>
  <c r="Y1021" i="51"/>
  <c r="Y1012" i="51"/>
  <c r="Y1000" i="51"/>
  <c r="Y989" i="51"/>
  <c r="Y980" i="51"/>
  <c r="Y968" i="51"/>
  <c r="Y957" i="51"/>
  <c r="Y948" i="51"/>
  <c r="Y936" i="51"/>
  <c r="Y925" i="51"/>
  <c r="Y916" i="51"/>
  <c r="Y904" i="51"/>
  <c r="Y893" i="51"/>
  <c r="Y884" i="51"/>
  <c r="Y872" i="51"/>
  <c r="Y862" i="51"/>
  <c r="Y854" i="51"/>
  <c r="X845" i="51"/>
  <c r="X837" i="51"/>
  <c r="X829" i="51"/>
  <c r="X820" i="51"/>
  <c r="X812" i="51"/>
  <c r="X804" i="51"/>
  <c r="Y793" i="51"/>
  <c r="Y785" i="51"/>
  <c r="Y777" i="51"/>
  <c r="Y769" i="51"/>
  <c r="Y761" i="51"/>
  <c r="Y754" i="51"/>
  <c r="Y749" i="51"/>
  <c r="X745" i="51"/>
  <c r="Y740" i="51"/>
  <c r="X736" i="51"/>
  <c r="Y731" i="51"/>
  <c r="Y726" i="51"/>
  <c r="X722" i="51"/>
  <c r="Y717" i="51"/>
  <c r="X713" i="51"/>
  <c r="Y708" i="51"/>
  <c r="X704" i="51"/>
  <c r="Y699" i="51"/>
  <c r="Y694" i="51"/>
  <c r="X690" i="51"/>
  <c r="Y685" i="51"/>
  <c r="X681" i="51"/>
  <c r="Y676" i="51"/>
  <c r="X672" i="51"/>
  <c r="Y667" i="51"/>
  <c r="Y662" i="51"/>
  <c r="X658" i="51"/>
  <c r="Y653" i="51"/>
  <c r="X649" i="51"/>
  <c r="Y644" i="51"/>
  <c r="X640" i="51"/>
  <c r="Y635" i="51"/>
  <c r="Y630" i="51"/>
  <c r="X626" i="51"/>
  <c r="Y621" i="51"/>
  <c r="X617" i="51"/>
  <c r="Y612" i="51"/>
  <c r="X608" i="51"/>
  <c r="Y603" i="51"/>
  <c r="Y598" i="51"/>
  <c r="Y594" i="51"/>
  <c r="Y590" i="51"/>
  <c r="Y586" i="51"/>
  <c r="Y582" i="51"/>
  <c r="Y578" i="51"/>
  <c r="Y574" i="51"/>
  <c r="Y570" i="51"/>
  <c r="Y566" i="51"/>
  <c r="Y562" i="51"/>
  <c r="Y558" i="51"/>
  <c r="X1021" i="51"/>
  <c r="X1012" i="51"/>
  <c r="X1000" i="51"/>
  <c r="X989" i="51"/>
  <c r="X980" i="51"/>
  <c r="X968" i="51"/>
  <c r="X957" i="51"/>
  <c r="X948" i="51"/>
  <c r="X936" i="51"/>
  <c r="X925" i="51"/>
  <c r="X916" i="51"/>
  <c r="X904" i="51"/>
  <c r="X893" i="51"/>
  <c r="X884" i="51"/>
  <c r="X872" i="51"/>
  <c r="Y861" i="51"/>
  <c r="Y853" i="51"/>
  <c r="Y844" i="51"/>
  <c r="Y836" i="51"/>
  <c r="Y828" i="51"/>
  <c r="Y818" i="51"/>
  <c r="Y810" i="51"/>
  <c r="Y802" i="51"/>
  <c r="X793" i="51"/>
  <c r="X785" i="51"/>
  <c r="X777" i="51"/>
  <c r="Y768" i="51"/>
  <c r="X761" i="51"/>
  <c r="Y753" i="51"/>
  <c r="X749" i="51"/>
  <c r="Y744" i="51"/>
  <c r="X740" i="51"/>
  <c r="Y735" i="51"/>
  <c r="Y730" i="51"/>
  <c r="X726" i="51"/>
  <c r="Y721" i="51"/>
  <c r="X717" i="51"/>
  <c r="Y712" i="51"/>
  <c r="X708" i="51"/>
  <c r="Y703" i="51"/>
  <c r="Y698" i="51"/>
  <c r="X694" i="51"/>
  <c r="Y689" i="51"/>
  <c r="X685" i="51"/>
  <c r="Y680" i="51"/>
  <c r="X676" i="51"/>
  <c r="Y671" i="51"/>
  <c r="Y666" i="51"/>
  <c r="X662" i="51"/>
  <c r="Y657" i="51"/>
  <c r="X653" i="51"/>
  <c r="Y648" i="51"/>
  <c r="X644" i="51"/>
  <c r="Y639" i="51"/>
  <c r="Y634" i="51"/>
  <c r="X630" i="51"/>
  <c r="Y625" i="51"/>
  <c r="X621" i="51"/>
  <c r="Y616" i="51"/>
  <c r="X612" i="51"/>
  <c r="Y607" i="51"/>
  <c r="Y602" i="51"/>
  <c r="X598" i="51"/>
  <c r="X594" i="51"/>
  <c r="X590" i="51"/>
  <c r="X586" i="51"/>
  <c r="X582" i="51"/>
  <c r="X578" i="51"/>
  <c r="X574" i="51"/>
  <c r="X570" i="51"/>
  <c r="X566" i="51"/>
  <c r="X562" i="51"/>
  <c r="X558" i="51"/>
  <c r="Y1029" i="51"/>
  <c r="Y1020" i="51"/>
  <c r="Y1008" i="51"/>
  <c r="Y997" i="51"/>
  <c r="Y988" i="51"/>
  <c r="Y976" i="51"/>
  <c r="Y965" i="51"/>
  <c r="Y956" i="51"/>
  <c r="Y944" i="51"/>
  <c r="Y933" i="51"/>
  <c r="Y924" i="51"/>
  <c r="Y912" i="51"/>
  <c r="Y901" i="51"/>
  <c r="Y892" i="51"/>
  <c r="Y880" i="51"/>
  <c r="Y869" i="51"/>
  <c r="X861" i="51"/>
  <c r="X852" i="51"/>
  <c r="X844" i="51"/>
  <c r="X836" i="51"/>
  <c r="Y825" i="51"/>
  <c r="Y817" i="51"/>
  <c r="Y809" i="51"/>
  <c r="Y800" i="51"/>
  <c r="Y792" i="51"/>
  <c r="Y784" i="51"/>
  <c r="Y774" i="51"/>
  <c r="X768" i="51"/>
  <c r="Y760" i="51"/>
  <c r="X753" i="51"/>
  <c r="Y748" i="51"/>
  <c r="X744" i="51"/>
  <c r="Y739" i="51"/>
  <c r="Y734" i="51"/>
  <c r="X730" i="51"/>
  <c r="Y725" i="51"/>
  <c r="X721" i="51"/>
  <c r="Y716" i="51"/>
  <c r="X712" i="51"/>
  <c r="Y707" i="51"/>
  <c r="Y702" i="51"/>
  <c r="X698" i="51"/>
  <c r="Y693" i="51"/>
  <c r="X689" i="51"/>
  <c r="Y684" i="51"/>
  <c r="X680" i="51"/>
  <c r="Y675" i="51"/>
  <c r="Y670" i="51"/>
  <c r="X666" i="51"/>
  <c r="Y661" i="51"/>
  <c r="X657" i="51"/>
  <c r="Y652" i="51"/>
  <c r="X648" i="51"/>
  <c r="Y643" i="51"/>
  <c r="Y638" i="51"/>
  <c r="X634" i="51"/>
  <c r="Y629" i="51"/>
  <c r="X625" i="51"/>
  <c r="Y620" i="51"/>
  <c r="X616" i="51"/>
  <c r="Y611" i="51"/>
  <c r="Y606" i="51"/>
  <c r="X602" i="51"/>
  <c r="Y597" i="51"/>
  <c r="Y593" i="51"/>
  <c r="Y589" i="51"/>
  <c r="Y585" i="51"/>
  <c r="Y581" i="51"/>
  <c r="Y577" i="51"/>
  <c r="Y573" i="51"/>
  <c r="Y569" i="51"/>
  <c r="Y565" i="51"/>
  <c r="Y561" i="51"/>
  <c r="Y557" i="51"/>
  <c r="Y553" i="51"/>
  <c r="Y549" i="51"/>
  <c r="Y545" i="51"/>
  <c r="Y541" i="51"/>
  <c r="Y537" i="51"/>
  <c r="Y533" i="51"/>
  <c r="Y529" i="51"/>
  <c r="Y525" i="51"/>
  <c r="X1029" i="51"/>
  <c r="X1020" i="51"/>
  <c r="X1008" i="51"/>
  <c r="X997" i="51"/>
  <c r="X988" i="51"/>
  <c r="X976" i="51"/>
  <c r="X965" i="51"/>
  <c r="X956" i="51"/>
  <c r="X944" i="51"/>
  <c r="X933" i="51"/>
  <c r="X924" i="51"/>
  <c r="X912" i="51"/>
  <c r="X901" i="51"/>
  <c r="X892" i="51"/>
  <c r="X880" i="51"/>
  <c r="X869" i="51"/>
  <c r="Y860" i="51"/>
  <c r="Y850" i="51"/>
  <c r="Y842" i="51"/>
  <c r="Y834" i="51"/>
  <c r="X825" i="51"/>
  <c r="X817" i="51"/>
  <c r="X809" i="51"/>
  <c r="X800" i="51"/>
  <c r="X792" i="51"/>
  <c r="X784" i="51"/>
  <c r="Y773" i="51"/>
  <c r="Y766" i="51"/>
  <c r="X760" i="51"/>
  <c r="Y752" i="51"/>
  <c r="X748" i="51"/>
  <c r="Y743" i="51"/>
  <c r="Y738" i="51"/>
  <c r="X734" i="51"/>
  <c r="Y729" i="51"/>
  <c r="X725" i="51"/>
  <c r="Y720" i="51"/>
  <c r="X716" i="51"/>
  <c r="Y711" i="51"/>
  <c r="Y706" i="51"/>
  <c r="X702" i="51"/>
  <c r="Y697" i="51"/>
  <c r="X693" i="51"/>
  <c r="Y688" i="51"/>
  <c r="X684" i="51"/>
  <c r="Y679" i="51"/>
  <c r="Y674" i="51"/>
  <c r="X670" i="51"/>
  <c r="Y665" i="51"/>
  <c r="X661" i="51"/>
  <c r="Y656" i="51"/>
  <c r="X652" i="51"/>
  <c r="Y647" i="51"/>
  <c r="Y642" i="51"/>
  <c r="X638" i="51"/>
  <c r="Y633" i="51"/>
  <c r="X629" i="51"/>
  <c r="Y624" i="51"/>
  <c r="X620" i="51"/>
  <c r="Y615" i="51"/>
  <c r="Y610" i="51"/>
  <c r="X606" i="51"/>
  <c r="Y601" i="51"/>
  <c r="X597" i="51"/>
  <c r="X593" i="51"/>
  <c r="X589" i="51"/>
  <c r="X585" i="51"/>
  <c r="X581" i="51"/>
  <c r="X577" i="51"/>
  <c r="X573" i="51"/>
  <c r="X569" i="51"/>
  <c r="X565" i="51"/>
  <c r="X561" i="51"/>
  <c r="X557" i="51"/>
  <c r="X553" i="51"/>
  <c r="X549" i="51"/>
  <c r="X545" i="51"/>
  <c r="X541" i="51"/>
  <c r="X537" i="51"/>
  <c r="X533" i="51"/>
  <c r="X1024" i="51"/>
  <c r="X1004" i="51"/>
  <c r="X981" i="51"/>
  <c r="X960" i="51"/>
  <c r="X940" i="51"/>
  <c r="X917" i="51"/>
  <c r="X896" i="51"/>
  <c r="X876" i="51"/>
  <c r="X856" i="51"/>
  <c r="Y837" i="51"/>
  <c r="Y821" i="51"/>
  <c r="Y804" i="51"/>
  <c r="Y786" i="51"/>
  <c r="Y770" i="51"/>
  <c r="X756" i="51"/>
  <c r="Y745" i="51"/>
  <c r="Y736" i="51"/>
  <c r="Y727" i="51"/>
  <c r="X718" i="51"/>
  <c r="X709" i="51"/>
  <c r="X700" i="51"/>
  <c r="Y690" i="51"/>
  <c r="Y681" i="51"/>
  <c r="Y672" i="51"/>
  <c r="Y663" i="51"/>
  <c r="X654" i="51"/>
  <c r="X645" i="51"/>
  <c r="X636" i="51"/>
  <c r="Y626" i="51"/>
  <c r="Y617" i="51"/>
  <c r="Y608" i="51"/>
  <c r="Y599" i="51"/>
  <c r="X591" i="51"/>
  <c r="X583" i="51"/>
  <c r="X575" i="51"/>
  <c r="X567" i="51"/>
  <c r="X559" i="51"/>
  <c r="X552" i="51"/>
  <c r="Y1016" i="51"/>
  <c r="Y996" i="51"/>
  <c r="Y973" i="51"/>
  <c r="Y952" i="51"/>
  <c r="Y932" i="51"/>
  <c r="Y909" i="51"/>
  <c r="Y888" i="51"/>
  <c r="Y868" i="51"/>
  <c r="Y849" i="51"/>
  <c r="Y832" i="51"/>
  <c r="Y816" i="51"/>
  <c r="Y798" i="51"/>
  <c r="X781" i="51"/>
  <c r="Y765" i="51"/>
  <c r="X752" i="51"/>
  <c r="Y742" i="51"/>
  <c r="Y733" i="51"/>
  <c r="Y724" i="51"/>
  <c r="Y715" i="51"/>
  <c r="X706" i="51"/>
  <c r="X697" i="51"/>
  <c r="X688" i="51"/>
  <c r="Y678" i="51"/>
  <c r="Y669" i="51"/>
  <c r="Y660" i="51"/>
  <c r="Y651" i="51"/>
  <c r="X642" i="51"/>
  <c r="X633" i="51"/>
  <c r="X624" i="51"/>
  <c r="Y614" i="51"/>
  <c r="Y605" i="51"/>
  <c r="Y596" i="51"/>
  <c r="Y588" i="51"/>
  <c r="Y580" i="51"/>
  <c r="Y572" i="51"/>
  <c r="Y564" i="51"/>
  <c r="Y556" i="51"/>
  <c r="Y551" i="51"/>
  <c r="Y546" i="51"/>
  <c r="Y540" i="51"/>
  <c r="Y535" i="51"/>
  <c r="Y530" i="51"/>
  <c r="X526" i="51"/>
  <c r="Y521" i="51"/>
  <c r="Y517" i="51"/>
  <c r="Y513" i="51"/>
  <c r="Y509" i="51"/>
  <c r="Y505" i="51"/>
  <c r="Y501" i="51"/>
  <c r="Y497" i="51"/>
  <c r="Y493" i="51"/>
  <c r="Y489" i="51"/>
  <c r="Y485" i="51"/>
  <c r="Y481" i="51"/>
  <c r="Y477" i="51"/>
  <c r="Y473" i="51"/>
  <c r="Y469" i="51"/>
  <c r="Y465" i="51"/>
  <c r="Y461" i="51"/>
  <c r="Y457" i="51"/>
  <c r="Y453" i="51"/>
  <c r="Y449" i="51"/>
  <c r="Y445" i="51"/>
  <c r="Y441" i="51"/>
  <c r="Y437" i="51"/>
  <c r="Y433" i="51"/>
  <c r="Y429" i="51"/>
  <c r="Y425" i="51"/>
  <c r="Y421" i="51"/>
  <c r="Y417" i="51"/>
  <c r="Y413" i="51"/>
  <c r="Y409" i="51"/>
  <c r="Y405" i="51"/>
  <c r="Y401" i="51"/>
  <c r="Y397" i="51"/>
  <c r="Y393" i="51"/>
  <c r="Y389" i="51"/>
  <c r="Y385" i="51"/>
  <c r="Y381" i="51"/>
  <c r="Y377" i="51"/>
  <c r="Y373" i="51"/>
  <c r="Y369" i="51"/>
  <c r="X1016" i="51"/>
  <c r="X996" i="51"/>
  <c r="X973" i="51"/>
  <c r="X952" i="51"/>
  <c r="X932" i="51"/>
  <c r="X909" i="51"/>
  <c r="X888" i="51"/>
  <c r="X868" i="51"/>
  <c r="X849" i="51"/>
  <c r="X832" i="51"/>
  <c r="X816" i="51"/>
  <c r="Y797" i="51"/>
  <c r="Y780" i="51"/>
  <c r="X765" i="51"/>
  <c r="Y751" i="51"/>
  <c r="X742" i="51"/>
  <c r="X733" i="51"/>
  <c r="X724" i="51"/>
  <c r="Y714" i="51"/>
  <c r="Y705" i="51"/>
  <c r="Y696" i="51"/>
  <c r="Y687" i="51"/>
  <c r="X678" i="51"/>
  <c r="X669" i="51"/>
  <c r="X660" i="51"/>
  <c r="Y650" i="51"/>
  <c r="Y641" i="51"/>
  <c r="Y632" i="51"/>
  <c r="Y623" i="51"/>
  <c r="X614" i="51"/>
  <c r="X605" i="51"/>
  <c r="X596" i="51"/>
  <c r="X588" i="51"/>
  <c r="X580" i="51"/>
  <c r="X572" i="51"/>
  <c r="X564" i="51"/>
  <c r="X556" i="51"/>
  <c r="X551" i="51"/>
  <c r="X546" i="51"/>
  <c r="X540" i="51"/>
  <c r="X535" i="51"/>
  <c r="X530" i="51"/>
  <c r="X525" i="51"/>
  <c r="X521" i="51"/>
  <c r="X517" i="51"/>
  <c r="X513" i="51"/>
  <c r="X509" i="51"/>
  <c r="X505" i="51"/>
  <c r="X501" i="51"/>
  <c r="X497" i="51"/>
  <c r="X493" i="51"/>
  <c r="X489" i="51"/>
  <c r="X485" i="51"/>
  <c r="X481" i="51"/>
  <c r="X477" i="51"/>
  <c r="Y1013" i="51"/>
  <c r="Y992" i="51"/>
  <c r="Y972" i="51"/>
  <c r="Y949" i="51"/>
  <c r="Y928" i="51"/>
  <c r="Y908" i="51"/>
  <c r="Y885" i="51"/>
  <c r="Y864" i="51"/>
  <c r="Y848" i="51"/>
  <c r="Y830" i="51"/>
  <c r="X813" i="51"/>
  <c r="X797" i="51"/>
  <c r="Y1004" i="51"/>
  <c r="Y960" i="51"/>
  <c r="Y917" i="51"/>
  <c r="Y876" i="51"/>
  <c r="Y838" i="51"/>
  <c r="X805" i="51"/>
  <c r="Y772" i="51"/>
  <c r="X750" i="51"/>
  <c r="X737" i="51"/>
  <c r="X720" i="51"/>
  <c r="X705" i="51"/>
  <c r="X692" i="51"/>
  <c r="X677" i="51"/>
  <c r="X664" i="51"/>
  <c r="Y646" i="51"/>
  <c r="X632" i="51"/>
  <c r="Y618" i="51"/>
  <c r="X604" i="51"/>
  <c r="Y591" i="51"/>
  <c r="Y576" i="51"/>
  <c r="Y563" i="51"/>
  <c r="X554" i="51"/>
  <c r="Y544" i="51"/>
  <c r="Y538" i="51"/>
  <c r="Y531" i="51"/>
  <c r="Y524" i="51"/>
  <c r="Y519" i="51"/>
  <c r="Y514" i="51"/>
  <c r="Y508" i="51"/>
  <c r="Y503" i="51"/>
  <c r="Y498" i="51"/>
  <c r="Y492" i="51"/>
  <c r="Y487" i="51"/>
  <c r="Y482" i="51"/>
  <c r="Y476" i="51"/>
  <c r="X472" i="51"/>
  <c r="Y467" i="51"/>
  <c r="X463" i="51"/>
  <c r="Y458" i="51"/>
  <c r="X454" i="51"/>
  <c r="X449" i="51"/>
  <c r="Y444" i="51"/>
  <c r="X440" i="51"/>
  <c r="Y435" i="51"/>
  <c r="X431" i="51"/>
  <c r="Y426" i="51"/>
  <c r="X422" i="51"/>
  <c r="X417" i="51"/>
  <c r="Y412" i="51"/>
  <c r="X408" i="51"/>
  <c r="Y403" i="51"/>
  <c r="X399" i="51"/>
  <c r="Y394" i="51"/>
  <c r="X390" i="51"/>
  <c r="X385" i="51"/>
  <c r="Y380" i="51"/>
  <c r="X376" i="51"/>
  <c r="Y371" i="51"/>
  <c r="X367" i="51"/>
  <c r="X363" i="51"/>
  <c r="X359" i="51"/>
  <c r="X355" i="51"/>
  <c r="X351" i="51"/>
  <c r="X347" i="51"/>
  <c r="X343" i="51"/>
  <c r="X339" i="51"/>
  <c r="X335" i="51"/>
  <c r="X331" i="51"/>
  <c r="X327" i="51"/>
  <c r="X323" i="51"/>
  <c r="X319" i="51"/>
  <c r="X315" i="51"/>
  <c r="X311" i="51"/>
  <c r="X307" i="51"/>
  <c r="X303" i="51"/>
  <c r="X299" i="51"/>
  <c r="X295" i="51"/>
  <c r="X291" i="51"/>
  <c r="X287" i="51"/>
  <c r="X283" i="51"/>
  <c r="X279" i="51"/>
  <c r="X275" i="51"/>
  <c r="X271" i="51"/>
  <c r="X267" i="51"/>
  <c r="X992" i="51"/>
  <c r="X949" i="51"/>
  <c r="X908" i="51"/>
  <c r="X864" i="51"/>
  <c r="Y829" i="51"/>
  <c r="Y796" i="51"/>
  <c r="X772" i="51"/>
  <c r="Y747" i="51"/>
  <c r="Y732" i="51"/>
  <c r="Y719" i="51"/>
  <c r="Y704" i="51"/>
  <c r="Y691" i="51"/>
  <c r="X674" i="51"/>
  <c r="Y659" i="51"/>
  <c r="X646" i="51"/>
  <c r="Y631" i="51"/>
  <c r="X618" i="51"/>
  <c r="X601" i="51"/>
  <c r="Y587" i="51"/>
  <c r="X576" i="51"/>
  <c r="X563" i="51"/>
  <c r="Y552" i="51"/>
  <c r="X544" i="51"/>
  <c r="X538" i="51"/>
  <c r="X531" i="51"/>
  <c r="X524" i="51"/>
  <c r="X519" i="51"/>
  <c r="X514" i="51"/>
  <c r="X508" i="51"/>
  <c r="X503" i="51"/>
  <c r="X498" i="51"/>
  <c r="X492" i="51"/>
  <c r="X487" i="51"/>
  <c r="X482" i="51"/>
  <c r="X476" i="51"/>
  <c r="Y471" i="51"/>
  <c r="X467" i="51"/>
  <c r="Y462" i="51"/>
  <c r="X458" i="51"/>
  <c r="X453" i="51"/>
  <c r="Y448" i="51"/>
  <c r="X444" i="51"/>
  <c r="Y439" i="51"/>
  <c r="X435" i="51"/>
  <c r="Y430" i="51"/>
  <c r="X426" i="51"/>
  <c r="X421" i="51"/>
  <c r="Y416" i="51"/>
  <c r="X412" i="51"/>
  <c r="Y407" i="51"/>
  <c r="X403" i="51"/>
  <c r="Y398" i="51"/>
  <c r="X394" i="51"/>
  <c r="X389" i="51"/>
  <c r="Y384" i="51"/>
  <c r="X380" i="51"/>
  <c r="Y375" i="51"/>
  <c r="X371" i="51"/>
  <c r="Y366" i="51"/>
  <c r="Y362" i="51"/>
  <c r="Y358" i="51"/>
  <c r="Y354" i="51"/>
  <c r="Y350" i="51"/>
  <c r="Y346" i="51"/>
  <c r="Y342" i="51"/>
  <c r="Y338" i="51"/>
  <c r="Y334" i="51"/>
  <c r="Y330" i="51"/>
  <c r="Y326" i="51"/>
  <c r="Y322" i="51"/>
  <c r="Y318" i="51"/>
  <c r="Y314" i="51"/>
  <c r="Y310" i="51"/>
  <c r="Y306" i="51"/>
  <c r="Y302" i="51"/>
  <c r="Y298" i="51"/>
  <c r="Y294" i="51"/>
  <c r="Y290" i="51"/>
  <c r="Y286" i="51"/>
  <c r="Y282" i="51"/>
  <c r="Y278" i="51"/>
  <c r="Y274" i="51"/>
  <c r="Y270" i="51"/>
  <c r="Y266" i="51"/>
  <c r="Y262" i="51"/>
  <c r="Y258" i="51"/>
  <c r="Y254" i="51"/>
  <c r="Y250" i="51"/>
  <c r="Y246" i="51"/>
  <c r="Y242" i="51"/>
  <c r="Y238" i="51"/>
  <c r="Y234" i="51"/>
  <c r="Y230" i="51"/>
  <c r="Y226" i="51"/>
  <c r="Y222" i="51"/>
  <c r="Y218" i="51"/>
  <c r="Y214" i="51"/>
  <c r="Y210" i="51"/>
  <c r="Y206" i="51"/>
  <c r="Y1028" i="51"/>
  <c r="Y984" i="51"/>
  <c r="Y941" i="51"/>
  <c r="Y900" i="51"/>
  <c r="Y857" i="51"/>
  <c r="Y824" i="51"/>
  <c r="Y790" i="51"/>
  <c r="Y764" i="51"/>
  <c r="Y746" i="51"/>
  <c r="X732" i="51"/>
  <c r="Y718" i="51"/>
  <c r="Y701" i="51"/>
  <c r="Y686" i="51"/>
  <c r="Y673" i="51"/>
  <c r="Y658" i="51"/>
  <c r="Y645" i="51"/>
  <c r="Y628" i="51"/>
  <c r="Y613" i="51"/>
  <c r="Y600" i="51"/>
  <c r="X587" i="51"/>
  <c r="Y575" i="51"/>
  <c r="Y560" i="51"/>
  <c r="Y550" i="51"/>
  <c r="Y543" i="51"/>
  <c r="Y536" i="51"/>
  <c r="X529" i="51"/>
  <c r="Y523" i="51"/>
  <c r="Y518" i="51"/>
  <c r="Y512" i="51"/>
  <c r="Y507" i="51"/>
  <c r="Y502" i="51"/>
  <c r="Y496" i="51"/>
  <c r="Y491" i="51"/>
  <c r="Y486" i="51"/>
  <c r="Y480" i="51"/>
  <c r="Y475" i="51"/>
  <c r="X471" i="51"/>
  <c r="Y466" i="51"/>
  <c r="X462" i="51"/>
  <c r="X457" i="51"/>
  <c r="Y452" i="51"/>
  <c r="X448" i="51"/>
  <c r="Y443" i="51"/>
  <c r="X439" i="51"/>
  <c r="Y434" i="51"/>
  <c r="X430" i="51"/>
  <c r="X425" i="51"/>
  <c r="Y420" i="51"/>
  <c r="X416" i="51"/>
  <c r="Y411" i="51"/>
  <c r="X407" i="51"/>
  <c r="Y402" i="51"/>
  <c r="X398" i="51"/>
  <c r="X393" i="51"/>
  <c r="Y388" i="51"/>
  <c r="X384" i="51"/>
  <c r="Y379" i="51"/>
  <c r="X375" i="51"/>
  <c r="Y370" i="51"/>
  <c r="X366" i="51"/>
  <c r="X362" i="51"/>
  <c r="X358" i="51"/>
  <c r="X354" i="51"/>
  <c r="X350" i="51"/>
  <c r="X346" i="51"/>
  <c r="X342" i="51"/>
  <c r="X338" i="51"/>
  <c r="X334" i="51"/>
  <c r="X330" i="51"/>
  <c r="X326" i="51"/>
  <c r="X322" i="51"/>
  <c r="X318" i="51"/>
  <c r="X314" i="51"/>
  <c r="X310" i="51"/>
  <c r="X306" i="51"/>
  <c r="X302" i="51"/>
  <c r="X298" i="51"/>
  <c r="X294" i="51"/>
  <c r="X290" i="51"/>
  <c r="X286" i="51"/>
  <c r="X282" i="51"/>
  <c r="X278" i="51"/>
  <c r="X274" i="51"/>
  <c r="X270" i="51"/>
  <c r="X266" i="51"/>
  <c r="X262" i="51"/>
  <c r="X258" i="51"/>
  <c r="X254" i="51"/>
  <c r="X250" i="51"/>
  <c r="X246" i="51"/>
  <c r="X242" i="51"/>
  <c r="X238" i="51"/>
  <c r="X234" i="51"/>
  <c r="X230" i="51"/>
  <c r="X226" i="51"/>
  <c r="X222" i="51"/>
  <c r="X218" i="51"/>
  <c r="X214" i="51"/>
  <c r="X1028" i="51"/>
  <c r="X984" i="51"/>
  <c r="X941" i="51"/>
  <c r="X900" i="51"/>
  <c r="X857" i="51"/>
  <c r="X824" i="51"/>
  <c r="Y789" i="51"/>
  <c r="X764" i="51"/>
  <c r="X746" i="51"/>
  <c r="X729" i="51"/>
  <c r="X714" i="51"/>
  <c r="X701" i="51"/>
  <c r="X686" i="51"/>
  <c r="X673" i="51"/>
  <c r="X656" i="51"/>
  <c r="X641" i="51"/>
  <c r="X628" i="51"/>
  <c r="X613" i="51"/>
  <c r="X600" i="51"/>
  <c r="Y584" i="51"/>
  <c r="Y571" i="51"/>
  <c r="X560" i="51"/>
  <c r="X550" i="51"/>
  <c r="X543" i="51"/>
  <c r="X536" i="51"/>
  <c r="Y528" i="51"/>
  <c r="X523" i="51"/>
  <c r="X518" i="51"/>
  <c r="X512" i="51"/>
  <c r="X507" i="51"/>
  <c r="X502" i="51"/>
  <c r="X496" i="51"/>
  <c r="X491" i="51"/>
  <c r="X486" i="51"/>
  <c r="X480" i="51"/>
  <c r="X475" i="51"/>
  <c r="Y470" i="51"/>
  <c r="X466" i="51"/>
  <c r="X461" i="51"/>
  <c r="Y456" i="51"/>
  <c r="X452" i="51"/>
  <c r="Y447" i="51"/>
  <c r="X443" i="51"/>
  <c r="Y438" i="51"/>
  <c r="X434" i="51"/>
  <c r="X429" i="51"/>
  <c r="Y424" i="51"/>
  <c r="X420" i="51"/>
  <c r="Y415" i="51"/>
  <c r="X411" i="51"/>
  <c r="Y406" i="51"/>
  <c r="X402" i="51"/>
  <c r="X397" i="51"/>
  <c r="Y392" i="51"/>
  <c r="X388" i="51"/>
  <c r="Y383" i="51"/>
  <c r="X379" i="51"/>
  <c r="Y374" i="51"/>
  <c r="X370" i="51"/>
  <c r="Y365" i="51"/>
  <c r="Y361" i="51"/>
  <c r="Y357" i="51"/>
  <c r="Y353" i="51"/>
  <c r="Y349" i="51"/>
  <c r="Y345" i="51"/>
  <c r="Y341" i="51"/>
  <c r="Y337" i="51"/>
  <c r="Y333" i="51"/>
  <c r="Y329" i="51"/>
  <c r="Y325" i="51"/>
  <c r="Y321" i="51"/>
  <c r="Y317" i="51"/>
  <c r="Y313" i="51"/>
  <c r="Y309" i="51"/>
  <c r="Y305" i="51"/>
  <c r="Y301" i="51"/>
  <c r="Y297" i="51"/>
  <c r="Y293" i="51"/>
  <c r="Y289" i="51"/>
  <c r="Y285" i="51"/>
  <c r="Y281" i="51"/>
  <c r="Y277" i="51"/>
  <c r="Y273" i="51"/>
  <c r="Y269" i="51"/>
  <c r="Y265" i="51"/>
  <c r="Y261" i="51"/>
  <c r="Y257" i="51"/>
  <c r="Y253" i="51"/>
  <c r="Y249" i="51"/>
  <c r="Y245" i="51"/>
  <c r="Y241" i="51"/>
  <c r="Y237" i="51"/>
  <c r="Y233" i="51"/>
  <c r="Y229" i="51"/>
  <c r="Y8" i="51"/>
  <c r="Y12" i="51"/>
  <c r="Y16" i="51"/>
  <c r="Y20" i="51"/>
  <c r="Y24" i="51"/>
  <c r="Y28" i="51"/>
  <c r="Y32" i="51"/>
  <c r="Y36" i="51"/>
  <c r="Y40" i="51"/>
  <c r="Y44" i="51"/>
  <c r="Y48" i="51"/>
  <c r="Y52" i="51"/>
  <c r="Y56" i="51"/>
  <c r="Y60" i="51"/>
  <c r="Y64" i="51"/>
  <c r="Y68" i="51"/>
  <c r="Y72" i="51"/>
  <c r="Y76" i="51"/>
  <c r="Y80" i="51"/>
  <c r="Y84" i="51"/>
  <c r="Y88" i="51"/>
  <c r="Y92" i="51"/>
  <c r="Y96" i="51"/>
  <c r="Y100" i="51"/>
  <c r="Y104" i="51"/>
  <c r="Y108" i="51"/>
  <c r="Y112" i="51"/>
  <c r="Y116" i="51"/>
  <c r="Y120" i="51"/>
  <c r="Y124" i="51"/>
  <c r="Y128" i="51"/>
  <c r="Y132" i="51"/>
  <c r="Y136" i="51"/>
  <c r="Y140" i="51"/>
  <c r="Y144" i="51"/>
  <c r="Y148" i="51"/>
  <c r="Y152" i="51"/>
  <c r="Y156" i="51"/>
  <c r="Y160" i="51"/>
  <c r="Y164" i="51"/>
  <c r="Y168" i="51"/>
  <c r="Y172" i="51"/>
  <c r="Y176" i="51"/>
  <c r="Y180" i="51"/>
  <c r="Y184" i="51"/>
  <c r="Y188" i="51"/>
  <c r="Y192" i="51"/>
  <c r="Y196" i="51"/>
  <c r="Y200" i="51"/>
  <c r="Y204" i="51"/>
  <c r="X209" i="51"/>
  <c r="Y213" i="51"/>
  <c r="Y219" i="51"/>
  <c r="Y224" i="51"/>
  <c r="X231" i="51"/>
  <c r="Y236" i="51"/>
  <c r="Y243" i="51"/>
  <c r="X249" i="51"/>
  <c r="X256" i="51"/>
  <c r="X263" i="51"/>
  <c r="X269" i="51"/>
  <c r="X277" i="51"/>
  <c r="X285" i="51"/>
  <c r="X293" i="51"/>
  <c r="X301" i="51"/>
  <c r="X309" i="51"/>
  <c r="X317" i="51"/>
  <c r="X325" i="51"/>
  <c r="X333" i="51"/>
  <c r="X341" i="51"/>
  <c r="X349" i="51"/>
  <c r="X357" i="51"/>
  <c r="X365" i="51"/>
  <c r="X374" i="51"/>
  <c r="X383" i="51"/>
  <c r="X392" i="51"/>
  <c r="X401" i="51"/>
  <c r="Y410" i="51"/>
  <c r="Y419" i="51"/>
  <c r="Y428" i="51"/>
  <c r="X438" i="51"/>
  <c r="X447" i="51"/>
  <c r="X456" i="51"/>
  <c r="X465" i="51"/>
  <c r="Y474" i="51"/>
  <c r="Y484" i="51"/>
  <c r="Y495" i="51"/>
  <c r="Y506" i="51"/>
  <c r="Y516" i="51"/>
  <c r="X528" i="51"/>
  <c r="Y542" i="51"/>
  <c r="Y559" i="51"/>
  <c r="X584" i="51"/>
  <c r="X610" i="51"/>
  <c r="Y640" i="51"/>
  <c r="Y668" i="51"/>
  <c r="Y700" i="51"/>
  <c r="Y728" i="51"/>
  <c r="Y758" i="51"/>
  <c r="Y822" i="51"/>
  <c r="Y896" i="51"/>
  <c r="Y981" i="51"/>
  <c r="X5" i="51"/>
  <c r="X9" i="51"/>
  <c r="X13" i="51"/>
  <c r="X17" i="51"/>
  <c r="X21" i="51"/>
  <c r="X25" i="51"/>
  <c r="X29" i="51"/>
  <c r="X33" i="51"/>
  <c r="X37" i="51"/>
  <c r="X41" i="51"/>
  <c r="X45" i="51"/>
  <c r="X49" i="51"/>
  <c r="X53" i="51"/>
  <c r="X57" i="51"/>
  <c r="X61" i="51"/>
  <c r="X65" i="51"/>
  <c r="X69" i="51"/>
  <c r="X73" i="51"/>
  <c r="X77" i="51"/>
  <c r="X81" i="51"/>
  <c r="X85" i="51"/>
  <c r="X89" i="51"/>
  <c r="X93" i="51"/>
  <c r="X97" i="51"/>
  <c r="X101" i="51"/>
  <c r="X105" i="51"/>
  <c r="X109" i="51"/>
  <c r="X113" i="51"/>
  <c r="X117" i="51"/>
  <c r="X121" i="51"/>
  <c r="X125" i="51"/>
  <c r="X129" i="51"/>
  <c r="X133" i="51"/>
  <c r="X137" i="51"/>
  <c r="X141" i="51"/>
  <c r="X145" i="51"/>
  <c r="X149" i="51"/>
  <c r="X153" i="51"/>
  <c r="X157" i="51"/>
  <c r="X161" i="51"/>
  <c r="X165" i="51"/>
  <c r="X169" i="51"/>
  <c r="X173" i="51"/>
  <c r="X177" i="51"/>
  <c r="X181" i="51"/>
  <c r="X185" i="51"/>
  <c r="X189" i="51"/>
  <c r="X193" i="51"/>
  <c r="X197" i="51"/>
  <c r="X201" i="51"/>
  <c r="X205" i="51"/>
  <c r="Y209" i="51"/>
  <c r="X215" i="51"/>
  <c r="X220" i="51"/>
  <c r="X225" i="51"/>
  <c r="Y231" i="51"/>
  <c r="X237" i="51"/>
  <c r="X244" i="51"/>
  <c r="X251" i="51"/>
  <c r="Y256" i="51"/>
  <c r="Y263" i="51"/>
  <c r="Y271" i="51"/>
  <c r="Y279" i="51"/>
  <c r="Y287" i="51"/>
  <c r="Y295" i="51"/>
  <c r="Y303" i="51"/>
  <c r="Y311" i="51"/>
  <c r="Y319" i="51"/>
  <c r="Y327" i="51"/>
  <c r="Y335" i="51"/>
  <c r="Y343" i="51"/>
  <c r="Y351" i="51"/>
  <c r="Y359" i="51"/>
  <c r="Y367" i="51"/>
  <c r="Y376" i="51"/>
  <c r="X386" i="51"/>
  <c r="X395" i="51"/>
  <c r="X404" i="51"/>
  <c r="X413" i="51"/>
  <c r="Y422" i="51"/>
  <c r="Y431" i="51"/>
  <c r="Y440" i="51"/>
  <c r="X450" i="51"/>
  <c r="X459" i="51"/>
  <c r="X468" i="51"/>
  <c r="X478" i="51"/>
  <c r="X488" i="51"/>
  <c r="X499" i="51"/>
  <c r="X510" i="51"/>
  <c r="X520" i="51"/>
  <c r="X532" i="51"/>
  <c r="X547" i="51"/>
  <c r="Y567" i="51"/>
  <c r="X592" i="51"/>
  <c r="Y619" i="51"/>
  <c r="Y649" i="51"/>
  <c r="Y677" i="51"/>
  <c r="Y709" i="51"/>
  <c r="Y737" i="51"/>
  <c r="X773" i="51"/>
  <c r="X841" i="51"/>
  <c r="X920" i="51"/>
  <c r="X1005" i="51"/>
  <c r="X15" i="50"/>
  <c r="Y24" i="50"/>
  <c r="Y33" i="50"/>
  <c r="Y42" i="50"/>
  <c r="Y51" i="50"/>
  <c r="X61" i="50"/>
  <c r="X70" i="50"/>
  <c r="X79" i="50"/>
  <c r="Y88" i="50"/>
  <c r="Y97" i="50"/>
  <c r="Y106" i="50"/>
  <c r="Y115" i="50"/>
  <c r="X125" i="50"/>
  <c r="X134" i="50"/>
  <c r="Y144" i="50"/>
  <c r="Y154" i="50"/>
  <c r="Y165" i="50"/>
  <c r="Y176" i="50"/>
  <c r="Y181" i="50"/>
  <c r="Y192" i="50"/>
  <c r="Y202" i="50"/>
  <c r="Y214" i="50"/>
  <c r="X227" i="50"/>
  <c r="Y240" i="50"/>
  <c r="Y246" i="50"/>
  <c r="X259" i="50"/>
  <c r="Y272" i="50"/>
  <c r="Y296" i="50"/>
  <c r="X323" i="50"/>
  <c r="Y377" i="50"/>
  <c r="X11" i="50"/>
  <c r="Y20" i="50"/>
  <c r="Y29" i="50"/>
  <c r="Y38" i="50"/>
  <c r="Y52" i="50"/>
  <c r="X66" i="50"/>
  <c r="Y79" i="50"/>
  <c r="X89" i="50"/>
  <c r="Y102" i="50"/>
  <c r="X121" i="50"/>
  <c r="X130" i="50"/>
  <c r="X145" i="50"/>
  <c r="X161" i="50"/>
  <c r="X171" i="50"/>
  <c r="X193" i="50"/>
  <c r="X209" i="50"/>
  <c r="Y221" i="50"/>
  <c r="X241" i="50"/>
  <c r="Y260" i="50"/>
  <c r="X281" i="50"/>
  <c r="X305" i="50"/>
  <c r="Y323" i="50"/>
  <c r="Y341" i="50"/>
  <c r="X351" i="50"/>
  <c r="X369" i="50"/>
  <c r="Y378" i="50"/>
  <c r="Y391" i="50"/>
  <c r="X403" i="50"/>
  <c r="X415" i="50"/>
  <c r="X441" i="50"/>
  <c r="X460" i="50"/>
  <c r="X481" i="50"/>
  <c r="X499" i="50"/>
  <c r="X518" i="50"/>
  <c r="X540" i="50"/>
  <c r="Y561" i="50"/>
  <c r="X592" i="50"/>
  <c r="Y644" i="50"/>
  <c r="Y712" i="50"/>
  <c r="Y811" i="50"/>
  <c r="Y973" i="50"/>
  <c r="X29" i="50"/>
  <c r="X38" i="50"/>
  <c r="X47" i="50"/>
  <c r="Y56" i="50"/>
  <c r="Y65" i="50"/>
  <c r="Y74" i="50"/>
  <c r="Y83" i="50"/>
  <c r="X93" i="50"/>
  <c r="X102" i="50"/>
  <c r="X111" i="50"/>
  <c r="Y120" i="50"/>
  <c r="Y129" i="50"/>
  <c r="Y138" i="50"/>
  <c r="Y149" i="50"/>
  <c r="Y160" i="50"/>
  <c r="Y170" i="50"/>
  <c r="Y186" i="50"/>
  <c r="Y197" i="50"/>
  <c r="Y208" i="50"/>
  <c r="X221" i="50"/>
  <c r="Y233" i="50"/>
  <c r="X253" i="50"/>
  <c r="Y265" i="50"/>
  <c r="Y280" i="50"/>
  <c r="Y288" i="50"/>
  <c r="Y304" i="50"/>
  <c r="Y313" i="50"/>
  <c r="X332" i="50"/>
  <c r="X341" i="50"/>
  <c r="Y350" i="50"/>
  <c r="Y359" i="50"/>
  <c r="Y368" i="50"/>
  <c r="X389" i="50"/>
  <c r="X401" i="50"/>
  <c r="Y414" i="50"/>
  <c r="Y425" i="50"/>
  <c r="X439" i="50"/>
  <c r="Y458" i="50"/>
  <c r="X477" i="50"/>
  <c r="X497" i="50"/>
  <c r="Y517" i="50"/>
  <c r="X536" i="50"/>
  <c r="X558" i="50"/>
  <c r="X591" i="50"/>
  <c r="Y632" i="50"/>
  <c r="X703" i="50"/>
  <c r="Y809" i="50"/>
  <c r="Y941" i="50"/>
  <c r="Y6" i="50"/>
  <c r="Y15" i="50"/>
  <c r="X25" i="50"/>
  <c r="X34" i="50"/>
  <c r="X43" i="50"/>
  <c r="Y47" i="50"/>
  <c r="X57" i="50"/>
  <c r="Y61" i="50"/>
  <c r="Y70" i="50"/>
  <c r="X75" i="50"/>
  <c r="Y84" i="50"/>
  <c r="Y93" i="50"/>
  <c r="X98" i="50"/>
  <c r="X107" i="50"/>
  <c r="Y111" i="50"/>
  <c r="Y116" i="50"/>
  <c r="Y125" i="50"/>
  <c r="Y134" i="50"/>
  <c r="X139" i="50"/>
  <c r="X150" i="50"/>
  <c r="X155" i="50"/>
  <c r="X166" i="50"/>
  <c r="X177" i="50"/>
  <c r="X182" i="50"/>
  <c r="X187" i="50"/>
  <c r="X198" i="50"/>
  <c r="X203" i="50"/>
  <c r="X215" i="50"/>
  <c r="Y228" i="50"/>
  <c r="Y234" i="50"/>
  <c r="X247" i="50"/>
  <c r="Y253" i="50"/>
  <c r="Y266" i="50"/>
  <c r="X273" i="50"/>
  <c r="X289" i="50"/>
  <c r="X297" i="50"/>
  <c r="Y314" i="50"/>
  <c r="Y332" i="50"/>
  <c r="X360" i="50"/>
  <c r="X428" i="50"/>
  <c r="X7" i="50"/>
  <c r="Y11" i="50"/>
  <c r="Y16" i="50"/>
  <c r="X21" i="50"/>
  <c r="Y25" i="50"/>
  <c r="X30" i="50"/>
  <c r="Y34" i="50"/>
  <c r="X39" i="50"/>
  <c r="Y43" i="50"/>
  <c r="Y48" i="50"/>
  <c r="X53" i="50"/>
  <c r="Y57" i="50"/>
  <c r="X62" i="50"/>
  <c r="Y66" i="50"/>
  <c r="X71" i="50"/>
  <c r="Y75" i="50"/>
  <c r="Y80" i="50"/>
  <c r="X85" i="50"/>
  <c r="Y89" i="50"/>
  <c r="X94" i="50"/>
  <c r="Y98" i="50"/>
  <c r="X103" i="50"/>
  <c r="Y107" i="50"/>
  <c r="Y112" i="50"/>
  <c r="X117" i="50"/>
  <c r="Y121" i="50"/>
  <c r="X126" i="50"/>
  <c r="Y130" i="50"/>
  <c r="X135" i="50"/>
  <c r="Y140" i="50"/>
  <c r="Y145" i="50"/>
  <c r="Y150" i="50"/>
  <c r="Y156" i="50"/>
  <c r="Y161" i="50"/>
  <c r="Y166" i="50"/>
  <c r="Y172" i="50"/>
  <c r="Y177" i="50"/>
  <c r="Y182" i="50"/>
  <c r="Y188" i="50"/>
  <c r="Y193" i="50"/>
  <c r="Y198" i="50"/>
  <c r="Y204" i="50"/>
  <c r="Y209" i="50"/>
  <c r="Y216" i="50"/>
  <c r="Y222" i="50"/>
  <c r="X229" i="50"/>
  <c r="X235" i="50"/>
  <c r="Y241" i="50"/>
  <c r="Y248" i="50"/>
  <c r="Y254" i="50"/>
  <c r="X261" i="50"/>
  <c r="X267" i="50"/>
  <c r="Y273" i="50"/>
  <c r="Y281" i="50"/>
  <c r="Y289" i="50"/>
  <c r="Y297" i="50"/>
  <c r="Y305" i="50"/>
  <c r="X315" i="50"/>
  <c r="X324" i="50"/>
  <c r="X333" i="50"/>
  <c r="Y342" i="50"/>
  <c r="Y351" i="50"/>
  <c r="Y360" i="50"/>
  <c r="Y369" i="50"/>
  <c r="X380" i="50"/>
  <c r="X392" i="50"/>
  <c r="X405" i="50"/>
  <c r="Y416" i="50"/>
  <c r="Y428" i="50"/>
  <c r="Y444" i="50"/>
  <c r="Y462" i="50"/>
  <c r="Y481" i="50"/>
  <c r="Y502" i="50"/>
  <c r="X521" i="50"/>
  <c r="Y541" i="50"/>
  <c r="X566" i="50"/>
  <c r="X599" i="50"/>
  <c r="X648" i="50"/>
  <c r="X728" i="50"/>
  <c r="X836" i="50"/>
  <c r="Y977" i="50"/>
  <c r="Y7" i="50"/>
  <c r="Y12" i="50"/>
  <c r="X17" i="50"/>
  <c r="Y21" i="50"/>
  <c r="X26" i="50"/>
  <c r="Y30" i="50"/>
  <c r="X35" i="50"/>
  <c r="Y39" i="50"/>
  <c r="Y44" i="50"/>
  <c r="X49" i="50"/>
  <c r="Y53" i="50"/>
  <c r="X58" i="50"/>
  <c r="Y62" i="50"/>
  <c r="X67" i="50"/>
  <c r="Y71" i="50"/>
  <c r="Y76" i="50"/>
  <c r="X81" i="50"/>
  <c r="Y85" i="50"/>
  <c r="X90" i="50"/>
  <c r="Y94" i="50"/>
  <c r="X99" i="50"/>
  <c r="Y103" i="50"/>
  <c r="Y108" i="50"/>
  <c r="X113" i="50"/>
  <c r="Y117" i="50"/>
  <c r="X122" i="50"/>
  <c r="Y126" i="50"/>
  <c r="X131" i="50"/>
  <c r="Y135" i="50"/>
  <c r="X141" i="50"/>
  <c r="X146" i="50"/>
  <c r="X151" i="50"/>
  <c r="X157" i="50"/>
  <c r="X162" i="50"/>
  <c r="X167" i="50"/>
  <c r="X173" i="50"/>
  <c r="X178" i="50"/>
  <c r="X183" i="50"/>
  <c r="X189" i="50"/>
  <c r="X194" i="50"/>
  <c r="X199" i="50"/>
  <c r="X205" i="50"/>
  <c r="Y210" i="50"/>
  <c r="X217" i="50"/>
  <c r="X223" i="50"/>
  <c r="Y229" i="50"/>
  <c r="Y236" i="50"/>
  <c r="Y242" i="50"/>
  <c r="X249" i="50"/>
  <c r="X255" i="50"/>
  <c r="Y261" i="50"/>
  <c r="Y268" i="50"/>
  <c r="Y274" i="50"/>
  <c r="Y282" i="50"/>
  <c r="Y290" i="50"/>
  <c r="Y298" i="50"/>
  <c r="X307" i="50"/>
  <c r="X316" i="50"/>
  <c r="X325" i="50"/>
  <c r="Y334" i="50"/>
  <c r="Y343" i="50"/>
  <c r="Y352" i="50"/>
  <c r="Y361" i="50"/>
  <c r="X371" i="50"/>
  <c r="Y382" i="50"/>
  <c r="Y393" i="50"/>
  <c r="Y405" i="50"/>
  <c r="X419" i="50"/>
  <c r="Y430" i="50"/>
  <c r="X445" i="50"/>
  <c r="X466" i="50"/>
  <c r="X484" i="50"/>
  <c r="Y503" i="50"/>
  <c r="X525" i="50"/>
  <c r="X545" i="50"/>
  <c r="X567" i="50"/>
  <c r="Y607" i="50"/>
  <c r="Y660" i="50"/>
  <c r="Y731" i="50"/>
  <c r="X860" i="50"/>
  <c r="Y995" i="50"/>
  <c r="X86" i="50"/>
  <c r="Y90" i="50"/>
  <c r="X95" i="50"/>
  <c r="Y99" i="50"/>
  <c r="Y104" i="50"/>
  <c r="X109" i="50"/>
  <c r="Y113" i="50"/>
  <c r="X118" i="50"/>
  <c r="Y122" i="50"/>
  <c r="X127" i="50"/>
  <c r="Y131" i="50"/>
  <c r="Y136" i="50"/>
  <c r="Y141" i="50"/>
  <c r="Y146" i="50"/>
  <c r="Y152" i="50"/>
  <c r="Y157" i="50"/>
  <c r="Y162" i="50"/>
  <c r="Y168" i="50"/>
  <c r="Y173" i="50"/>
  <c r="Y178" i="50"/>
  <c r="Y184" i="50"/>
  <c r="Y189" i="50"/>
  <c r="Y194" i="50"/>
  <c r="Y200" i="50"/>
  <c r="Y205" i="50"/>
  <c r="X211" i="50"/>
  <c r="Y217" i="50"/>
  <c r="Y224" i="50"/>
  <c r="Y230" i="50"/>
  <c r="X237" i="50"/>
  <c r="X243" i="50"/>
  <c r="Y249" i="50"/>
  <c r="Y256" i="50"/>
  <c r="Y262" i="50"/>
  <c r="X269" i="50"/>
  <c r="Y276" i="50"/>
  <c r="Y284" i="50"/>
  <c r="Y292" i="50"/>
  <c r="Y300" i="50"/>
  <c r="X309" i="50"/>
  <c r="Y318" i="50"/>
  <c r="Y327" i="50"/>
  <c r="Y336" i="50"/>
  <c r="Y345" i="50"/>
  <c r="X355" i="50"/>
  <c r="X364" i="50"/>
  <c r="X373" i="50"/>
  <c r="X383" i="50"/>
  <c r="X396" i="50"/>
  <c r="Y407" i="50"/>
  <c r="Y419" i="50"/>
  <c r="Y432" i="50"/>
  <c r="Y447" i="50"/>
  <c r="X467" i="50"/>
  <c r="X488" i="50"/>
  <c r="Y506" i="50"/>
  <c r="Y525" i="50"/>
  <c r="Y549" i="50"/>
  <c r="X571" i="50"/>
  <c r="X609" i="50"/>
  <c r="X671" i="50"/>
  <c r="X739" i="50"/>
  <c r="Y873" i="50"/>
  <c r="Y1027" i="50"/>
  <c r="Y8" i="50"/>
  <c r="X13" i="50"/>
  <c r="Y17" i="50"/>
  <c r="X22" i="50"/>
  <c r="Y26" i="50"/>
  <c r="X31" i="50"/>
  <c r="Y35" i="50"/>
  <c r="Y40" i="50"/>
  <c r="X45" i="50"/>
  <c r="Y49" i="50"/>
  <c r="X54" i="50"/>
  <c r="Y58" i="50"/>
  <c r="X63" i="50"/>
  <c r="Y67" i="50"/>
  <c r="Y72" i="50"/>
  <c r="X77" i="50"/>
  <c r="Y13" i="50"/>
  <c r="Y22" i="50"/>
  <c r="Y36" i="50"/>
  <c r="X50" i="50"/>
  <c r="Y63" i="50"/>
  <c r="Y77" i="50"/>
  <c r="X91" i="50"/>
  <c r="X105" i="50"/>
  <c r="Y118" i="50"/>
  <c r="X137" i="50"/>
  <c r="X153" i="50"/>
  <c r="X169" i="50"/>
  <c r="X185" i="50"/>
  <c r="X206" i="50"/>
  <c r="Y244" i="50"/>
  <c r="X285" i="50"/>
  <c r="X328" i="50"/>
  <c r="Y384" i="50"/>
  <c r="X470" i="50"/>
  <c r="X550" i="50"/>
  <c r="X613" i="50"/>
  <c r="Y676" i="50"/>
  <c r="X753" i="50"/>
  <c r="Y885" i="50"/>
  <c r="X1031" i="50"/>
  <c r="X1027" i="50"/>
  <c r="X1023" i="50"/>
  <c r="X1019" i="50"/>
  <c r="X1015" i="50"/>
  <c r="X1011" i="50"/>
  <c r="X1007" i="50"/>
  <c r="X1003" i="50"/>
  <c r="X999" i="50"/>
  <c r="X995" i="50"/>
  <c r="X991" i="50"/>
  <c r="X987" i="50"/>
  <c r="X983" i="50"/>
  <c r="X979" i="50"/>
  <c r="X975" i="50"/>
  <c r="X971" i="50"/>
  <c r="X967" i="50"/>
  <c r="X963" i="50"/>
  <c r="X959" i="50"/>
  <c r="X955" i="50"/>
  <c r="X951" i="50"/>
  <c r="X947" i="50"/>
  <c r="X943" i="50"/>
  <c r="X939" i="50"/>
  <c r="X935" i="50"/>
  <c r="X931" i="50"/>
  <c r="X927" i="50"/>
  <c r="X923" i="50"/>
  <c r="X919" i="50"/>
  <c r="X915" i="50"/>
  <c r="X911" i="50"/>
  <c r="X907" i="50"/>
  <c r="X903" i="50"/>
  <c r="X899" i="50"/>
  <c r="X895" i="50"/>
  <c r="X891" i="50"/>
  <c r="X887" i="50"/>
  <c r="X883" i="50"/>
  <c r="X879" i="50"/>
  <c r="X875" i="50"/>
  <c r="X871" i="50"/>
  <c r="X867" i="50"/>
  <c r="X863" i="50"/>
  <c r="X859" i="50"/>
  <c r="X855" i="50"/>
  <c r="X851" i="50"/>
  <c r="X847" i="50"/>
  <c r="X843" i="50"/>
  <c r="X839" i="50"/>
  <c r="X835" i="50"/>
  <c r="X831" i="50"/>
  <c r="X827" i="50"/>
  <c r="X823" i="50"/>
  <c r="X819" i="50"/>
  <c r="X815" i="50"/>
  <c r="X811" i="50"/>
  <c r="X807" i="50"/>
  <c r="X803" i="50"/>
  <c r="X799" i="50"/>
  <c r="X795" i="50"/>
  <c r="X791" i="50"/>
  <c r="X787" i="50"/>
  <c r="X783" i="50"/>
  <c r="X779" i="50"/>
  <c r="X775" i="50"/>
  <c r="X771" i="50"/>
  <c r="X767" i="50"/>
  <c r="X763" i="50"/>
  <c r="Y1030" i="50"/>
  <c r="Y1026" i="50"/>
  <c r="Y1022" i="50"/>
  <c r="Y1018" i="50"/>
  <c r="Y1014" i="50"/>
  <c r="Y1010" i="50"/>
  <c r="Y1006" i="50"/>
  <c r="Y1002" i="50"/>
  <c r="Y998" i="50"/>
  <c r="Y994" i="50"/>
  <c r="Y990" i="50"/>
  <c r="Y986" i="50"/>
  <c r="Y982" i="50"/>
  <c r="Y978" i="50"/>
  <c r="Y974" i="50"/>
  <c r="Y970" i="50"/>
  <c r="Y966" i="50"/>
  <c r="Y962" i="50"/>
  <c r="Y958" i="50"/>
  <c r="Y954" i="50"/>
  <c r="Y950" i="50"/>
  <c r="Y946" i="50"/>
  <c r="Y942" i="50"/>
  <c r="Y938" i="50"/>
  <c r="Y934" i="50"/>
  <c r="Y930" i="50"/>
  <c r="Y926" i="50"/>
  <c r="Y922" i="50"/>
  <c r="Y918" i="50"/>
  <c r="Y914" i="50"/>
  <c r="Y910" i="50"/>
  <c r="Y906" i="50"/>
  <c r="Y902" i="50"/>
  <c r="Y898" i="50"/>
  <c r="Y894" i="50"/>
  <c r="Y890" i="50"/>
  <c r="Y886" i="50"/>
  <c r="Y882" i="50"/>
  <c r="Y878" i="50"/>
  <c r="Y874" i="50"/>
  <c r="Y870" i="50"/>
  <c r="Y866" i="50"/>
  <c r="Y862" i="50"/>
  <c r="Y858" i="50"/>
  <c r="Y854" i="50"/>
  <c r="Y850" i="50"/>
  <c r="Y846" i="50"/>
  <c r="Y842" i="50"/>
  <c r="Y838" i="50"/>
  <c r="Y834" i="50"/>
  <c r="Y830" i="50"/>
  <c r="Y826" i="50"/>
  <c r="Y822" i="50"/>
  <c r="Y818" i="50"/>
  <c r="Y814" i="50"/>
  <c r="Y810" i="50"/>
  <c r="Y806" i="50"/>
  <c r="Y802" i="50"/>
  <c r="Y798" i="50"/>
  <c r="Y794" i="50"/>
  <c r="Y790" i="50"/>
  <c r="Y786" i="50"/>
  <c r="Y782" i="50"/>
  <c r="Y778" i="50"/>
  <c r="Y774" i="50"/>
  <c r="Y770" i="50"/>
  <c r="Y766" i="50"/>
  <c r="Y762" i="50"/>
  <c r="Y758" i="50"/>
  <c r="Y754" i="50"/>
  <c r="X1030" i="50"/>
  <c r="X1026" i="50"/>
  <c r="X1022" i="50"/>
  <c r="X1018" i="50"/>
  <c r="X1014" i="50"/>
  <c r="X1010" i="50"/>
  <c r="X1006" i="50"/>
  <c r="X1002" i="50"/>
  <c r="X998" i="50"/>
  <c r="X994" i="50"/>
  <c r="X990" i="50"/>
  <c r="X986" i="50"/>
  <c r="X982" i="50"/>
  <c r="X978" i="50"/>
  <c r="X974" i="50"/>
  <c r="X970" i="50"/>
  <c r="X966" i="50"/>
  <c r="X962" i="50"/>
  <c r="X958" i="50"/>
  <c r="X954" i="50"/>
  <c r="X950" i="50"/>
  <c r="X946" i="50"/>
  <c r="X942" i="50"/>
  <c r="X938" i="50"/>
  <c r="X934" i="50"/>
  <c r="X930" i="50"/>
  <c r="X926" i="50"/>
  <c r="X922" i="50"/>
  <c r="X918" i="50"/>
  <c r="X914" i="50"/>
  <c r="X910" i="50"/>
  <c r="X906" i="50"/>
  <c r="X902" i="50"/>
  <c r="X898" i="50"/>
  <c r="X894" i="50"/>
  <c r="X890" i="50"/>
  <c r="X886" i="50"/>
  <c r="X882" i="50"/>
  <c r="X878" i="50"/>
  <c r="X874" i="50"/>
  <c r="X870" i="50"/>
  <c r="X866" i="50"/>
  <c r="X862" i="50"/>
  <c r="X858" i="50"/>
  <c r="X854" i="50"/>
  <c r="X850" i="50"/>
  <c r="X846" i="50"/>
  <c r="X842" i="50"/>
  <c r="X838" i="50"/>
  <c r="X834" i="50"/>
  <c r="X830" i="50"/>
  <c r="X826" i="50"/>
  <c r="X822" i="50"/>
  <c r="X818" i="50"/>
  <c r="X814" i="50"/>
  <c r="X810" i="50"/>
  <c r="X806" i="50"/>
  <c r="X802" i="50"/>
  <c r="X798" i="50"/>
  <c r="X794" i="50"/>
  <c r="X790" i="50"/>
  <c r="X786" i="50"/>
  <c r="X782" i="50"/>
  <c r="X778" i="50"/>
  <c r="X774" i="50"/>
  <c r="X770" i="50"/>
  <c r="X766" i="50"/>
  <c r="X762" i="50"/>
  <c r="X758" i="50"/>
  <c r="Y1029" i="50"/>
  <c r="X1029" i="50"/>
  <c r="X1025" i="50"/>
  <c r="X1021" i="50"/>
  <c r="X1017" i="50"/>
  <c r="X1013" i="50"/>
  <c r="X1009" i="50"/>
  <c r="X1005" i="50"/>
  <c r="X1001" i="50"/>
  <c r="X997" i="50"/>
  <c r="X993" i="50"/>
  <c r="X989" i="50"/>
  <c r="X985" i="50"/>
  <c r="X981" i="50"/>
  <c r="X977" i="50"/>
  <c r="X973" i="50"/>
  <c r="X969" i="50"/>
  <c r="X965" i="50"/>
  <c r="X961" i="50"/>
  <c r="X957" i="50"/>
  <c r="X953" i="50"/>
  <c r="X949" i="50"/>
  <c r="X945" i="50"/>
  <c r="X941" i="50"/>
  <c r="X937" i="50"/>
  <c r="X933" i="50"/>
  <c r="X929" i="50"/>
  <c r="X925" i="50"/>
  <c r="X921" i="50"/>
  <c r="X917" i="50"/>
  <c r="X913" i="50"/>
  <c r="X909" i="50"/>
  <c r="X905" i="50"/>
  <c r="X901" i="50"/>
  <c r="X897" i="50"/>
  <c r="X893" i="50"/>
  <c r="X889" i="50"/>
  <c r="X885" i="50"/>
  <c r="X881" i="50"/>
  <c r="X877" i="50"/>
  <c r="X873" i="50"/>
  <c r="X869" i="50"/>
  <c r="X865" i="50"/>
  <c r="X861" i="50"/>
  <c r="X857" i="50"/>
  <c r="X853" i="50"/>
  <c r="X849" i="50"/>
  <c r="X845" i="50"/>
  <c r="X841" i="50"/>
  <c r="X837" i="50"/>
  <c r="X833" i="50"/>
  <c r="X829" i="50"/>
  <c r="X825" i="50"/>
  <c r="X821" i="50"/>
  <c r="X817" i="50"/>
  <c r="X813" i="50"/>
  <c r="X809" i="50"/>
  <c r="X805" i="50"/>
  <c r="X801" i="50"/>
  <c r="X797" i="50"/>
  <c r="X793" i="50"/>
  <c r="X789" i="50"/>
  <c r="X785" i="50"/>
  <c r="X781" i="50"/>
  <c r="X777" i="50"/>
  <c r="X773" i="50"/>
  <c r="X769" i="50"/>
  <c r="X765" i="50"/>
  <c r="X761" i="50"/>
  <c r="X757" i="50"/>
  <c r="Y1024" i="50"/>
  <c r="Y1016" i="50"/>
  <c r="Y1008" i="50"/>
  <c r="Y1000" i="50"/>
  <c r="Y992" i="50"/>
  <c r="Y984" i="50"/>
  <c r="Y976" i="50"/>
  <c r="Y968" i="50"/>
  <c r="Y960" i="50"/>
  <c r="Y952" i="50"/>
  <c r="Y944" i="50"/>
  <c r="Y936" i="50"/>
  <c r="Y928" i="50"/>
  <c r="Y920" i="50"/>
  <c r="Y912" i="50"/>
  <c r="Y904" i="50"/>
  <c r="Y896" i="50"/>
  <c r="Y888" i="50"/>
  <c r="Y880" i="50"/>
  <c r="Y872" i="50"/>
  <c r="Y864" i="50"/>
  <c r="Y856" i="50"/>
  <c r="Y848" i="50"/>
  <c r="Y840" i="50"/>
  <c r="Y832" i="50"/>
  <c r="Y824" i="50"/>
  <c r="Y816" i="50"/>
  <c r="Y808" i="50"/>
  <c r="Y800" i="50"/>
  <c r="Y792" i="50"/>
  <c r="Y784" i="50"/>
  <c r="Y776" i="50"/>
  <c r="Y768" i="50"/>
  <c r="Y760" i="50"/>
  <c r="X755" i="50"/>
  <c r="Y750" i="50"/>
  <c r="Y746" i="50"/>
  <c r="Y742" i="50"/>
  <c r="Y738" i="50"/>
  <c r="Y734" i="50"/>
  <c r="Y730" i="50"/>
  <c r="Y726" i="50"/>
  <c r="Y722" i="50"/>
  <c r="Y718" i="50"/>
  <c r="Y714" i="50"/>
  <c r="Y710" i="50"/>
  <c r="Y706" i="50"/>
  <c r="Y702" i="50"/>
  <c r="Y698" i="50"/>
  <c r="Y694" i="50"/>
  <c r="Y690" i="50"/>
  <c r="Y686" i="50"/>
  <c r="Y682" i="50"/>
  <c r="Y678" i="50"/>
  <c r="Y674" i="50"/>
  <c r="Y670" i="50"/>
  <c r="Y666" i="50"/>
  <c r="Y662" i="50"/>
  <c r="Y658" i="50"/>
  <c r="Y654" i="50"/>
  <c r="Y650" i="50"/>
  <c r="Y646" i="50"/>
  <c r="Y642" i="50"/>
  <c r="Y638" i="50"/>
  <c r="Y634" i="50"/>
  <c r="Y630" i="50"/>
  <c r="Y626" i="50"/>
  <c r="Y622" i="50"/>
  <c r="Y618" i="50"/>
  <c r="Y614" i="50"/>
  <c r="Y610" i="50"/>
  <c r="Y606" i="50"/>
  <c r="Y602" i="50"/>
  <c r="Y598" i="50"/>
  <c r="Y594" i="50"/>
  <c r="Y590" i="50"/>
  <c r="Y586" i="50"/>
  <c r="Y582" i="50"/>
  <c r="Y578" i="50"/>
  <c r="X1024" i="50"/>
  <c r="X1016" i="50"/>
  <c r="X1008" i="50"/>
  <c r="X1000" i="50"/>
  <c r="X992" i="50"/>
  <c r="X984" i="50"/>
  <c r="X976" i="50"/>
  <c r="X968" i="50"/>
  <c r="X960" i="50"/>
  <c r="X952" i="50"/>
  <c r="X944" i="50"/>
  <c r="X936" i="50"/>
  <c r="X928" i="50"/>
  <c r="X920" i="50"/>
  <c r="X912" i="50"/>
  <c r="X904" i="50"/>
  <c r="X896" i="50"/>
  <c r="X888" i="50"/>
  <c r="X880" i="50"/>
  <c r="X872" i="50"/>
  <c r="X864" i="50"/>
  <c r="X856" i="50"/>
  <c r="X848" i="50"/>
  <c r="X840" i="50"/>
  <c r="X832" i="50"/>
  <c r="X824" i="50"/>
  <c r="X816" i="50"/>
  <c r="X808" i="50"/>
  <c r="X800" i="50"/>
  <c r="X792" i="50"/>
  <c r="X784" i="50"/>
  <c r="X776" i="50"/>
  <c r="X768" i="50"/>
  <c r="X760" i="50"/>
  <c r="X754" i="50"/>
  <c r="X750" i="50"/>
  <c r="X746" i="50"/>
  <c r="X742" i="50"/>
  <c r="X738" i="50"/>
  <c r="X734" i="50"/>
  <c r="X730" i="50"/>
  <c r="X726" i="50"/>
  <c r="X722" i="50"/>
  <c r="X718" i="50"/>
  <c r="X714" i="50"/>
  <c r="X710" i="50"/>
  <c r="X706" i="50"/>
  <c r="X702" i="50"/>
  <c r="X698" i="50"/>
  <c r="X694" i="50"/>
  <c r="X690" i="50"/>
  <c r="X686" i="50"/>
  <c r="X682" i="50"/>
  <c r="X678" i="50"/>
  <c r="X674" i="50"/>
  <c r="X670" i="50"/>
  <c r="X666" i="50"/>
  <c r="X662" i="50"/>
  <c r="X658" i="50"/>
  <c r="X654" i="50"/>
  <c r="X650" i="50"/>
  <c r="X646" i="50"/>
  <c r="X642" i="50"/>
  <c r="X638" i="50"/>
  <c r="X634" i="50"/>
  <c r="X630" i="50"/>
  <c r="X626" i="50"/>
  <c r="X622" i="50"/>
  <c r="X618" i="50"/>
  <c r="X614" i="50"/>
  <c r="X610" i="50"/>
  <c r="X606" i="50"/>
  <c r="X602" i="50"/>
  <c r="X598" i="50"/>
  <c r="X594" i="50"/>
  <c r="X590" i="50"/>
  <c r="X586" i="50"/>
  <c r="X582" i="50"/>
  <c r="X578" i="50"/>
  <c r="Y1023" i="50"/>
  <c r="Y1015" i="50"/>
  <c r="Y1007" i="50"/>
  <c r="Y999" i="50"/>
  <c r="Y991" i="50"/>
  <c r="Y983" i="50"/>
  <c r="Y975" i="50"/>
  <c r="Y967" i="50"/>
  <c r="Y959" i="50"/>
  <c r="Y951" i="50"/>
  <c r="Y943" i="50"/>
  <c r="Y935" i="50"/>
  <c r="Y927" i="50"/>
  <c r="Y919" i="50"/>
  <c r="Y911" i="50"/>
  <c r="Y903" i="50"/>
  <c r="Y895" i="50"/>
  <c r="Y887" i="50"/>
  <c r="Y879" i="50"/>
  <c r="Y871" i="50"/>
  <c r="Y863" i="50"/>
  <c r="Y855" i="50"/>
  <c r="Y847" i="50"/>
  <c r="Y839" i="50"/>
  <c r="Y831" i="50"/>
  <c r="Y823" i="50"/>
  <c r="Y815" i="50"/>
  <c r="Y807" i="50"/>
  <c r="Y799" i="50"/>
  <c r="Y791" i="50"/>
  <c r="Y783" i="50"/>
  <c r="Y775" i="50"/>
  <c r="Y767" i="50"/>
  <c r="Y759" i="50"/>
  <c r="Y753" i="50"/>
  <c r="Y749" i="50"/>
  <c r="Y745" i="50"/>
  <c r="Y741" i="50"/>
  <c r="Y737" i="50"/>
  <c r="Y733" i="50"/>
  <c r="Y729" i="50"/>
  <c r="Y725" i="50"/>
  <c r="Y721" i="50"/>
  <c r="Y717" i="50"/>
  <c r="Y713" i="50"/>
  <c r="Y709" i="50"/>
  <c r="Y705" i="50"/>
  <c r="Y701" i="50"/>
  <c r="Y697" i="50"/>
  <c r="Y693" i="50"/>
  <c r="Y689" i="50"/>
  <c r="Y685" i="50"/>
  <c r="Y681" i="50"/>
  <c r="Y677" i="50"/>
  <c r="Y673" i="50"/>
  <c r="Y669" i="50"/>
  <c r="Y665" i="50"/>
  <c r="Y661" i="50"/>
  <c r="Y657" i="50"/>
  <c r="Y653" i="50"/>
  <c r="Y649" i="50"/>
  <c r="Y645" i="50"/>
  <c r="Y641" i="50"/>
  <c r="Y637" i="50"/>
  <c r="Y633" i="50"/>
  <c r="Y629" i="50"/>
  <c r="Y625" i="50"/>
  <c r="Y621" i="50"/>
  <c r="Y617" i="50"/>
  <c r="Y613" i="50"/>
  <c r="Y609" i="50"/>
  <c r="Y605" i="50"/>
  <c r="Y601" i="50"/>
  <c r="Y597" i="50"/>
  <c r="Y593" i="50"/>
  <c r="Y589" i="50"/>
  <c r="Y585" i="50"/>
  <c r="Y581" i="50"/>
  <c r="Y577" i="50"/>
  <c r="Y1025" i="50"/>
  <c r="X1012" i="50"/>
  <c r="Y997" i="50"/>
  <c r="Y987" i="50"/>
  <c r="Y972" i="50"/>
  <c r="Y961" i="50"/>
  <c r="X948" i="50"/>
  <c r="Y933" i="50"/>
  <c r="Y923" i="50"/>
  <c r="Y908" i="50"/>
  <c r="Y897" i="50"/>
  <c r="X884" i="50"/>
  <c r="Y869" i="50"/>
  <c r="Y859" i="50"/>
  <c r="Y844" i="50"/>
  <c r="Y833" i="50"/>
  <c r="X820" i="50"/>
  <c r="Y805" i="50"/>
  <c r="Y795" i="50"/>
  <c r="Y780" i="50"/>
  <c r="Y769" i="50"/>
  <c r="Y756" i="50"/>
  <c r="X749" i="50"/>
  <c r="Y743" i="50"/>
  <c r="Y736" i="50"/>
  <c r="X731" i="50"/>
  <c r="X724" i="50"/>
  <c r="X717" i="50"/>
  <c r="Y711" i="50"/>
  <c r="Y704" i="50"/>
  <c r="X699" i="50"/>
  <c r="X692" i="50"/>
  <c r="X685" i="50"/>
  <c r="Y679" i="50"/>
  <c r="Y672" i="50"/>
  <c r="X667" i="50"/>
  <c r="X660" i="50"/>
  <c r="X653" i="50"/>
  <c r="Y647" i="50"/>
  <c r="Y640" i="50"/>
  <c r="X635" i="50"/>
  <c r="X628" i="50"/>
  <c r="X621" i="50"/>
  <c r="Y615" i="50"/>
  <c r="Y608" i="50"/>
  <c r="X603" i="50"/>
  <c r="X596" i="50"/>
  <c r="X589" i="50"/>
  <c r="Y583" i="50"/>
  <c r="Y576" i="50"/>
  <c r="Y572" i="50"/>
  <c r="Y568" i="50"/>
  <c r="Y564" i="50"/>
  <c r="Y560" i="50"/>
  <c r="Y556" i="50"/>
  <c r="Y552" i="50"/>
  <c r="Y548" i="50"/>
  <c r="Y544" i="50"/>
  <c r="Y540" i="50"/>
  <c r="Y536" i="50"/>
  <c r="Y532" i="50"/>
  <c r="Y528" i="50"/>
  <c r="Y524" i="50"/>
  <c r="Y520" i="50"/>
  <c r="Y516" i="50"/>
  <c r="Y512" i="50"/>
  <c r="Y508" i="50"/>
  <c r="Y504" i="50"/>
  <c r="Y500" i="50"/>
  <c r="Y496" i="50"/>
  <c r="Y492" i="50"/>
  <c r="Y488" i="50"/>
  <c r="Y484" i="50"/>
  <c r="Y480" i="50"/>
  <c r="Y476" i="50"/>
  <c r="Y472" i="50"/>
  <c r="Y468" i="50"/>
  <c r="Y464" i="50"/>
  <c r="Y460" i="50"/>
  <c r="Y456" i="50"/>
  <c r="Y452" i="50"/>
  <c r="Y448" i="50"/>
  <c r="Y1021" i="50"/>
  <c r="Y1011" i="50"/>
  <c r="Y996" i="50"/>
  <c r="Y985" i="50"/>
  <c r="X972" i="50"/>
  <c r="Y957" i="50"/>
  <c r="Y947" i="50"/>
  <c r="Y932" i="50"/>
  <c r="Y921" i="50"/>
  <c r="X908" i="50"/>
  <c r="Y893" i="50"/>
  <c r="Y883" i="50"/>
  <c r="Y868" i="50"/>
  <c r="Y857" i="50"/>
  <c r="X844" i="50"/>
  <c r="Y829" i="50"/>
  <c r="Y819" i="50"/>
  <c r="Y804" i="50"/>
  <c r="Y793" i="50"/>
  <c r="X780" i="50"/>
  <c r="Y765" i="50"/>
  <c r="X756" i="50"/>
  <c r="Y748" i="50"/>
  <c r="X743" i="50"/>
  <c r="X736" i="50"/>
  <c r="X729" i="50"/>
  <c r="Y723" i="50"/>
  <c r="Y716" i="50"/>
  <c r="X711" i="50"/>
  <c r="X704" i="50"/>
  <c r="X697" i="50"/>
  <c r="Y691" i="50"/>
  <c r="Y684" i="50"/>
  <c r="X679" i="50"/>
  <c r="X672" i="50"/>
  <c r="X665" i="50"/>
  <c r="Y659" i="50"/>
  <c r="Y652" i="50"/>
  <c r="X647" i="50"/>
  <c r="X640" i="50"/>
  <c r="X633" i="50"/>
  <c r="Y627" i="50"/>
  <c r="Y620" i="50"/>
  <c r="X615" i="50"/>
  <c r="X608" i="50"/>
  <c r="X601" i="50"/>
  <c r="Y595" i="50"/>
  <c r="Y588" i="50"/>
  <c r="X583" i="50"/>
  <c r="X576" i="50"/>
  <c r="Y1020" i="50"/>
  <c r="Y1009" i="50"/>
  <c r="X996" i="50"/>
  <c r="Y981" i="50"/>
  <c r="Y971" i="50"/>
  <c r="Y956" i="50"/>
  <c r="Y945" i="50"/>
  <c r="X932" i="50"/>
  <c r="Y917" i="50"/>
  <c r="Y907" i="50"/>
  <c r="Y892" i="50"/>
  <c r="Y881" i="50"/>
  <c r="X868" i="50"/>
  <c r="Y853" i="50"/>
  <c r="Y843" i="50"/>
  <c r="Y828" i="50"/>
  <c r="Y817" i="50"/>
  <c r="X804" i="50"/>
  <c r="Y789" i="50"/>
  <c r="Y779" i="50"/>
  <c r="Y764" i="50"/>
  <c r="Y755" i="50"/>
  <c r="X748" i="50"/>
  <c r="X741" i="50"/>
  <c r="Y735" i="50"/>
  <c r="Y728" i="50"/>
  <c r="X723" i="50"/>
  <c r="X716" i="50"/>
  <c r="X709" i="50"/>
  <c r="Y703" i="50"/>
  <c r="Y696" i="50"/>
  <c r="X691" i="50"/>
  <c r="X684" i="50"/>
  <c r="X677" i="50"/>
  <c r="Y671" i="50"/>
  <c r="Y664" i="50"/>
  <c r="X659" i="50"/>
  <c r="X652" i="50"/>
  <c r="X645" i="50"/>
  <c r="Y1031" i="50"/>
  <c r="Y1019" i="50"/>
  <c r="Y1004" i="50"/>
  <c r="Y993" i="50"/>
  <c r="X980" i="50"/>
  <c r="Y965" i="50"/>
  <c r="Y955" i="50"/>
  <c r="Y940" i="50"/>
  <c r="Y929" i="50"/>
  <c r="X916" i="50"/>
  <c r="Y901" i="50"/>
  <c r="Y891" i="50"/>
  <c r="Y876" i="50"/>
  <c r="Y865" i="50"/>
  <c r="X852" i="50"/>
  <c r="Y837" i="50"/>
  <c r="Y827" i="50"/>
  <c r="Y812" i="50"/>
  <c r="Y801" i="50"/>
  <c r="X788" i="50"/>
  <c r="Y773" i="50"/>
  <c r="Y763" i="50"/>
  <c r="Y752" i="50"/>
  <c r="X747" i="50"/>
  <c r="X740" i="50"/>
  <c r="X733" i="50"/>
  <c r="Y727" i="50"/>
  <c r="Y720" i="50"/>
  <c r="X715" i="50"/>
  <c r="X708" i="50"/>
  <c r="X701" i="50"/>
  <c r="Y695" i="50"/>
  <c r="Y688" i="50"/>
  <c r="X683" i="50"/>
  <c r="X676" i="50"/>
  <c r="X669" i="50"/>
  <c r="Y663" i="50"/>
  <c r="Y656" i="50"/>
  <c r="X651" i="50"/>
  <c r="X644" i="50"/>
  <c r="X637" i="50"/>
  <c r="Y631" i="50"/>
  <c r="Y624" i="50"/>
  <c r="X619" i="50"/>
  <c r="X612" i="50"/>
  <c r="X605" i="50"/>
  <c r="Y599" i="50"/>
  <c r="Y592" i="50"/>
  <c r="X587" i="50"/>
  <c r="X580" i="50"/>
  <c r="Y574" i="50"/>
  <c r="Y570" i="50"/>
  <c r="Y566" i="50"/>
  <c r="Y562" i="50"/>
  <c r="Y558" i="50"/>
  <c r="Y554" i="50"/>
  <c r="Y550" i="50"/>
  <c r="Y546" i="50"/>
  <c r="Y542" i="50"/>
  <c r="Y538" i="50"/>
  <c r="Y534" i="50"/>
  <c r="Y1028" i="50"/>
  <c r="Y1017" i="50"/>
  <c r="X1004" i="50"/>
  <c r="Y989" i="50"/>
  <c r="Y979" i="50"/>
  <c r="Y964" i="50"/>
  <c r="Y953" i="50"/>
  <c r="X940" i="50"/>
  <c r="Y925" i="50"/>
  <c r="Y915" i="50"/>
  <c r="Y900" i="50"/>
  <c r="Y889" i="50"/>
  <c r="X876" i="50"/>
  <c r="Y861" i="50"/>
  <c r="Y851" i="50"/>
  <c r="Y836" i="50"/>
  <c r="Y825" i="50"/>
  <c r="X812" i="50"/>
  <c r="Y797" i="50"/>
  <c r="Y787" i="50"/>
  <c r="Y772" i="50"/>
  <c r="Y761" i="50"/>
  <c r="X752" i="50"/>
  <c r="X745" i="50"/>
  <c r="Y739" i="50"/>
  <c r="Y732" i="50"/>
  <c r="X727" i="50"/>
  <c r="X720" i="50"/>
  <c r="X713" i="50"/>
  <c r="Y707" i="50"/>
  <c r="Y700" i="50"/>
  <c r="X695" i="50"/>
  <c r="X688" i="50"/>
  <c r="X681" i="50"/>
  <c r="Y675" i="50"/>
  <c r="Y668" i="50"/>
  <c r="X663" i="50"/>
  <c r="X656" i="50"/>
  <c r="X649" i="50"/>
  <c r="Y643" i="50"/>
  <c r="Y636" i="50"/>
  <c r="X631" i="50"/>
  <c r="X624" i="50"/>
  <c r="Y1003" i="50"/>
  <c r="Y969" i="50"/>
  <c r="Y937" i="50"/>
  <c r="X900" i="50"/>
  <c r="Y867" i="50"/>
  <c r="Y835" i="50"/>
  <c r="Y796" i="50"/>
  <c r="X764" i="50"/>
  <c r="X744" i="50"/>
  <c r="X725" i="50"/>
  <c r="Y708" i="50"/>
  <c r="Y692" i="50"/>
  <c r="X675" i="50"/>
  <c r="X657" i="50"/>
  <c r="X641" i="50"/>
  <c r="Y628" i="50"/>
  <c r="Y616" i="50"/>
  <c r="X607" i="50"/>
  <c r="Y596" i="50"/>
  <c r="X585" i="50"/>
  <c r="Y575" i="50"/>
  <c r="X570" i="50"/>
  <c r="X565" i="50"/>
  <c r="Y559" i="50"/>
  <c r="X554" i="50"/>
  <c r="X549" i="50"/>
  <c r="Y543" i="50"/>
  <c r="X538" i="50"/>
  <c r="X533" i="50"/>
  <c r="X528" i="50"/>
  <c r="Y523" i="50"/>
  <c r="X519" i="50"/>
  <c r="Y514" i="50"/>
  <c r="X510" i="50"/>
  <c r="Y505" i="50"/>
  <c r="X501" i="50"/>
  <c r="X496" i="50"/>
  <c r="Y491" i="50"/>
  <c r="X487" i="50"/>
  <c r="Y482" i="50"/>
  <c r="X478" i="50"/>
  <c r="Y473" i="50"/>
  <c r="X469" i="50"/>
  <c r="X464" i="50"/>
  <c r="Y459" i="50"/>
  <c r="X455" i="50"/>
  <c r="Y450" i="50"/>
  <c r="X446" i="50"/>
  <c r="X442" i="50"/>
  <c r="X438" i="50"/>
  <c r="X434" i="50"/>
  <c r="X430" i="50"/>
  <c r="X426" i="50"/>
  <c r="X422" i="50"/>
  <c r="X418" i="50"/>
  <c r="X414" i="50"/>
  <c r="X410" i="50"/>
  <c r="X406" i="50"/>
  <c r="X402" i="50"/>
  <c r="X398" i="50"/>
  <c r="X394" i="50"/>
  <c r="X390" i="50"/>
  <c r="X386" i="50"/>
  <c r="X382" i="50"/>
  <c r="X378" i="50"/>
  <c r="X374" i="50"/>
  <c r="X370" i="50"/>
  <c r="X366" i="50"/>
  <c r="X362" i="50"/>
  <c r="X358" i="50"/>
  <c r="X354" i="50"/>
  <c r="X350" i="50"/>
  <c r="X346" i="50"/>
  <c r="X342" i="50"/>
  <c r="X338" i="50"/>
  <c r="X334" i="50"/>
  <c r="X330" i="50"/>
  <c r="X326" i="50"/>
  <c r="X322" i="50"/>
  <c r="X318" i="50"/>
  <c r="X314" i="50"/>
  <c r="X310" i="50"/>
  <c r="X306" i="50"/>
  <c r="Y1001" i="50"/>
  <c r="X964" i="50"/>
  <c r="Y931" i="50"/>
  <c r="Y899" i="50"/>
  <c r="Y860" i="50"/>
  <c r="X828" i="50"/>
  <c r="X796" i="50"/>
  <c r="X759" i="50"/>
  <c r="Y740" i="50"/>
  <c r="Y724" i="50"/>
  <c r="X707" i="50"/>
  <c r="X689" i="50"/>
  <c r="X673" i="50"/>
  <c r="Y655" i="50"/>
  <c r="Y639" i="50"/>
  <c r="X627" i="50"/>
  <c r="X616" i="50"/>
  <c r="Y604" i="50"/>
  <c r="X595" i="50"/>
  <c r="Y584" i="50"/>
  <c r="X575" i="50"/>
  <c r="Y569" i="50"/>
  <c r="X564" i="50"/>
  <c r="X559" i="50"/>
  <c r="Y553" i="50"/>
  <c r="X548" i="50"/>
  <c r="X543" i="50"/>
  <c r="Y537" i="50"/>
  <c r="X532" i="50"/>
  <c r="Y527" i="50"/>
  <c r="X523" i="50"/>
  <c r="Y518" i="50"/>
  <c r="X514" i="50"/>
  <c r="Y509" i="50"/>
  <c r="X505" i="50"/>
  <c r="X500" i="50"/>
  <c r="Y495" i="50"/>
  <c r="X491" i="50"/>
  <c r="Y486" i="50"/>
  <c r="X482" i="50"/>
  <c r="Y477" i="50"/>
  <c r="X473" i="50"/>
  <c r="X468" i="50"/>
  <c r="Y463" i="50"/>
  <c r="X459" i="50"/>
  <c r="Y454" i="50"/>
  <c r="X450" i="50"/>
  <c r="Y445" i="50"/>
  <c r="Y441" i="50"/>
  <c r="Y437" i="50"/>
  <c r="X1020" i="50"/>
  <c r="X988" i="50"/>
  <c r="Y949" i="50"/>
  <c r="Y916" i="50"/>
  <c r="Y884" i="50"/>
  <c r="Y849" i="50"/>
  <c r="Y813" i="50"/>
  <c r="Y781" i="50"/>
  <c r="Y751" i="50"/>
  <c r="X735" i="50"/>
  <c r="X719" i="50"/>
  <c r="X700" i="50"/>
  <c r="Y683" i="50"/>
  <c r="Y667" i="50"/>
  <c r="Y648" i="50"/>
  <c r="Y635" i="50"/>
  <c r="X623" i="50"/>
  <c r="Y611" i="50"/>
  <c r="Y600" i="50"/>
  <c r="Y591" i="50"/>
  <c r="Y580" i="50"/>
  <c r="X573" i="50"/>
  <c r="Y567" i="50"/>
  <c r="X562" i="50"/>
  <c r="X557" i="50"/>
  <c r="Y551" i="50"/>
  <c r="X546" i="50"/>
  <c r="X541" i="50"/>
  <c r="Y535" i="50"/>
  <c r="Y530" i="50"/>
  <c r="X526" i="50"/>
  <c r="Y521" i="50"/>
  <c r="X517" i="50"/>
  <c r="X512" i="50"/>
  <c r="Y507" i="50"/>
  <c r="X503" i="50"/>
  <c r="Y498" i="50"/>
  <c r="X494" i="50"/>
  <c r="Y489" i="50"/>
  <c r="X485" i="50"/>
  <c r="X480" i="50"/>
  <c r="Y475" i="50"/>
  <c r="X471" i="50"/>
  <c r="Y466" i="50"/>
  <c r="X462" i="50"/>
  <c r="Y457" i="50"/>
  <c r="X453" i="50"/>
  <c r="X448" i="50"/>
  <c r="X444" i="50"/>
  <c r="X440" i="50"/>
  <c r="X436" i="50"/>
  <c r="Y1013" i="50"/>
  <c r="Y963" i="50"/>
  <c r="Y909" i="50"/>
  <c r="Y852" i="50"/>
  <c r="Y803" i="50"/>
  <c r="X751" i="50"/>
  <c r="X721" i="50"/>
  <c r="X696" i="50"/>
  <c r="X668" i="50"/>
  <c r="X643" i="50"/>
  <c r="X620" i="50"/>
  <c r="X604" i="50"/>
  <c r="X588" i="50"/>
  <c r="Y573" i="50"/>
  <c r="Y565" i="50"/>
  <c r="X556" i="50"/>
  <c r="Y547" i="50"/>
  <c r="Y539" i="50"/>
  <c r="X531" i="50"/>
  <c r="X524" i="50"/>
  <c r="X516" i="50"/>
  <c r="X509" i="50"/>
  <c r="X502" i="50"/>
  <c r="Y494" i="50"/>
  <c r="Y487" i="50"/>
  <c r="Y479" i="50"/>
  <c r="X472" i="50"/>
  <c r="Y465" i="50"/>
  <c r="X458" i="50"/>
  <c r="X451" i="50"/>
  <c r="Y443" i="50"/>
  <c r="X437" i="50"/>
  <c r="X432" i="50"/>
  <c r="Y427" i="50"/>
  <c r="X423" i="50"/>
  <c r="Y418" i="50"/>
  <c r="Y413" i="50"/>
  <c r="X409" i="50"/>
  <c r="Y404" i="50"/>
  <c r="X400" i="50"/>
  <c r="Y395" i="50"/>
  <c r="X391" i="50"/>
  <c r="Y386" i="50"/>
  <c r="Y381" i="50"/>
  <c r="X377" i="50"/>
  <c r="Y372" i="50"/>
  <c r="X368" i="50"/>
  <c r="Y363" i="50"/>
  <c r="X359" i="50"/>
  <c r="Y354" i="50"/>
  <c r="Y349" i="50"/>
  <c r="X345" i="50"/>
  <c r="Y340" i="50"/>
  <c r="X336" i="50"/>
  <c r="Y331" i="50"/>
  <c r="X327" i="50"/>
  <c r="Y322" i="50"/>
  <c r="Y317" i="50"/>
  <c r="X313" i="50"/>
  <c r="Y308" i="50"/>
  <c r="X304" i="50"/>
  <c r="X300" i="50"/>
  <c r="X296" i="50"/>
  <c r="X292" i="50"/>
  <c r="X288" i="50"/>
  <c r="X284" i="50"/>
  <c r="X280" i="50"/>
  <c r="X276" i="50"/>
  <c r="X272" i="50"/>
  <c r="X268" i="50"/>
  <c r="X264" i="50"/>
  <c r="X260" i="50"/>
  <c r="X256" i="50"/>
  <c r="X252" i="50"/>
  <c r="X248" i="50"/>
  <c r="X244" i="50"/>
  <c r="X240" i="50"/>
  <c r="X236" i="50"/>
  <c r="X232" i="50"/>
  <c r="X228" i="50"/>
  <c r="X224" i="50"/>
  <c r="X220" i="50"/>
  <c r="X216" i="50"/>
  <c r="X212" i="50"/>
  <c r="X208" i="50"/>
  <c r="X204" i="50"/>
  <c r="X200" i="50"/>
  <c r="X196" i="50"/>
  <c r="X192" i="50"/>
  <c r="X188" i="50"/>
  <c r="X184" i="50"/>
  <c r="X180" i="50"/>
  <c r="X176" i="50"/>
  <c r="X172" i="50"/>
  <c r="X168" i="50"/>
  <c r="X164" i="50"/>
  <c r="X160" i="50"/>
  <c r="X156" i="50"/>
  <c r="X152" i="50"/>
  <c r="X148" i="50"/>
  <c r="X144" i="50"/>
  <c r="X140" i="50"/>
  <c r="X136" i="50"/>
  <c r="X132" i="50"/>
  <c r="X128" i="50"/>
  <c r="X124" i="50"/>
  <c r="X120" i="50"/>
  <c r="X116" i="50"/>
  <c r="X112" i="50"/>
  <c r="X108" i="50"/>
  <c r="X104" i="50"/>
  <c r="X100" i="50"/>
  <c r="X96" i="50"/>
  <c r="X92" i="50"/>
  <c r="X88" i="50"/>
  <c r="X84" i="50"/>
  <c r="X80" i="50"/>
  <c r="X76" i="50"/>
  <c r="X72" i="50"/>
  <c r="X68" i="50"/>
  <c r="X64" i="50"/>
  <c r="X60" i="50"/>
  <c r="X56" i="50"/>
  <c r="X52" i="50"/>
  <c r="X48" i="50"/>
  <c r="X44" i="50"/>
  <c r="X40" i="50"/>
  <c r="X36" i="50"/>
  <c r="X32" i="50"/>
  <c r="X28" i="50"/>
  <c r="X24" i="50"/>
  <c r="X20" i="50"/>
  <c r="X16" i="50"/>
  <c r="X12" i="50"/>
  <c r="X8" i="50"/>
  <c r="Y1012" i="50"/>
  <c r="X956" i="50"/>
  <c r="Y905" i="50"/>
  <c r="Y845" i="50"/>
  <c r="Y788" i="50"/>
  <c r="Y747" i="50"/>
  <c r="Y719" i="50"/>
  <c r="X693" i="50"/>
  <c r="X664" i="50"/>
  <c r="X639" i="50"/>
  <c r="Y619" i="50"/>
  <c r="Y603" i="50"/>
  <c r="Y587" i="50"/>
  <c r="X572" i="50"/>
  <c r="Y563" i="50"/>
  <c r="Y555" i="50"/>
  <c r="X547" i="50"/>
  <c r="X539" i="50"/>
  <c r="X530" i="50"/>
  <c r="Y522" i="50"/>
  <c r="Y515" i="50"/>
  <c r="X508" i="50"/>
  <c r="Y501" i="50"/>
  <c r="Y493" i="50"/>
  <c r="X486" i="50"/>
  <c r="X479" i="50"/>
  <c r="Y471" i="50"/>
  <c r="X465" i="50"/>
  <c r="X457" i="50"/>
  <c r="Y449" i="50"/>
  <c r="X443" i="50"/>
  <c r="Y436" i="50"/>
  <c r="Y431" i="50"/>
  <c r="X427" i="50"/>
  <c r="Y422" i="50"/>
  <c r="Y417" i="50"/>
  <c r="X413" i="50"/>
  <c r="Y408" i="50"/>
  <c r="X404" i="50"/>
  <c r="Y399" i="50"/>
  <c r="X395" i="50"/>
  <c r="Y390" i="50"/>
  <c r="Y385" i="50"/>
  <c r="X381" i="50"/>
  <c r="Y376" i="50"/>
  <c r="X372" i="50"/>
  <c r="Y367" i="50"/>
  <c r="X363" i="50"/>
  <c r="Y358" i="50"/>
  <c r="Y353" i="50"/>
  <c r="X349" i="50"/>
  <c r="Y344" i="50"/>
  <c r="X340" i="50"/>
  <c r="Y335" i="50"/>
  <c r="X331" i="50"/>
  <c r="Y326" i="50"/>
  <c r="Y321" i="50"/>
  <c r="X317" i="50"/>
  <c r="Y312" i="50"/>
  <c r="X308" i="50"/>
  <c r="Y303" i="50"/>
  <c r="Y299" i="50"/>
  <c r="Y295" i="50"/>
  <c r="Y291" i="50"/>
  <c r="Y287" i="50"/>
  <c r="Y283" i="50"/>
  <c r="Y279" i="50"/>
  <c r="Y275" i="50"/>
  <c r="Y271" i="50"/>
  <c r="Y267" i="50"/>
  <c r="Y263" i="50"/>
  <c r="Y259" i="50"/>
  <c r="Y255" i="50"/>
  <c r="Y251" i="50"/>
  <c r="Y247" i="50"/>
  <c r="Y243" i="50"/>
  <c r="Y239" i="50"/>
  <c r="Y235" i="50"/>
  <c r="Y231" i="50"/>
  <c r="Y227" i="50"/>
  <c r="Y223" i="50"/>
  <c r="Y219" i="50"/>
  <c r="Y215" i="50"/>
  <c r="Y211" i="50"/>
  <c r="Y207" i="50"/>
  <c r="Y203" i="50"/>
  <c r="Y199" i="50"/>
  <c r="Y195" i="50"/>
  <c r="Y191" i="50"/>
  <c r="Y187" i="50"/>
  <c r="Y183" i="50"/>
  <c r="Y179" i="50"/>
  <c r="Y175" i="50"/>
  <c r="Y171" i="50"/>
  <c r="Y167" i="50"/>
  <c r="Y163" i="50"/>
  <c r="Y159" i="50"/>
  <c r="Y155" i="50"/>
  <c r="Y151" i="50"/>
  <c r="Y147" i="50"/>
  <c r="Y143" i="50"/>
  <c r="Y139" i="50"/>
  <c r="Y1005" i="50"/>
  <c r="Y948" i="50"/>
  <c r="X892" i="50"/>
  <c r="Y841" i="50"/>
  <c r="Y785" i="50"/>
  <c r="Y744" i="50"/>
  <c r="Y715" i="50"/>
  <c r="Y687" i="50"/>
  <c r="X661" i="50"/>
  <c r="X636" i="50"/>
  <c r="X617" i="50"/>
  <c r="X600" i="50"/>
  <c r="X584" i="50"/>
  <c r="Y571" i="50"/>
  <c r="X563" i="50"/>
  <c r="X555" i="50"/>
  <c r="Y545" i="50"/>
  <c r="X537" i="50"/>
  <c r="Y529" i="50"/>
  <c r="X522" i="50"/>
  <c r="X515" i="50"/>
  <c r="X507" i="50"/>
  <c r="Y499" i="50"/>
  <c r="X493" i="50"/>
  <c r="Y485" i="50"/>
  <c r="Y478" i="50"/>
  <c r="Y470" i="50"/>
  <c r="X463" i="50"/>
  <c r="X456" i="50"/>
  <c r="X449" i="50"/>
  <c r="Y442" i="50"/>
  <c r="Y435" i="50"/>
  <c r="X431" i="50"/>
  <c r="Y426" i="50"/>
  <c r="Y421" i="50"/>
  <c r="X417" i="50"/>
  <c r="Y412" i="50"/>
  <c r="X408" i="50"/>
  <c r="Y403" i="50"/>
  <c r="X399" i="50"/>
  <c r="Y394" i="50"/>
  <c r="Y389" i="50"/>
  <c r="X385" i="50"/>
  <c r="Y380" i="50"/>
  <c r="X376" i="50"/>
  <c r="Y371" i="50"/>
  <c r="X367" i="50"/>
  <c r="Y362" i="50"/>
  <c r="Y357" i="50"/>
  <c r="X353" i="50"/>
  <c r="Y348" i="50"/>
  <c r="X344" i="50"/>
  <c r="Y339" i="50"/>
  <c r="X335" i="50"/>
  <c r="Y330" i="50"/>
  <c r="Y325" i="50"/>
  <c r="X321" i="50"/>
  <c r="Y316" i="50"/>
  <c r="X312" i="50"/>
  <c r="Y307" i="50"/>
  <c r="X303" i="50"/>
  <c r="X299" i="50"/>
  <c r="X295" i="50"/>
  <c r="X291" i="50"/>
  <c r="X287" i="50"/>
  <c r="X283" i="50"/>
  <c r="X279" i="50"/>
  <c r="X275" i="50"/>
  <c r="Y988" i="50"/>
  <c r="Y939" i="50"/>
  <c r="Y877" i="50"/>
  <c r="Y821" i="50"/>
  <c r="X772" i="50"/>
  <c r="X737" i="50"/>
  <c r="X712" i="50"/>
  <c r="Y680" i="50"/>
  <c r="X655" i="50"/>
  <c r="X632" i="50"/>
  <c r="Y612" i="50"/>
  <c r="X597" i="50"/>
  <c r="Y579" i="50"/>
  <c r="X569" i="50"/>
  <c r="X561" i="50"/>
  <c r="X552" i="50"/>
  <c r="X544" i="50"/>
  <c r="X535" i="50"/>
  <c r="X527" i="50"/>
  <c r="X520" i="50"/>
  <c r="X513" i="50"/>
  <c r="X506" i="50"/>
  <c r="X498" i="50"/>
  <c r="Y490" i="50"/>
  <c r="Y483" i="50"/>
  <c r="X476" i="50"/>
  <c r="Y469" i="50"/>
  <c r="Y461" i="50"/>
  <c r="X454" i="50"/>
  <c r="X447" i="50"/>
  <c r="Y440" i="50"/>
  <c r="Y434" i="50"/>
  <c r="Y429" i="50"/>
  <c r="X425" i="50"/>
  <c r="Y420" i="50"/>
  <c r="X416" i="50"/>
  <c r="Y411" i="50"/>
  <c r="X407" i="50"/>
  <c r="Y402" i="50"/>
  <c r="Y397" i="50"/>
  <c r="X393" i="50"/>
  <c r="Y388" i="50"/>
  <c r="X384" i="50"/>
  <c r="Y379" i="50"/>
  <c r="X375" i="50"/>
  <c r="Y370" i="50"/>
  <c r="Y365" i="50"/>
  <c r="X361" i="50"/>
  <c r="Y356" i="50"/>
  <c r="X352" i="50"/>
  <c r="Y347" i="50"/>
  <c r="X343" i="50"/>
  <c r="Y338" i="50"/>
  <c r="Y333" i="50"/>
  <c r="X329" i="50"/>
  <c r="Y324" i="50"/>
  <c r="X320" i="50"/>
  <c r="Y315" i="50"/>
  <c r="X311" i="50"/>
  <c r="Y306" i="50"/>
  <c r="X302" i="50"/>
  <c r="X298" i="50"/>
  <c r="X294" i="50"/>
  <c r="X290" i="50"/>
  <c r="X286" i="50"/>
  <c r="X282" i="50"/>
  <c r="X278" i="50"/>
  <c r="X274" i="50"/>
  <c r="X270" i="50"/>
  <c r="X266" i="50"/>
  <c r="X262" i="50"/>
  <c r="X258" i="50"/>
  <c r="X254" i="50"/>
  <c r="X250" i="50"/>
  <c r="X246" i="50"/>
  <c r="X242" i="50"/>
  <c r="X238" i="50"/>
  <c r="X234" i="50"/>
  <c r="X230" i="50"/>
  <c r="X226" i="50"/>
  <c r="X222" i="50"/>
  <c r="X218" i="50"/>
  <c r="X214" i="50"/>
  <c r="X210" i="50"/>
  <c r="Y980" i="50"/>
  <c r="Y924" i="50"/>
  <c r="Y875" i="50"/>
  <c r="Y820" i="50"/>
  <c r="Y771" i="50"/>
  <c r="X732" i="50"/>
  <c r="X705" i="50"/>
  <c r="X680" i="50"/>
  <c r="Y651" i="50"/>
  <c r="X629" i="50"/>
  <c r="X611" i="50"/>
  <c r="X593" i="50"/>
  <c r="X579" i="50"/>
  <c r="X568" i="50"/>
  <c r="X560" i="50"/>
  <c r="X551" i="50"/>
  <c r="X542" i="50"/>
  <c r="X534" i="50"/>
  <c r="Y526" i="50"/>
  <c r="Y519" i="50"/>
  <c r="Y511" i="50"/>
  <c r="X504" i="50"/>
  <c r="Y497" i="50"/>
  <c r="X490" i="50"/>
  <c r="X483" i="50"/>
  <c r="X475" i="50"/>
  <c r="Y467" i="50"/>
  <c r="X461" i="50"/>
  <c r="Y453" i="50"/>
  <c r="Y446" i="50"/>
  <c r="Y439" i="50"/>
  <c r="Y433" i="50"/>
  <c r="X429" i="50"/>
  <c r="Y424" i="50"/>
  <c r="X420" i="50"/>
  <c r="Y415" i="50"/>
  <c r="X411" i="50"/>
  <c r="Y406" i="50"/>
  <c r="Y401" i="50"/>
  <c r="X397" i="50"/>
  <c r="Y392" i="50"/>
  <c r="X388" i="50"/>
  <c r="Y383" i="50"/>
  <c r="X379" i="50"/>
  <c r="X9" i="50"/>
  <c r="X18" i="50"/>
  <c r="X27" i="50"/>
  <c r="Y31" i="50"/>
  <c r="X41" i="50"/>
  <c r="Y45" i="50"/>
  <c r="Y54" i="50"/>
  <c r="X59" i="50"/>
  <c r="Y68" i="50"/>
  <c r="X73" i="50"/>
  <c r="X82" i="50"/>
  <c r="Y86" i="50"/>
  <c r="Y95" i="50"/>
  <c r="Y100" i="50"/>
  <c r="Y109" i="50"/>
  <c r="X114" i="50"/>
  <c r="X123" i="50"/>
  <c r="Y127" i="50"/>
  <c r="Y132" i="50"/>
  <c r="X142" i="50"/>
  <c r="X147" i="50"/>
  <c r="X158" i="50"/>
  <c r="X163" i="50"/>
  <c r="X174" i="50"/>
  <c r="X179" i="50"/>
  <c r="X190" i="50"/>
  <c r="X195" i="50"/>
  <c r="X201" i="50"/>
  <c r="Y212" i="50"/>
  <c r="Y218" i="50"/>
  <c r="X225" i="50"/>
  <c r="X231" i="50"/>
  <c r="Y237" i="50"/>
  <c r="Y250" i="50"/>
  <c r="X257" i="50"/>
  <c r="X263" i="50"/>
  <c r="Y269" i="50"/>
  <c r="X277" i="50"/>
  <c r="X293" i="50"/>
  <c r="X301" i="50"/>
  <c r="Y309" i="50"/>
  <c r="X319" i="50"/>
  <c r="X337" i="50"/>
  <c r="Y346" i="50"/>
  <c r="Y355" i="50"/>
  <c r="Y364" i="50"/>
  <c r="Y373" i="50"/>
  <c r="Y396" i="50"/>
  <c r="Y409" i="50"/>
  <c r="X421" i="50"/>
  <c r="X433" i="50"/>
  <c r="Y451" i="50"/>
  <c r="X489" i="50"/>
  <c r="Y510" i="50"/>
  <c r="X529" i="50"/>
  <c r="X574" i="50"/>
  <c r="X5" i="50"/>
  <c r="Y9" i="50"/>
  <c r="X14" i="50"/>
  <c r="Y18" i="50"/>
  <c r="X23" i="50"/>
  <c r="Y27" i="50"/>
  <c r="Y32" i="50"/>
  <c r="X37" i="50"/>
  <c r="Y41" i="50"/>
  <c r="X46" i="50"/>
  <c r="Y50" i="50"/>
  <c r="X55" i="50"/>
  <c r="Y59" i="50"/>
  <c r="Y64" i="50"/>
  <c r="X69" i="50"/>
  <c r="Y73" i="50"/>
  <c r="X78" i="50"/>
  <c r="Y82" i="50"/>
  <c r="X87" i="50"/>
  <c r="Y91" i="50"/>
  <c r="Y96" i="50"/>
  <c r="X101" i="50"/>
  <c r="Y105" i="50"/>
  <c r="X110" i="50"/>
  <c r="Y114" i="50"/>
  <c r="X119" i="50"/>
  <c r="Y123" i="50"/>
  <c r="Y128" i="50"/>
  <c r="X133" i="50"/>
  <c r="Y137" i="50"/>
  <c r="Y142" i="50"/>
  <c r="Y148" i="50"/>
  <c r="Y153" i="50"/>
  <c r="Y158" i="50"/>
  <c r="Y164" i="50"/>
  <c r="Y169" i="50"/>
  <c r="Y174" i="50"/>
  <c r="Y180" i="50"/>
  <c r="Y185" i="50"/>
  <c r="Y190" i="50"/>
  <c r="Y196" i="50"/>
  <c r="Y201" i="50"/>
  <c r="Y206" i="50"/>
  <c r="X213" i="50"/>
  <c r="X219" i="50"/>
  <c r="Y225" i="50"/>
  <c r="Y232" i="50"/>
  <c r="Y238" i="50"/>
  <c r="X245" i="50"/>
  <c r="X251" i="50"/>
  <c r="Y257" i="50"/>
  <c r="Y264" i="50"/>
  <c r="Y270" i="50"/>
  <c r="Y277" i="50"/>
  <c r="Y285" i="50"/>
  <c r="Y293" i="50"/>
  <c r="Y301" i="50"/>
  <c r="Y310" i="50"/>
  <c r="Y319" i="50"/>
  <c r="Y328" i="50"/>
  <c r="Y337" i="50"/>
  <c r="X347" i="50"/>
  <c r="X356" i="50"/>
  <c r="X365" i="50"/>
  <c r="Y374" i="50"/>
  <c r="X387" i="50"/>
  <c r="Y398" i="50"/>
  <c r="Y410" i="50"/>
  <c r="Y423" i="50"/>
  <c r="X435" i="50"/>
  <c r="X452" i="50"/>
  <c r="X474" i="50"/>
  <c r="X492" i="50"/>
  <c r="X511" i="50"/>
  <c r="Y531" i="50"/>
  <c r="X553" i="50"/>
  <c r="X577" i="50"/>
  <c r="Y623" i="50"/>
  <c r="X687" i="50"/>
  <c r="Y757" i="50"/>
  <c r="Y913" i="50"/>
  <c r="Y16" i="49"/>
  <c r="Y11" i="49"/>
  <c r="Y36" i="49"/>
  <c r="X56" i="49"/>
  <c r="Y82" i="49"/>
  <c r="Y109" i="49"/>
  <c r="Y159" i="49"/>
  <c r="Y207" i="49"/>
  <c r="X269" i="49"/>
  <c r="X329" i="49"/>
  <c r="X426" i="49"/>
  <c r="X572" i="49"/>
  <c r="X12" i="49"/>
  <c r="Y31" i="49"/>
  <c r="X51" i="49"/>
  <c r="Y70" i="49"/>
  <c r="Y91" i="49"/>
  <c r="X110" i="49"/>
  <c r="X128" i="49"/>
  <c r="Y147" i="49"/>
  <c r="X160" i="49"/>
  <c r="X184" i="49"/>
  <c r="Y220" i="49"/>
  <c r="X233" i="49"/>
  <c r="X257" i="49"/>
  <c r="X270" i="49"/>
  <c r="X284" i="49"/>
  <c r="Y298" i="49"/>
  <c r="X313" i="49"/>
  <c r="X330" i="49"/>
  <c r="X348" i="49"/>
  <c r="Y366" i="49"/>
  <c r="X393" i="49"/>
  <c r="Y426" i="49"/>
  <c r="X524" i="49"/>
  <c r="X573" i="49"/>
  <c r="Y621" i="49"/>
  <c r="X683" i="49"/>
  <c r="Y900" i="49"/>
  <c r="X7" i="49"/>
  <c r="Y12" i="49"/>
  <c r="Y19" i="49"/>
  <c r="Y26" i="49"/>
  <c r="X32" i="49"/>
  <c r="X39" i="49"/>
  <c r="Y44" i="49"/>
  <c r="Y51" i="49"/>
  <c r="Y58" i="49"/>
  <c r="X64" i="49"/>
  <c r="X71" i="49"/>
  <c r="Y76" i="49"/>
  <c r="Y83" i="49"/>
  <c r="X92" i="49"/>
  <c r="Y101" i="49"/>
  <c r="Y110" i="49"/>
  <c r="Y119" i="49"/>
  <c r="Y128" i="49"/>
  <c r="X138" i="49"/>
  <c r="X148" i="49"/>
  <c r="Y160" i="49"/>
  <c r="X173" i="49"/>
  <c r="Y184" i="49"/>
  <c r="X197" i="49"/>
  <c r="X210" i="49"/>
  <c r="X221" i="49"/>
  <c r="X234" i="49"/>
  <c r="Y246" i="49"/>
  <c r="X258" i="49"/>
  <c r="Y270" i="49"/>
  <c r="Y284" i="49"/>
  <c r="Y299" i="49"/>
  <c r="X315" i="49"/>
  <c r="Y331" i="49"/>
  <c r="X350" i="49"/>
  <c r="Y368" i="49"/>
  <c r="X397" i="49"/>
  <c r="Y431" i="49"/>
  <c r="X481" i="49"/>
  <c r="Y529" i="49"/>
  <c r="X578" i="49"/>
  <c r="X627" i="49"/>
  <c r="Y692" i="49"/>
  <c r="Y932" i="49"/>
  <c r="X11" i="49"/>
  <c r="Y23" i="49"/>
  <c r="X36" i="49"/>
  <c r="X43" i="49"/>
  <c r="Y55" i="49"/>
  <c r="Y62" i="49"/>
  <c r="Y80" i="49"/>
  <c r="Y97" i="49"/>
  <c r="Y106" i="49"/>
  <c r="Y124" i="49"/>
  <c r="X134" i="49"/>
  <c r="Y155" i="49"/>
  <c r="X167" i="49"/>
  <c r="X192" i="49"/>
  <c r="X216" i="49"/>
  <c r="X240" i="49"/>
  <c r="X265" i="49"/>
  <c r="X293" i="49"/>
  <c r="Y307" i="49"/>
  <c r="Y342" i="49"/>
  <c r="Y360" i="49"/>
  <c r="Y413" i="49"/>
  <c r="X457" i="49"/>
  <c r="X506" i="49"/>
  <c r="Y554" i="49"/>
  <c r="X603" i="49"/>
  <c r="Y657" i="49"/>
  <c r="X24" i="49"/>
  <c r="X63" i="49"/>
  <c r="X100" i="49"/>
  <c r="Y136" i="49"/>
  <c r="X196" i="49"/>
  <c r="X244" i="49"/>
  <c r="X298" i="49"/>
  <c r="Y347" i="49"/>
  <c r="Y474" i="49"/>
  <c r="X621" i="49"/>
  <c r="Y6" i="49"/>
  <c r="Y24" i="49"/>
  <c r="X44" i="49"/>
  <c r="Y63" i="49"/>
  <c r="X83" i="49"/>
  <c r="Y100" i="49"/>
  <c r="Y137" i="49"/>
  <c r="X208" i="49"/>
  <c r="X475" i="49"/>
  <c r="Y7" i="49"/>
  <c r="Y14" i="49"/>
  <c r="X20" i="49"/>
  <c r="X27" i="49"/>
  <c r="Y32" i="49"/>
  <c r="Y39" i="49"/>
  <c r="Y46" i="49"/>
  <c r="X52" i="49"/>
  <c r="X59" i="49"/>
  <c r="Y64" i="49"/>
  <c r="Y71" i="49"/>
  <c r="Y78" i="49"/>
  <c r="X84" i="49"/>
  <c r="Y92" i="49"/>
  <c r="X102" i="49"/>
  <c r="X111" i="49"/>
  <c r="X120" i="49"/>
  <c r="Y129" i="49"/>
  <c r="Y138" i="49"/>
  <c r="Y148" i="49"/>
  <c r="X161" i="49"/>
  <c r="X174" i="49"/>
  <c r="X185" i="49"/>
  <c r="X198" i="49"/>
  <c r="Y210" i="49"/>
  <c r="X222" i="49"/>
  <c r="Y234" i="49"/>
  <c r="X247" i="49"/>
  <c r="Y258" i="49"/>
  <c r="X271" i="49"/>
  <c r="X286" i="49"/>
  <c r="X301" i="49"/>
  <c r="Y315" i="49"/>
  <c r="X333" i="49"/>
  <c r="Y351" i="49"/>
  <c r="Y370" i="49"/>
  <c r="X398" i="49"/>
  <c r="X433" i="49"/>
  <c r="Y481" i="49"/>
  <c r="X530" i="49"/>
  <c r="X579" i="49"/>
  <c r="Y627" i="49"/>
  <c r="X694" i="49"/>
  <c r="X940" i="49"/>
  <c r="Y30" i="49"/>
  <c r="Y48" i="49"/>
  <c r="X68" i="49"/>
  <c r="X88" i="49"/>
  <c r="Y115" i="49"/>
  <c r="X143" i="49"/>
  <c r="Y179" i="49"/>
  <c r="Y203" i="49"/>
  <c r="Y228" i="49"/>
  <c r="Y252" i="49"/>
  <c r="X279" i="49"/>
  <c r="X324" i="49"/>
  <c r="Y382" i="49"/>
  <c r="Y785" i="49"/>
  <c r="Y43" i="49"/>
  <c r="X147" i="49"/>
  <c r="X19" i="49"/>
  <c r="Y56" i="49"/>
  <c r="Y196" i="49"/>
  <c r="X8" i="49"/>
  <c r="X15" i="49"/>
  <c r="Y20" i="49"/>
  <c r="Y27" i="49"/>
  <c r="Y34" i="49"/>
  <c r="X40" i="49"/>
  <c r="X47" i="49"/>
  <c r="Y52" i="49"/>
  <c r="Y59" i="49"/>
  <c r="Y66" i="49"/>
  <c r="X72" i="49"/>
  <c r="X79" i="49"/>
  <c r="Y86" i="49"/>
  <c r="Y95" i="49"/>
  <c r="Y104" i="49"/>
  <c r="X114" i="49"/>
  <c r="X123" i="49"/>
  <c r="X132" i="49"/>
  <c r="Y141" i="49"/>
  <c r="Y152" i="49"/>
  <c r="X165" i="49"/>
  <c r="X178" i="49"/>
  <c r="X189" i="49"/>
  <c r="X202" i="49"/>
  <c r="Y214" i="49"/>
  <c r="X226" i="49"/>
  <c r="Y238" i="49"/>
  <c r="X251" i="49"/>
  <c r="Y262" i="49"/>
  <c r="Y275" i="49"/>
  <c r="Y290" i="49"/>
  <c r="X306" i="49"/>
  <c r="X320" i="49"/>
  <c r="Y338" i="49"/>
  <c r="Y356" i="49"/>
  <c r="X377" i="49"/>
  <c r="X408" i="49"/>
  <c r="X450" i="49"/>
  <c r="X499" i="49"/>
  <c r="Y547" i="49"/>
  <c r="X596" i="49"/>
  <c r="Y648" i="49"/>
  <c r="X752" i="49"/>
  <c r="X75" i="49"/>
  <c r="Y18" i="49"/>
  <c r="Y50" i="49"/>
  <c r="Y75" i="49"/>
  <c r="Y118" i="49"/>
  <c r="Y183" i="49"/>
  <c r="Y232" i="49"/>
  <c r="Y283" i="49"/>
  <c r="X366" i="49"/>
  <c r="Y895" i="49"/>
  <c r="Y38" i="49"/>
  <c r="X76" i="49"/>
  <c r="X119" i="49"/>
  <c r="Y171" i="49"/>
  <c r="Y244" i="49"/>
  <c r="Y8" i="49"/>
  <c r="Y15" i="49"/>
  <c r="Y22" i="49"/>
  <c r="X28" i="49"/>
  <c r="X35" i="49"/>
  <c r="Y40" i="49"/>
  <c r="Y47" i="49"/>
  <c r="Y54" i="49"/>
  <c r="X60" i="49"/>
  <c r="X67" i="49"/>
  <c r="Y72" i="49"/>
  <c r="Y79" i="49"/>
  <c r="X87" i="49"/>
  <c r="X96" i="49"/>
  <c r="Y105" i="49"/>
  <c r="Y114" i="49"/>
  <c r="Y123" i="49"/>
  <c r="Y132" i="49"/>
  <c r="X142" i="49"/>
  <c r="X153" i="49"/>
  <c r="X166" i="49"/>
  <c r="Y178" i="49"/>
  <c r="X190" i="49"/>
  <c r="Y202" i="49"/>
  <c r="X215" i="49"/>
  <c r="Y226" i="49"/>
  <c r="X239" i="49"/>
  <c r="Y251" i="49"/>
  <c r="X263" i="49"/>
  <c r="Y276" i="49"/>
  <c r="X292" i="49"/>
  <c r="Y306" i="49"/>
  <c r="Y320" i="49"/>
  <c r="X339" i="49"/>
  <c r="X357" i="49"/>
  <c r="X381" i="49"/>
  <c r="Y408" i="49"/>
  <c r="X451" i="49"/>
  <c r="Y499" i="49"/>
  <c r="X548" i="49"/>
  <c r="Y597" i="49"/>
  <c r="Y649" i="49"/>
  <c r="X1031" i="49"/>
  <c r="X1027" i="49"/>
  <c r="X1023" i="49"/>
  <c r="X1019" i="49"/>
  <c r="X1015" i="49"/>
  <c r="X1011" i="49"/>
  <c r="X1007" i="49"/>
  <c r="X1003" i="49"/>
  <c r="X999" i="49"/>
  <c r="X995" i="49"/>
  <c r="X991" i="49"/>
  <c r="X987" i="49"/>
  <c r="X983" i="49"/>
  <c r="X979" i="49"/>
  <c r="X975" i="49"/>
  <c r="X971" i="49"/>
  <c r="X967" i="49"/>
  <c r="X963" i="49"/>
  <c r="X959" i="49"/>
  <c r="X955" i="49"/>
  <c r="X951" i="49"/>
  <c r="X947" i="49"/>
  <c r="X943" i="49"/>
  <c r="X939" i="49"/>
  <c r="X935" i="49"/>
  <c r="X931" i="49"/>
  <c r="X927" i="49"/>
  <c r="X923" i="49"/>
  <c r="X919" i="49"/>
  <c r="X915" i="49"/>
  <c r="X911" i="49"/>
  <c r="X907" i="49"/>
  <c r="X903" i="49"/>
  <c r="X899" i="49"/>
  <c r="X895" i="49"/>
  <c r="X891" i="49"/>
  <c r="X887" i="49"/>
  <c r="X883" i="49"/>
  <c r="X879" i="49"/>
  <c r="X875" i="49"/>
  <c r="X871" i="49"/>
  <c r="X867" i="49"/>
  <c r="X863" i="49"/>
  <c r="X859" i="49"/>
  <c r="X855" i="49"/>
  <c r="X851" i="49"/>
  <c r="X847" i="49"/>
  <c r="X843" i="49"/>
  <c r="X839" i="49"/>
  <c r="X835" i="49"/>
  <c r="X831" i="49"/>
  <c r="X827" i="49"/>
  <c r="X823" i="49"/>
  <c r="X819" i="49"/>
  <c r="X815" i="49"/>
  <c r="X811" i="49"/>
  <c r="X807" i="49"/>
  <c r="X803" i="49"/>
  <c r="X799" i="49"/>
  <c r="X795" i="49"/>
  <c r="X791" i="49"/>
  <c r="X787" i="49"/>
  <c r="X783" i="49"/>
  <c r="X779" i="49"/>
  <c r="X775" i="49"/>
  <c r="X1030" i="49"/>
  <c r="X1026" i="49"/>
  <c r="X1022" i="49"/>
  <c r="X1018" i="49"/>
  <c r="X1014" i="49"/>
  <c r="X1010" i="49"/>
  <c r="X1006" i="49"/>
  <c r="X1002" i="49"/>
  <c r="X998" i="49"/>
  <c r="X994" i="49"/>
  <c r="X990" i="49"/>
  <c r="X986" i="49"/>
  <c r="X982" i="49"/>
  <c r="X978" i="49"/>
  <c r="X974" i="49"/>
  <c r="X970" i="49"/>
  <c r="X966" i="49"/>
  <c r="X962" i="49"/>
  <c r="X958" i="49"/>
  <c r="X954" i="49"/>
  <c r="X950" i="49"/>
  <c r="X946" i="49"/>
  <c r="X942" i="49"/>
  <c r="X938" i="49"/>
  <c r="X934" i="49"/>
  <c r="X930" i="49"/>
  <c r="X926" i="49"/>
  <c r="X922" i="49"/>
  <c r="X918" i="49"/>
  <c r="X914" i="49"/>
  <c r="X910" i="49"/>
  <c r="X906" i="49"/>
  <c r="X902" i="49"/>
  <c r="X898" i="49"/>
  <c r="X894" i="49"/>
  <c r="X890" i="49"/>
  <c r="X886" i="49"/>
  <c r="X882" i="49"/>
  <c r="X878" i="49"/>
  <c r="X874" i="49"/>
  <c r="X870" i="49"/>
  <c r="X866" i="49"/>
  <c r="X862" i="49"/>
  <c r="X858" i="49"/>
  <c r="X854" i="49"/>
  <c r="X850" i="49"/>
  <c r="X846" i="49"/>
  <c r="X842" i="49"/>
  <c r="X838" i="49"/>
  <c r="X834" i="49"/>
  <c r="X830" i="49"/>
  <c r="X826" i="49"/>
  <c r="X822" i="49"/>
  <c r="X818" i="49"/>
  <c r="X814" i="49"/>
  <c r="X810" i="49"/>
  <c r="X806" i="49"/>
  <c r="X802" i="49"/>
  <c r="X798" i="49"/>
  <c r="X794" i="49"/>
  <c r="X790" i="49"/>
  <c r="X786" i="49"/>
  <c r="X782" i="49"/>
  <c r="X778" i="49"/>
  <c r="X774" i="49"/>
  <c r="X770" i="49"/>
  <c r="X766" i="49"/>
  <c r="X762" i="49"/>
  <c r="X758" i="49"/>
  <c r="X754" i="49"/>
  <c r="Y1029" i="49"/>
  <c r="Y1025" i="49"/>
  <c r="Y1021" i="49"/>
  <c r="Y1017" i="49"/>
  <c r="Y1013" i="49"/>
  <c r="Y1009" i="49"/>
  <c r="Y1005" i="49"/>
  <c r="Y1001" i="49"/>
  <c r="Y997" i="49"/>
  <c r="Y993" i="49"/>
  <c r="Y989" i="49"/>
  <c r="Y985" i="49"/>
  <c r="Y981" i="49"/>
  <c r="Y977" i="49"/>
  <c r="Y973" i="49"/>
  <c r="Y969" i="49"/>
  <c r="Y965" i="49"/>
  <c r="Y961" i="49"/>
  <c r="Y957" i="49"/>
  <c r="Y953" i="49"/>
  <c r="Y949" i="49"/>
  <c r="Y945" i="49"/>
  <c r="Y941" i="49"/>
  <c r="Y937" i="49"/>
  <c r="Y933" i="49"/>
  <c r="Y929" i="49"/>
  <c r="Y925" i="49"/>
  <c r="Y921" i="49"/>
  <c r="Y917" i="49"/>
  <c r="Y913" i="49"/>
  <c r="Y909" i="49"/>
  <c r="Y905" i="49"/>
  <c r="Y901" i="49"/>
  <c r="Y897" i="49"/>
  <c r="Y893" i="49"/>
  <c r="Y889" i="49"/>
  <c r="Y885" i="49"/>
  <c r="Y881" i="49"/>
  <c r="Y877" i="49"/>
  <c r="Y873" i="49"/>
  <c r="Y869" i="49"/>
  <c r="Y865" i="49"/>
  <c r="Y861" i="49"/>
  <c r="Y857" i="49"/>
  <c r="Y853" i="49"/>
  <c r="Y849" i="49"/>
  <c r="Y845" i="49"/>
  <c r="Y841" i="49"/>
  <c r="Y837" i="49"/>
  <c r="Y833" i="49"/>
  <c r="Y829" i="49"/>
  <c r="Y825" i="49"/>
  <c r="Y821" i="49"/>
  <c r="Y817" i="49"/>
  <c r="Y813" i="49"/>
  <c r="Y809" i="49"/>
  <c r="Y805" i="49"/>
  <c r="Y801" i="49"/>
  <c r="Y797" i="49"/>
  <c r="Y793" i="49"/>
  <c r="Y789" i="49"/>
  <c r="X1028" i="49"/>
  <c r="X1021" i="49"/>
  <c r="Y1015" i="49"/>
  <c r="Y1008" i="49"/>
  <c r="Y1002" i="49"/>
  <c r="X996" i="49"/>
  <c r="X989" i="49"/>
  <c r="Y983" i="49"/>
  <c r="Y976" i="49"/>
  <c r="Y970" i="49"/>
  <c r="X964" i="49"/>
  <c r="X957" i="49"/>
  <c r="Y951" i="49"/>
  <c r="Y944" i="49"/>
  <c r="Y938" i="49"/>
  <c r="X932" i="49"/>
  <c r="X925" i="49"/>
  <c r="Y919" i="49"/>
  <c r="Y912" i="49"/>
  <c r="Y906" i="49"/>
  <c r="X900" i="49"/>
  <c r="X893" i="49"/>
  <c r="Y887" i="49"/>
  <c r="Y880" i="49"/>
  <c r="Y874" i="49"/>
  <c r="X868" i="49"/>
  <c r="X861" i="49"/>
  <c r="Y855" i="49"/>
  <c r="Y848" i="49"/>
  <c r="Y842" i="49"/>
  <c r="X836" i="49"/>
  <c r="X829" i="49"/>
  <c r="Y823" i="49"/>
  <c r="Y816" i="49"/>
  <c r="Y810" i="49"/>
  <c r="X804" i="49"/>
  <c r="X797" i="49"/>
  <c r="Y791" i="49"/>
  <c r="X785" i="49"/>
  <c r="X780" i="49"/>
  <c r="Y774" i="49"/>
  <c r="Y769" i="49"/>
  <c r="X765" i="49"/>
  <c r="Y760" i="49"/>
  <c r="X756" i="49"/>
  <c r="Y751" i="49"/>
  <c r="Y747" i="49"/>
  <c r="Y743" i="49"/>
  <c r="Y739" i="49"/>
  <c r="Y735" i="49"/>
  <c r="Y731" i="49"/>
  <c r="Y727" i="49"/>
  <c r="Y723" i="49"/>
  <c r="Y719" i="49"/>
  <c r="Y715" i="49"/>
  <c r="Y711" i="49"/>
  <c r="Y707" i="49"/>
  <c r="Y703" i="49"/>
  <c r="Y699" i="49"/>
  <c r="Y695" i="49"/>
  <c r="Y691" i="49"/>
  <c r="Y687" i="49"/>
  <c r="Y683" i="49"/>
  <c r="Y679" i="49"/>
  <c r="Y675" i="49"/>
  <c r="Y671" i="49"/>
  <c r="Y667" i="49"/>
  <c r="Y663" i="49"/>
  <c r="Y659" i="49"/>
  <c r="Y655" i="49"/>
  <c r="Y651" i="49"/>
  <c r="Y647" i="49"/>
  <c r="Y643" i="49"/>
  <c r="Y639" i="49"/>
  <c r="Y635" i="49"/>
  <c r="Y631" i="49"/>
  <c r="Y1027" i="49"/>
  <c r="Y1020" i="49"/>
  <c r="Y1014" i="49"/>
  <c r="X1008" i="49"/>
  <c r="X1001" i="49"/>
  <c r="Y995" i="49"/>
  <c r="Y988" i="49"/>
  <c r="Y982" i="49"/>
  <c r="X976" i="49"/>
  <c r="X969" i="49"/>
  <c r="Y963" i="49"/>
  <c r="Y956" i="49"/>
  <c r="Y950" i="49"/>
  <c r="X944" i="49"/>
  <c r="X937" i="49"/>
  <c r="Y931" i="49"/>
  <c r="Y924" i="49"/>
  <c r="Y918" i="49"/>
  <c r="X912" i="49"/>
  <c r="X905" i="49"/>
  <c r="Y899" i="49"/>
  <c r="Y892" i="49"/>
  <c r="Y886" i="49"/>
  <c r="X880" i="49"/>
  <c r="X873" i="49"/>
  <c r="Y867" i="49"/>
  <c r="Y860" i="49"/>
  <c r="Y854" i="49"/>
  <c r="X848" i="49"/>
  <c r="X841" i="49"/>
  <c r="Y835" i="49"/>
  <c r="Y828" i="49"/>
  <c r="Y822" i="49"/>
  <c r="X816" i="49"/>
  <c r="X809" i="49"/>
  <c r="Y803" i="49"/>
  <c r="Y796" i="49"/>
  <c r="Y790" i="49"/>
  <c r="Y784" i="49"/>
  <c r="Y779" i="49"/>
  <c r="Y773" i="49"/>
  <c r="X769" i="49"/>
  <c r="Y764" i="49"/>
  <c r="X760" i="49"/>
  <c r="Y755" i="49"/>
  <c r="X751" i="49"/>
  <c r="X747" i="49"/>
  <c r="X743" i="49"/>
  <c r="X739" i="49"/>
  <c r="X735" i="49"/>
  <c r="X731" i="49"/>
  <c r="X727" i="49"/>
  <c r="X723" i="49"/>
  <c r="X719" i="49"/>
  <c r="X715" i="49"/>
  <c r="X711" i="49"/>
  <c r="X707" i="49"/>
  <c r="X703" i="49"/>
  <c r="X699" i="49"/>
  <c r="X695" i="49"/>
  <c r="X691" i="49"/>
  <c r="X687" i="49"/>
  <c r="Y1026" i="49"/>
  <c r="X1020" i="49"/>
  <c r="X1013" i="49"/>
  <c r="Y1007" i="49"/>
  <c r="Y1000" i="49"/>
  <c r="Y994" i="49"/>
  <c r="X988" i="49"/>
  <c r="X981" i="49"/>
  <c r="Y975" i="49"/>
  <c r="Y968" i="49"/>
  <c r="Y962" i="49"/>
  <c r="X956" i="49"/>
  <c r="X949" i="49"/>
  <c r="Y943" i="49"/>
  <c r="Y936" i="49"/>
  <c r="Y930" i="49"/>
  <c r="X924" i="49"/>
  <c r="X917" i="49"/>
  <c r="Y911" i="49"/>
  <c r="Y904" i="49"/>
  <c r="Y898" i="49"/>
  <c r="X892" i="49"/>
  <c r="X885" i="49"/>
  <c r="Y879" i="49"/>
  <c r="Y872" i="49"/>
  <c r="Y866" i="49"/>
  <c r="X860" i="49"/>
  <c r="X853" i="49"/>
  <c r="Y847" i="49"/>
  <c r="Y840" i="49"/>
  <c r="Y834" i="49"/>
  <c r="X828" i="49"/>
  <c r="X821" i="49"/>
  <c r="Y815" i="49"/>
  <c r="Y808" i="49"/>
  <c r="Y802" i="49"/>
  <c r="X796" i="49"/>
  <c r="X789" i="49"/>
  <c r="X784" i="49"/>
  <c r="Y778" i="49"/>
  <c r="X773" i="49"/>
  <c r="Y768" i="49"/>
  <c r="X764" i="49"/>
  <c r="Y759" i="49"/>
  <c r="X755" i="49"/>
  <c r="Y750" i="49"/>
  <c r="Y746" i="49"/>
  <c r="Y742" i="49"/>
  <c r="Y738" i="49"/>
  <c r="Y734" i="49"/>
  <c r="Y730" i="49"/>
  <c r="Y726" i="49"/>
  <c r="Y722" i="49"/>
  <c r="Y718" i="49"/>
  <c r="Y714" i="49"/>
  <c r="Y710" i="49"/>
  <c r="Y706" i="49"/>
  <c r="Y702" i="49"/>
  <c r="Y698" i="49"/>
  <c r="Y694" i="49"/>
  <c r="X1025" i="49"/>
  <c r="Y1019" i="49"/>
  <c r="Y1012" i="49"/>
  <c r="Y1006" i="49"/>
  <c r="X1000" i="49"/>
  <c r="X993" i="49"/>
  <c r="Y987" i="49"/>
  <c r="Y980" i="49"/>
  <c r="Y974" i="49"/>
  <c r="X968" i="49"/>
  <c r="X961" i="49"/>
  <c r="Y955" i="49"/>
  <c r="Y948" i="49"/>
  <c r="Y942" i="49"/>
  <c r="X936" i="49"/>
  <c r="X929" i="49"/>
  <c r="Y923" i="49"/>
  <c r="Y916" i="49"/>
  <c r="Y910" i="49"/>
  <c r="X904" i="49"/>
  <c r="X897" i="49"/>
  <c r="Y891" i="49"/>
  <c r="Y884" i="49"/>
  <c r="Y878" i="49"/>
  <c r="X872" i="49"/>
  <c r="X865" i="49"/>
  <c r="Y859" i="49"/>
  <c r="Y852" i="49"/>
  <c r="Y846" i="49"/>
  <c r="X840" i="49"/>
  <c r="X833" i="49"/>
  <c r="Y827" i="49"/>
  <c r="Y820" i="49"/>
  <c r="Y814" i="49"/>
  <c r="X808" i="49"/>
  <c r="X801" i="49"/>
  <c r="Y795" i="49"/>
  <c r="Y788" i="49"/>
  <c r="Y783" i="49"/>
  <c r="Y777" i="49"/>
  <c r="Y772" i="49"/>
  <c r="X768" i="49"/>
  <c r="Y763" i="49"/>
  <c r="X759" i="49"/>
  <c r="Y754" i="49"/>
  <c r="X750" i="49"/>
  <c r="X746" i="49"/>
  <c r="X742" i="49"/>
  <c r="X738" i="49"/>
  <c r="X734" i="49"/>
  <c r="X730" i="49"/>
  <c r="X726" i="49"/>
  <c r="Y1031" i="49"/>
  <c r="Y1024" i="49"/>
  <c r="Y1018" i="49"/>
  <c r="X1012" i="49"/>
  <c r="X1005" i="49"/>
  <c r="Y999" i="49"/>
  <c r="Y992" i="49"/>
  <c r="Y986" i="49"/>
  <c r="X980" i="49"/>
  <c r="X973" i="49"/>
  <c r="Y967" i="49"/>
  <c r="Y960" i="49"/>
  <c r="Y954" i="49"/>
  <c r="X948" i="49"/>
  <c r="X941" i="49"/>
  <c r="Y935" i="49"/>
  <c r="Y928" i="49"/>
  <c r="Y922" i="49"/>
  <c r="X916" i="49"/>
  <c r="X909" i="49"/>
  <c r="Y903" i="49"/>
  <c r="Y896" i="49"/>
  <c r="Y890" i="49"/>
  <c r="X884" i="49"/>
  <c r="X877" i="49"/>
  <c r="Y871" i="49"/>
  <c r="Y864" i="49"/>
  <c r="Y858" i="49"/>
  <c r="X852" i="49"/>
  <c r="X845" i="49"/>
  <c r="Y839" i="49"/>
  <c r="Y832" i="49"/>
  <c r="Y826" i="49"/>
  <c r="X820" i="49"/>
  <c r="X813" i="49"/>
  <c r="Y807" i="49"/>
  <c r="Y800" i="49"/>
  <c r="Y794" i="49"/>
  <c r="X788" i="49"/>
  <c r="Y782" i="49"/>
  <c r="X777" i="49"/>
  <c r="X772" i="49"/>
  <c r="Y767" i="49"/>
  <c r="X763" i="49"/>
  <c r="Y758" i="49"/>
  <c r="Y753" i="49"/>
  <c r="Y749" i="49"/>
  <c r="Y745" i="49"/>
  <c r="Y741" i="49"/>
  <c r="Y737" i="49"/>
  <c r="Y733" i="49"/>
  <c r="Y729" i="49"/>
  <c r="Y725" i="49"/>
  <c r="Y721" i="49"/>
  <c r="Y717" i="49"/>
  <c r="Y713" i="49"/>
  <c r="Y709" i="49"/>
  <c r="Y705" i="49"/>
  <c r="Y701" i="49"/>
  <c r="Y697" i="49"/>
  <c r="Y693" i="49"/>
  <c r="Y689" i="49"/>
  <c r="Y685" i="49"/>
  <c r="Y681" i="49"/>
  <c r="Y677" i="49"/>
  <c r="Y1030" i="49"/>
  <c r="X1024" i="49"/>
  <c r="X1017" i="49"/>
  <c r="Y1011" i="49"/>
  <c r="Y1004" i="49"/>
  <c r="Y998" i="49"/>
  <c r="X992" i="49"/>
  <c r="X985" i="49"/>
  <c r="Y979" i="49"/>
  <c r="Y972" i="49"/>
  <c r="Y966" i="49"/>
  <c r="X960" i="49"/>
  <c r="X953" i="49"/>
  <c r="Y947" i="49"/>
  <c r="Y940" i="49"/>
  <c r="Y934" i="49"/>
  <c r="X928" i="49"/>
  <c r="X921" i="49"/>
  <c r="Y915" i="49"/>
  <c r="Y908" i="49"/>
  <c r="Y902" i="49"/>
  <c r="X896" i="49"/>
  <c r="X889" i="49"/>
  <c r="Y883" i="49"/>
  <c r="Y876" i="49"/>
  <c r="Y870" i="49"/>
  <c r="X864" i="49"/>
  <c r="X857" i="49"/>
  <c r="Y851" i="49"/>
  <c r="Y844" i="49"/>
  <c r="Y838" i="49"/>
  <c r="X832" i="49"/>
  <c r="X825" i="49"/>
  <c r="Y819" i="49"/>
  <c r="Y812" i="49"/>
  <c r="Y806" i="49"/>
  <c r="X800" i="49"/>
  <c r="X793" i="49"/>
  <c r="Y787" i="49"/>
  <c r="Y781" i="49"/>
  <c r="Y776" i="49"/>
  <c r="Y771" i="49"/>
  <c r="X767" i="49"/>
  <c r="Y762" i="49"/>
  <c r="Y757" i="49"/>
  <c r="X753" i="49"/>
  <c r="X749" i="49"/>
  <c r="X745" i="49"/>
  <c r="X741" i="49"/>
  <c r="X737" i="49"/>
  <c r="X733" i="49"/>
  <c r="X729" i="49"/>
  <c r="X725" i="49"/>
  <c r="X721" i="49"/>
  <c r="X717" i="49"/>
  <c r="X713" i="49"/>
  <c r="X709" i="49"/>
  <c r="X705" i="49"/>
  <c r="X701" i="49"/>
  <c r="X697" i="49"/>
  <c r="X693" i="49"/>
  <c r="X689" i="49"/>
  <c r="X685" i="49"/>
  <c r="X681" i="49"/>
  <c r="X677" i="49"/>
  <c r="X673" i="49"/>
  <c r="X669" i="49"/>
  <c r="X665" i="49"/>
  <c r="X661" i="49"/>
  <c r="X657" i="49"/>
  <c r="X653" i="49"/>
  <c r="X649" i="49"/>
  <c r="X645" i="49"/>
  <c r="Y1010" i="49"/>
  <c r="Y984" i="49"/>
  <c r="Y959" i="49"/>
  <c r="X933" i="49"/>
  <c r="X908" i="49"/>
  <c r="Y882" i="49"/>
  <c r="Y856" i="49"/>
  <c r="Y831" i="49"/>
  <c r="X805" i="49"/>
  <c r="X781" i="49"/>
  <c r="Y761" i="49"/>
  <c r="Y744" i="49"/>
  <c r="Y728" i="49"/>
  <c r="Y716" i="49"/>
  <c r="X706" i="49"/>
  <c r="X696" i="49"/>
  <c r="Y686" i="49"/>
  <c r="X680" i="49"/>
  <c r="X674" i="49"/>
  <c r="Y668" i="49"/>
  <c r="X663" i="49"/>
  <c r="X658" i="49"/>
  <c r="Y652" i="49"/>
  <c r="X647" i="49"/>
  <c r="X642" i="49"/>
  <c r="Y637" i="49"/>
  <c r="X633" i="49"/>
  <c r="Y628" i="49"/>
  <c r="Y624" i="49"/>
  <c r="Y620" i="49"/>
  <c r="Y616" i="49"/>
  <c r="Y612" i="49"/>
  <c r="Y608" i="49"/>
  <c r="Y604" i="49"/>
  <c r="Y600" i="49"/>
  <c r="Y596" i="49"/>
  <c r="Y592" i="49"/>
  <c r="Y588" i="49"/>
  <c r="Y584" i="49"/>
  <c r="Y580" i="49"/>
  <c r="Y576" i="49"/>
  <c r="Y572" i="49"/>
  <c r="Y568" i="49"/>
  <c r="Y564" i="49"/>
  <c r="Y560" i="49"/>
  <c r="Y556" i="49"/>
  <c r="Y552" i="49"/>
  <c r="Y548" i="49"/>
  <c r="Y544" i="49"/>
  <c r="Y540" i="49"/>
  <c r="Y536" i="49"/>
  <c r="Y532" i="49"/>
  <c r="Y528" i="49"/>
  <c r="Y524" i="49"/>
  <c r="Y520" i="49"/>
  <c r="Y516" i="49"/>
  <c r="Y512" i="49"/>
  <c r="Y508" i="49"/>
  <c r="Y504" i="49"/>
  <c r="Y500" i="49"/>
  <c r="Y496" i="49"/>
  <c r="Y492" i="49"/>
  <c r="Y488" i="49"/>
  <c r="Y484" i="49"/>
  <c r="Y480" i="49"/>
  <c r="Y476" i="49"/>
  <c r="Y472" i="49"/>
  <c r="Y468" i="49"/>
  <c r="Y464" i="49"/>
  <c r="Y460" i="49"/>
  <c r="Y456" i="49"/>
  <c r="Y452" i="49"/>
  <c r="Y448" i="49"/>
  <c r="Y444" i="49"/>
  <c r="Y440" i="49"/>
  <c r="Y436" i="49"/>
  <c r="Y432" i="49"/>
  <c r="Y428" i="49"/>
  <c r="Y424" i="49"/>
  <c r="Y420" i="49"/>
  <c r="Y416" i="49"/>
  <c r="Y412" i="49"/>
  <c r="Y1023" i="49"/>
  <c r="Y996" i="49"/>
  <c r="X965" i="49"/>
  <c r="Y939" i="49"/>
  <c r="Y907" i="49"/>
  <c r="X876" i="49"/>
  <c r="X849" i="49"/>
  <c r="Y818" i="49"/>
  <c r="X792" i="49"/>
  <c r="Y766" i="49"/>
  <c r="X748" i="49"/>
  <c r="X728" i="49"/>
  <c r="X714" i="49"/>
  <c r="X702" i="49"/>
  <c r="Y690" i="49"/>
  <c r="Y682" i="49"/>
  <c r="X675" i="49"/>
  <c r="Y669" i="49"/>
  <c r="Y662" i="49"/>
  <c r="Y656" i="49"/>
  <c r="Y650" i="49"/>
  <c r="Y644" i="49"/>
  <c r="X639" i="49"/>
  <c r="X634" i="49"/>
  <c r="X629" i="49"/>
  <c r="X624" i="49"/>
  <c r="Y619" i="49"/>
  <c r="X615" i="49"/>
  <c r="Y610" i="49"/>
  <c r="X606" i="49"/>
  <c r="Y601" i="49"/>
  <c r="X597" i="49"/>
  <c r="X592" i="49"/>
  <c r="Y587" i="49"/>
  <c r="X583" i="49"/>
  <c r="Y578" i="49"/>
  <c r="X574" i="49"/>
  <c r="Y569" i="49"/>
  <c r="X565" i="49"/>
  <c r="X560" i="49"/>
  <c r="Y555" i="49"/>
  <c r="X551" i="49"/>
  <c r="Y546" i="49"/>
  <c r="X542" i="49"/>
  <c r="Y537" i="49"/>
  <c r="X533" i="49"/>
  <c r="X528" i="49"/>
  <c r="Y523" i="49"/>
  <c r="X519" i="49"/>
  <c r="Y514" i="49"/>
  <c r="X510" i="49"/>
  <c r="Y505" i="49"/>
  <c r="X501" i="49"/>
  <c r="X496" i="49"/>
  <c r="Y491" i="49"/>
  <c r="X487" i="49"/>
  <c r="Y482" i="49"/>
  <c r="X478" i="49"/>
  <c r="Y473" i="49"/>
  <c r="X469" i="49"/>
  <c r="X464" i="49"/>
  <c r="Y459" i="49"/>
  <c r="X455" i="49"/>
  <c r="Y450" i="49"/>
  <c r="X446" i="49"/>
  <c r="Y441" i="49"/>
  <c r="X437" i="49"/>
  <c r="X432" i="49"/>
  <c r="Y427" i="49"/>
  <c r="X423" i="49"/>
  <c r="Y418" i="49"/>
  <c r="X414" i="49"/>
  <c r="Y409" i="49"/>
  <c r="Y405" i="49"/>
  <c r="Y401" i="49"/>
  <c r="Y397" i="49"/>
  <c r="Y393" i="49"/>
  <c r="Y389" i="49"/>
  <c r="Y385" i="49"/>
  <c r="Y381" i="49"/>
  <c r="Y377" i="49"/>
  <c r="Y373" i="49"/>
  <c r="Y369" i="49"/>
  <c r="Y365" i="49"/>
  <c r="Y361" i="49"/>
  <c r="Y357" i="49"/>
  <c r="Y353" i="49"/>
  <c r="Y349" i="49"/>
  <c r="Y345" i="49"/>
  <c r="Y341" i="49"/>
  <c r="Y337" i="49"/>
  <c r="Y333" i="49"/>
  <c r="Y329" i="49"/>
  <c r="Y325" i="49"/>
  <c r="Y321" i="49"/>
  <c r="Y317" i="49"/>
  <c r="Y313" i="49"/>
  <c r="Y309" i="49"/>
  <c r="Y305" i="49"/>
  <c r="Y301" i="49"/>
  <c r="Y297" i="49"/>
  <c r="Y293" i="49"/>
  <c r="Y289" i="49"/>
  <c r="Y285" i="49"/>
  <c r="Y281" i="49"/>
  <c r="Y277" i="49"/>
  <c r="Y273" i="49"/>
  <c r="Y269" i="49"/>
  <c r="Y265" i="49"/>
  <c r="Y261" i="49"/>
  <c r="Y257" i="49"/>
  <c r="Y253" i="49"/>
  <c r="Y249" i="49"/>
  <c r="Y245" i="49"/>
  <c r="Y241" i="49"/>
  <c r="Y237" i="49"/>
  <c r="Y233" i="49"/>
  <c r="Y229" i="49"/>
  <c r="Y225" i="49"/>
  <c r="Y221" i="49"/>
  <c r="Y217" i="49"/>
  <c r="Y213" i="49"/>
  <c r="Y209" i="49"/>
  <c r="Y205" i="49"/>
  <c r="Y201" i="49"/>
  <c r="Y197" i="49"/>
  <c r="Y193" i="49"/>
  <c r="Y189" i="49"/>
  <c r="Y185" i="49"/>
  <c r="Y181" i="49"/>
  <c r="Y177" i="49"/>
  <c r="Y173" i="49"/>
  <c r="Y169" i="49"/>
  <c r="Y165" i="49"/>
  <c r="Y161" i="49"/>
  <c r="Y157" i="49"/>
  <c r="Y153" i="49"/>
  <c r="Y149" i="49"/>
  <c r="Y145" i="49"/>
  <c r="X1009" i="49"/>
  <c r="Y978" i="49"/>
  <c r="X952" i="49"/>
  <c r="Y920" i="49"/>
  <c r="Y894" i="49"/>
  <c r="Y863" i="49"/>
  <c r="Y836" i="49"/>
  <c r="Y804" i="49"/>
  <c r="X776" i="49"/>
  <c r="Y756" i="49"/>
  <c r="Y736" i="49"/>
  <c r="Y720" i="49"/>
  <c r="Y708" i="49"/>
  <c r="Y696" i="49"/>
  <c r="X686" i="49"/>
  <c r="Y678" i="49"/>
  <c r="X672" i="49"/>
  <c r="X666" i="49"/>
  <c r="X660" i="49"/>
  <c r="X654" i="49"/>
  <c r="X648" i="49"/>
  <c r="Y641" i="49"/>
  <c r="Y636" i="49"/>
  <c r="X631" i="49"/>
  <c r="Y626" i="49"/>
  <c r="X622" i="49"/>
  <c r="Y617" i="49"/>
  <c r="X613" i="49"/>
  <c r="X608" i="49"/>
  <c r="Y603" i="49"/>
  <c r="X599" i="49"/>
  <c r="Y594" i="49"/>
  <c r="X590" i="49"/>
  <c r="Y585" i="49"/>
  <c r="X581" i="49"/>
  <c r="X576" i="49"/>
  <c r="Y571" i="49"/>
  <c r="X567" i="49"/>
  <c r="Y562" i="49"/>
  <c r="X558" i="49"/>
  <c r="Y553" i="49"/>
  <c r="X549" i="49"/>
  <c r="X544" i="49"/>
  <c r="Y539" i="49"/>
  <c r="X535" i="49"/>
  <c r="Y530" i="49"/>
  <c r="X526" i="49"/>
  <c r="Y521" i="49"/>
  <c r="X517" i="49"/>
  <c r="X512" i="49"/>
  <c r="Y507" i="49"/>
  <c r="X503" i="49"/>
  <c r="Y498" i="49"/>
  <c r="X494" i="49"/>
  <c r="Y489" i="49"/>
  <c r="X485" i="49"/>
  <c r="X480" i="49"/>
  <c r="Y475" i="49"/>
  <c r="X471" i="49"/>
  <c r="Y466" i="49"/>
  <c r="X462" i="49"/>
  <c r="Y457" i="49"/>
  <c r="X453" i="49"/>
  <c r="X448" i="49"/>
  <c r="Y443" i="49"/>
  <c r="X439" i="49"/>
  <c r="Y434" i="49"/>
  <c r="X430" i="49"/>
  <c r="Y425" i="49"/>
  <c r="X421" i="49"/>
  <c r="X416" i="49"/>
  <c r="Y411" i="49"/>
  <c r="Y407" i="49"/>
  <c r="Y403" i="49"/>
  <c r="Y399" i="49"/>
  <c r="Y395" i="49"/>
  <c r="Y391" i="49"/>
  <c r="Y387" i="49"/>
  <c r="Y383" i="49"/>
  <c r="Y379" i="49"/>
  <c r="Y375" i="49"/>
  <c r="Y371" i="49"/>
  <c r="Y367" i="49"/>
  <c r="X1004" i="49"/>
  <c r="Y971" i="49"/>
  <c r="Y927" i="49"/>
  <c r="Y888" i="49"/>
  <c r="Y850" i="49"/>
  <c r="X812" i="49"/>
  <c r="Y775" i="49"/>
  <c r="Y748" i="49"/>
  <c r="X724" i="49"/>
  <c r="X708" i="49"/>
  <c r="X692" i="49"/>
  <c r="Y680" i="49"/>
  <c r="X671" i="49"/>
  <c r="X664" i="49"/>
  <c r="X655" i="49"/>
  <c r="Y646" i="49"/>
  <c r="X640" i="49"/>
  <c r="Y632" i="49"/>
  <c r="X626" i="49"/>
  <c r="X620" i="49"/>
  <c r="X614" i="49"/>
  <c r="Y607" i="49"/>
  <c r="X602" i="49"/>
  <c r="Y595" i="49"/>
  <c r="Y589" i="49"/>
  <c r="Y583" i="49"/>
  <c r="Y577" i="49"/>
  <c r="X571" i="49"/>
  <c r="Y565" i="49"/>
  <c r="X559" i="49"/>
  <c r="X553" i="49"/>
  <c r="X547" i="49"/>
  <c r="X541" i="49"/>
  <c r="Y534" i="49"/>
  <c r="X529" i="49"/>
  <c r="Y522" i="49"/>
  <c r="X516" i="49"/>
  <c r="Y510" i="49"/>
  <c r="X504" i="49"/>
  <c r="X498" i="49"/>
  <c r="X492" i="49"/>
  <c r="X486" i="49"/>
  <c r="Y479" i="49"/>
  <c r="X474" i="49"/>
  <c r="Y467" i="49"/>
  <c r="Y461" i="49"/>
  <c r="Y455" i="49"/>
  <c r="Y449" i="49"/>
  <c r="X443" i="49"/>
  <c r="Y437" i="49"/>
  <c r="X431" i="49"/>
  <c r="X425" i="49"/>
  <c r="X419" i="49"/>
  <c r="X413" i="49"/>
  <c r="X407" i="49"/>
  <c r="X402" i="49"/>
  <c r="Y396" i="49"/>
  <c r="X391" i="49"/>
  <c r="X386" i="49"/>
  <c r="Y380" i="49"/>
  <c r="X375" i="49"/>
  <c r="X370" i="49"/>
  <c r="Y364" i="49"/>
  <c r="X360" i="49"/>
  <c r="Y355" i="49"/>
  <c r="X351" i="49"/>
  <c r="Y346" i="49"/>
  <c r="X342" i="49"/>
  <c r="X337" i="49"/>
  <c r="Y332" i="49"/>
  <c r="X328" i="49"/>
  <c r="Y323" i="49"/>
  <c r="X319" i="49"/>
  <c r="Y314" i="49"/>
  <c r="X310" i="49"/>
  <c r="X305" i="49"/>
  <c r="Y300" i="49"/>
  <c r="X296" i="49"/>
  <c r="Y291" i="49"/>
  <c r="X287" i="49"/>
  <c r="Y282" i="49"/>
  <c r="X278" i="49"/>
  <c r="X273" i="49"/>
  <c r="Y268" i="49"/>
  <c r="X264" i="49"/>
  <c r="Y259" i="49"/>
  <c r="X255" i="49"/>
  <c r="Y250" i="49"/>
  <c r="X246" i="49"/>
  <c r="X241" i="49"/>
  <c r="Y236" i="49"/>
  <c r="X232" i="49"/>
  <c r="Y227" i="49"/>
  <c r="X223" i="49"/>
  <c r="Y218" i="49"/>
  <c r="X214" i="49"/>
  <c r="X209" i="49"/>
  <c r="Y204" i="49"/>
  <c r="X200" i="49"/>
  <c r="Y195" i="49"/>
  <c r="X191" i="49"/>
  <c r="Y186" i="49"/>
  <c r="X182" i="49"/>
  <c r="X177" i="49"/>
  <c r="Y172" i="49"/>
  <c r="X168" i="49"/>
  <c r="Y163" i="49"/>
  <c r="X159" i="49"/>
  <c r="Y154" i="49"/>
  <c r="X150" i="49"/>
  <c r="X145" i="49"/>
  <c r="X141" i="49"/>
  <c r="X137" i="49"/>
  <c r="X133" i="49"/>
  <c r="X129" i="49"/>
  <c r="X125" i="49"/>
  <c r="X121" i="49"/>
  <c r="X117" i="49"/>
  <c r="X113" i="49"/>
  <c r="X109" i="49"/>
  <c r="X105" i="49"/>
  <c r="X101" i="49"/>
  <c r="X97" i="49"/>
  <c r="X93" i="49"/>
  <c r="X89" i="49"/>
  <c r="Y1003" i="49"/>
  <c r="Y964" i="49"/>
  <c r="Y926" i="49"/>
  <c r="X888" i="49"/>
  <c r="X844" i="49"/>
  <c r="Y811" i="49"/>
  <c r="X771" i="49"/>
  <c r="X744" i="49"/>
  <c r="X722" i="49"/>
  <c r="Y704" i="49"/>
  <c r="X690" i="49"/>
  <c r="X679" i="49"/>
  <c r="Y670" i="49"/>
  <c r="X662" i="49"/>
  <c r="Y654" i="49"/>
  <c r="X646" i="49"/>
  <c r="Y638" i="49"/>
  <c r="X632" i="49"/>
  <c r="Y625" i="49"/>
  <c r="X619" i="49"/>
  <c r="Y613" i="49"/>
  <c r="X607" i="49"/>
  <c r="X601" i="49"/>
  <c r="X595" i="49"/>
  <c r="X589" i="49"/>
  <c r="Y582" i="49"/>
  <c r="X577" i="49"/>
  <c r="Y570" i="49"/>
  <c r="X564" i="49"/>
  <c r="Y558" i="49"/>
  <c r="X552" i="49"/>
  <c r="X546" i="49"/>
  <c r="X540" i="49"/>
  <c r="X534" i="49"/>
  <c r="Y527" i="49"/>
  <c r="X522" i="49"/>
  <c r="Y515" i="49"/>
  <c r="Y509" i="49"/>
  <c r="Y503" i="49"/>
  <c r="Y497" i="49"/>
  <c r="X491" i="49"/>
  <c r="Y485" i="49"/>
  <c r="X479" i="49"/>
  <c r="X473" i="49"/>
  <c r="X467" i="49"/>
  <c r="X461" i="49"/>
  <c r="Y454" i="49"/>
  <c r="X449" i="49"/>
  <c r="Y442" i="49"/>
  <c r="X436" i="49"/>
  <c r="Y430" i="49"/>
  <c r="X424" i="49"/>
  <c r="X418" i="49"/>
  <c r="X412" i="49"/>
  <c r="Y406" i="49"/>
  <c r="X401" i="49"/>
  <c r="X396" i="49"/>
  <c r="Y390" i="49"/>
  <c r="X385" i="49"/>
  <c r="X380" i="49"/>
  <c r="Y374" i="49"/>
  <c r="X369" i="49"/>
  <c r="X364" i="49"/>
  <c r="Y359" i="49"/>
  <c r="X355" i="49"/>
  <c r="Y350" i="49"/>
  <c r="X346" i="49"/>
  <c r="X341" i="49"/>
  <c r="Y336" i="49"/>
  <c r="X332" i="49"/>
  <c r="Y327" i="49"/>
  <c r="X323" i="49"/>
  <c r="Y318" i="49"/>
  <c r="X314" i="49"/>
  <c r="X309" i="49"/>
  <c r="Y304" i="49"/>
  <c r="X300" i="49"/>
  <c r="Y295" i="49"/>
  <c r="X291" i="49"/>
  <c r="Y286" i="49"/>
  <c r="X282" i="49"/>
  <c r="X277" i="49"/>
  <c r="Y272" i="49"/>
  <c r="X268" i="49"/>
  <c r="Y263" i="49"/>
  <c r="X259" i="49"/>
  <c r="Y254" i="49"/>
  <c r="X250" i="49"/>
  <c r="X245" i="49"/>
  <c r="Y240" i="49"/>
  <c r="X236" i="49"/>
  <c r="Y231" i="49"/>
  <c r="X227" i="49"/>
  <c r="Y222" i="49"/>
  <c r="X218" i="49"/>
  <c r="X213" i="49"/>
  <c r="Y208" i="49"/>
  <c r="X204" i="49"/>
  <c r="Y199" i="49"/>
  <c r="X195" i="49"/>
  <c r="Y190" i="49"/>
  <c r="X186" i="49"/>
  <c r="X181" i="49"/>
  <c r="Y176" i="49"/>
  <c r="X172" i="49"/>
  <c r="Y167" i="49"/>
  <c r="X163" i="49"/>
  <c r="Y158" i="49"/>
  <c r="X154" i="49"/>
  <c r="X149" i="49"/>
  <c r="Y144" i="49"/>
  <c r="X997" i="49"/>
  <c r="Y958" i="49"/>
  <c r="X920" i="49"/>
  <c r="X881" i="49"/>
  <c r="Y843" i="49"/>
  <c r="Y799" i="49"/>
  <c r="Y770" i="49"/>
  <c r="Y740" i="49"/>
  <c r="X720" i="49"/>
  <c r="X704" i="49"/>
  <c r="Y688" i="49"/>
  <c r="X678" i="49"/>
  <c r="X670" i="49"/>
  <c r="Y661" i="49"/>
  <c r="Y653" i="49"/>
  <c r="Y645" i="49"/>
  <c r="X638" i="49"/>
  <c r="Y630" i="49"/>
  <c r="X625" i="49"/>
  <c r="Y618" i="49"/>
  <c r="X612" i="49"/>
  <c r="Y606" i="49"/>
  <c r="X600" i="49"/>
  <c r="X594" i="49"/>
  <c r="X588" i="49"/>
  <c r="X582" i="49"/>
  <c r="Y575" i="49"/>
  <c r="X570" i="49"/>
  <c r="Y563" i="49"/>
  <c r="Y557" i="49"/>
  <c r="Y551" i="49"/>
  <c r="Y545" i="49"/>
  <c r="X539" i="49"/>
  <c r="Y533" i="49"/>
  <c r="X527" i="49"/>
  <c r="X521" i="49"/>
  <c r="X515" i="49"/>
  <c r="X509" i="49"/>
  <c r="Y502" i="49"/>
  <c r="X497" i="49"/>
  <c r="Y490" i="49"/>
  <c r="X484" i="49"/>
  <c r="Y478" i="49"/>
  <c r="X472" i="49"/>
  <c r="X466" i="49"/>
  <c r="X460" i="49"/>
  <c r="X454" i="49"/>
  <c r="Y447" i="49"/>
  <c r="X442" i="49"/>
  <c r="Y435" i="49"/>
  <c r="Y429" i="49"/>
  <c r="Y423" i="49"/>
  <c r="Y417" i="49"/>
  <c r="X411" i="49"/>
  <c r="X406" i="49"/>
  <c r="Y400" i="49"/>
  <c r="X395" i="49"/>
  <c r="X390" i="49"/>
  <c r="Y384" i="49"/>
  <c r="X379" i="49"/>
  <c r="X374" i="49"/>
  <c r="X1029" i="49"/>
  <c r="Y991" i="49"/>
  <c r="Y952" i="49"/>
  <c r="Y914" i="49"/>
  <c r="Y875" i="49"/>
  <c r="X837" i="49"/>
  <c r="Y798" i="49"/>
  <c r="Y765" i="49"/>
  <c r="X740" i="49"/>
  <c r="X718" i="49"/>
  <c r="Y700" i="49"/>
  <c r="X688" i="49"/>
  <c r="Y676" i="49"/>
  <c r="X668" i="49"/>
  <c r="Y660" i="49"/>
  <c r="X652" i="49"/>
  <c r="X644" i="49"/>
  <c r="X637" i="49"/>
  <c r="X630" i="49"/>
  <c r="Y623" i="49"/>
  <c r="X618" i="49"/>
  <c r="Y611" i="49"/>
  <c r="Y605" i="49"/>
  <c r="Y599" i="49"/>
  <c r="Y593" i="49"/>
  <c r="X587" i="49"/>
  <c r="Y581" i="49"/>
  <c r="X575" i="49"/>
  <c r="X569" i="49"/>
  <c r="X563" i="49"/>
  <c r="X557" i="49"/>
  <c r="Y550" i="49"/>
  <c r="X545" i="49"/>
  <c r="Y538" i="49"/>
  <c r="X532" i="49"/>
  <c r="Y526" i="49"/>
  <c r="X520" i="49"/>
  <c r="X514" i="49"/>
  <c r="X508" i="49"/>
  <c r="X502" i="49"/>
  <c r="Y495" i="49"/>
  <c r="X490" i="49"/>
  <c r="Y483" i="49"/>
  <c r="Y477" i="49"/>
  <c r="Y471" i="49"/>
  <c r="Y465" i="49"/>
  <c r="X459" i="49"/>
  <c r="Y453" i="49"/>
  <c r="X447" i="49"/>
  <c r="X441" i="49"/>
  <c r="X435" i="49"/>
  <c r="X429" i="49"/>
  <c r="Y422" i="49"/>
  <c r="X417" i="49"/>
  <c r="Y410" i="49"/>
  <c r="X405" i="49"/>
  <c r="X400" i="49"/>
  <c r="Y394" i="49"/>
  <c r="X389" i="49"/>
  <c r="X384" i="49"/>
  <c r="Y378" i="49"/>
  <c r="X373" i="49"/>
  <c r="X368" i="49"/>
  <c r="X363" i="49"/>
  <c r="Y358" i="49"/>
  <c r="X354" i="49"/>
  <c r="X349" i="49"/>
  <c r="Y344" i="49"/>
  <c r="X340" i="49"/>
  <c r="Y335" i="49"/>
  <c r="X331" i="49"/>
  <c r="Y326" i="49"/>
  <c r="X322" i="49"/>
  <c r="X317" i="49"/>
  <c r="Y312" i="49"/>
  <c r="X308" i="49"/>
  <c r="Y303" i="49"/>
  <c r="X299" i="49"/>
  <c r="Y294" i="49"/>
  <c r="X290" i="49"/>
  <c r="X285" i="49"/>
  <c r="Y280" i="49"/>
  <c r="X276" i="49"/>
  <c r="Y271" i="49"/>
  <c r="Y1028" i="49"/>
  <c r="Y990" i="49"/>
  <c r="Y946" i="49"/>
  <c r="X913" i="49"/>
  <c r="X869" i="49"/>
  <c r="Y830" i="49"/>
  <c r="Y792" i="49"/>
  <c r="X761" i="49"/>
  <c r="X736" i="49"/>
  <c r="X716" i="49"/>
  <c r="X700" i="49"/>
  <c r="Y684" i="49"/>
  <c r="X676" i="49"/>
  <c r="X667" i="49"/>
  <c r="X659" i="49"/>
  <c r="X651" i="49"/>
  <c r="X643" i="49"/>
  <c r="X636" i="49"/>
  <c r="Y629" i="49"/>
  <c r="X623" i="49"/>
  <c r="X617" i="49"/>
  <c r="X611" i="49"/>
  <c r="X605" i="49"/>
  <c r="Y598" i="49"/>
  <c r="X593" i="49"/>
  <c r="Y586" i="49"/>
  <c r="X580" i="49"/>
  <c r="Y574" i="49"/>
  <c r="X568" i="49"/>
  <c r="X562" i="49"/>
  <c r="X556" i="49"/>
  <c r="X550" i="49"/>
  <c r="Y543" i="49"/>
  <c r="X538" i="49"/>
  <c r="Y531" i="49"/>
  <c r="Y525" i="49"/>
  <c r="Y519" i="49"/>
  <c r="Y513" i="49"/>
  <c r="X507" i="49"/>
  <c r="Y501" i="49"/>
  <c r="X495" i="49"/>
  <c r="X489" i="49"/>
  <c r="X483" i="49"/>
  <c r="X477" i="49"/>
  <c r="Y470" i="49"/>
  <c r="X465" i="49"/>
  <c r="Y458" i="49"/>
  <c r="X452" i="49"/>
  <c r="Y446" i="49"/>
  <c r="X440" i="49"/>
  <c r="X434" i="49"/>
  <c r="X428" i="49"/>
  <c r="X422" i="49"/>
  <c r="Y415" i="49"/>
  <c r="X410" i="49"/>
  <c r="Y404" i="49"/>
  <c r="X399" i="49"/>
  <c r="X394" i="49"/>
  <c r="Y388" i="49"/>
  <c r="X383" i="49"/>
  <c r="X378" i="49"/>
  <c r="Y372" i="49"/>
  <c r="X367" i="49"/>
  <c r="Y362" i="49"/>
  <c r="X358" i="49"/>
  <c r="X353" i="49"/>
  <c r="Y348" i="49"/>
  <c r="X344" i="49"/>
  <c r="Y339" i="49"/>
  <c r="X335" i="49"/>
  <c r="Y330" i="49"/>
  <c r="X326" i="49"/>
  <c r="X321" i="49"/>
  <c r="Y1022" i="49"/>
  <c r="X984" i="49"/>
  <c r="X945" i="49"/>
  <c r="X901" i="49"/>
  <c r="Y868" i="49"/>
  <c r="Y824" i="49"/>
  <c r="Y786" i="49"/>
  <c r="X757" i="49"/>
  <c r="Y732" i="49"/>
  <c r="Y712" i="49"/>
  <c r="X698" i="49"/>
  <c r="X684" i="49"/>
  <c r="Y674" i="49"/>
  <c r="Y666" i="49"/>
  <c r="Y658" i="49"/>
  <c r="X650" i="49"/>
  <c r="Y642" i="49"/>
  <c r="X635" i="49"/>
  <c r="X628" i="49"/>
  <c r="Y622" i="49"/>
  <c r="X616" i="49"/>
  <c r="X610" i="49"/>
  <c r="X604" i="49"/>
  <c r="X598" i="49"/>
  <c r="Y591" i="49"/>
  <c r="X586" i="49"/>
  <c r="Y579" i="49"/>
  <c r="Y573" i="49"/>
  <c r="Y567" i="49"/>
  <c r="Y561" i="49"/>
  <c r="X555" i="49"/>
  <c r="Y549" i="49"/>
  <c r="X543" i="49"/>
  <c r="X537" i="49"/>
  <c r="X531" i="49"/>
  <c r="X525" i="49"/>
  <c r="Y518" i="49"/>
  <c r="X513" i="49"/>
  <c r="Y506" i="49"/>
  <c r="X500" i="49"/>
  <c r="Y494" i="49"/>
  <c r="X488" i="49"/>
  <c r="X482" i="49"/>
  <c r="X476" i="49"/>
  <c r="X470" i="49"/>
  <c r="Y463" i="49"/>
  <c r="X458" i="49"/>
  <c r="Y451" i="49"/>
  <c r="Y445" i="49"/>
  <c r="Y439" i="49"/>
  <c r="Y433" i="49"/>
  <c r="X427" i="49"/>
  <c r="Y421" i="49"/>
  <c r="Y1016" i="49"/>
  <c r="Y862" i="49"/>
  <c r="X732" i="49"/>
  <c r="Y673" i="49"/>
  <c r="X641" i="49"/>
  <c r="Y615" i="49"/>
  <c r="X591" i="49"/>
  <c r="Y566" i="49"/>
  <c r="Y542" i="49"/>
  <c r="X518" i="49"/>
  <c r="Y493" i="49"/>
  <c r="Y469" i="49"/>
  <c r="X445" i="49"/>
  <c r="X420" i="49"/>
  <c r="X404" i="49"/>
  <c r="X392" i="49"/>
  <c r="Y376" i="49"/>
  <c r="X365" i="49"/>
  <c r="X356" i="49"/>
  <c r="X347" i="49"/>
  <c r="X338" i="49"/>
  <c r="Y328" i="49"/>
  <c r="Y319" i="49"/>
  <c r="Y311" i="49"/>
  <c r="X304" i="49"/>
  <c r="X297" i="49"/>
  <c r="X289" i="49"/>
  <c r="X283" i="49"/>
  <c r="X275" i="49"/>
  <c r="Y267" i="49"/>
  <c r="X262" i="49"/>
  <c r="X256" i="49"/>
  <c r="X249" i="49"/>
  <c r="Y243" i="49"/>
  <c r="X238" i="49"/>
  <c r="X231" i="49"/>
  <c r="X225" i="49"/>
  <c r="Y219" i="49"/>
  <c r="Y212" i="49"/>
  <c r="X207" i="49"/>
  <c r="X201" i="49"/>
  <c r="Y194" i="49"/>
  <c r="Y188" i="49"/>
  <c r="X183" i="49"/>
  <c r="X176" i="49"/>
  <c r="Y170" i="49"/>
  <c r="Y164" i="49"/>
  <c r="X158" i="49"/>
  <c r="X152" i="49"/>
  <c r="Y146" i="49"/>
  <c r="Y140" i="49"/>
  <c r="X136" i="49"/>
  <c r="Y131" i="49"/>
  <c r="X127" i="49"/>
  <c r="Y122" i="49"/>
  <c r="X118" i="49"/>
  <c r="Y113" i="49"/>
  <c r="Y108" i="49"/>
  <c r="X104" i="49"/>
  <c r="Y99" i="49"/>
  <c r="X95" i="49"/>
  <c r="Y90" i="49"/>
  <c r="X86" i="49"/>
  <c r="X82" i="49"/>
  <c r="X78" i="49"/>
  <c r="X74" i="49"/>
  <c r="X70" i="49"/>
  <c r="X66" i="49"/>
  <c r="X62" i="49"/>
  <c r="X58" i="49"/>
  <c r="X54" i="49"/>
  <c r="X50" i="49"/>
  <c r="X46" i="49"/>
  <c r="X42" i="49"/>
  <c r="X38" i="49"/>
  <c r="X34" i="49"/>
  <c r="X30" i="49"/>
  <c r="X26" i="49"/>
  <c r="X22" i="49"/>
  <c r="X18" i="49"/>
  <c r="X14" i="49"/>
  <c r="X10" i="49"/>
  <c r="X6" i="49"/>
  <c r="X1016" i="49"/>
  <c r="X856" i="49"/>
  <c r="Y724" i="49"/>
  <c r="Y672" i="49"/>
  <c r="Y640" i="49"/>
  <c r="Y614" i="49"/>
  <c r="Y590" i="49"/>
  <c r="X566" i="49"/>
  <c r="Y541" i="49"/>
  <c r="Y517" i="49"/>
  <c r="X493" i="49"/>
  <c r="X468" i="49"/>
  <c r="X444" i="49"/>
  <c r="Y419" i="49"/>
  <c r="X403" i="49"/>
  <c r="X388" i="49"/>
  <c r="X376" i="49"/>
  <c r="Y363" i="49"/>
  <c r="Y354" i="49"/>
  <c r="X345" i="49"/>
  <c r="X336" i="49"/>
  <c r="X327" i="49"/>
  <c r="X318" i="49"/>
  <c r="X311" i="49"/>
  <c r="X303" i="49"/>
  <c r="Y296" i="49"/>
  <c r="Y288" i="49"/>
  <c r="X281" i="49"/>
  <c r="Y274" i="49"/>
  <c r="X267" i="49"/>
  <c r="X261" i="49"/>
  <c r="Y255" i="49"/>
  <c r="Y248" i="49"/>
  <c r="X243" i="49"/>
  <c r="X237" i="49"/>
  <c r="Y230" i="49"/>
  <c r="Y224" i="49"/>
  <c r="X219" i="49"/>
  <c r="X212" i="49"/>
  <c r="Y206" i="49"/>
  <c r="Y200" i="49"/>
  <c r="X194" i="49"/>
  <c r="X188" i="49"/>
  <c r="Y182" i="49"/>
  <c r="Y175" i="49"/>
  <c r="X170" i="49"/>
  <c r="X164" i="49"/>
  <c r="X157" i="49"/>
  <c r="Y151" i="49"/>
  <c r="X146" i="49"/>
  <c r="X140" i="49"/>
  <c r="Y135" i="49"/>
  <c r="X131" i="49"/>
  <c r="Y126" i="49"/>
  <c r="X122" i="49"/>
  <c r="Y117" i="49"/>
  <c r="Y112" i="49"/>
  <c r="X108" i="49"/>
  <c r="Y103" i="49"/>
  <c r="X99" i="49"/>
  <c r="Y94" i="49"/>
  <c r="X90" i="49"/>
  <c r="Y85" i="49"/>
  <c r="Y81" i="49"/>
  <c r="Y77" i="49"/>
  <c r="Y73" i="49"/>
  <c r="Y69" i="49"/>
  <c r="Y65" i="49"/>
  <c r="Y61" i="49"/>
  <c r="Y57" i="49"/>
  <c r="Y53" i="49"/>
  <c r="Y49" i="49"/>
  <c r="Y45" i="49"/>
  <c r="Y41" i="49"/>
  <c r="Y37" i="49"/>
  <c r="Y33" i="49"/>
  <c r="Y29" i="49"/>
  <c r="Y25" i="49"/>
  <c r="Y21" i="49"/>
  <c r="Y17" i="49"/>
  <c r="Y13" i="49"/>
  <c r="Y9" i="49"/>
  <c r="Y5" i="49"/>
  <c r="Y143" i="49"/>
  <c r="Y102" i="49"/>
  <c r="Y88" i="49"/>
  <c r="X977" i="49"/>
  <c r="X824" i="49"/>
  <c r="X712" i="49"/>
  <c r="Y665" i="49"/>
  <c r="Y634" i="49"/>
  <c r="Y609" i="49"/>
  <c r="X585" i="49"/>
  <c r="X561" i="49"/>
  <c r="X536" i="49"/>
  <c r="Y511" i="49"/>
  <c r="Y487" i="49"/>
  <c r="X463" i="49"/>
  <c r="Y438" i="49"/>
  <c r="X415" i="49"/>
  <c r="Y402" i="49"/>
  <c r="X387" i="49"/>
  <c r="X372" i="49"/>
  <c r="X362" i="49"/>
  <c r="Y352" i="49"/>
  <c r="Y343" i="49"/>
  <c r="Y334" i="49"/>
  <c r="X325" i="49"/>
  <c r="Y316" i="49"/>
  <c r="Y310" i="49"/>
  <c r="Y302" i="49"/>
  <c r="X295" i="49"/>
  <c r="X288" i="49"/>
  <c r="X280" i="49"/>
  <c r="X274" i="49"/>
  <c r="Y266" i="49"/>
  <c r="Y260" i="49"/>
  <c r="X254" i="49"/>
  <c r="X248" i="49"/>
  <c r="Y242" i="49"/>
  <c r="Y235" i="49"/>
  <c r="X230" i="49"/>
  <c r="X224" i="49"/>
  <c r="X217" i="49"/>
  <c r="Y211" i="49"/>
  <c r="X206" i="49"/>
  <c r="X199" i="49"/>
  <c r="X193" i="49"/>
  <c r="Y187" i="49"/>
  <c r="Y180" i="49"/>
  <c r="X175" i="49"/>
  <c r="X169" i="49"/>
  <c r="Y162" i="49"/>
  <c r="Y156" i="49"/>
  <c r="X151" i="49"/>
  <c r="X144" i="49"/>
  <c r="Y139" i="49"/>
  <c r="X135" i="49"/>
  <c r="Y130" i="49"/>
  <c r="X126" i="49"/>
  <c r="Y121" i="49"/>
  <c r="Y116" i="49"/>
  <c r="X112" i="49"/>
  <c r="Y107" i="49"/>
  <c r="X103" i="49"/>
  <c r="Y98" i="49"/>
  <c r="X94" i="49"/>
  <c r="Y89" i="49"/>
  <c r="X85" i="49"/>
  <c r="X81" i="49"/>
  <c r="X77" i="49"/>
  <c r="X73" i="49"/>
  <c r="X69" i="49"/>
  <c r="X65" i="49"/>
  <c r="X61" i="49"/>
  <c r="X57" i="49"/>
  <c r="X53" i="49"/>
  <c r="X49" i="49"/>
  <c r="X45" i="49"/>
  <c r="X41" i="49"/>
  <c r="X37" i="49"/>
  <c r="X33" i="49"/>
  <c r="X29" i="49"/>
  <c r="X25" i="49"/>
  <c r="X21" i="49"/>
  <c r="X17" i="49"/>
  <c r="X13" i="49"/>
  <c r="X9" i="49"/>
  <c r="X5" i="49"/>
  <c r="X972" i="49"/>
  <c r="X817" i="49"/>
  <c r="X710" i="49"/>
  <c r="Y664" i="49"/>
  <c r="Y633" i="49"/>
  <c r="X609" i="49"/>
  <c r="X584" i="49"/>
  <c r="Y559" i="49"/>
  <c r="Y535" i="49"/>
  <c r="X511" i="49"/>
  <c r="Y486" i="49"/>
  <c r="Y462" i="49"/>
  <c r="X438" i="49"/>
  <c r="Y414" i="49"/>
  <c r="Y398" i="49"/>
  <c r="Y386" i="49"/>
  <c r="X371" i="49"/>
  <c r="X361" i="49"/>
  <c r="X352" i="49"/>
  <c r="X343" i="49"/>
  <c r="X334" i="49"/>
  <c r="Y324" i="49"/>
  <c r="X316" i="49"/>
  <c r="Y308" i="49"/>
  <c r="X302" i="49"/>
  <c r="X294" i="49"/>
  <c r="Y287" i="49"/>
  <c r="Y279" i="49"/>
  <c r="X272" i="49"/>
  <c r="X266" i="49"/>
  <c r="X260" i="49"/>
  <c r="X253" i="49"/>
  <c r="Y247" i="49"/>
  <c r="X242" i="49"/>
  <c r="X235" i="49"/>
  <c r="X229" i="49"/>
  <c r="Y223" i="49"/>
  <c r="Y216" i="49"/>
  <c r="X211" i="49"/>
  <c r="X205" i="49"/>
  <c r="Y198" i="49"/>
  <c r="Y192" i="49"/>
  <c r="X187" i="49"/>
  <c r="X180" i="49"/>
  <c r="Y174" i="49"/>
  <c r="Y168" i="49"/>
  <c r="X162" i="49"/>
  <c r="X156" i="49"/>
  <c r="Y150" i="49"/>
  <c r="X139" i="49"/>
  <c r="Y134" i="49"/>
  <c r="X130" i="49"/>
  <c r="Y125" i="49"/>
  <c r="Y120" i="49"/>
  <c r="X116" i="49"/>
  <c r="Y111" i="49"/>
  <c r="X107" i="49"/>
  <c r="X98" i="49"/>
  <c r="Y93" i="49"/>
  <c r="Y84" i="49"/>
  <c r="X31" i="49"/>
  <c r="Y68" i="49"/>
  <c r="X91" i="49"/>
  <c r="Y127" i="49"/>
  <c r="X171" i="49"/>
  <c r="X220" i="49"/>
  <c r="Y256" i="49"/>
  <c r="X312" i="49"/>
  <c r="Y392" i="49"/>
  <c r="X523" i="49"/>
  <c r="X682" i="49"/>
  <c r="Y10" i="49"/>
  <c r="X16" i="49"/>
  <c r="X23" i="49"/>
  <c r="Y28" i="49"/>
  <c r="Y35" i="49"/>
  <c r="Y42" i="49"/>
  <c r="X48" i="49"/>
  <c r="X55" i="49"/>
  <c r="Y60" i="49"/>
  <c r="Y67" i="49"/>
  <c r="Y74" i="49"/>
  <c r="X80" i="49"/>
  <c r="Y87" i="49"/>
  <c r="Y96" i="49"/>
  <c r="X106" i="49"/>
  <c r="X115" i="49"/>
  <c r="X124" i="49"/>
  <c r="Y133" i="49"/>
  <c r="Y142" i="49"/>
  <c r="X155" i="49"/>
  <c r="Y166" i="49"/>
  <c r="X179" i="49"/>
  <c r="Y191" i="49"/>
  <c r="X203" i="49"/>
  <c r="Y215" i="49"/>
  <c r="X228" i="49"/>
  <c r="Y239" i="49"/>
  <c r="X252" i="49"/>
  <c r="Y264" i="49"/>
  <c r="Y278" i="49"/>
  <c r="Y292" i="49"/>
  <c r="X307" i="49"/>
  <c r="Y322" i="49"/>
  <c r="Y340" i="49"/>
  <c r="X359" i="49"/>
  <c r="X382" i="49"/>
  <c r="X409" i="49"/>
  <c r="X456" i="49"/>
  <c r="X505" i="49"/>
  <c r="X554" i="49"/>
  <c r="Y602" i="49"/>
  <c r="X656" i="49"/>
  <c r="Y780" i="49"/>
  <c r="H6" i="51"/>
  <c r="P6" i="51"/>
  <c r="L6" i="50"/>
  <c r="D6" i="49"/>
  <c r="F6" i="51"/>
  <c r="F6" i="50"/>
  <c r="B6" i="51"/>
  <c r="D6" i="50"/>
  <c r="J6" i="51"/>
  <c r="P6" i="50"/>
  <c r="N6" i="49"/>
  <c r="J6" i="50"/>
  <c r="N6" i="51"/>
  <c r="L6" i="51"/>
  <c r="H6" i="49"/>
  <c r="J6" i="49"/>
  <c r="B6" i="49"/>
  <c r="B6" i="50"/>
  <c r="L6" i="49"/>
  <c r="F6" i="49"/>
  <c r="D6" i="51"/>
  <c r="H6" i="50"/>
  <c r="P6" i="49"/>
  <c r="N6" i="50"/>
  <c r="P9" i="51" l="1"/>
  <c r="P8" i="51"/>
  <c r="P7" i="51"/>
  <c r="D9" i="51"/>
  <c r="D8" i="51"/>
  <c r="D7" i="51"/>
  <c r="L9" i="51"/>
  <c r="L8" i="51"/>
  <c r="L7" i="51"/>
  <c r="N9" i="51"/>
  <c r="N8" i="51"/>
  <c r="N7" i="51"/>
  <c r="J9" i="51"/>
  <c r="J8" i="51"/>
  <c r="J7" i="51"/>
  <c r="H8" i="51"/>
  <c r="H7" i="51"/>
  <c r="H9" i="51"/>
  <c r="F8" i="51"/>
  <c r="F9" i="51"/>
  <c r="F7" i="51"/>
  <c r="B9" i="51"/>
  <c r="B8" i="51"/>
  <c r="B7" i="51"/>
  <c r="B9" i="50"/>
  <c r="B8" i="50"/>
  <c r="B7" i="50"/>
  <c r="N9" i="50"/>
  <c r="N8" i="50"/>
  <c r="N7" i="50"/>
  <c r="L9" i="50"/>
  <c r="L8" i="50"/>
  <c r="L7" i="50"/>
  <c r="J9" i="50"/>
  <c r="J8" i="50"/>
  <c r="J7" i="50"/>
  <c r="H9" i="50"/>
  <c r="H8" i="50"/>
  <c r="H7" i="50"/>
  <c r="D9" i="50"/>
  <c r="D7" i="50"/>
  <c r="D8" i="50"/>
  <c r="P8" i="50"/>
  <c r="P7" i="50"/>
  <c r="P9" i="50"/>
  <c r="F9" i="50"/>
  <c r="F8" i="50"/>
  <c r="F7" i="50"/>
  <c r="H9" i="49"/>
  <c r="H8" i="49"/>
  <c r="H7" i="49"/>
  <c r="F9" i="49"/>
  <c r="F7" i="49"/>
  <c r="F8" i="49"/>
  <c r="D8" i="49"/>
  <c r="D9" i="49"/>
  <c r="D7" i="49"/>
  <c r="N9" i="49"/>
  <c r="N8" i="49"/>
  <c r="N7" i="49"/>
  <c r="L9" i="49"/>
  <c r="L7" i="49"/>
  <c r="L8" i="49"/>
  <c r="J9" i="49"/>
  <c r="J8" i="49"/>
  <c r="J7" i="49"/>
  <c r="B8" i="49"/>
  <c r="B9" i="49"/>
  <c r="B7" i="49"/>
  <c r="P9" i="49"/>
  <c r="P7" i="49"/>
  <c r="P8" i="49"/>
  <c r="H11" i="46"/>
  <c r="B15" i="46"/>
  <c r="B11" i="46"/>
  <c r="H9" i="46"/>
  <c r="B9" i="46"/>
  <c r="F10" i="51"/>
  <c r="J10" i="51"/>
  <c r="D10" i="49"/>
  <c r="F10" i="49"/>
  <c r="H10" i="49"/>
  <c r="B10" i="51"/>
  <c r="H10" i="51"/>
  <c r="N10" i="51"/>
  <c r="N10" i="50"/>
  <c r="D10" i="50"/>
  <c r="L10" i="51"/>
  <c r="P10" i="51"/>
  <c r="L10" i="49"/>
  <c r="B10" i="50"/>
  <c r="P10" i="49"/>
  <c r="B10" i="49"/>
  <c r="P10" i="50"/>
  <c r="J10" i="50"/>
  <c r="N10" i="49"/>
  <c r="L10" i="50"/>
  <c r="H10" i="50"/>
  <c r="F10" i="50"/>
  <c r="J10" i="49"/>
  <c r="D10" i="51"/>
  <c r="B11" i="48" l="1"/>
  <c r="B15" i="48"/>
  <c r="H11" i="48"/>
  <c r="D13" i="49"/>
  <c r="B11" i="49"/>
  <c r="F17" i="49"/>
  <c r="B13" i="51"/>
  <c r="J11" i="50"/>
  <c r="F11" i="49"/>
  <c r="F17" i="50"/>
  <c r="L13" i="51"/>
  <c r="F12" i="51"/>
  <c r="N11" i="49"/>
  <c r="N17" i="50"/>
  <c r="H13" i="51"/>
  <c r="P11" i="51"/>
  <c r="P12" i="51"/>
  <c r="P12" i="50"/>
  <c r="P11" i="49"/>
  <c r="D12" i="51"/>
  <c r="P11" i="50"/>
  <c r="P12" i="49"/>
  <c r="L17" i="49"/>
  <c r="J11" i="49"/>
  <c r="L12" i="50"/>
  <c r="B11" i="50"/>
  <c r="H12" i="50"/>
  <c r="H17" i="51"/>
  <c r="N12" i="49"/>
  <c r="L13" i="49"/>
  <c r="B17" i="50"/>
  <c r="D13" i="50"/>
  <c r="N11" i="51"/>
  <c r="B13" i="49"/>
  <c r="J17" i="50"/>
  <c r="N17" i="49"/>
  <c r="F11" i="50"/>
  <c r="H17" i="49"/>
  <c r="B11" i="51"/>
  <c r="H12" i="49"/>
  <c r="P17" i="51"/>
  <c r="D11" i="51"/>
  <c r="J17" i="49"/>
  <c r="L11" i="50"/>
  <c r="J12" i="51"/>
  <c r="D13" i="51"/>
  <c r="J12" i="49"/>
  <c r="B17" i="51"/>
  <c r="F13" i="49"/>
  <c r="J13" i="49"/>
  <c r="N12" i="50"/>
  <c r="P13" i="49"/>
  <c r="D17" i="51"/>
  <c r="J13" i="51"/>
  <c r="F17" i="51"/>
  <c r="J11" i="51"/>
  <c r="L11" i="49"/>
  <c r="B17" i="49"/>
  <c r="H17" i="50"/>
  <c r="H11" i="51"/>
  <c r="B12" i="49"/>
  <c r="D11" i="49"/>
  <c r="D12" i="50"/>
  <c r="F12" i="49"/>
  <c r="D11" i="50"/>
  <c r="H11" i="50"/>
  <c r="H11" i="49"/>
  <c r="H13" i="50"/>
  <c r="J12" i="50"/>
  <c r="F13" i="50"/>
  <c r="P13" i="51"/>
  <c r="D17" i="50"/>
  <c r="J17" i="51"/>
  <c r="L11" i="51"/>
  <c r="N11" i="50"/>
  <c r="F12" i="50"/>
  <c r="N13" i="50"/>
  <c r="B13" i="50"/>
  <c r="P17" i="50"/>
  <c r="F13" i="51"/>
  <c r="N12" i="51"/>
  <c r="D12" i="49"/>
  <c r="B12" i="51"/>
  <c r="H12" i="51"/>
  <c r="P13" i="50"/>
  <c r="L12" i="49"/>
  <c r="J13" i="50"/>
  <c r="L17" i="51"/>
  <c r="L17" i="50"/>
  <c r="B12" i="50"/>
  <c r="D17" i="49"/>
  <c r="P17" i="49"/>
  <c r="L13" i="50"/>
  <c r="F11" i="51"/>
  <c r="N13" i="49"/>
  <c r="N13" i="51"/>
  <c r="N17" i="51"/>
  <c r="H13" i="49"/>
  <c r="L12" i="51"/>
  <c r="J15" i="51" l="1"/>
  <c r="J18" i="51" s="1"/>
  <c r="L14" i="51"/>
  <c r="F15" i="51"/>
  <c r="F18" i="51" s="1"/>
  <c r="P19" i="51"/>
  <c r="J14" i="51"/>
  <c r="B14" i="51"/>
  <c r="N19" i="51"/>
  <c r="P14" i="51"/>
  <c r="F19" i="51"/>
  <c r="H15" i="51"/>
  <c r="H18" i="51" s="1"/>
  <c r="L19" i="51"/>
  <c r="J19" i="51"/>
  <c r="F14" i="51"/>
  <c r="N14" i="51"/>
  <c r="H14" i="51"/>
  <c r="P15" i="51"/>
  <c r="P18" i="51" s="1"/>
  <c r="B15" i="51"/>
  <c r="B18" i="51" s="1"/>
  <c r="D19" i="51"/>
  <c r="D15" i="51"/>
  <c r="D18" i="51" s="1"/>
  <c r="H19" i="51"/>
  <c r="D14" i="51"/>
  <c r="L15" i="51"/>
  <c r="L18" i="51" s="1"/>
  <c r="N15" i="51"/>
  <c r="N18" i="51" s="1"/>
  <c r="B19" i="51"/>
  <c r="F14" i="50"/>
  <c r="N14" i="50"/>
  <c r="J19" i="50"/>
  <c r="L14" i="50"/>
  <c r="J14" i="50"/>
  <c r="N15" i="50"/>
  <c r="N18" i="50" s="1"/>
  <c r="D14" i="50"/>
  <c r="H19" i="50"/>
  <c r="H14" i="50"/>
  <c r="L15" i="50"/>
  <c r="L18" i="50" s="1"/>
  <c r="H15" i="50"/>
  <c r="H18" i="50" s="1"/>
  <c r="F15" i="50"/>
  <c r="F18" i="50" s="1"/>
  <c r="N19" i="50"/>
  <c r="F19" i="50"/>
  <c r="D15" i="50"/>
  <c r="D18" i="50" s="1"/>
  <c r="P19" i="50"/>
  <c r="P14" i="50"/>
  <c r="J15" i="50"/>
  <c r="J18" i="50" s="1"/>
  <c r="B14" i="50"/>
  <c r="L19" i="50"/>
  <c r="B19" i="50"/>
  <c r="B15" i="50"/>
  <c r="B18" i="50" s="1"/>
  <c r="P15" i="50"/>
  <c r="P18" i="50" s="1"/>
  <c r="D19" i="50"/>
  <c r="J15" i="49"/>
  <c r="J18" i="49" s="1"/>
  <c r="F19" i="49"/>
  <c r="B15" i="49"/>
  <c r="B18" i="49" s="1"/>
  <c r="B14" i="49"/>
  <c r="H15" i="49"/>
  <c r="H18" i="49" s="1"/>
  <c r="P19" i="49"/>
  <c r="P14" i="49"/>
  <c r="H14" i="49"/>
  <c r="B19" i="49"/>
  <c r="L14" i="49"/>
  <c r="D15" i="49"/>
  <c r="D18" i="49" s="1"/>
  <c r="F14" i="49"/>
  <c r="L19" i="49"/>
  <c r="F15" i="49"/>
  <c r="F18" i="49" s="1"/>
  <c r="P15" i="49"/>
  <c r="P18" i="49" s="1"/>
  <c r="J19" i="49"/>
  <c r="D14" i="49"/>
  <c r="H19" i="49"/>
  <c r="L15" i="49"/>
  <c r="L18" i="49" s="1"/>
  <c r="J14" i="49"/>
  <c r="D19" i="49"/>
  <c r="N14" i="49"/>
  <c r="N15" i="49"/>
  <c r="N18" i="49" s="1"/>
  <c r="N19" i="49"/>
  <c r="H9" i="48"/>
  <c r="B9" i="48"/>
  <c r="S31" i="47"/>
  <c r="P29" i="47"/>
  <c r="G426" i="41" s="1"/>
  <c r="O29" i="47"/>
  <c r="N29" i="47"/>
  <c r="G424" i="41" s="1"/>
  <c r="M29" i="47"/>
  <c r="L29" i="47"/>
  <c r="G422" i="41" s="1"/>
  <c r="K29" i="47"/>
  <c r="J29" i="47"/>
  <c r="G420" i="41" s="1"/>
  <c r="I29" i="47"/>
  <c r="H29" i="47"/>
  <c r="G418" i="41" s="1"/>
  <c r="G29" i="47"/>
  <c r="F29" i="47"/>
  <c r="G416" i="41" s="1"/>
  <c r="E29" i="47"/>
  <c r="D29" i="47"/>
  <c r="G414" i="41" s="1"/>
  <c r="C29" i="47"/>
  <c r="B29" i="47"/>
  <c r="G412" i="41" s="1"/>
  <c r="A29" i="47"/>
  <c r="P16" i="47"/>
  <c r="N16" i="47"/>
  <c r="L16" i="47"/>
  <c r="J16" i="47"/>
  <c r="H16" i="47"/>
  <c r="F16" i="47"/>
  <c r="D16" i="47"/>
  <c r="B16" i="47"/>
  <c r="X5" i="47" a="1"/>
  <c r="X996" i="47" s="1"/>
  <c r="X4" i="47"/>
  <c r="N38" i="46"/>
  <c r="N39" i="46" s="1"/>
  <c r="N41" i="46" s="1"/>
  <c r="M38" i="46"/>
  <c r="M39" i="46" s="1"/>
  <c r="M41" i="46" s="1"/>
  <c r="L38" i="46"/>
  <c r="L39" i="46" s="1"/>
  <c r="L41" i="46" s="1"/>
  <c r="K38" i="46"/>
  <c r="K39" i="46" s="1"/>
  <c r="K41" i="46" s="1"/>
  <c r="J38" i="46"/>
  <c r="J39" i="46" s="1"/>
  <c r="J41" i="46" s="1"/>
  <c r="I38" i="46"/>
  <c r="I39" i="46" s="1"/>
  <c r="I41" i="46" s="1"/>
  <c r="O41" i="46" s="1"/>
  <c r="G38" i="46"/>
  <c r="G39" i="46" s="1"/>
  <c r="G41" i="46" s="1"/>
  <c r="F38" i="46"/>
  <c r="F39" i="46" s="1"/>
  <c r="F41" i="46" s="1"/>
  <c r="E38" i="46"/>
  <c r="E39" i="46" s="1"/>
  <c r="E41" i="46" s="1"/>
  <c r="D38" i="46"/>
  <c r="D39" i="46" s="1"/>
  <c r="D41" i="46" s="1"/>
  <c r="C38" i="46"/>
  <c r="C39" i="46" s="1"/>
  <c r="C41" i="46" s="1"/>
  <c r="B38" i="46"/>
  <c r="B39" i="46" s="1"/>
  <c r="B41" i="46" s="1"/>
  <c r="H41" i="46" s="1"/>
  <c r="N33" i="46"/>
  <c r="M33" i="46"/>
  <c r="L33" i="46"/>
  <c r="K33" i="46"/>
  <c r="J33" i="46"/>
  <c r="I33" i="46"/>
  <c r="G33" i="46"/>
  <c r="F33" i="46"/>
  <c r="E33" i="46"/>
  <c r="D33" i="46"/>
  <c r="C33" i="46"/>
  <c r="N27" i="46"/>
  <c r="N28" i="46" s="1"/>
  <c r="N26" i="46"/>
  <c r="O25" i="46"/>
  <c r="N25" i="46"/>
  <c r="O24" i="46"/>
  <c r="O22" i="46"/>
  <c r="O23" i="46" s="1"/>
  <c r="N22" i="46"/>
  <c r="N23" i="46" s="1"/>
  <c r="A20" i="46"/>
  <c r="A19" i="46"/>
  <c r="O18" i="46"/>
  <c r="N18" i="46"/>
  <c r="A18" i="46"/>
  <c r="A17" i="46"/>
  <c r="P5" i="47"/>
  <c r="B5" i="47"/>
  <c r="H5" i="47"/>
  <c r="J5" i="47"/>
  <c r="N5" i="47"/>
  <c r="L5" i="47"/>
  <c r="F5" i="47"/>
  <c r="D5" i="47"/>
  <c r="G594" i="41" l="1"/>
  <c r="G584" i="41"/>
  <c r="G577" i="41"/>
  <c r="G1018" i="41"/>
  <c r="G1017" i="41"/>
  <c r="G423" i="41"/>
  <c r="G598" i="41"/>
  <c r="G597" i="41"/>
  <c r="G808" i="41"/>
  <c r="G778" i="41"/>
  <c r="G777" i="41"/>
  <c r="G1013" i="41"/>
  <c r="G997" i="41"/>
  <c r="G415" i="41"/>
  <c r="G573" i="41"/>
  <c r="G773" i="41"/>
  <c r="G803" i="41"/>
  <c r="G1008" i="41"/>
  <c r="G1012" i="41"/>
  <c r="G982" i="41"/>
  <c r="G593" i="41"/>
  <c r="G592" i="41"/>
  <c r="G599" i="41"/>
  <c r="G417" i="41"/>
  <c r="G425" i="41"/>
  <c r="G569" i="41"/>
  <c r="G589" i="41"/>
  <c r="G578" i="41"/>
  <c r="G792" i="41"/>
  <c r="G987" i="41"/>
  <c r="G992" i="41"/>
  <c r="G1002" i="41"/>
  <c r="G582" i="41"/>
  <c r="G572" i="41"/>
  <c r="G562" i="41"/>
  <c r="G783" i="41"/>
  <c r="G797" i="41"/>
  <c r="G411" i="41"/>
  <c r="G419" i="41"/>
  <c r="G563" i="41"/>
  <c r="G772" i="41"/>
  <c r="G788" i="41"/>
  <c r="G988" i="41"/>
  <c r="G993" i="41"/>
  <c r="G588" i="41"/>
  <c r="G579" i="41"/>
  <c r="G587" i="41"/>
  <c r="G574" i="41"/>
  <c r="G793" i="41"/>
  <c r="G798" i="41"/>
  <c r="G802" i="41"/>
  <c r="G998" i="41"/>
  <c r="G1007" i="41"/>
  <c r="G568" i="41"/>
  <c r="G413" i="41"/>
  <c r="G421" i="41"/>
  <c r="G567" i="41"/>
  <c r="G564" i="41"/>
  <c r="G583" i="41"/>
  <c r="G807" i="41"/>
  <c r="G787" i="41"/>
  <c r="G782" i="41"/>
  <c r="G983" i="41"/>
  <c r="G1003" i="41"/>
  <c r="G1398" i="41"/>
  <c r="G1188" i="41"/>
  <c r="G978" i="41"/>
  <c r="G768" i="41"/>
  <c r="G558" i="41"/>
  <c r="G348" i="41"/>
  <c r="G138" i="41"/>
  <c r="G1397" i="41"/>
  <c r="G1187" i="41"/>
  <c r="G977" i="41"/>
  <c r="G767" i="41"/>
  <c r="G557" i="41"/>
  <c r="G347" i="41"/>
  <c r="G137" i="41"/>
  <c r="B20" i="51"/>
  <c r="G984" i="41"/>
  <c r="N20" i="51"/>
  <c r="G1014" i="41"/>
  <c r="H20" i="51"/>
  <c r="G999" i="41"/>
  <c r="J20" i="51"/>
  <c r="G1004" i="41"/>
  <c r="P20" i="51"/>
  <c r="G1019" i="41"/>
  <c r="L20" i="51"/>
  <c r="G1009" i="41"/>
  <c r="D20" i="51"/>
  <c r="G989" i="41"/>
  <c r="F20" i="51"/>
  <c r="G994" i="41"/>
  <c r="D20" i="50"/>
  <c r="G779" i="41"/>
  <c r="P20" i="50"/>
  <c r="G809" i="41"/>
  <c r="H20" i="50"/>
  <c r="G789" i="41"/>
  <c r="F20" i="50"/>
  <c r="G784" i="41"/>
  <c r="B20" i="50"/>
  <c r="G774" i="41"/>
  <c r="N20" i="50"/>
  <c r="G804" i="41"/>
  <c r="L20" i="50"/>
  <c r="G799" i="41"/>
  <c r="J20" i="50"/>
  <c r="G794" i="41"/>
  <c r="B20" i="49"/>
  <c r="N20" i="49"/>
  <c r="J20" i="49"/>
  <c r="P20" i="49"/>
  <c r="D20" i="49"/>
  <c r="L20" i="49"/>
  <c r="H20" i="49"/>
  <c r="F20" i="49"/>
  <c r="X111" i="47"/>
  <c r="Y27" i="47"/>
  <c r="X49" i="47"/>
  <c r="X71" i="47"/>
  <c r="Y91" i="47"/>
  <c r="X113" i="47"/>
  <c r="X145" i="47"/>
  <c r="X167" i="47"/>
  <c r="X177" i="47"/>
  <c r="X207" i="47"/>
  <c r="X223" i="47"/>
  <c r="X255" i="47"/>
  <c r="X271" i="47"/>
  <c r="X287" i="47"/>
  <c r="X303" i="47"/>
  <c r="X319" i="47"/>
  <c r="X351" i="47"/>
  <c r="X375" i="47"/>
  <c r="Y400" i="47"/>
  <c r="Y432" i="47"/>
  <c r="Y464" i="47"/>
  <c r="Y496" i="47"/>
  <c r="Y532" i="47"/>
  <c r="X585" i="47"/>
  <c r="X643" i="47"/>
  <c r="Y716" i="47"/>
  <c r="X868" i="47"/>
  <c r="X9" i="47"/>
  <c r="Y19" i="47"/>
  <c r="X31" i="47"/>
  <c r="X41" i="47"/>
  <c r="Y51" i="47"/>
  <c r="X63" i="47"/>
  <c r="X73" i="47"/>
  <c r="Y83" i="47"/>
  <c r="X95" i="47"/>
  <c r="X105" i="47"/>
  <c r="Y115" i="47"/>
  <c r="X127" i="47"/>
  <c r="X137" i="47"/>
  <c r="Y147" i="47"/>
  <c r="X159" i="47"/>
  <c r="X169" i="47"/>
  <c r="Y179" i="47"/>
  <c r="X195" i="47"/>
  <c r="X211" i="47"/>
  <c r="X227" i="47"/>
  <c r="X243" i="47"/>
  <c r="X259" i="47"/>
  <c r="X275" i="47"/>
  <c r="X291" i="47"/>
  <c r="X307" i="47"/>
  <c r="X323" i="47"/>
  <c r="X339" i="47"/>
  <c r="X356" i="47"/>
  <c r="X382" i="47"/>
  <c r="Y408" i="47"/>
  <c r="Y440" i="47"/>
  <c r="Y472" i="47"/>
  <c r="Y504" i="47"/>
  <c r="X543" i="47"/>
  <c r="X600" i="47"/>
  <c r="X660" i="47"/>
  <c r="Y737" i="47"/>
  <c r="X928" i="47"/>
  <c r="X15" i="47"/>
  <c r="X47" i="47"/>
  <c r="Y67" i="47"/>
  <c r="Y99" i="47"/>
  <c r="X143" i="47"/>
  <c r="Y163" i="47"/>
  <c r="X203" i="47"/>
  <c r="X267" i="47"/>
  <c r="X315" i="47"/>
  <c r="Y368" i="47"/>
  <c r="Y424" i="47"/>
  <c r="X522" i="47"/>
  <c r="X696" i="47"/>
  <c r="X11" i="47"/>
  <c r="X21" i="47"/>
  <c r="X43" i="47"/>
  <c r="Y63" i="47"/>
  <c r="X85" i="47"/>
  <c r="X107" i="47"/>
  <c r="Y127" i="47"/>
  <c r="X149" i="47"/>
  <c r="X171" i="47"/>
  <c r="Y195" i="47"/>
  <c r="Y227" i="47"/>
  <c r="Y259" i="47"/>
  <c r="Y275" i="47"/>
  <c r="Y307" i="47"/>
  <c r="Y323" i="47"/>
  <c r="Y356" i="47"/>
  <c r="X442" i="47"/>
  <c r="X601" i="47"/>
  <c r="X23" i="47"/>
  <c r="Y43" i="47"/>
  <c r="X65" i="47"/>
  <c r="Y75" i="47"/>
  <c r="X97" i="47"/>
  <c r="Y107" i="47"/>
  <c r="X119" i="47"/>
  <c r="X129" i="47"/>
  <c r="Y139" i="47"/>
  <c r="X151" i="47"/>
  <c r="X161" i="47"/>
  <c r="Y171" i="47"/>
  <c r="X183" i="47"/>
  <c r="X199" i="47"/>
  <c r="X215" i="47"/>
  <c r="X231" i="47"/>
  <c r="X247" i="47"/>
  <c r="X263" i="47"/>
  <c r="X279" i="47"/>
  <c r="X295" i="47"/>
  <c r="X311" i="47"/>
  <c r="X327" i="47"/>
  <c r="X343" i="47"/>
  <c r="Y362" i="47"/>
  <c r="X388" i="47"/>
  <c r="Y416" i="47"/>
  <c r="Y448" i="47"/>
  <c r="Y480" i="47"/>
  <c r="Y512" i="47"/>
  <c r="X557" i="47"/>
  <c r="Y613" i="47"/>
  <c r="Y676" i="47"/>
  <c r="X764" i="47"/>
  <c r="X983" i="47"/>
  <c r="X25" i="47"/>
  <c r="X57" i="47"/>
  <c r="X89" i="47"/>
  <c r="Y131" i="47"/>
  <c r="X153" i="47"/>
  <c r="X187" i="47"/>
  <c r="X235" i="47"/>
  <c r="X283" i="47"/>
  <c r="X331" i="47"/>
  <c r="Y394" i="47"/>
  <c r="Y488" i="47"/>
  <c r="X628" i="47"/>
  <c r="Y31" i="47"/>
  <c r="X53" i="47"/>
  <c r="X75" i="47"/>
  <c r="Y95" i="47"/>
  <c r="X117" i="47"/>
  <c r="X139" i="47"/>
  <c r="Y159" i="47"/>
  <c r="X181" i="47"/>
  <c r="Y211" i="47"/>
  <c r="Y243" i="47"/>
  <c r="Y291" i="47"/>
  <c r="Y339" i="47"/>
  <c r="Y382" i="47"/>
  <c r="X410" i="47"/>
  <c r="X474" i="47"/>
  <c r="X506" i="47"/>
  <c r="Y544" i="47"/>
  <c r="Y661" i="47"/>
  <c r="Y740" i="47"/>
  <c r="X932" i="47"/>
  <c r="Y11" i="47"/>
  <c r="X33" i="47"/>
  <c r="X55" i="47"/>
  <c r="X87" i="47"/>
  <c r="X13" i="47"/>
  <c r="Y23" i="47"/>
  <c r="X35" i="47"/>
  <c r="X45" i="47"/>
  <c r="Y55" i="47"/>
  <c r="X67" i="47"/>
  <c r="X77" i="47"/>
  <c r="Y87" i="47"/>
  <c r="X99" i="47"/>
  <c r="X109" i="47"/>
  <c r="Y119" i="47"/>
  <c r="X131" i="47"/>
  <c r="X141" i="47"/>
  <c r="Y151" i="47"/>
  <c r="X163" i="47"/>
  <c r="X173" i="47"/>
  <c r="Y183" i="47"/>
  <c r="Y199" i="47"/>
  <c r="Y215" i="47"/>
  <c r="Y231" i="47"/>
  <c r="Y247" i="47"/>
  <c r="Y263" i="47"/>
  <c r="Y279" i="47"/>
  <c r="Y295" i="47"/>
  <c r="Y311" i="47"/>
  <c r="Y327" i="47"/>
  <c r="Y343" i="47"/>
  <c r="X363" i="47"/>
  <c r="Y388" i="47"/>
  <c r="X418" i="47"/>
  <c r="X450" i="47"/>
  <c r="X482" i="47"/>
  <c r="X514" i="47"/>
  <c r="X559" i="47"/>
  <c r="X616" i="47"/>
  <c r="X679" i="47"/>
  <c r="Y766" i="47"/>
  <c r="X992" i="47"/>
  <c r="X5" i="47"/>
  <c r="Y15" i="47"/>
  <c r="X27" i="47"/>
  <c r="X37" i="47"/>
  <c r="Y47" i="47"/>
  <c r="X59" i="47"/>
  <c r="X69" i="47"/>
  <c r="Y79" i="47"/>
  <c r="X91" i="47"/>
  <c r="X101" i="47"/>
  <c r="Y111" i="47"/>
  <c r="X123" i="47"/>
  <c r="X133" i="47"/>
  <c r="Y143" i="47"/>
  <c r="X155" i="47"/>
  <c r="X165" i="47"/>
  <c r="Y175" i="47"/>
  <c r="Y187" i="47"/>
  <c r="Y203" i="47"/>
  <c r="Y219" i="47"/>
  <c r="Y235" i="47"/>
  <c r="Y251" i="47"/>
  <c r="Y267" i="47"/>
  <c r="Y283" i="47"/>
  <c r="Y299" i="47"/>
  <c r="Y315" i="47"/>
  <c r="Y331" i="47"/>
  <c r="Y347" i="47"/>
  <c r="X370" i="47"/>
  <c r="X395" i="47"/>
  <c r="X426" i="47"/>
  <c r="X458" i="47"/>
  <c r="X490" i="47"/>
  <c r="X523" i="47"/>
  <c r="X573" i="47"/>
  <c r="Y629" i="47"/>
  <c r="Y697" i="47"/>
  <c r="Y822" i="47"/>
  <c r="Y35" i="47"/>
  <c r="X79" i="47"/>
  <c r="X121" i="47"/>
  <c r="X175" i="47"/>
  <c r="X219" i="47"/>
  <c r="X251" i="47"/>
  <c r="X299" i="47"/>
  <c r="X347" i="47"/>
  <c r="Y456" i="47"/>
  <c r="Y571" i="47"/>
  <c r="X812" i="47"/>
  <c r="X7" i="47"/>
  <c r="X17" i="47"/>
  <c r="X39" i="47"/>
  <c r="Y59" i="47"/>
  <c r="X81" i="47"/>
  <c r="X103" i="47"/>
  <c r="Y123" i="47"/>
  <c r="X135" i="47"/>
  <c r="Y155" i="47"/>
  <c r="X191" i="47"/>
  <c r="X239" i="47"/>
  <c r="X335" i="47"/>
  <c r="Y7" i="47"/>
  <c r="X19" i="47"/>
  <c r="X29" i="47"/>
  <c r="Y39" i="47"/>
  <c r="X51" i="47"/>
  <c r="X61" i="47"/>
  <c r="Y71" i="47"/>
  <c r="X83" i="47"/>
  <c r="X93" i="47"/>
  <c r="Y103" i="47"/>
  <c r="X115" i="47"/>
  <c r="X125" i="47"/>
  <c r="Y135" i="47"/>
  <c r="X147" i="47"/>
  <c r="X157" i="47"/>
  <c r="Y167" i="47"/>
  <c r="X179" i="47"/>
  <c r="Y191" i="47"/>
  <c r="Y207" i="47"/>
  <c r="Y223" i="47"/>
  <c r="Y239" i="47"/>
  <c r="Y255" i="47"/>
  <c r="Y271" i="47"/>
  <c r="Y287" i="47"/>
  <c r="Y303" i="47"/>
  <c r="Y319" i="47"/>
  <c r="Y335" i="47"/>
  <c r="Y351" i="47"/>
  <c r="X376" i="47"/>
  <c r="X402" i="47"/>
  <c r="X434" i="47"/>
  <c r="X466" i="47"/>
  <c r="X498" i="47"/>
  <c r="X534" i="47"/>
  <c r="Y587" i="47"/>
  <c r="Y644" i="47"/>
  <c r="X720" i="47"/>
  <c r="X876" i="47"/>
  <c r="X8" i="47"/>
  <c r="X12" i="47"/>
  <c r="X16" i="47"/>
  <c r="X20" i="47"/>
  <c r="X24" i="47"/>
  <c r="X28" i="47"/>
  <c r="X32" i="47"/>
  <c r="X36" i="47"/>
  <c r="X40" i="47"/>
  <c r="X44" i="47"/>
  <c r="X48" i="47"/>
  <c r="X52" i="47"/>
  <c r="X56" i="47"/>
  <c r="X60" i="47"/>
  <c r="X64" i="47"/>
  <c r="X68" i="47"/>
  <c r="X72" i="47"/>
  <c r="X76" i="47"/>
  <c r="X80" i="47"/>
  <c r="X84" i="47"/>
  <c r="X88" i="47"/>
  <c r="X92" i="47"/>
  <c r="X96" i="47"/>
  <c r="X100" i="47"/>
  <c r="X104" i="47"/>
  <c r="X108" i="47"/>
  <c r="X112" i="47"/>
  <c r="X116" i="47"/>
  <c r="X120" i="47"/>
  <c r="X124" i="47"/>
  <c r="X128" i="47"/>
  <c r="X132" i="47"/>
  <c r="X136" i="47"/>
  <c r="X140" i="47"/>
  <c r="X144" i="47"/>
  <c r="X148" i="47"/>
  <c r="X152" i="47"/>
  <c r="X156" i="47"/>
  <c r="X160" i="47"/>
  <c r="X164" i="47"/>
  <c r="X168" i="47"/>
  <c r="X172" i="47"/>
  <c r="X176" i="47"/>
  <c r="X180" i="47"/>
  <c r="X184" i="47"/>
  <c r="X188" i="47"/>
  <c r="X192" i="47"/>
  <c r="X196" i="47"/>
  <c r="X200" i="47"/>
  <c r="X204" i="47"/>
  <c r="X208" i="47"/>
  <c r="X212" i="47"/>
  <c r="X216" i="47"/>
  <c r="X220" i="47"/>
  <c r="X224" i="47"/>
  <c r="X228" i="47"/>
  <c r="X232" i="47"/>
  <c r="X236" i="47"/>
  <c r="X240" i="47"/>
  <c r="X244" i="47"/>
  <c r="X248" i="47"/>
  <c r="X252" i="47"/>
  <c r="X256" i="47"/>
  <c r="X260" i="47"/>
  <c r="X264" i="47"/>
  <c r="X268" i="47"/>
  <c r="X272" i="47"/>
  <c r="X276" i="47"/>
  <c r="X280" i="47"/>
  <c r="X284" i="47"/>
  <c r="X288" i="47"/>
  <c r="X292" i="47"/>
  <c r="X296" i="47"/>
  <c r="X300" i="47"/>
  <c r="X304" i="47"/>
  <c r="X308" i="47"/>
  <c r="X312" i="47"/>
  <c r="X316" i="47"/>
  <c r="X320" i="47"/>
  <c r="X324" i="47"/>
  <c r="X328" i="47"/>
  <c r="X332" i="47"/>
  <c r="X336" i="47"/>
  <c r="X340" i="47"/>
  <c r="X344" i="47"/>
  <c r="X348" i="47"/>
  <c r="X352" i="47"/>
  <c r="X358" i="47"/>
  <c r="X364" i="47"/>
  <c r="Y370" i="47"/>
  <c r="Y376" i="47"/>
  <c r="X383" i="47"/>
  <c r="X390" i="47"/>
  <c r="X396" i="47"/>
  <c r="Y402" i="47"/>
  <c r="Y410" i="47"/>
  <c r="Y418" i="47"/>
  <c r="Y426" i="47"/>
  <c r="Y434" i="47"/>
  <c r="Y442" i="47"/>
  <c r="Y450" i="47"/>
  <c r="Y458" i="47"/>
  <c r="Y466" i="47"/>
  <c r="Y474" i="47"/>
  <c r="Y482" i="47"/>
  <c r="Y490" i="47"/>
  <c r="Y498" i="47"/>
  <c r="Y506" i="47"/>
  <c r="Y514" i="47"/>
  <c r="Y524" i="47"/>
  <c r="X535" i="47"/>
  <c r="X547" i="47"/>
  <c r="Y560" i="47"/>
  <c r="X575" i="47"/>
  <c r="X589" i="47"/>
  <c r="Y603" i="47"/>
  <c r="X617" i="47"/>
  <c r="X632" i="47"/>
  <c r="X647" i="47"/>
  <c r="X664" i="47"/>
  <c r="X681" i="47"/>
  <c r="Y700" i="47"/>
  <c r="Y721" i="47"/>
  <c r="X744" i="47"/>
  <c r="X771" i="47"/>
  <c r="Y826" i="47"/>
  <c r="Y886" i="47"/>
  <c r="X940" i="47"/>
  <c r="X1030" i="47"/>
  <c r="X1026" i="47"/>
  <c r="X1022" i="47"/>
  <c r="X1018" i="47"/>
  <c r="X1014" i="47"/>
  <c r="X1010" i="47"/>
  <c r="X1006" i="47"/>
  <c r="X1002" i="47"/>
  <c r="X998" i="47"/>
  <c r="X994" i="47"/>
  <c r="X990" i="47"/>
  <c r="X986" i="47"/>
  <c r="X982" i="47"/>
  <c r="X978" i="47"/>
  <c r="X974" i="47"/>
  <c r="X970" i="47"/>
  <c r="X966" i="47"/>
  <c r="X962" i="47"/>
  <c r="X958" i="47"/>
  <c r="X954" i="47"/>
  <c r="X950" i="47"/>
  <c r="X946" i="47"/>
  <c r="X942" i="47"/>
  <c r="X938" i="47"/>
  <c r="X934" i="47"/>
  <c r="X930" i="47"/>
  <c r="X926" i="47"/>
  <c r="X922" i="47"/>
  <c r="X918" i="47"/>
  <c r="X914" i="47"/>
  <c r="X910" i="47"/>
  <c r="X906" i="47"/>
  <c r="X902" i="47"/>
  <c r="X898" i="47"/>
  <c r="X894" i="47"/>
  <c r="X890" i="47"/>
  <c r="X886" i="47"/>
  <c r="X882" i="47"/>
  <c r="X878" i="47"/>
  <c r="X874" i="47"/>
  <c r="X870" i="47"/>
  <c r="X866" i="47"/>
  <c r="X862" i="47"/>
  <c r="X858" i="47"/>
  <c r="X854" i="47"/>
  <c r="X850" i="47"/>
  <c r="X846" i="47"/>
  <c r="X842" i="47"/>
  <c r="X838" i="47"/>
  <c r="X834" i="47"/>
  <c r="X830" i="47"/>
  <c r="X826" i="47"/>
  <c r="X822" i="47"/>
  <c r="X818" i="47"/>
  <c r="X814" i="47"/>
  <c r="X810" i="47"/>
  <c r="X806" i="47"/>
  <c r="X802" i="47"/>
  <c r="X798" i="47"/>
  <c r="X794" i="47"/>
  <c r="X790" i="47"/>
  <c r="X786" i="47"/>
  <c r="X782" i="47"/>
  <c r="X778" i="47"/>
  <c r="X774" i="47"/>
  <c r="X770" i="47"/>
  <c r="X766" i="47"/>
  <c r="X762" i="47"/>
  <c r="X758" i="47"/>
  <c r="Y1029" i="47"/>
  <c r="Y1025" i="47"/>
  <c r="Y1021" i="47"/>
  <c r="Y1017" i="47"/>
  <c r="Y1013" i="47"/>
  <c r="Y1009" i="47"/>
  <c r="Y1005" i="47"/>
  <c r="Y1001" i="47"/>
  <c r="Y997" i="47"/>
  <c r="Y993" i="47"/>
  <c r="Y989" i="47"/>
  <c r="Y985" i="47"/>
  <c r="Y981" i="47"/>
  <c r="Y977" i="47"/>
  <c r="Y973" i="47"/>
  <c r="Y969" i="47"/>
  <c r="Y965" i="47"/>
  <c r="Y961" i="47"/>
  <c r="Y957" i="47"/>
  <c r="Y953" i="47"/>
  <c r="Y949" i="47"/>
  <c r="Y945" i="47"/>
  <c r="Y941" i="47"/>
  <c r="Y937" i="47"/>
  <c r="Y933" i="47"/>
  <c r="Y929" i="47"/>
  <c r="Y925" i="47"/>
  <c r="Y921" i="47"/>
  <c r="Y917" i="47"/>
  <c r="Y913" i="47"/>
  <c r="Y909" i="47"/>
  <c r="Y905" i="47"/>
  <c r="Y901" i="47"/>
  <c r="Y897" i="47"/>
  <c r="Y893" i="47"/>
  <c r="Y889" i="47"/>
  <c r="Y885" i="47"/>
  <c r="Y881" i="47"/>
  <c r="Y877" i="47"/>
  <c r="Y873" i="47"/>
  <c r="Y869" i="47"/>
  <c r="Y865" i="47"/>
  <c r="Y861" i="47"/>
  <c r="Y857" i="47"/>
  <c r="Y853" i="47"/>
  <c r="Y849" i="47"/>
  <c r="Y845" i="47"/>
  <c r="Y841" i="47"/>
  <c r="Y837" i="47"/>
  <c r="Y833" i="47"/>
  <c r="Y829" i="47"/>
  <c r="Y825" i="47"/>
  <c r="Y821" i="47"/>
  <c r="Y817" i="47"/>
  <c r="Y813" i="47"/>
  <c r="Y809" i="47"/>
  <c r="Y805" i="47"/>
  <c r="Y801" i="47"/>
  <c r="Y797" i="47"/>
  <c r="Y793" i="47"/>
  <c r="Y789" i="47"/>
  <c r="Y785" i="47"/>
  <c r="Y781" i="47"/>
  <c r="Y777" i="47"/>
  <c r="Y773" i="47"/>
  <c r="Y769" i="47"/>
  <c r="Y765" i="47"/>
  <c r="Y761" i="47"/>
  <c r="Y757" i="47"/>
  <c r="Y753" i="47"/>
  <c r="X1029" i="47"/>
  <c r="X1025" i="47"/>
  <c r="X1021" i="47"/>
  <c r="X1017" i="47"/>
  <c r="X1013" i="47"/>
  <c r="X1009" i="47"/>
  <c r="X1005" i="47"/>
  <c r="X1001" i="47"/>
  <c r="X997" i="47"/>
  <c r="X993" i="47"/>
  <c r="X989" i="47"/>
  <c r="X985" i="47"/>
  <c r="X981" i="47"/>
  <c r="X977" i="47"/>
  <c r="X973" i="47"/>
  <c r="X969" i="47"/>
  <c r="X965" i="47"/>
  <c r="X961" i="47"/>
  <c r="X957" i="47"/>
  <c r="X953" i="47"/>
  <c r="X949" i="47"/>
  <c r="X945" i="47"/>
  <c r="X941" i="47"/>
  <c r="X937" i="47"/>
  <c r="X933" i="47"/>
  <c r="X929" i="47"/>
  <c r="X925" i="47"/>
  <c r="X921" i="47"/>
  <c r="X917" i="47"/>
  <c r="X913" i="47"/>
  <c r="X909" i="47"/>
  <c r="X905" i="47"/>
  <c r="X901" i="47"/>
  <c r="X897" i="47"/>
  <c r="X893" i="47"/>
  <c r="X889" i="47"/>
  <c r="X885" i="47"/>
  <c r="X881" i="47"/>
  <c r="X877" i="47"/>
  <c r="X873" i="47"/>
  <c r="X869" i="47"/>
  <c r="X865" i="47"/>
  <c r="X861" i="47"/>
  <c r="X857" i="47"/>
  <c r="X853" i="47"/>
  <c r="X849" i="47"/>
  <c r="X845" i="47"/>
  <c r="X841" i="47"/>
  <c r="X837" i="47"/>
  <c r="X833" i="47"/>
  <c r="X829" i="47"/>
  <c r="X825" i="47"/>
  <c r="X821" i="47"/>
  <c r="X817" i="47"/>
  <c r="X813" i="47"/>
  <c r="X809" i="47"/>
  <c r="X805" i="47"/>
  <c r="X801" i="47"/>
  <c r="X797" i="47"/>
  <c r="X793" i="47"/>
  <c r="X789" i="47"/>
  <c r="X785" i="47"/>
  <c r="X781" i="47"/>
  <c r="X777" i="47"/>
  <c r="X773" i="47"/>
  <c r="Y1028" i="47"/>
  <c r="Y1024" i="47"/>
  <c r="Y1020" i="47"/>
  <c r="Y1016" i="47"/>
  <c r="Y1012" i="47"/>
  <c r="Y1008" i="47"/>
  <c r="Y1004" i="47"/>
  <c r="Y1000" i="47"/>
  <c r="Y996" i="47"/>
  <c r="Y992" i="47"/>
  <c r="Y988" i="47"/>
  <c r="Y984" i="47"/>
  <c r="Y980" i="47"/>
  <c r="Y976" i="47"/>
  <c r="Y972" i="47"/>
  <c r="Y968" i="47"/>
  <c r="Y964" i="47"/>
  <c r="Y960" i="47"/>
  <c r="Y956" i="47"/>
  <c r="Y952" i="47"/>
  <c r="Y948" i="47"/>
  <c r="Y944" i="47"/>
  <c r="Y940" i="47"/>
  <c r="Y936" i="47"/>
  <c r="Y932" i="47"/>
  <c r="Y928" i="47"/>
  <c r="Y924" i="47"/>
  <c r="Y920" i="47"/>
  <c r="Y916" i="47"/>
  <c r="Y912" i="47"/>
  <c r="Y908" i="47"/>
  <c r="Y904" i="47"/>
  <c r="Y900" i="47"/>
  <c r="Y896" i="47"/>
  <c r="Y892" i="47"/>
  <c r="Y888" i="47"/>
  <c r="Y884" i="47"/>
  <c r="Y880" i="47"/>
  <c r="Y876" i="47"/>
  <c r="Y872" i="47"/>
  <c r="Y868" i="47"/>
  <c r="Y864" i="47"/>
  <c r="Y860" i="47"/>
  <c r="Y856" i="47"/>
  <c r="Y852" i="47"/>
  <c r="Y848" i="47"/>
  <c r="Y844" i="47"/>
  <c r="Y840" i="47"/>
  <c r="Y836" i="47"/>
  <c r="Y832" i="47"/>
  <c r="Y828" i="47"/>
  <c r="Y824" i="47"/>
  <c r="Y820" i="47"/>
  <c r="Y816" i="47"/>
  <c r="Y812" i="47"/>
  <c r="Y808" i="47"/>
  <c r="Y804" i="47"/>
  <c r="Y800" i="47"/>
  <c r="Y796" i="47"/>
  <c r="Y792" i="47"/>
  <c r="Y788" i="47"/>
  <c r="Y784" i="47"/>
  <c r="Y780" i="47"/>
  <c r="Y776" i="47"/>
  <c r="Y1031" i="47"/>
  <c r="Y1027" i="47"/>
  <c r="Y1023" i="47"/>
  <c r="Y1019" i="47"/>
  <c r="Y1015" i="47"/>
  <c r="Y1011" i="47"/>
  <c r="Y1007" i="47"/>
  <c r="Y1003" i="47"/>
  <c r="Y999" i="47"/>
  <c r="Y995" i="47"/>
  <c r="Y991" i="47"/>
  <c r="Y987" i="47"/>
  <c r="Y983" i="47"/>
  <c r="Y979" i="47"/>
  <c r="Y975" i="47"/>
  <c r="Y971" i="47"/>
  <c r="Y967" i="47"/>
  <c r="Y963" i="47"/>
  <c r="Y959" i="47"/>
  <c r="Y955" i="47"/>
  <c r="Y951" i="47"/>
  <c r="Y947" i="47"/>
  <c r="Y943" i="47"/>
  <c r="Y939" i="47"/>
  <c r="Y935" i="47"/>
  <c r="Y931" i="47"/>
  <c r="Y927" i="47"/>
  <c r="Y923" i="47"/>
  <c r="Y919" i="47"/>
  <c r="Y915" i="47"/>
  <c r="Y911" i="47"/>
  <c r="Y907" i="47"/>
  <c r="Y903" i="47"/>
  <c r="Y899" i="47"/>
  <c r="Y895" i="47"/>
  <c r="Y891" i="47"/>
  <c r="Y887" i="47"/>
  <c r="Y883" i="47"/>
  <c r="Y879" i="47"/>
  <c r="Y875" i="47"/>
  <c r="Y871" i="47"/>
  <c r="Y867" i="47"/>
  <c r="Y863" i="47"/>
  <c r="Y859" i="47"/>
  <c r="Y855" i="47"/>
  <c r="Y851" i="47"/>
  <c r="Y847" i="47"/>
  <c r="Y843" i="47"/>
  <c r="Y839" i="47"/>
  <c r="Y835" i="47"/>
  <c r="Y831" i="47"/>
  <c r="Y827" i="47"/>
  <c r="Y823" i="47"/>
  <c r="Y819" i="47"/>
  <c r="Y815" i="47"/>
  <c r="Y811" i="47"/>
  <c r="Y807" i="47"/>
  <c r="Y803" i="47"/>
  <c r="Y799" i="47"/>
  <c r="Y795" i="47"/>
  <c r="Y791" i="47"/>
  <c r="Y787" i="47"/>
  <c r="Y783" i="47"/>
  <c r="Y779" i="47"/>
  <c r="Y775" i="47"/>
  <c r="Y771" i="47"/>
  <c r="Y767" i="47"/>
  <c r="Y763" i="47"/>
  <c r="Y759" i="47"/>
  <c r="Y755" i="47"/>
  <c r="X1031" i="47"/>
  <c r="X1020" i="47"/>
  <c r="Y1010" i="47"/>
  <c r="X999" i="47"/>
  <c r="X988" i="47"/>
  <c r="Y978" i="47"/>
  <c r="X967" i="47"/>
  <c r="X956" i="47"/>
  <c r="Y946" i="47"/>
  <c r="X935" i="47"/>
  <c r="X924" i="47"/>
  <c r="Y914" i="47"/>
  <c r="X903" i="47"/>
  <c r="X892" i="47"/>
  <c r="Y882" i="47"/>
  <c r="X871" i="47"/>
  <c r="X860" i="47"/>
  <c r="Y850" i="47"/>
  <c r="X839" i="47"/>
  <c r="X828" i="47"/>
  <c r="Y818" i="47"/>
  <c r="X807" i="47"/>
  <c r="X796" i="47"/>
  <c r="Y786" i="47"/>
  <c r="X775" i="47"/>
  <c r="X768" i="47"/>
  <c r="X761" i="47"/>
  <c r="X755" i="47"/>
  <c r="Y750" i="47"/>
  <c r="Y746" i="47"/>
  <c r="Y742" i="47"/>
  <c r="Y738" i="47"/>
  <c r="Y734" i="47"/>
  <c r="Y730" i="47"/>
  <c r="Y726" i="47"/>
  <c r="Y722" i="47"/>
  <c r="Y718" i="47"/>
  <c r="Y714" i="47"/>
  <c r="Y710" i="47"/>
  <c r="Y706" i="47"/>
  <c r="Y702" i="47"/>
  <c r="Y698" i="47"/>
  <c r="Y694" i="47"/>
  <c r="Y690" i="47"/>
  <c r="Y686" i="47"/>
  <c r="Y682" i="47"/>
  <c r="Y678" i="47"/>
  <c r="Y674" i="47"/>
  <c r="Y670" i="47"/>
  <c r="Y666" i="47"/>
  <c r="Y662" i="47"/>
  <c r="Y658" i="47"/>
  <c r="Y654" i="47"/>
  <c r="Y650" i="47"/>
  <c r="Y646" i="47"/>
  <c r="Y642" i="47"/>
  <c r="Y638" i="47"/>
  <c r="Y634" i="47"/>
  <c r="Y630" i="47"/>
  <c r="Y626" i="47"/>
  <c r="Y622" i="47"/>
  <c r="Y618" i="47"/>
  <c r="Y614" i="47"/>
  <c r="Y610" i="47"/>
  <c r="Y606" i="47"/>
  <c r="Y602" i="47"/>
  <c r="Y598" i="47"/>
  <c r="Y594" i="47"/>
  <c r="Y590" i="47"/>
  <c r="Y586" i="47"/>
  <c r="Y582" i="47"/>
  <c r="Y578" i="47"/>
  <c r="Y574" i="47"/>
  <c r="Y570" i="47"/>
  <c r="Y566" i="47"/>
  <c r="Y562" i="47"/>
  <c r="Y558" i="47"/>
  <c r="Y554" i="47"/>
  <c r="Y550" i="47"/>
  <c r="Y546" i="47"/>
  <c r="Y1030" i="47"/>
  <c r="X1019" i="47"/>
  <c r="X1008" i="47"/>
  <c r="Y998" i="47"/>
  <c r="X987" i="47"/>
  <c r="X976" i="47"/>
  <c r="Y966" i="47"/>
  <c r="X955" i="47"/>
  <c r="X944" i="47"/>
  <c r="Y934" i="47"/>
  <c r="X923" i="47"/>
  <c r="X912" i="47"/>
  <c r="Y902" i="47"/>
  <c r="X891" i="47"/>
  <c r="X880" i="47"/>
  <c r="Y870" i="47"/>
  <c r="X859" i="47"/>
  <c r="X848" i="47"/>
  <c r="Y838" i="47"/>
  <c r="X827" i="47"/>
  <c r="X816" i="47"/>
  <c r="Y806" i="47"/>
  <c r="X795" i="47"/>
  <c r="X784" i="47"/>
  <c r="Y774" i="47"/>
  <c r="X767" i="47"/>
  <c r="Y760" i="47"/>
  <c r="Y754" i="47"/>
  <c r="X750" i="47"/>
  <c r="X746" i="47"/>
  <c r="X742" i="47"/>
  <c r="X738" i="47"/>
  <c r="X734" i="47"/>
  <c r="X730" i="47"/>
  <c r="X726" i="47"/>
  <c r="X722" i="47"/>
  <c r="X718" i="47"/>
  <c r="X714" i="47"/>
  <c r="X710" i="47"/>
  <c r="X706" i="47"/>
  <c r="X702" i="47"/>
  <c r="X698" i="47"/>
  <c r="X694" i="47"/>
  <c r="X690" i="47"/>
  <c r="X686" i="47"/>
  <c r="X682" i="47"/>
  <c r="X678" i="47"/>
  <c r="X674" i="47"/>
  <c r="X670" i="47"/>
  <c r="X666" i="47"/>
  <c r="X662" i="47"/>
  <c r="X658" i="47"/>
  <c r="X654" i="47"/>
  <c r="X650" i="47"/>
  <c r="X646" i="47"/>
  <c r="X642" i="47"/>
  <c r="X638" i="47"/>
  <c r="X634" i="47"/>
  <c r="X630" i="47"/>
  <c r="X626" i="47"/>
  <c r="X622" i="47"/>
  <c r="X618" i="47"/>
  <c r="X614" i="47"/>
  <c r="X610" i="47"/>
  <c r="X606" i="47"/>
  <c r="X602" i="47"/>
  <c r="X598" i="47"/>
  <c r="X594" i="47"/>
  <c r="X590" i="47"/>
  <c r="X586" i="47"/>
  <c r="X582" i="47"/>
  <c r="X578" i="47"/>
  <c r="X574" i="47"/>
  <c r="X570" i="47"/>
  <c r="X566" i="47"/>
  <c r="X562" i="47"/>
  <c r="X558" i="47"/>
  <c r="X554" i="47"/>
  <c r="X550" i="47"/>
  <c r="X546" i="47"/>
  <c r="X1027" i="47"/>
  <c r="X1016" i="47"/>
  <c r="Y1006" i="47"/>
  <c r="X995" i="47"/>
  <c r="X984" i="47"/>
  <c r="Y974" i="47"/>
  <c r="X963" i="47"/>
  <c r="X952" i="47"/>
  <c r="Y942" i="47"/>
  <c r="X931" i="47"/>
  <c r="X920" i="47"/>
  <c r="Y910" i="47"/>
  <c r="X899" i="47"/>
  <c r="X888" i="47"/>
  <c r="Y878" i="47"/>
  <c r="X867" i="47"/>
  <c r="X856" i="47"/>
  <c r="Y846" i="47"/>
  <c r="X835" i="47"/>
  <c r="X824" i="47"/>
  <c r="Y814" i="47"/>
  <c r="X803" i="47"/>
  <c r="X792" i="47"/>
  <c r="Y782" i="47"/>
  <c r="X772" i="47"/>
  <c r="X765" i="47"/>
  <c r="X759" i="47"/>
  <c r="X753" i="47"/>
  <c r="X749" i="47"/>
  <c r="X745" i="47"/>
  <c r="X741" i="47"/>
  <c r="X737" i="47"/>
  <c r="X733" i="47"/>
  <c r="X729" i="47"/>
  <c r="X725" i="47"/>
  <c r="X721" i="47"/>
  <c r="X717" i="47"/>
  <c r="X713" i="47"/>
  <c r="X709" i="47"/>
  <c r="X705" i="47"/>
  <c r="X701" i="47"/>
  <c r="X697" i="47"/>
  <c r="X693" i="47"/>
  <c r="X689" i="47"/>
  <c r="X1023" i="47"/>
  <c r="X1012" i="47"/>
  <c r="Y1002" i="47"/>
  <c r="X991" i="47"/>
  <c r="X980" i="47"/>
  <c r="Y970" i="47"/>
  <c r="X959" i="47"/>
  <c r="X948" i="47"/>
  <c r="Y938" i="47"/>
  <c r="X927" i="47"/>
  <c r="X916" i="47"/>
  <c r="Y906" i="47"/>
  <c r="X895" i="47"/>
  <c r="X884" i="47"/>
  <c r="Y874" i="47"/>
  <c r="X863" i="47"/>
  <c r="X852" i="47"/>
  <c r="Y842" i="47"/>
  <c r="X831" i="47"/>
  <c r="X820" i="47"/>
  <c r="Y810" i="47"/>
  <c r="X799" i="47"/>
  <c r="X788" i="47"/>
  <c r="Y778" i="47"/>
  <c r="X769" i="47"/>
  <c r="X763" i="47"/>
  <c r="Y756" i="47"/>
  <c r="Y751" i="47"/>
  <c r="Y747" i="47"/>
  <c r="Y743" i="47"/>
  <c r="Y739" i="47"/>
  <c r="Y735" i="47"/>
  <c r="Y731" i="47"/>
  <c r="Y727" i="47"/>
  <c r="Y723" i="47"/>
  <c r="Y719" i="47"/>
  <c r="Y715" i="47"/>
  <c r="Y711" i="47"/>
  <c r="Y707" i="47"/>
  <c r="Y703" i="47"/>
  <c r="Y699" i="47"/>
  <c r="Y695" i="47"/>
  <c r="Y691" i="47"/>
  <c r="Y687" i="47"/>
  <c r="Y683" i="47"/>
  <c r="Y679" i="47"/>
  <c r="Y675" i="47"/>
  <c r="Y671" i="47"/>
  <c r="Y667" i="47"/>
  <c r="Y663" i="47"/>
  <c r="Y659" i="47"/>
  <c r="Y655" i="47"/>
  <c r="Y651" i="47"/>
  <c r="Y647" i="47"/>
  <c r="Y643" i="47"/>
  <c r="X1011" i="47"/>
  <c r="Y990" i="47"/>
  <c r="X968" i="47"/>
  <c r="X947" i="47"/>
  <c r="Y926" i="47"/>
  <c r="X904" i="47"/>
  <c r="X883" i="47"/>
  <c r="Y862" i="47"/>
  <c r="X840" i="47"/>
  <c r="X819" i="47"/>
  <c r="Y798" i="47"/>
  <c r="X776" i="47"/>
  <c r="Y762" i="47"/>
  <c r="X751" i="47"/>
  <c r="X743" i="47"/>
  <c r="X735" i="47"/>
  <c r="X727" i="47"/>
  <c r="X719" i="47"/>
  <c r="X711" i="47"/>
  <c r="X703" i="47"/>
  <c r="X695" i="47"/>
  <c r="X687" i="47"/>
  <c r="Y680" i="47"/>
  <c r="Y673" i="47"/>
  <c r="X668" i="47"/>
  <c r="X661" i="47"/>
  <c r="X655" i="47"/>
  <c r="Y648" i="47"/>
  <c r="Y641" i="47"/>
  <c r="Y636" i="47"/>
  <c r="Y631" i="47"/>
  <c r="Y625" i="47"/>
  <c r="Y620" i="47"/>
  <c r="Y615" i="47"/>
  <c r="Y609" i="47"/>
  <c r="Y604" i="47"/>
  <c r="Y599" i="47"/>
  <c r="Y593" i="47"/>
  <c r="Y588" i="47"/>
  <c r="Y583" i="47"/>
  <c r="Y577" i="47"/>
  <c r="Y572" i="47"/>
  <c r="Y567" i="47"/>
  <c r="Y561" i="47"/>
  <c r="Y556" i="47"/>
  <c r="Y551" i="47"/>
  <c r="Y545" i="47"/>
  <c r="Y541" i="47"/>
  <c r="Y537" i="47"/>
  <c r="Y533" i="47"/>
  <c r="Y529" i="47"/>
  <c r="Y525" i="47"/>
  <c r="Y521" i="47"/>
  <c r="Y517" i="47"/>
  <c r="Y513" i="47"/>
  <c r="Y509" i="47"/>
  <c r="Y505" i="47"/>
  <c r="Y501" i="47"/>
  <c r="Y497" i="47"/>
  <c r="Y493" i="47"/>
  <c r="Y489" i="47"/>
  <c r="Y485" i="47"/>
  <c r="Y481" i="47"/>
  <c r="Y477" i="47"/>
  <c r="Y473" i="47"/>
  <c r="Y469" i="47"/>
  <c r="Y465" i="47"/>
  <c r="Y461" i="47"/>
  <c r="Y457" i="47"/>
  <c r="Y453" i="47"/>
  <c r="Y449" i="47"/>
  <c r="Y445" i="47"/>
  <c r="Y441" i="47"/>
  <c r="Y437" i="47"/>
  <c r="Y433" i="47"/>
  <c r="Y429" i="47"/>
  <c r="Y425" i="47"/>
  <c r="Y421" i="47"/>
  <c r="Y417" i="47"/>
  <c r="Y413" i="47"/>
  <c r="Y409" i="47"/>
  <c r="Y405" i="47"/>
  <c r="Y401" i="47"/>
  <c r="Y397" i="47"/>
  <c r="Y393" i="47"/>
  <c r="Y389" i="47"/>
  <c r="Y385" i="47"/>
  <c r="Y381" i="47"/>
  <c r="Y377" i="47"/>
  <c r="Y373" i="47"/>
  <c r="Y369" i="47"/>
  <c r="Y365" i="47"/>
  <c r="Y361" i="47"/>
  <c r="Y357" i="47"/>
  <c r="Y353" i="47"/>
  <c r="X1028" i="47"/>
  <c r="X1007" i="47"/>
  <c r="Y986" i="47"/>
  <c r="X964" i="47"/>
  <c r="X943" i="47"/>
  <c r="Y922" i="47"/>
  <c r="X900" i="47"/>
  <c r="X879" i="47"/>
  <c r="Y858" i="47"/>
  <c r="X836" i="47"/>
  <c r="X815" i="47"/>
  <c r="Y794" i="47"/>
  <c r="Y772" i="47"/>
  <c r="X760" i="47"/>
  <c r="Y749" i="47"/>
  <c r="Y741" i="47"/>
  <c r="Y733" i="47"/>
  <c r="Y725" i="47"/>
  <c r="Y717" i="47"/>
  <c r="Y709" i="47"/>
  <c r="Y701" i="47"/>
  <c r="Y693" i="47"/>
  <c r="Y685" i="47"/>
  <c r="X680" i="47"/>
  <c r="X673" i="47"/>
  <c r="X667" i="47"/>
  <c r="Y660" i="47"/>
  <c r="Y653" i="47"/>
  <c r="X648" i="47"/>
  <c r="X641" i="47"/>
  <c r="X636" i="47"/>
  <c r="X631" i="47"/>
  <c r="X625" i="47"/>
  <c r="X620" i="47"/>
  <c r="X615" i="47"/>
  <c r="X609" i="47"/>
  <c r="X604" i="47"/>
  <c r="X599" i="47"/>
  <c r="X593" i="47"/>
  <c r="X588" i="47"/>
  <c r="X583" i="47"/>
  <c r="X577" i="47"/>
  <c r="X572" i="47"/>
  <c r="X567" i="47"/>
  <c r="X561" i="47"/>
  <c r="X556" i="47"/>
  <c r="X551" i="47"/>
  <c r="X545" i="47"/>
  <c r="X541" i="47"/>
  <c r="X537" i="47"/>
  <c r="X533" i="47"/>
  <c r="X529" i="47"/>
  <c r="X525" i="47"/>
  <c r="X521" i="47"/>
  <c r="X517" i="47"/>
  <c r="X513" i="47"/>
  <c r="X509" i="47"/>
  <c r="X505" i="47"/>
  <c r="X501" i="47"/>
  <c r="X497" i="47"/>
  <c r="X493" i="47"/>
  <c r="X489" i="47"/>
  <c r="X485" i="47"/>
  <c r="X481" i="47"/>
  <c r="X477" i="47"/>
  <c r="X473" i="47"/>
  <c r="X469" i="47"/>
  <c r="X465" i="47"/>
  <c r="X461" i="47"/>
  <c r="X457" i="47"/>
  <c r="X453" i="47"/>
  <c r="X449" i="47"/>
  <c r="X445" i="47"/>
  <c r="X441" i="47"/>
  <c r="X437" i="47"/>
  <c r="X433" i="47"/>
  <c r="X429" i="47"/>
  <c r="X425" i="47"/>
  <c r="X421" i="47"/>
  <c r="X417" i="47"/>
  <c r="X413" i="47"/>
  <c r="X409" i="47"/>
  <c r="X405" i="47"/>
  <c r="X401" i="47"/>
  <c r="X397" i="47"/>
  <c r="X393" i="47"/>
  <c r="X389" i="47"/>
  <c r="X385" i="47"/>
  <c r="X381" i="47"/>
  <c r="X377" i="47"/>
  <c r="X373" i="47"/>
  <c r="X369" i="47"/>
  <c r="X365" i="47"/>
  <c r="X361" i="47"/>
  <c r="X357" i="47"/>
  <c r="X1024" i="47"/>
  <c r="X1003" i="47"/>
  <c r="Y982" i="47"/>
  <c r="X960" i="47"/>
  <c r="X939" i="47"/>
  <c r="Y918" i="47"/>
  <c r="X896" i="47"/>
  <c r="X875" i="47"/>
  <c r="Y854" i="47"/>
  <c r="X832" i="47"/>
  <c r="X811" i="47"/>
  <c r="Y790" i="47"/>
  <c r="Y770" i="47"/>
  <c r="X757" i="47"/>
  <c r="X748" i="47"/>
  <c r="X740" i="47"/>
  <c r="X732" i="47"/>
  <c r="X724" i="47"/>
  <c r="X716" i="47"/>
  <c r="X708" i="47"/>
  <c r="X700" i="47"/>
  <c r="X692" i="47"/>
  <c r="Y684" i="47"/>
  <c r="Y677" i="47"/>
  <c r="X672" i="47"/>
  <c r="X665" i="47"/>
  <c r="X659" i="47"/>
  <c r="Y652" i="47"/>
  <c r="Y645" i="47"/>
  <c r="X640" i="47"/>
  <c r="X635" i="47"/>
  <c r="X629" i="47"/>
  <c r="X624" i="47"/>
  <c r="X619" i="47"/>
  <c r="X613" i="47"/>
  <c r="X608" i="47"/>
  <c r="X603" i="47"/>
  <c r="X597" i="47"/>
  <c r="X592" i="47"/>
  <c r="X587" i="47"/>
  <c r="X581" i="47"/>
  <c r="X576" i="47"/>
  <c r="X571" i="47"/>
  <c r="X565" i="47"/>
  <c r="X560" i="47"/>
  <c r="X555" i="47"/>
  <c r="X549" i="47"/>
  <c r="X544" i="47"/>
  <c r="X540" i="47"/>
  <c r="X536" i="47"/>
  <c r="X532" i="47"/>
  <c r="X528" i="47"/>
  <c r="X524" i="47"/>
  <c r="X520" i="47"/>
  <c r="X516" i="47"/>
  <c r="X512" i="47"/>
  <c r="X508" i="47"/>
  <c r="X504" i="47"/>
  <c r="X500" i="47"/>
  <c r="X496" i="47"/>
  <c r="X492" i="47"/>
  <c r="X488" i="47"/>
  <c r="X484" i="47"/>
  <c r="X480" i="47"/>
  <c r="X476" i="47"/>
  <c r="X472" i="47"/>
  <c r="X468" i="47"/>
  <c r="X464" i="47"/>
  <c r="X460" i="47"/>
  <c r="X456" i="47"/>
  <c r="X452" i="47"/>
  <c r="X448" i="47"/>
  <c r="X444" i="47"/>
  <c r="X440" i="47"/>
  <c r="X436" i="47"/>
  <c r="X432" i="47"/>
  <c r="X428" i="47"/>
  <c r="X424" i="47"/>
  <c r="X420" i="47"/>
  <c r="X416" i="47"/>
  <c r="X412" i="47"/>
  <c r="X408" i="47"/>
  <c r="X404" i="47"/>
  <c r="Y1022" i="47"/>
  <c r="X1000" i="47"/>
  <c r="X979" i="47"/>
  <c r="Y958" i="47"/>
  <c r="X936" i="47"/>
  <c r="X915" i="47"/>
  <c r="Y894" i="47"/>
  <c r="X872" i="47"/>
  <c r="X851" i="47"/>
  <c r="Y830" i="47"/>
  <c r="X808" i="47"/>
  <c r="X787" i="47"/>
  <c r="Y768" i="47"/>
  <c r="X756" i="47"/>
  <c r="X747" i="47"/>
  <c r="X739" i="47"/>
  <c r="X731" i="47"/>
  <c r="X723" i="47"/>
  <c r="X715" i="47"/>
  <c r="X707" i="47"/>
  <c r="X699" i="47"/>
  <c r="X691" i="47"/>
  <c r="X684" i="47"/>
  <c r="X677" i="47"/>
  <c r="X671" i="47"/>
  <c r="Y664" i="47"/>
  <c r="Y657" i="47"/>
  <c r="X652" i="47"/>
  <c r="X645" i="47"/>
  <c r="Y639" i="47"/>
  <c r="Y633" i="47"/>
  <c r="Y628" i="47"/>
  <c r="Y623" i="47"/>
  <c r="Y617" i="47"/>
  <c r="Y612" i="47"/>
  <c r="Y607" i="47"/>
  <c r="Y601" i="47"/>
  <c r="Y596" i="47"/>
  <c r="Y591" i="47"/>
  <c r="Y585" i="47"/>
  <c r="Y580" i="47"/>
  <c r="Y575" i="47"/>
  <c r="Y569" i="47"/>
  <c r="Y564" i="47"/>
  <c r="Y559" i="47"/>
  <c r="Y553" i="47"/>
  <c r="Y548" i="47"/>
  <c r="Y543" i="47"/>
  <c r="Y539" i="47"/>
  <c r="Y535" i="47"/>
  <c r="Y531" i="47"/>
  <c r="Y527" i="47"/>
  <c r="Y523" i="47"/>
  <c r="Y519" i="47"/>
  <c r="Y515" i="47"/>
  <c r="Y511" i="47"/>
  <c r="Y507" i="47"/>
  <c r="Y503" i="47"/>
  <c r="Y499" i="47"/>
  <c r="Y495" i="47"/>
  <c r="Y491" i="47"/>
  <c r="Y487" i="47"/>
  <c r="Y483" i="47"/>
  <c r="Y479" i="47"/>
  <c r="Y475" i="47"/>
  <c r="Y471" i="47"/>
  <c r="Y467" i="47"/>
  <c r="Y463" i="47"/>
  <c r="Y459" i="47"/>
  <c r="Y455" i="47"/>
  <c r="Y451" i="47"/>
  <c r="Y447" i="47"/>
  <c r="Y443" i="47"/>
  <c r="Y439" i="47"/>
  <c r="Y435" i="47"/>
  <c r="Y431" i="47"/>
  <c r="Y427" i="47"/>
  <c r="Y423" i="47"/>
  <c r="Y419" i="47"/>
  <c r="Y415" i="47"/>
  <c r="Y411" i="47"/>
  <c r="Y407" i="47"/>
  <c r="Y403" i="47"/>
  <c r="Y399" i="47"/>
  <c r="Y395" i="47"/>
  <c r="Y391" i="47"/>
  <c r="Y387" i="47"/>
  <c r="Y383" i="47"/>
  <c r="Y379" i="47"/>
  <c r="Y375" i="47"/>
  <c r="Y371" i="47"/>
  <c r="Y367" i="47"/>
  <c r="Y363" i="47"/>
  <c r="Y359" i="47"/>
  <c r="Y355" i="47"/>
  <c r="X1015" i="47"/>
  <c r="Y994" i="47"/>
  <c r="X972" i="47"/>
  <c r="X951" i="47"/>
  <c r="Y930" i="47"/>
  <c r="X908" i="47"/>
  <c r="X887" i="47"/>
  <c r="Y866" i="47"/>
  <c r="X844" i="47"/>
  <c r="X823" i="47"/>
  <c r="Y802" i="47"/>
  <c r="X780" i="47"/>
  <c r="Y764" i="47"/>
  <c r="Y752" i="47"/>
  <c r="Y744" i="47"/>
  <c r="Y736" i="47"/>
  <c r="Y728" i="47"/>
  <c r="Y720" i="47"/>
  <c r="Y712" i="47"/>
  <c r="Y704" i="47"/>
  <c r="Y696" i="47"/>
  <c r="Y688" i="47"/>
  <c r="Y681" i="47"/>
  <c r="X676" i="47"/>
  <c r="X669" i="47"/>
  <c r="X663" i="47"/>
  <c r="Y656" i="47"/>
  <c r="Y649" i="47"/>
  <c r="X644" i="47"/>
  <c r="Y637" i="47"/>
  <c r="Y632" i="47"/>
  <c r="Y627" i="47"/>
  <c r="Y621" i="47"/>
  <c r="Y616" i="47"/>
  <c r="Y611" i="47"/>
  <c r="Y605" i="47"/>
  <c r="Y600" i="47"/>
  <c r="Y595" i="47"/>
  <c r="Y589" i="47"/>
  <c r="Y584" i="47"/>
  <c r="Y579" i="47"/>
  <c r="Y573" i="47"/>
  <c r="Y568" i="47"/>
  <c r="Y563" i="47"/>
  <c r="Y557" i="47"/>
  <c r="Y552" i="47"/>
  <c r="Y547" i="47"/>
  <c r="Y542" i="47"/>
  <c r="Y538" i="47"/>
  <c r="Y534" i="47"/>
  <c r="Y530" i="47"/>
  <c r="Y526" i="47"/>
  <c r="Y522" i="47"/>
  <c r="Y518" i="47"/>
  <c r="Y8" i="47"/>
  <c r="Y12" i="47"/>
  <c r="Y16" i="47"/>
  <c r="Y20" i="47"/>
  <c r="Y24" i="47"/>
  <c r="Y28" i="47"/>
  <c r="Y32" i="47"/>
  <c r="Y36" i="47"/>
  <c r="Y40" i="47"/>
  <c r="Y44" i="47"/>
  <c r="Y48" i="47"/>
  <c r="Y52" i="47"/>
  <c r="Y56" i="47"/>
  <c r="Y60" i="47"/>
  <c r="Y64" i="47"/>
  <c r="Y68" i="47"/>
  <c r="Y72" i="47"/>
  <c r="Y76" i="47"/>
  <c r="Y80" i="47"/>
  <c r="Y84" i="47"/>
  <c r="Y88" i="47"/>
  <c r="Y92" i="47"/>
  <c r="Y96" i="47"/>
  <c r="Y100" i="47"/>
  <c r="Y104" i="47"/>
  <c r="Y108" i="47"/>
  <c r="Y112" i="47"/>
  <c r="Y116" i="47"/>
  <c r="Y120" i="47"/>
  <c r="Y124" i="47"/>
  <c r="Y128" i="47"/>
  <c r="Y132" i="47"/>
  <c r="Y136" i="47"/>
  <c r="Y140" i="47"/>
  <c r="Y144" i="47"/>
  <c r="Y148" i="47"/>
  <c r="Y152" i="47"/>
  <c r="Y156" i="47"/>
  <c r="Y160" i="47"/>
  <c r="Y164" i="47"/>
  <c r="Y168" i="47"/>
  <c r="Y172" i="47"/>
  <c r="Y176" i="47"/>
  <c r="Y180" i="47"/>
  <c r="Y184" i="47"/>
  <c r="Y188" i="47"/>
  <c r="Y192" i="47"/>
  <c r="Y196" i="47"/>
  <c r="Y200" i="47"/>
  <c r="Y204" i="47"/>
  <c r="Y208" i="47"/>
  <c r="Y212" i="47"/>
  <c r="Y216" i="47"/>
  <c r="Y220" i="47"/>
  <c r="Y224" i="47"/>
  <c r="Y228" i="47"/>
  <c r="Y232" i="47"/>
  <c r="Y236" i="47"/>
  <c r="Y240" i="47"/>
  <c r="Y244" i="47"/>
  <c r="Y248" i="47"/>
  <c r="Y252" i="47"/>
  <c r="Y256" i="47"/>
  <c r="Y260" i="47"/>
  <c r="Y264" i="47"/>
  <c r="Y268" i="47"/>
  <c r="Y272" i="47"/>
  <c r="Y276" i="47"/>
  <c r="Y280" i="47"/>
  <c r="Y284" i="47"/>
  <c r="Y288" i="47"/>
  <c r="Y292" i="47"/>
  <c r="Y296" i="47"/>
  <c r="Y300" i="47"/>
  <c r="Y304" i="47"/>
  <c r="Y308" i="47"/>
  <c r="Y312" i="47"/>
  <c r="Y316" i="47"/>
  <c r="Y320" i="47"/>
  <c r="Y324" i="47"/>
  <c r="Y328" i="47"/>
  <c r="Y332" i="47"/>
  <c r="Y336" i="47"/>
  <c r="Y340" i="47"/>
  <c r="Y344" i="47"/>
  <c r="Y348" i="47"/>
  <c r="Y352" i="47"/>
  <c r="Y358" i="47"/>
  <c r="Y364" i="47"/>
  <c r="X371" i="47"/>
  <c r="X378" i="47"/>
  <c r="X384" i="47"/>
  <c r="Y390" i="47"/>
  <c r="Y396" i="47"/>
  <c r="X403" i="47"/>
  <c r="X411" i="47"/>
  <c r="X419" i="47"/>
  <c r="X427" i="47"/>
  <c r="X435" i="47"/>
  <c r="X443" i="47"/>
  <c r="X451" i="47"/>
  <c r="X459" i="47"/>
  <c r="X467" i="47"/>
  <c r="X475" i="47"/>
  <c r="X483" i="47"/>
  <c r="X491" i="47"/>
  <c r="X499" i="47"/>
  <c r="X507" i="47"/>
  <c r="X515" i="47"/>
  <c r="X526" i="47"/>
  <c r="Y536" i="47"/>
  <c r="X548" i="47"/>
  <c r="X563" i="47"/>
  <c r="Y576" i="47"/>
  <c r="X591" i="47"/>
  <c r="X605" i="47"/>
  <c r="Y619" i="47"/>
  <c r="X633" i="47"/>
  <c r="X649" i="47"/>
  <c r="Y665" i="47"/>
  <c r="X683" i="47"/>
  <c r="X704" i="47"/>
  <c r="Y724" i="47"/>
  <c r="Y745" i="47"/>
  <c r="X779" i="47"/>
  <c r="Y834" i="47"/>
  <c r="Y890" i="47"/>
  <c r="Y950" i="47"/>
  <c r="X1004" i="47"/>
  <c r="X185" i="47"/>
  <c r="X189" i="47"/>
  <c r="X193" i="47"/>
  <c r="X197" i="47"/>
  <c r="X201" i="47"/>
  <c r="X205" i="47"/>
  <c r="X209" i="47"/>
  <c r="X213" i="47"/>
  <c r="X217" i="47"/>
  <c r="X221" i="47"/>
  <c r="X225" i="47"/>
  <c r="X229" i="47"/>
  <c r="X233" i="47"/>
  <c r="X237" i="47"/>
  <c r="X241" i="47"/>
  <c r="X245" i="47"/>
  <c r="X249" i="47"/>
  <c r="X253" i="47"/>
  <c r="X257" i="47"/>
  <c r="X261" i="47"/>
  <c r="X265" i="47"/>
  <c r="X269" i="47"/>
  <c r="X273" i="47"/>
  <c r="X277" i="47"/>
  <c r="X281" i="47"/>
  <c r="X285" i="47"/>
  <c r="X289" i="47"/>
  <c r="X293" i="47"/>
  <c r="X297" i="47"/>
  <c r="X301" i="47"/>
  <c r="X305" i="47"/>
  <c r="X309" i="47"/>
  <c r="X313" i="47"/>
  <c r="X317" i="47"/>
  <c r="X321" i="47"/>
  <c r="X325" i="47"/>
  <c r="X329" i="47"/>
  <c r="X333" i="47"/>
  <c r="X337" i="47"/>
  <c r="X341" i="47"/>
  <c r="X345" i="47"/>
  <c r="X349" i="47"/>
  <c r="X353" i="47"/>
  <c r="X359" i="47"/>
  <c r="X366" i="47"/>
  <c r="X372" i="47"/>
  <c r="Y378" i="47"/>
  <c r="Y384" i="47"/>
  <c r="X391" i="47"/>
  <c r="X398" i="47"/>
  <c r="Y404" i="47"/>
  <c r="Y412" i="47"/>
  <c r="Y420" i="47"/>
  <c r="Y428" i="47"/>
  <c r="Y436" i="47"/>
  <c r="Y444" i="47"/>
  <c r="Y452" i="47"/>
  <c r="Y460" i="47"/>
  <c r="Y468" i="47"/>
  <c r="Y476" i="47"/>
  <c r="Y484" i="47"/>
  <c r="Y492" i="47"/>
  <c r="Y500" i="47"/>
  <c r="Y508" i="47"/>
  <c r="Y516" i="47"/>
  <c r="X527" i="47"/>
  <c r="X538" i="47"/>
  <c r="Y549" i="47"/>
  <c r="X564" i="47"/>
  <c r="X579" i="47"/>
  <c r="Y592" i="47"/>
  <c r="X607" i="47"/>
  <c r="X621" i="47"/>
  <c r="Y635" i="47"/>
  <c r="X651" i="47"/>
  <c r="Y668" i="47"/>
  <c r="X685" i="47"/>
  <c r="Y705" i="47"/>
  <c r="X728" i="47"/>
  <c r="Y748" i="47"/>
  <c r="X783" i="47"/>
  <c r="X843" i="47"/>
  <c r="Y898" i="47"/>
  <c r="Y954" i="47"/>
  <c r="Y1014" i="47"/>
  <c r="Y5" i="47"/>
  <c r="Y9" i="47"/>
  <c r="Y13" i="47"/>
  <c r="Y17" i="47"/>
  <c r="Y21" i="47"/>
  <c r="Y25" i="47"/>
  <c r="Y29" i="47"/>
  <c r="Y33" i="47"/>
  <c r="Y37" i="47"/>
  <c r="Y41" i="47"/>
  <c r="Y45" i="47"/>
  <c r="Y49" i="47"/>
  <c r="Y53" i="47"/>
  <c r="Y57" i="47"/>
  <c r="Y61" i="47"/>
  <c r="Y65" i="47"/>
  <c r="Y69" i="47"/>
  <c r="Y73" i="47"/>
  <c r="Y77" i="47"/>
  <c r="Y81" i="47"/>
  <c r="Y85" i="47"/>
  <c r="Y89" i="47"/>
  <c r="Y93" i="47"/>
  <c r="Y97" i="47"/>
  <c r="Y101" i="47"/>
  <c r="Y105" i="47"/>
  <c r="Y109" i="47"/>
  <c r="Y113" i="47"/>
  <c r="Y117" i="47"/>
  <c r="Y121" i="47"/>
  <c r="Y125" i="47"/>
  <c r="Y129" i="47"/>
  <c r="Y133" i="47"/>
  <c r="Y137" i="47"/>
  <c r="Y141" i="47"/>
  <c r="Y145" i="47"/>
  <c r="Y149" i="47"/>
  <c r="Y153" i="47"/>
  <c r="Y157" i="47"/>
  <c r="Y161" i="47"/>
  <c r="Y165" i="47"/>
  <c r="Y169" i="47"/>
  <c r="Y173" i="47"/>
  <c r="Y177" i="47"/>
  <c r="Y181" i="47"/>
  <c r="Y185" i="47"/>
  <c r="Y189" i="47"/>
  <c r="Y193" i="47"/>
  <c r="Y197" i="47"/>
  <c r="Y201" i="47"/>
  <c r="Y205" i="47"/>
  <c r="Y209" i="47"/>
  <c r="Y213" i="47"/>
  <c r="Y217" i="47"/>
  <c r="Y221" i="47"/>
  <c r="Y225" i="47"/>
  <c r="Y229" i="47"/>
  <c r="Y233" i="47"/>
  <c r="Y237" i="47"/>
  <c r="Y241" i="47"/>
  <c r="Y245" i="47"/>
  <c r="Y249" i="47"/>
  <c r="Y253" i="47"/>
  <c r="Y257" i="47"/>
  <c r="Y261" i="47"/>
  <c r="Y265" i="47"/>
  <c r="Y269" i="47"/>
  <c r="Y273" i="47"/>
  <c r="Y277" i="47"/>
  <c r="Y281" i="47"/>
  <c r="Y285" i="47"/>
  <c r="Y289" i="47"/>
  <c r="Y293" i="47"/>
  <c r="Y297" i="47"/>
  <c r="Y301" i="47"/>
  <c r="Y305" i="47"/>
  <c r="Y309" i="47"/>
  <c r="Y313" i="47"/>
  <c r="Y317" i="47"/>
  <c r="Y321" i="47"/>
  <c r="Y325" i="47"/>
  <c r="Y329" i="47"/>
  <c r="Y333" i="47"/>
  <c r="Y337" i="47"/>
  <c r="Y341" i="47"/>
  <c r="Y345" i="47"/>
  <c r="Y349" i="47"/>
  <c r="X354" i="47"/>
  <c r="X360" i="47"/>
  <c r="Y366" i="47"/>
  <c r="Y372" i="47"/>
  <c r="X379" i="47"/>
  <c r="X386" i="47"/>
  <c r="X392" i="47"/>
  <c r="Y398" i="47"/>
  <c r="X406" i="47"/>
  <c r="X414" i="47"/>
  <c r="X422" i="47"/>
  <c r="X430" i="47"/>
  <c r="X438" i="47"/>
  <c r="X446" i="47"/>
  <c r="X454" i="47"/>
  <c r="X462" i="47"/>
  <c r="X470" i="47"/>
  <c r="X478" i="47"/>
  <c r="X486" i="47"/>
  <c r="X494" i="47"/>
  <c r="X502" i="47"/>
  <c r="X510" i="47"/>
  <c r="X518" i="47"/>
  <c r="Y528" i="47"/>
  <c r="X539" i="47"/>
  <c r="X552" i="47"/>
  <c r="Y565" i="47"/>
  <c r="X580" i="47"/>
  <c r="X595" i="47"/>
  <c r="Y608" i="47"/>
  <c r="X623" i="47"/>
  <c r="X637" i="47"/>
  <c r="X653" i="47"/>
  <c r="Y669" i="47"/>
  <c r="X688" i="47"/>
  <c r="Y708" i="47"/>
  <c r="Y729" i="47"/>
  <c r="X752" i="47"/>
  <c r="X791" i="47"/>
  <c r="X847" i="47"/>
  <c r="X907" i="47"/>
  <c r="Y962" i="47"/>
  <c r="Y1018" i="47"/>
  <c r="X6" i="47"/>
  <c r="X10" i="47"/>
  <c r="X14" i="47"/>
  <c r="X18" i="47"/>
  <c r="X22" i="47"/>
  <c r="X26" i="47"/>
  <c r="X30" i="47"/>
  <c r="X34" i="47"/>
  <c r="X38" i="47"/>
  <c r="X42" i="47"/>
  <c r="X46" i="47"/>
  <c r="X50" i="47"/>
  <c r="X54" i="47"/>
  <c r="X58" i="47"/>
  <c r="X62" i="47"/>
  <c r="X66" i="47"/>
  <c r="X70" i="47"/>
  <c r="X74" i="47"/>
  <c r="X78" i="47"/>
  <c r="X82" i="47"/>
  <c r="X86" i="47"/>
  <c r="X90" i="47"/>
  <c r="X94" i="47"/>
  <c r="X98" i="47"/>
  <c r="X102" i="47"/>
  <c r="X106" i="47"/>
  <c r="X110" i="47"/>
  <c r="X114" i="47"/>
  <c r="X118" i="47"/>
  <c r="X122" i="47"/>
  <c r="X126" i="47"/>
  <c r="X130" i="47"/>
  <c r="X134" i="47"/>
  <c r="X138" i="47"/>
  <c r="X142" i="47"/>
  <c r="X146" i="47"/>
  <c r="X150" i="47"/>
  <c r="X154" i="47"/>
  <c r="X158" i="47"/>
  <c r="X162" i="47"/>
  <c r="X166" i="47"/>
  <c r="X170" i="47"/>
  <c r="X174" i="47"/>
  <c r="X178" i="47"/>
  <c r="X182" i="47"/>
  <c r="X186" i="47"/>
  <c r="X190" i="47"/>
  <c r="X194" i="47"/>
  <c r="X198" i="47"/>
  <c r="X202" i="47"/>
  <c r="X206" i="47"/>
  <c r="X210" i="47"/>
  <c r="X214" i="47"/>
  <c r="X218" i="47"/>
  <c r="X222" i="47"/>
  <c r="X226" i="47"/>
  <c r="X230" i="47"/>
  <c r="X234" i="47"/>
  <c r="X238" i="47"/>
  <c r="X242" i="47"/>
  <c r="X246" i="47"/>
  <c r="X250" i="47"/>
  <c r="X254" i="47"/>
  <c r="X258" i="47"/>
  <c r="X262" i="47"/>
  <c r="X266" i="47"/>
  <c r="X270" i="47"/>
  <c r="X274" i="47"/>
  <c r="X278" i="47"/>
  <c r="X282" i="47"/>
  <c r="X286" i="47"/>
  <c r="X290" i="47"/>
  <c r="X294" i="47"/>
  <c r="X298" i="47"/>
  <c r="X302" i="47"/>
  <c r="X306" i="47"/>
  <c r="X310" i="47"/>
  <c r="X314" i="47"/>
  <c r="X318" i="47"/>
  <c r="X322" i="47"/>
  <c r="X326" i="47"/>
  <c r="X330" i="47"/>
  <c r="X334" i="47"/>
  <c r="X338" i="47"/>
  <c r="X342" i="47"/>
  <c r="X346" i="47"/>
  <c r="X350" i="47"/>
  <c r="Y354" i="47"/>
  <c r="Y360" i="47"/>
  <c r="X367" i="47"/>
  <c r="X374" i="47"/>
  <c r="X380" i="47"/>
  <c r="Y386" i="47"/>
  <c r="Y392" i="47"/>
  <c r="X399" i="47"/>
  <c r="Y406" i="47"/>
  <c r="Y414" i="47"/>
  <c r="Y422" i="47"/>
  <c r="Y430" i="47"/>
  <c r="Y438" i="47"/>
  <c r="Y446" i="47"/>
  <c r="Y454" i="47"/>
  <c r="Y462" i="47"/>
  <c r="Y470" i="47"/>
  <c r="Y478" i="47"/>
  <c r="Y486" i="47"/>
  <c r="Y494" i="47"/>
  <c r="Y502" i="47"/>
  <c r="Y510" i="47"/>
  <c r="X519" i="47"/>
  <c r="X530" i="47"/>
  <c r="Y540" i="47"/>
  <c r="X553" i="47"/>
  <c r="X568" i="47"/>
  <c r="Y581" i="47"/>
  <c r="X596" i="47"/>
  <c r="X611" i="47"/>
  <c r="Y624" i="47"/>
  <c r="X639" i="47"/>
  <c r="X656" i="47"/>
  <c r="Y672" i="47"/>
  <c r="Y689" i="47"/>
  <c r="X712" i="47"/>
  <c r="Y732" i="47"/>
  <c r="X754" i="47"/>
  <c r="X800" i="47"/>
  <c r="X855" i="47"/>
  <c r="X911" i="47"/>
  <c r="X971" i="47"/>
  <c r="Y1026" i="47"/>
  <c r="Y6" i="47"/>
  <c r="Y10" i="47"/>
  <c r="Y14" i="47"/>
  <c r="Y18" i="47"/>
  <c r="Y22" i="47"/>
  <c r="Y26" i="47"/>
  <c r="Y30" i="47"/>
  <c r="Y34" i="47"/>
  <c r="Y38" i="47"/>
  <c r="Y42" i="47"/>
  <c r="Y46" i="47"/>
  <c r="Y50" i="47"/>
  <c r="Y54" i="47"/>
  <c r="Y58" i="47"/>
  <c r="Y62" i="47"/>
  <c r="Y66" i="47"/>
  <c r="Y70" i="47"/>
  <c r="Y74" i="47"/>
  <c r="Y78" i="47"/>
  <c r="Y82" i="47"/>
  <c r="Y86" i="47"/>
  <c r="Y90" i="47"/>
  <c r="Y94" i="47"/>
  <c r="Y98" i="47"/>
  <c r="Y102" i="47"/>
  <c r="Y106" i="47"/>
  <c r="Y110" i="47"/>
  <c r="Y114" i="47"/>
  <c r="Y118" i="47"/>
  <c r="Y122" i="47"/>
  <c r="Y126" i="47"/>
  <c r="Y130" i="47"/>
  <c r="Y134" i="47"/>
  <c r="Y138" i="47"/>
  <c r="Y142" i="47"/>
  <c r="Y146" i="47"/>
  <c r="Y150" i="47"/>
  <c r="Y154" i="47"/>
  <c r="Y158" i="47"/>
  <c r="Y162" i="47"/>
  <c r="Y166" i="47"/>
  <c r="Y170" i="47"/>
  <c r="Y174" i="47"/>
  <c r="Y178" i="47"/>
  <c r="Y182" i="47"/>
  <c r="Y186" i="47"/>
  <c r="Y190" i="47"/>
  <c r="Y194" i="47"/>
  <c r="Y198" i="47"/>
  <c r="Y202" i="47"/>
  <c r="Y206" i="47"/>
  <c r="Y210" i="47"/>
  <c r="Y214" i="47"/>
  <c r="Y218" i="47"/>
  <c r="Y222" i="47"/>
  <c r="Y226" i="47"/>
  <c r="Y230" i="47"/>
  <c r="Y234" i="47"/>
  <c r="Y238" i="47"/>
  <c r="Y242" i="47"/>
  <c r="Y246" i="47"/>
  <c r="Y250" i="47"/>
  <c r="Y254" i="47"/>
  <c r="Y258" i="47"/>
  <c r="Y262" i="47"/>
  <c r="Y266" i="47"/>
  <c r="Y270" i="47"/>
  <c r="Y274" i="47"/>
  <c r="Y278" i="47"/>
  <c r="Y282" i="47"/>
  <c r="Y286" i="47"/>
  <c r="Y290" i="47"/>
  <c r="Y294" i="47"/>
  <c r="Y298" i="47"/>
  <c r="Y302" i="47"/>
  <c r="Y306" i="47"/>
  <c r="Y310" i="47"/>
  <c r="Y314" i="47"/>
  <c r="Y318" i="47"/>
  <c r="Y322" i="47"/>
  <c r="Y326" i="47"/>
  <c r="Y330" i="47"/>
  <c r="Y334" i="47"/>
  <c r="Y338" i="47"/>
  <c r="Y342" i="47"/>
  <c r="Y346" i="47"/>
  <c r="Y350" i="47"/>
  <c r="X355" i="47"/>
  <c r="X362" i="47"/>
  <c r="X368" i="47"/>
  <c r="Y374" i="47"/>
  <c r="Y380" i="47"/>
  <c r="X387" i="47"/>
  <c r="X394" i="47"/>
  <c r="X400" i="47"/>
  <c r="X407" i="47"/>
  <c r="X415" i="47"/>
  <c r="X423" i="47"/>
  <c r="X431" i="47"/>
  <c r="X439" i="47"/>
  <c r="X447" i="47"/>
  <c r="X455" i="47"/>
  <c r="X463" i="47"/>
  <c r="X471" i="47"/>
  <c r="X479" i="47"/>
  <c r="X487" i="47"/>
  <c r="X495" i="47"/>
  <c r="X503" i="47"/>
  <c r="X511" i="47"/>
  <c r="Y520" i="47"/>
  <c r="X531" i="47"/>
  <c r="X542" i="47"/>
  <c r="Y555" i="47"/>
  <c r="X569" i="47"/>
  <c r="X584" i="47"/>
  <c r="Y597" i="47"/>
  <c r="X612" i="47"/>
  <c r="X627" i="47"/>
  <c r="Y640" i="47"/>
  <c r="X657" i="47"/>
  <c r="X675" i="47"/>
  <c r="Y692" i="47"/>
  <c r="Y713" i="47"/>
  <c r="X736" i="47"/>
  <c r="Y758" i="47"/>
  <c r="X804" i="47"/>
  <c r="X864" i="47"/>
  <c r="X919" i="47"/>
  <c r="X975" i="47"/>
  <c r="C43" i="5"/>
  <c r="B43" i="5"/>
  <c r="C42" i="5"/>
  <c r="B42" i="5"/>
  <c r="B40" i="5"/>
  <c r="B33" i="5"/>
  <c r="C32" i="5"/>
  <c r="D31" i="5"/>
  <c r="D30" i="5"/>
  <c r="G736" i="41"/>
  <c r="G106" i="41"/>
  <c r="G526" i="41"/>
  <c r="G946" i="41"/>
  <c r="H2" i="21"/>
  <c r="H11" i="5"/>
  <c r="H34" i="2"/>
  <c r="CE2" i="5"/>
  <c r="CE3" i="5" s="1"/>
  <c r="CE4" i="5"/>
  <c r="E147" i="5"/>
  <c r="G1396" i="41"/>
  <c r="G1395" i="41"/>
  <c r="G1394" i="41"/>
  <c r="G1393" i="41"/>
  <c r="G1392" i="41"/>
  <c r="G1391" i="41"/>
  <c r="G1390" i="41"/>
  <c r="G1389" i="41"/>
  <c r="G1388" i="41"/>
  <c r="G1387" i="41"/>
  <c r="G1386" i="41"/>
  <c r="G1385" i="41"/>
  <c r="G1384" i="41"/>
  <c r="G1383" i="41"/>
  <c r="G1186" i="41"/>
  <c r="G1185" i="41"/>
  <c r="G1184" i="41"/>
  <c r="G1183" i="41"/>
  <c r="G1182" i="41"/>
  <c r="G1181" i="41"/>
  <c r="G1180" i="41"/>
  <c r="G1179" i="41"/>
  <c r="G1178" i="41"/>
  <c r="G1177" i="41"/>
  <c r="G1176" i="41"/>
  <c r="G1175" i="41"/>
  <c r="G1174" i="41"/>
  <c r="G1173" i="41"/>
  <c r="G976" i="41"/>
  <c r="G975" i="41"/>
  <c r="G974" i="41"/>
  <c r="G973" i="41"/>
  <c r="G972" i="41"/>
  <c r="G971" i="41"/>
  <c r="G970" i="41"/>
  <c r="G969" i="41"/>
  <c r="G968" i="41"/>
  <c r="G967" i="41"/>
  <c r="G966" i="41"/>
  <c r="G965" i="41"/>
  <c r="G964" i="41"/>
  <c r="G963" i="41"/>
  <c r="G766" i="41"/>
  <c r="G765" i="41"/>
  <c r="G764" i="41"/>
  <c r="G763" i="41"/>
  <c r="G762" i="41"/>
  <c r="G761" i="41"/>
  <c r="G760" i="41"/>
  <c r="G759" i="41"/>
  <c r="G758" i="41"/>
  <c r="G757" i="41"/>
  <c r="G756" i="41"/>
  <c r="G755" i="41"/>
  <c r="G754" i="41"/>
  <c r="G753" i="41"/>
  <c r="G556" i="41"/>
  <c r="G555" i="41"/>
  <c r="G554" i="41"/>
  <c r="G553" i="41"/>
  <c r="G552" i="41"/>
  <c r="G551" i="41"/>
  <c r="G550" i="41"/>
  <c r="G549" i="41"/>
  <c r="G548" i="41"/>
  <c r="G547" i="41"/>
  <c r="G546" i="41"/>
  <c r="G545" i="41"/>
  <c r="G544" i="41"/>
  <c r="G543" i="41"/>
  <c r="G346" i="41"/>
  <c r="G345" i="41"/>
  <c r="G344" i="41"/>
  <c r="G343" i="41"/>
  <c r="G342" i="41"/>
  <c r="G341" i="41"/>
  <c r="G340" i="41"/>
  <c r="G339" i="41"/>
  <c r="G338" i="41"/>
  <c r="G337" i="41"/>
  <c r="G336" i="41"/>
  <c r="G335" i="41"/>
  <c r="G334" i="41"/>
  <c r="G333" i="41"/>
  <c r="G136" i="41"/>
  <c r="G135" i="41"/>
  <c r="G134" i="41"/>
  <c r="G133" i="41"/>
  <c r="G132" i="41"/>
  <c r="G131" i="41"/>
  <c r="G130" i="41"/>
  <c r="G129" i="41"/>
  <c r="G128" i="41"/>
  <c r="G127" i="41"/>
  <c r="G126" i="41"/>
  <c r="G125" i="41"/>
  <c r="G124" i="41"/>
  <c r="G123" i="41"/>
  <c r="R124" i="23"/>
  <c r="R123" i="23"/>
  <c r="R122" i="23"/>
  <c r="R121" i="23"/>
  <c r="R120" i="23"/>
  <c r="R119" i="23"/>
  <c r="R118" i="23"/>
  <c r="R117" i="23"/>
  <c r="R116" i="23"/>
  <c r="R115" i="23"/>
  <c r="R114" i="23"/>
  <c r="R113" i="23"/>
  <c r="R112" i="23"/>
  <c r="R111" i="23"/>
  <c r="F3" i="2"/>
  <c r="A11" i="4" s="1"/>
  <c r="F286" i="41" s="1"/>
  <c r="F1170" i="41"/>
  <c r="F1169" i="41"/>
  <c r="F1168" i="41"/>
  <c r="G1152" i="41"/>
  <c r="F1151" i="41"/>
  <c r="F1150" i="41"/>
  <c r="G1149" i="41"/>
  <c r="F1380" i="41"/>
  <c r="F1379" i="41"/>
  <c r="F1378" i="41"/>
  <c r="G1362" i="41"/>
  <c r="F1361" i="41"/>
  <c r="F1360" i="41"/>
  <c r="G1359" i="41"/>
  <c r="F957" i="41"/>
  <c r="F956" i="41"/>
  <c r="G942" i="41"/>
  <c r="F960" i="41"/>
  <c r="F959" i="41"/>
  <c r="F958" i="41"/>
  <c r="G950" i="41"/>
  <c r="F941" i="41"/>
  <c r="F940" i="41"/>
  <c r="G939" i="41"/>
  <c r="F747" i="41"/>
  <c r="F746" i="41"/>
  <c r="G732" i="41"/>
  <c r="F750" i="41"/>
  <c r="F749" i="41"/>
  <c r="F748" i="41"/>
  <c r="G740" i="41"/>
  <c r="F731" i="41"/>
  <c r="F730" i="41"/>
  <c r="G729" i="41"/>
  <c r="F537" i="41"/>
  <c r="F536" i="41"/>
  <c r="G522" i="41"/>
  <c r="F540" i="41"/>
  <c r="F539" i="41"/>
  <c r="F538" i="41"/>
  <c r="G530" i="41"/>
  <c r="F521" i="41"/>
  <c r="F520" i="41"/>
  <c r="G519" i="41"/>
  <c r="F330" i="41"/>
  <c r="F329" i="41"/>
  <c r="F327" i="41"/>
  <c r="F326" i="41"/>
  <c r="G320" i="41"/>
  <c r="G312" i="41"/>
  <c r="F311" i="41"/>
  <c r="F310" i="41"/>
  <c r="F328" i="41"/>
  <c r="F118" i="41"/>
  <c r="G309" i="41"/>
  <c r="F119" i="41"/>
  <c r="F120" i="41"/>
  <c r="F117" i="41"/>
  <c r="F116" i="41"/>
  <c r="G110" i="41"/>
  <c r="G102" i="41"/>
  <c r="F9" i="41"/>
  <c r="F15" i="41"/>
  <c r="F45" i="41"/>
  <c r="F81" i="41"/>
  <c r="F82" i="41"/>
  <c r="F83" i="41"/>
  <c r="F84" i="41"/>
  <c r="F85" i="41"/>
  <c r="F86" i="41"/>
  <c r="F100" i="41"/>
  <c r="F101" i="41"/>
  <c r="F291" i="41"/>
  <c r="F292" i="41"/>
  <c r="F293" i="41"/>
  <c r="F294" i="41"/>
  <c r="F295" i="41"/>
  <c r="F296" i="41"/>
  <c r="F465" i="41"/>
  <c r="F501" i="41"/>
  <c r="F502" i="41"/>
  <c r="F503" i="41"/>
  <c r="F504" i="41"/>
  <c r="F505" i="41"/>
  <c r="F506" i="41"/>
  <c r="F645" i="41"/>
  <c r="F675" i="41"/>
  <c r="F711" i="41"/>
  <c r="F712" i="41"/>
  <c r="F713" i="41"/>
  <c r="F714" i="41"/>
  <c r="F715" i="41"/>
  <c r="F716" i="41"/>
  <c r="F849" i="41"/>
  <c r="F855" i="41"/>
  <c r="F885" i="41"/>
  <c r="F921" i="41"/>
  <c r="F922" i="41"/>
  <c r="F923" i="41"/>
  <c r="F924" i="41"/>
  <c r="F925" i="41"/>
  <c r="F926" i="41"/>
  <c r="F1059" i="41"/>
  <c r="F1065" i="41"/>
  <c r="F1269" i="41"/>
  <c r="F1275" i="41"/>
  <c r="G99" i="41"/>
  <c r="J14" i="35"/>
  <c r="J13" i="35"/>
  <c r="J12" i="35"/>
  <c r="J11" i="35"/>
  <c r="J10" i="35"/>
  <c r="J9" i="35"/>
  <c r="J8" i="35"/>
  <c r="H13" i="5"/>
  <c r="P82" i="5"/>
  <c r="BH1" i="5"/>
  <c r="E133" i="5"/>
  <c r="F133" i="5"/>
  <c r="L133" i="5"/>
  <c r="K133" i="5"/>
  <c r="L134" i="5"/>
  <c r="K134" i="5"/>
  <c r="L135" i="5"/>
  <c r="K135" i="5"/>
  <c r="L136" i="5"/>
  <c r="K136" i="5"/>
  <c r="L137" i="5"/>
  <c r="K137" i="5"/>
  <c r="I133" i="5"/>
  <c r="T9" i="3"/>
  <c r="G647" i="41" s="1"/>
  <c r="H133" i="5"/>
  <c r="I134" i="5"/>
  <c r="H134" i="5"/>
  <c r="I135" i="5"/>
  <c r="H135" i="5"/>
  <c r="I136" i="5"/>
  <c r="H136" i="5"/>
  <c r="H138" i="5"/>
  <c r="I138" i="5"/>
  <c r="K138" i="5"/>
  <c r="L138" i="5"/>
  <c r="I137" i="5"/>
  <c r="H137" i="5"/>
  <c r="F134" i="5"/>
  <c r="E134" i="5"/>
  <c r="F135" i="5"/>
  <c r="E135" i="5"/>
  <c r="F136" i="5"/>
  <c r="E136" i="5"/>
  <c r="F137" i="5"/>
  <c r="E137" i="5"/>
  <c r="E138" i="5"/>
  <c r="F138" i="5"/>
  <c r="B133" i="5"/>
  <c r="C133" i="5"/>
  <c r="C134" i="5"/>
  <c r="B134" i="5"/>
  <c r="C135" i="5"/>
  <c r="B135" i="5"/>
  <c r="C136" i="5"/>
  <c r="B136" i="5"/>
  <c r="B137" i="5"/>
  <c r="C137" i="5"/>
  <c r="B138" i="5"/>
  <c r="C138" i="5"/>
  <c r="G18" i="4"/>
  <c r="H18" i="4" s="1"/>
  <c r="G17" i="4"/>
  <c r="H17" i="4" s="1"/>
  <c r="G16" i="4"/>
  <c r="H16" i="4" s="1"/>
  <c r="G508" i="41" s="1"/>
  <c r="G15" i="4"/>
  <c r="H15" i="4" s="1"/>
  <c r="G13" i="4"/>
  <c r="H13" i="4" s="1"/>
  <c r="I13" i="4" s="1"/>
  <c r="G12" i="4"/>
  <c r="H12" i="4" s="1"/>
  <c r="G11" i="4"/>
  <c r="H11" i="4" s="1"/>
  <c r="C171" i="5"/>
  <c r="C170" i="5"/>
  <c r="C169" i="5"/>
  <c r="B171" i="5"/>
  <c r="B170" i="5"/>
  <c r="B169" i="5"/>
  <c r="C168" i="5"/>
  <c r="B168" i="5"/>
  <c r="B5" i="6"/>
  <c r="AT1" i="5" s="1"/>
  <c r="AT6" i="5" s="1"/>
  <c r="AT7" i="5" s="1"/>
  <c r="N10" i="6" s="1"/>
  <c r="B12" i="6"/>
  <c r="AU1" i="5" s="1"/>
  <c r="AU6" i="5" s="1"/>
  <c r="AU7" i="5" s="1"/>
  <c r="N17" i="6" s="1"/>
  <c r="J23" i="7"/>
  <c r="G703" i="41" s="1"/>
  <c r="J22" i="7"/>
  <c r="G702" i="41" s="1"/>
  <c r="J21" i="7"/>
  <c r="G701" i="41" s="1"/>
  <c r="J20" i="7"/>
  <c r="J19" i="7"/>
  <c r="G699" i="41" s="1"/>
  <c r="J18" i="7"/>
  <c r="J17" i="7"/>
  <c r="G697" i="41" s="1"/>
  <c r="M23" i="7"/>
  <c r="G913" i="41" s="1"/>
  <c r="M22" i="7"/>
  <c r="G912" i="41" s="1"/>
  <c r="M21" i="7"/>
  <c r="G911" i="41" s="1"/>
  <c r="M20" i="7"/>
  <c r="G910" i="41" s="1"/>
  <c r="M19" i="7"/>
  <c r="M18" i="7"/>
  <c r="G908" i="41" s="1"/>
  <c r="M17" i="7"/>
  <c r="G907" i="41" s="1"/>
  <c r="M16" i="7"/>
  <c r="G906" i="41" s="1"/>
  <c r="M15" i="7"/>
  <c r="G905" i="41" s="1"/>
  <c r="M14" i="7"/>
  <c r="M13" i="7"/>
  <c r="G903" i="41" s="1"/>
  <c r="M12" i="7"/>
  <c r="M11" i="7"/>
  <c r="M10" i="7"/>
  <c r="J16" i="7"/>
  <c r="G696" i="41" s="1"/>
  <c r="J15" i="7"/>
  <c r="G695" i="41" s="1"/>
  <c r="J14" i="7"/>
  <c r="J13" i="7"/>
  <c r="G693" i="41" s="1"/>
  <c r="J12" i="7"/>
  <c r="J11" i="7"/>
  <c r="G691" i="41" s="1"/>
  <c r="J10" i="7"/>
  <c r="G690" i="41" s="1"/>
  <c r="G16" i="7"/>
  <c r="G486" i="41" s="1"/>
  <c r="G10" i="7"/>
  <c r="G480" i="41" s="1"/>
  <c r="D10" i="7"/>
  <c r="G270" i="41" s="1"/>
  <c r="H33" i="2"/>
  <c r="H32" i="2"/>
  <c r="H31" i="2"/>
  <c r="H30" i="2"/>
  <c r="H29" i="2"/>
  <c r="D39" i="9"/>
  <c r="D38" i="9"/>
  <c r="D37" i="9"/>
  <c r="D36" i="9"/>
  <c r="D35" i="9"/>
  <c r="D34" i="9"/>
  <c r="D33" i="9"/>
  <c r="D32" i="9"/>
  <c r="D31" i="9"/>
  <c r="D30" i="9"/>
  <c r="D29" i="9"/>
  <c r="D10" i="9" s="1"/>
  <c r="D28" i="9"/>
  <c r="C40" i="9"/>
  <c r="C39" i="9"/>
  <c r="C38" i="9"/>
  <c r="D22" i="9" s="1"/>
  <c r="C37" i="9"/>
  <c r="C36" i="9"/>
  <c r="C35" i="9"/>
  <c r="C34" i="9"/>
  <c r="C33" i="9"/>
  <c r="C32" i="9"/>
  <c r="C31" i="9"/>
  <c r="C30" i="9"/>
  <c r="C29" i="9"/>
  <c r="C28" i="9"/>
  <c r="C27" i="9"/>
  <c r="C40" i="10"/>
  <c r="D40" i="10"/>
  <c r="C39" i="10"/>
  <c r="C38" i="10"/>
  <c r="C37" i="10"/>
  <c r="C36" i="10"/>
  <c r="C35" i="10"/>
  <c r="C34" i="10"/>
  <c r="C33" i="10"/>
  <c r="C32" i="10"/>
  <c r="C31" i="10"/>
  <c r="C30" i="10"/>
  <c r="C29" i="10"/>
  <c r="C28" i="10"/>
  <c r="C27" i="10"/>
  <c r="D39" i="10"/>
  <c r="G125" i="5" s="1"/>
  <c r="H125" i="5" s="1"/>
  <c r="I125" i="5" s="1"/>
  <c r="D38" i="10"/>
  <c r="D19" i="10" s="1"/>
  <c r="D37" i="10"/>
  <c r="D36" i="10"/>
  <c r="D35" i="10"/>
  <c r="D34" i="10"/>
  <c r="D33" i="10"/>
  <c r="D32" i="10"/>
  <c r="D31" i="10"/>
  <c r="D30" i="10"/>
  <c r="D11" i="10" s="1"/>
  <c r="D29" i="10"/>
  <c r="D28" i="10"/>
  <c r="E74" i="44"/>
  <c r="E79" i="44"/>
  <c r="E80" i="44"/>
  <c r="O80" i="44"/>
  <c r="E81" i="44"/>
  <c r="B8" i="35"/>
  <c r="B8" i="38" s="1"/>
  <c r="H8" i="41"/>
  <c r="H9" i="41" s="1"/>
  <c r="H10" i="41" s="1"/>
  <c r="H11" i="41" s="1"/>
  <c r="H12" i="41" s="1"/>
  <c r="H13" i="41" s="1"/>
  <c r="H14" i="41" s="1"/>
  <c r="H15" i="41" s="1"/>
  <c r="H16" i="41" s="1"/>
  <c r="H17" i="41" s="1"/>
  <c r="H18" i="41" s="1"/>
  <c r="H19" i="41" s="1"/>
  <c r="H20" i="41" s="1"/>
  <c r="H21" i="41" s="1"/>
  <c r="H22" i="41" s="1"/>
  <c r="H23" i="41" s="1"/>
  <c r="H24" i="41" s="1"/>
  <c r="H25" i="41" s="1"/>
  <c r="H26" i="41" s="1"/>
  <c r="H27" i="41" s="1"/>
  <c r="H28" i="41" s="1"/>
  <c r="H29" i="41" s="1"/>
  <c r="H30" i="41" s="1"/>
  <c r="H31" i="41" s="1"/>
  <c r="H32" i="41" s="1"/>
  <c r="H33" i="41" s="1"/>
  <c r="H34" i="41" s="1"/>
  <c r="H35" i="41" s="1"/>
  <c r="H36" i="41" s="1"/>
  <c r="H37" i="41" s="1"/>
  <c r="H38" i="41" s="1"/>
  <c r="H39" i="41" s="1"/>
  <c r="H40" i="41" s="1"/>
  <c r="H41" i="41" s="1"/>
  <c r="H42" i="41" s="1"/>
  <c r="H43" i="41" s="1"/>
  <c r="H44" i="41" s="1"/>
  <c r="H45" i="41" s="1"/>
  <c r="H46" i="41" s="1"/>
  <c r="H47" i="41" s="1"/>
  <c r="H48" i="41" s="1"/>
  <c r="H49" i="41" s="1"/>
  <c r="H50" i="41" s="1"/>
  <c r="H51" i="41" s="1"/>
  <c r="H52" i="41" s="1"/>
  <c r="H53" i="41" s="1"/>
  <c r="H54" i="41" s="1"/>
  <c r="H55" i="41" s="1"/>
  <c r="H56" i="41" s="1"/>
  <c r="H57" i="41" s="1"/>
  <c r="H58" i="41" s="1"/>
  <c r="H59" i="41" s="1"/>
  <c r="H60" i="41" s="1"/>
  <c r="H61" i="41" s="1"/>
  <c r="H62" i="41" s="1"/>
  <c r="H63" i="41" s="1"/>
  <c r="H64" i="41" s="1"/>
  <c r="H65" i="41" s="1"/>
  <c r="H66" i="41" s="1"/>
  <c r="H67" i="41" s="1"/>
  <c r="H68" i="41" s="1"/>
  <c r="H69" i="41" s="1"/>
  <c r="H70" i="41" s="1"/>
  <c r="H71" i="41" s="1"/>
  <c r="H72" i="41" s="1"/>
  <c r="H73" i="41" s="1"/>
  <c r="H74" i="41" s="1"/>
  <c r="H75" i="41" s="1"/>
  <c r="H76" i="41" s="1"/>
  <c r="H77" i="41" s="1"/>
  <c r="H78" i="41" s="1"/>
  <c r="H79" i="41" s="1"/>
  <c r="H80" i="41" s="1"/>
  <c r="H81" i="41" s="1"/>
  <c r="H82" i="41" s="1"/>
  <c r="H83" i="41" s="1"/>
  <c r="H84" i="41" s="1"/>
  <c r="H85" i="41" s="1"/>
  <c r="H86" i="41" s="1"/>
  <c r="H87" i="41" s="1"/>
  <c r="H88" i="41" s="1"/>
  <c r="H89" i="41" s="1"/>
  <c r="H90" i="41" s="1"/>
  <c r="H91" i="41" s="1"/>
  <c r="H92" i="41" s="1"/>
  <c r="H93" i="41" s="1"/>
  <c r="H94" i="41" s="1"/>
  <c r="H95" i="41" s="1"/>
  <c r="H96" i="41" s="1"/>
  <c r="H97" i="41" s="1"/>
  <c r="H98" i="41" s="1"/>
  <c r="H99" i="41" s="1"/>
  <c r="H100" i="41" s="1"/>
  <c r="H101" i="41" s="1"/>
  <c r="H102" i="41" s="1"/>
  <c r="H103" i="41" s="1"/>
  <c r="H104" i="41" s="1"/>
  <c r="H105" i="41" s="1"/>
  <c r="H106" i="41" s="1"/>
  <c r="H107" i="41" s="1"/>
  <c r="H108" i="41" s="1"/>
  <c r="H109" i="41" s="1"/>
  <c r="H110" i="41" s="1"/>
  <c r="H111" i="41" s="1"/>
  <c r="H112" i="41" s="1"/>
  <c r="H113" i="41" s="1"/>
  <c r="H114" i="41" s="1"/>
  <c r="H115" i="41" s="1"/>
  <c r="H116" i="41" s="1"/>
  <c r="H117" i="41" s="1"/>
  <c r="H118" i="41" s="1"/>
  <c r="H119" i="41" s="1"/>
  <c r="H120" i="41" s="1"/>
  <c r="H121" i="41" s="1"/>
  <c r="H122" i="41" s="1"/>
  <c r="N3" i="3"/>
  <c r="N4" i="3"/>
  <c r="N5" i="3"/>
  <c r="F20" i="41" s="1"/>
  <c r="N6" i="3"/>
  <c r="N7" i="3"/>
  <c r="N8" i="3"/>
  <c r="F233" i="41" s="1"/>
  <c r="O3" i="3"/>
  <c r="F234" i="41" s="1"/>
  <c r="O4" i="3"/>
  <c r="F235" i="41" s="1"/>
  <c r="O5" i="3"/>
  <c r="F236" i="41" s="1"/>
  <c r="O6" i="3"/>
  <c r="F237" i="41" s="1"/>
  <c r="O7" i="3"/>
  <c r="F238" i="41" s="1"/>
  <c r="O8" i="3"/>
  <c r="F239" i="41" s="1"/>
  <c r="G30" i="41"/>
  <c r="G31" i="41"/>
  <c r="G32" i="41"/>
  <c r="G33" i="41"/>
  <c r="G34" i="41"/>
  <c r="G35" i="41"/>
  <c r="G36" i="41"/>
  <c r="G37" i="41"/>
  <c r="G38" i="41"/>
  <c r="G39" i="41"/>
  <c r="G40" i="41"/>
  <c r="G41" i="41"/>
  <c r="G43" i="41"/>
  <c r="G44" i="41"/>
  <c r="G46" i="41"/>
  <c r="AU35" i="5"/>
  <c r="F258" i="41" s="1"/>
  <c r="C38" i="3"/>
  <c r="C41" i="3"/>
  <c r="D42" i="3" s="1"/>
  <c r="AY29" i="5"/>
  <c r="AZ29" i="5"/>
  <c r="G57" i="41"/>
  <c r="M38" i="3"/>
  <c r="M41" i="3"/>
  <c r="AY20" i="5"/>
  <c r="D14" i="7"/>
  <c r="G274" i="41" s="1"/>
  <c r="AZ20" i="5"/>
  <c r="AY21" i="5"/>
  <c r="D15" i="7"/>
  <c r="AZ21" i="5"/>
  <c r="AY23" i="5"/>
  <c r="AZ23" i="5"/>
  <c r="AY24" i="5"/>
  <c r="AZ24" i="5"/>
  <c r="AY25" i="5"/>
  <c r="AZ25" i="5"/>
  <c r="AY26" i="5"/>
  <c r="G20" i="7"/>
  <c r="AZ26" i="5"/>
  <c r="AY27" i="5"/>
  <c r="D21" i="7"/>
  <c r="G71" i="41" s="1"/>
  <c r="AZ27" i="5"/>
  <c r="AY28" i="5"/>
  <c r="AZ28" i="5"/>
  <c r="D22" i="7"/>
  <c r="G10" i="4"/>
  <c r="H10" i="4" s="1"/>
  <c r="F8" i="6"/>
  <c r="G8" i="6"/>
  <c r="F15" i="6"/>
  <c r="G15" i="6" s="1"/>
  <c r="G17" i="6" s="1"/>
  <c r="L17" i="6" s="1"/>
  <c r="P83" i="5"/>
  <c r="G450" i="41"/>
  <c r="G451" i="41"/>
  <c r="G452" i="41"/>
  <c r="G453" i="41"/>
  <c r="G454" i="41"/>
  <c r="G455" i="41"/>
  <c r="G456" i="41"/>
  <c r="G457" i="41"/>
  <c r="G458" i="41"/>
  <c r="G459" i="41"/>
  <c r="G460" i="41"/>
  <c r="G461" i="41"/>
  <c r="G463" i="41"/>
  <c r="G464" i="41"/>
  <c r="G466" i="41"/>
  <c r="AU36" i="5"/>
  <c r="F468" i="41" s="1"/>
  <c r="E38" i="3"/>
  <c r="E41" i="3"/>
  <c r="G18" i="3"/>
  <c r="G477" i="41"/>
  <c r="G660" i="41"/>
  <c r="G661" i="41"/>
  <c r="G662" i="41"/>
  <c r="G663" i="41"/>
  <c r="G664" i="41"/>
  <c r="G665" i="41"/>
  <c r="G666" i="41"/>
  <c r="G667" i="41"/>
  <c r="G668" i="41"/>
  <c r="G669" i="41"/>
  <c r="G670" i="41"/>
  <c r="G671" i="41"/>
  <c r="G673" i="41"/>
  <c r="G674" i="41"/>
  <c r="G676" i="41"/>
  <c r="AU37" i="5"/>
  <c r="F678" i="41" s="1"/>
  <c r="G38" i="3"/>
  <c r="G41" i="3"/>
  <c r="G687" i="41"/>
  <c r="G870" i="41"/>
  <c r="G871" i="41"/>
  <c r="G872" i="41"/>
  <c r="G873" i="41"/>
  <c r="G874" i="41"/>
  <c r="G875" i="41"/>
  <c r="G876" i="41"/>
  <c r="G877" i="41"/>
  <c r="G878" i="41"/>
  <c r="G879" i="41"/>
  <c r="G880" i="41"/>
  <c r="G881" i="41"/>
  <c r="G883" i="41"/>
  <c r="G884" i="41"/>
  <c r="G886" i="41"/>
  <c r="AU38" i="5"/>
  <c r="F888" i="41" s="1"/>
  <c r="I38" i="3"/>
  <c r="I41" i="3"/>
  <c r="G30" i="3"/>
  <c r="H30" i="3" s="1"/>
  <c r="H32" i="3" s="1"/>
  <c r="G890" i="41" s="1"/>
  <c r="G897" i="41"/>
  <c r="G1086" i="41"/>
  <c r="G1087" i="41"/>
  <c r="G1088" i="41"/>
  <c r="G1089" i="41"/>
  <c r="G1090" i="41"/>
  <c r="G1091" i="41"/>
  <c r="AU33" i="5"/>
  <c r="F1098" i="41" s="1"/>
  <c r="C22" i="6"/>
  <c r="C25" i="6"/>
  <c r="F23" i="7"/>
  <c r="V69" i="1" s="1"/>
  <c r="I23" i="7"/>
  <c r="Z69" i="1" s="1"/>
  <c r="L23" i="7"/>
  <c r="AH69" i="1" s="1"/>
  <c r="G1107" i="41"/>
  <c r="G1296" i="41"/>
  <c r="G1297" i="41"/>
  <c r="G1298" i="41"/>
  <c r="G1299" i="41"/>
  <c r="G1300" i="41"/>
  <c r="G1301" i="41"/>
  <c r="AU34" i="5"/>
  <c r="F1308" i="41" s="1"/>
  <c r="E22" i="6"/>
  <c r="E25" i="6"/>
  <c r="F25" i="6"/>
  <c r="G1317" i="41"/>
  <c r="H8" i="40"/>
  <c r="H9" i="40"/>
  <c r="H10" i="40"/>
  <c r="H11" i="40"/>
  <c r="H12" i="40"/>
  <c r="H13" i="40"/>
  <c r="H14" i="40"/>
  <c r="E8" i="39"/>
  <c r="F8" i="39"/>
  <c r="E9" i="39"/>
  <c r="F9" i="39"/>
  <c r="E10" i="39"/>
  <c r="F10" i="39"/>
  <c r="E11" i="39"/>
  <c r="F11" i="39"/>
  <c r="E12" i="39"/>
  <c r="F12" i="39"/>
  <c r="E13" i="39"/>
  <c r="F13" i="39"/>
  <c r="E14" i="39"/>
  <c r="F14" i="39"/>
  <c r="E8" i="38"/>
  <c r="G8" i="38"/>
  <c r="H8" i="38"/>
  <c r="I8" i="38"/>
  <c r="J8" i="38"/>
  <c r="E9" i="38"/>
  <c r="G9" i="38"/>
  <c r="H9" i="38"/>
  <c r="I9" i="38"/>
  <c r="J9" i="38"/>
  <c r="E10" i="38"/>
  <c r="G10" i="38"/>
  <c r="H10" i="38"/>
  <c r="I10" i="38"/>
  <c r="J10" i="38"/>
  <c r="E11" i="38"/>
  <c r="G11" i="38"/>
  <c r="H11" i="38"/>
  <c r="I11" i="38"/>
  <c r="J11" i="38"/>
  <c r="E12" i="38"/>
  <c r="G12" i="38"/>
  <c r="H12" i="38"/>
  <c r="I12" i="38"/>
  <c r="J12" i="38"/>
  <c r="E13" i="38"/>
  <c r="J13" i="38"/>
  <c r="E14" i="38"/>
  <c r="J14" i="38"/>
  <c r="E8" i="37"/>
  <c r="F8" i="37"/>
  <c r="F9" i="37" s="1"/>
  <c r="F10" i="37" s="1"/>
  <c r="F11" i="37" s="1"/>
  <c r="F12" i="37" s="1"/>
  <c r="F13" i="37" s="1"/>
  <c r="F14" i="37" s="1"/>
  <c r="F15" i="37" s="1"/>
  <c r="F16" i="37" s="1"/>
  <c r="F17" i="37" s="1"/>
  <c r="F18" i="37" s="1"/>
  <c r="F19" i="37" s="1"/>
  <c r="F20" i="37" s="1"/>
  <c r="F21" i="37" s="1"/>
  <c r="F22" i="37" s="1"/>
  <c r="F23" i="37" s="1"/>
  <c r="F24" i="37" s="1"/>
  <c r="F25" i="37" s="1"/>
  <c r="F26" i="37" s="1"/>
  <c r="F27" i="37" s="1"/>
  <c r="F28" i="37" s="1"/>
  <c r="F29" i="37" s="1"/>
  <c r="F30" i="37" s="1"/>
  <c r="F31" i="37" s="1"/>
  <c r="F32" i="37" s="1"/>
  <c r="F33" i="37" s="1"/>
  <c r="F34" i="37" s="1"/>
  <c r="F35" i="37" s="1"/>
  <c r="F36" i="37" s="1"/>
  <c r="F37" i="37" s="1"/>
  <c r="F38" i="37" s="1"/>
  <c r="F39" i="37" s="1"/>
  <c r="F40" i="37" s="1"/>
  <c r="F41" i="37" s="1"/>
  <c r="F42" i="37" s="1"/>
  <c r="F43" i="37" s="1"/>
  <c r="F44" i="37" s="1"/>
  <c r="F45" i="37" s="1"/>
  <c r="F46" i="37" s="1"/>
  <c r="F47" i="37" s="1"/>
  <c r="F48" i="37" s="1"/>
  <c r="F49" i="37" s="1"/>
  <c r="F50" i="37" s="1"/>
  <c r="F51" i="37" s="1"/>
  <c r="F52" i="37" s="1"/>
  <c r="F53" i="37" s="1"/>
  <c r="F54" i="37" s="1"/>
  <c r="F55" i="37" s="1"/>
  <c r="F56" i="37" s="1"/>
  <c r="F57" i="37" s="1"/>
  <c r="F58" i="37" s="1"/>
  <c r="F59" i="37" s="1"/>
  <c r="F60" i="37" s="1"/>
  <c r="F61" i="37" s="1"/>
  <c r="F62" i="37" s="1"/>
  <c r="F63" i="37" s="1"/>
  <c r="F64" i="37" s="1"/>
  <c r="F65" i="37" s="1"/>
  <c r="F66" i="37" s="1"/>
  <c r="F67" i="37" s="1"/>
  <c r="F68" i="37" s="1"/>
  <c r="F69" i="37" s="1"/>
  <c r="F70" i="37" s="1"/>
  <c r="F71" i="37" s="1"/>
  <c r="F72" i="37" s="1"/>
  <c r="F73" i="37" s="1"/>
  <c r="F74" i="37" s="1"/>
  <c r="F75" i="37" s="1"/>
  <c r="F76" i="37" s="1"/>
  <c r="F77" i="37" s="1"/>
  <c r="F78" i="37" s="1"/>
  <c r="F79" i="37" s="1"/>
  <c r="F80" i="37" s="1"/>
  <c r="F81" i="37" s="1"/>
  <c r="F82" i="37" s="1"/>
  <c r="F83" i="37" s="1"/>
  <c r="F84" i="37" s="1"/>
  <c r="F85" i="37" s="1"/>
  <c r="F86" i="37" s="1"/>
  <c r="F87" i="37" s="1"/>
  <c r="F88" i="37" s="1"/>
  <c r="F89" i="37" s="1"/>
  <c r="F90" i="37" s="1"/>
  <c r="F91" i="37" s="1"/>
  <c r="F92" i="37" s="1"/>
  <c r="F93" i="37" s="1"/>
  <c r="F94" i="37" s="1"/>
  <c r="F95" i="37" s="1"/>
  <c r="F96" i="37" s="1"/>
  <c r="F97" i="37" s="1"/>
  <c r="F98" i="37" s="1"/>
  <c r="F99" i="37" s="1"/>
  <c r="F100" i="37" s="1"/>
  <c r="F101" i="37" s="1"/>
  <c r="F102" i="37" s="1"/>
  <c r="F103" i="37" s="1"/>
  <c r="F104" i="37" s="1"/>
  <c r="F105" i="37" s="1"/>
  <c r="F106" i="37" s="1"/>
  <c r="F107" i="37" s="1"/>
  <c r="F108" i="37" s="1"/>
  <c r="F109" i="37" s="1"/>
  <c r="F110" i="37" s="1"/>
  <c r="F111" i="37" s="1"/>
  <c r="F112" i="37" s="1"/>
  <c r="F113" i="37" s="1"/>
  <c r="F114" i="37" s="1"/>
  <c r="F115" i="37" s="1"/>
  <c r="F116" i="37" s="1"/>
  <c r="F117" i="37" s="1"/>
  <c r="F118" i="37" s="1"/>
  <c r="F119" i="37" s="1"/>
  <c r="F120" i="37" s="1"/>
  <c r="F121" i="37" s="1"/>
  <c r="F122" i="37" s="1"/>
  <c r="F123" i="37" s="1"/>
  <c r="F124" i="37" s="1"/>
  <c r="F125" i="37" s="1"/>
  <c r="F126" i="37" s="1"/>
  <c r="F127" i="37" s="1"/>
  <c r="F128" i="37" s="1"/>
  <c r="F129" i="37" s="1"/>
  <c r="F130" i="37" s="1"/>
  <c r="F131" i="37" s="1"/>
  <c r="F132" i="37" s="1"/>
  <c r="F133" i="37" s="1"/>
  <c r="F134" i="37" s="1"/>
  <c r="F135" i="37" s="1"/>
  <c r="F136" i="37" s="1"/>
  <c r="F137" i="37" s="1"/>
  <c r="F138" i="37" s="1"/>
  <c r="F139" i="37" s="1"/>
  <c r="F140" i="37" s="1"/>
  <c r="F141" i="37" s="1"/>
  <c r="F142" i="37" s="1"/>
  <c r="F143" i="37" s="1"/>
  <c r="F144" i="37" s="1"/>
  <c r="F145" i="37" s="1"/>
  <c r="F146" i="37" s="1"/>
  <c r="F147" i="37" s="1"/>
  <c r="F148" i="37" s="1"/>
  <c r="F149" i="37" s="1"/>
  <c r="F150" i="37" s="1"/>
  <c r="F151" i="37" s="1"/>
  <c r="F152" i="37" s="1"/>
  <c r="F153" i="37" s="1"/>
  <c r="F154" i="37" s="1"/>
  <c r="F155" i="37" s="1"/>
  <c r="F156" i="37" s="1"/>
  <c r="F157" i="37" s="1"/>
  <c r="F158" i="37" s="1"/>
  <c r="F159" i="37" s="1"/>
  <c r="F160" i="37" s="1"/>
  <c r="F161" i="37" s="1"/>
  <c r="F162" i="37" s="1"/>
  <c r="F163" i="37" s="1"/>
  <c r="F164" i="37" s="1"/>
  <c r="F165" i="37" s="1"/>
  <c r="F166" i="37" s="1"/>
  <c r="F167" i="37" s="1"/>
  <c r="F168" i="37" s="1"/>
  <c r="F169" i="37" s="1"/>
  <c r="F170" i="37" s="1"/>
  <c r="F171" i="37" s="1"/>
  <c r="F172" i="37" s="1"/>
  <c r="F173" i="37" s="1"/>
  <c r="F174" i="37" s="1"/>
  <c r="F175" i="37" s="1"/>
  <c r="F176" i="37" s="1"/>
  <c r="F177" i="37" s="1"/>
  <c r="F178" i="37" s="1"/>
  <c r="F179" i="37" s="1"/>
  <c r="F180" i="37" s="1"/>
  <c r="F181" i="37" s="1"/>
  <c r="F182" i="37" s="1"/>
  <c r="F183" i="37" s="1"/>
  <c r="F184" i="37" s="1"/>
  <c r="F185" i="37" s="1"/>
  <c r="F186" i="37" s="1"/>
  <c r="F187" i="37" s="1"/>
  <c r="F188" i="37" s="1"/>
  <c r="F189" i="37" s="1"/>
  <c r="F190" i="37" s="1"/>
  <c r="F191" i="37" s="1"/>
  <c r="F192" i="37" s="1"/>
  <c r="F193" i="37" s="1"/>
  <c r="F194" i="37" s="1"/>
  <c r="F195" i="37" s="1"/>
  <c r="F196" i="37" s="1"/>
  <c r="F197" i="37" s="1"/>
  <c r="F198" i="37" s="1"/>
  <c r="F199" i="37" s="1"/>
  <c r="F200" i="37" s="1"/>
  <c r="F201" i="37" s="1"/>
  <c r="F202" i="37" s="1"/>
  <c r="F203" i="37" s="1"/>
  <c r="F204" i="37" s="1"/>
  <c r="F205" i="37" s="1"/>
  <c r="F206" i="37" s="1"/>
  <c r="F207" i="37" s="1"/>
  <c r="F208" i="37" s="1"/>
  <c r="F209" i="37" s="1"/>
  <c r="F210" i="37" s="1"/>
  <c r="F211" i="37" s="1"/>
  <c r="F212" i="37" s="1"/>
  <c r="F213" i="37" s="1"/>
  <c r="F214" i="37" s="1"/>
  <c r="F215" i="37" s="1"/>
  <c r="F216" i="37" s="1"/>
  <c r="F217" i="37" s="1"/>
  <c r="F218" i="37" s="1"/>
  <c r="F219" i="37" s="1"/>
  <c r="F220" i="37" s="1"/>
  <c r="F221" i="37" s="1"/>
  <c r="F222" i="37" s="1"/>
  <c r="F223" i="37" s="1"/>
  <c r="F224" i="37" s="1"/>
  <c r="F225" i="37" s="1"/>
  <c r="F226" i="37" s="1"/>
  <c r="F227" i="37" s="1"/>
  <c r="F228" i="37" s="1"/>
  <c r="F229" i="37" s="1"/>
  <c r="F230" i="37" s="1"/>
  <c r="F231" i="37" s="1"/>
  <c r="F232" i="37" s="1"/>
  <c r="F233" i="37" s="1"/>
  <c r="F234" i="37" s="1"/>
  <c r="F235" i="37" s="1"/>
  <c r="F236" i="37" s="1"/>
  <c r="F237" i="37" s="1"/>
  <c r="F238" i="37" s="1"/>
  <c r="F239" i="37" s="1"/>
  <c r="F240" i="37" s="1"/>
  <c r="F241" i="37" s="1"/>
  <c r="F242" i="37" s="1"/>
  <c r="F243" i="37" s="1"/>
  <c r="F244" i="37" s="1"/>
  <c r="F245" i="37" s="1"/>
  <c r="F246" i="37" s="1"/>
  <c r="F247" i="37" s="1"/>
  <c r="F248" i="37" s="1"/>
  <c r="F249" i="37" s="1"/>
  <c r="F250" i="37" s="1"/>
  <c r="F251" i="37" s="1"/>
  <c r="F252" i="37" s="1"/>
  <c r="F253" i="37" s="1"/>
  <c r="F254" i="37" s="1"/>
  <c r="F255" i="37" s="1"/>
  <c r="F256" i="37" s="1"/>
  <c r="F257" i="37" s="1"/>
  <c r="F258" i="37" s="1"/>
  <c r="F259" i="37" s="1"/>
  <c r="F260" i="37" s="1"/>
  <c r="F261" i="37" s="1"/>
  <c r="F262" i="37" s="1"/>
  <c r="F263" i="37" s="1"/>
  <c r="F264" i="37" s="1"/>
  <c r="F265" i="37" s="1"/>
  <c r="F266" i="37" s="1"/>
  <c r="F267" i="37" s="1"/>
  <c r="F268" i="37" s="1"/>
  <c r="F269" i="37" s="1"/>
  <c r="F270" i="37" s="1"/>
  <c r="F271" i="37" s="1"/>
  <c r="F272" i="37" s="1"/>
  <c r="F273" i="37" s="1"/>
  <c r="F274" i="37" s="1"/>
  <c r="F275" i="37" s="1"/>
  <c r="F276" i="37" s="1"/>
  <c r="F277" i="37" s="1"/>
  <c r="F278" i="37" s="1"/>
  <c r="F279" i="37" s="1"/>
  <c r="F280" i="37" s="1"/>
  <c r="F281" i="37" s="1"/>
  <c r="F282" i="37" s="1"/>
  <c r="F283" i="37" s="1"/>
  <c r="F284" i="37" s="1"/>
  <c r="F285" i="37" s="1"/>
  <c r="F286" i="37" s="1"/>
  <c r="F287" i="37" s="1"/>
  <c r="F288" i="37" s="1"/>
  <c r="F289" i="37" s="1"/>
  <c r="F290" i="37" s="1"/>
  <c r="F291" i="37" s="1"/>
  <c r="F292" i="37" s="1"/>
  <c r="F293" i="37" s="1"/>
  <c r="F294" i="37" s="1"/>
  <c r="F295" i="37" s="1"/>
  <c r="F296" i="37" s="1"/>
  <c r="F297" i="37" s="1"/>
  <c r="F298" i="37" s="1"/>
  <c r="F299" i="37" s="1"/>
  <c r="F300" i="37" s="1"/>
  <c r="F301" i="37" s="1"/>
  <c r="F302" i="37" s="1"/>
  <c r="F303" i="37" s="1"/>
  <c r="F304" i="37" s="1"/>
  <c r="F305" i="37" s="1"/>
  <c r="F306" i="37" s="1"/>
  <c r="F307" i="37" s="1"/>
  <c r="F308" i="37" s="1"/>
  <c r="F309" i="37" s="1"/>
  <c r="F310" i="37" s="1"/>
  <c r="F311" i="37" s="1"/>
  <c r="F312" i="37" s="1"/>
  <c r="F313" i="37" s="1"/>
  <c r="F314" i="37" s="1"/>
  <c r="F315" i="37" s="1"/>
  <c r="F316" i="37" s="1"/>
  <c r="F317" i="37" s="1"/>
  <c r="F318" i="37" s="1"/>
  <c r="F319" i="37" s="1"/>
  <c r="F320" i="37" s="1"/>
  <c r="F321" i="37" s="1"/>
  <c r="F322" i="37" s="1"/>
  <c r="F323" i="37" s="1"/>
  <c r="F324" i="37" s="1"/>
  <c r="F325" i="37" s="1"/>
  <c r="F326" i="37" s="1"/>
  <c r="F327" i="37" s="1"/>
  <c r="F328" i="37" s="1"/>
  <c r="F329" i="37" s="1"/>
  <c r="F330" i="37" s="1"/>
  <c r="F331" i="37" s="1"/>
  <c r="F332" i="37" s="1"/>
  <c r="F333" i="37" s="1"/>
  <c r="F334" i="37" s="1"/>
  <c r="F335" i="37" s="1"/>
  <c r="F336" i="37" s="1"/>
  <c r="F337" i="37" s="1"/>
  <c r="F338" i="37" s="1"/>
  <c r="F339" i="37" s="1"/>
  <c r="F340" i="37" s="1"/>
  <c r="F341" i="37" s="1"/>
  <c r="F342" i="37" s="1"/>
  <c r="F343" i="37" s="1"/>
  <c r="F344" i="37" s="1"/>
  <c r="F345" i="37" s="1"/>
  <c r="F346" i="37" s="1"/>
  <c r="F347" i="37" s="1"/>
  <c r="F348" i="37" s="1"/>
  <c r="F349" i="37" s="1"/>
  <c r="F350" i="37" s="1"/>
  <c r="F351" i="37" s="1"/>
  <c r="F352" i="37" s="1"/>
  <c r="F353" i="37" s="1"/>
  <c r="F354" i="37" s="1"/>
  <c r="F355" i="37" s="1"/>
  <c r="F356" i="37" s="1"/>
  <c r="F357" i="37" s="1"/>
  <c r="E9" i="37"/>
  <c r="B9" i="37" s="1"/>
  <c r="D9" i="37"/>
  <c r="D10" i="37" s="1"/>
  <c r="D11" i="37" s="1"/>
  <c r="D12" i="37" s="1"/>
  <c r="D13" i="37" s="1"/>
  <c r="D14" i="37" s="1"/>
  <c r="D15" i="37" s="1"/>
  <c r="D16" i="37" s="1"/>
  <c r="D17" i="37" s="1"/>
  <c r="D18" i="37" s="1"/>
  <c r="D19" i="37" s="1"/>
  <c r="D20" i="37" s="1"/>
  <c r="D21" i="37" s="1"/>
  <c r="D22" i="37" s="1"/>
  <c r="D23" i="37" s="1"/>
  <c r="D24" i="37" s="1"/>
  <c r="D25" i="37" s="1"/>
  <c r="D26" i="37" s="1"/>
  <c r="D27" i="37" s="1"/>
  <c r="D28" i="37" s="1"/>
  <c r="D29" i="37" s="1"/>
  <c r="D30" i="37" s="1"/>
  <c r="D31" i="37" s="1"/>
  <c r="D32" i="37" s="1"/>
  <c r="D33" i="37" s="1"/>
  <c r="D34" i="37" s="1"/>
  <c r="D35" i="37" s="1"/>
  <c r="D36" i="37" s="1"/>
  <c r="D37" i="37" s="1"/>
  <c r="D38" i="37" s="1"/>
  <c r="D39" i="37" s="1"/>
  <c r="D40" i="37" s="1"/>
  <c r="D41" i="37" s="1"/>
  <c r="D42" i="37" s="1"/>
  <c r="D43" i="37" s="1"/>
  <c r="D44" i="37" s="1"/>
  <c r="D45" i="37" s="1"/>
  <c r="D46" i="37" s="1"/>
  <c r="D47" i="37" s="1"/>
  <c r="D48" i="37" s="1"/>
  <c r="D49" i="37" s="1"/>
  <c r="D50" i="37" s="1"/>
  <c r="D51" i="37" s="1"/>
  <c r="D52" i="37" s="1"/>
  <c r="D53" i="37" s="1"/>
  <c r="D54" i="37" s="1"/>
  <c r="D55" i="37" s="1"/>
  <c r="D56" i="37" s="1"/>
  <c r="D57" i="37" s="1"/>
  <c r="E10" i="37"/>
  <c r="B10" i="37" s="1"/>
  <c r="E11" i="37"/>
  <c r="B11" i="37" s="1"/>
  <c r="E12" i="37"/>
  <c r="B12" i="37" s="1"/>
  <c r="E13" i="37"/>
  <c r="B13" i="37" s="1"/>
  <c r="E14" i="37"/>
  <c r="B14" i="37" s="1"/>
  <c r="E15" i="37"/>
  <c r="B15" i="37" s="1"/>
  <c r="E16" i="37"/>
  <c r="B16" i="37" s="1"/>
  <c r="E17" i="37"/>
  <c r="B17" i="37" s="1"/>
  <c r="E18" i="37"/>
  <c r="B18" i="37" s="1"/>
  <c r="E19" i="37"/>
  <c r="B19" i="37" s="1"/>
  <c r="E20" i="37"/>
  <c r="B20" i="37" s="1"/>
  <c r="E21" i="37"/>
  <c r="B21" i="37" s="1"/>
  <c r="E22" i="37"/>
  <c r="B22" i="37" s="1"/>
  <c r="E23" i="37"/>
  <c r="B23" i="37" s="1"/>
  <c r="E24" i="37"/>
  <c r="B24" i="37" s="1"/>
  <c r="E25" i="37"/>
  <c r="B25" i="37" s="1"/>
  <c r="E26" i="37"/>
  <c r="B26" i="37" s="1"/>
  <c r="E27" i="37"/>
  <c r="B27" i="37" s="1"/>
  <c r="E28" i="37"/>
  <c r="B28" i="37" s="1"/>
  <c r="E29" i="37"/>
  <c r="B29" i="37" s="1"/>
  <c r="E30" i="37"/>
  <c r="B30" i="37" s="1"/>
  <c r="E31" i="37"/>
  <c r="B31" i="37" s="1"/>
  <c r="E32" i="37"/>
  <c r="B32" i="37" s="1"/>
  <c r="E33" i="37"/>
  <c r="B33" i="37" s="1"/>
  <c r="E34" i="37"/>
  <c r="B34" i="37" s="1"/>
  <c r="E35" i="37"/>
  <c r="B35" i="37" s="1"/>
  <c r="E36" i="37"/>
  <c r="B36" i="37" s="1"/>
  <c r="E37" i="37"/>
  <c r="B37" i="37" s="1"/>
  <c r="E38" i="37"/>
  <c r="B38" i="37" s="1"/>
  <c r="E39" i="37"/>
  <c r="B39" i="37" s="1"/>
  <c r="E40" i="37"/>
  <c r="B40" i="37" s="1"/>
  <c r="E41" i="37"/>
  <c r="B41" i="37" s="1"/>
  <c r="E42" i="37"/>
  <c r="B42" i="37" s="1"/>
  <c r="E43" i="37"/>
  <c r="B43" i="37" s="1"/>
  <c r="E44" i="37"/>
  <c r="B44" i="37" s="1"/>
  <c r="E45" i="37"/>
  <c r="B45" i="37" s="1"/>
  <c r="E46" i="37"/>
  <c r="B46" i="37" s="1"/>
  <c r="E47" i="37"/>
  <c r="B47" i="37" s="1"/>
  <c r="E48" i="37"/>
  <c r="B48" i="37" s="1"/>
  <c r="E49" i="37"/>
  <c r="B49" i="37" s="1"/>
  <c r="E50" i="37"/>
  <c r="B50" i="37" s="1"/>
  <c r="E51" i="37"/>
  <c r="B51" i="37" s="1"/>
  <c r="E52" i="37"/>
  <c r="B52" i="37" s="1"/>
  <c r="E53" i="37"/>
  <c r="B53" i="37" s="1"/>
  <c r="E54" i="37"/>
  <c r="B54" i="37" s="1"/>
  <c r="E55" i="37"/>
  <c r="B55" i="37" s="1"/>
  <c r="E56" i="37"/>
  <c r="B56" i="37" s="1"/>
  <c r="E57" i="37"/>
  <c r="B57" i="37" s="1"/>
  <c r="E58" i="37"/>
  <c r="E59" i="37"/>
  <c r="B59" i="37" s="1"/>
  <c r="D59" i="37"/>
  <c r="D60" i="37" s="1"/>
  <c r="D61" i="37" s="1"/>
  <c r="D62" i="37" s="1"/>
  <c r="D63" i="37" s="1"/>
  <c r="D64" i="37" s="1"/>
  <c r="D65" i="37" s="1"/>
  <c r="D66" i="37" s="1"/>
  <c r="D67" i="37" s="1"/>
  <c r="D68" i="37" s="1"/>
  <c r="D69" i="37" s="1"/>
  <c r="D70" i="37" s="1"/>
  <c r="D71" i="37" s="1"/>
  <c r="D72" i="37" s="1"/>
  <c r="D73" i="37" s="1"/>
  <c r="D74" i="37" s="1"/>
  <c r="D75" i="37" s="1"/>
  <c r="D76" i="37" s="1"/>
  <c r="D77" i="37" s="1"/>
  <c r="D78" i="37" s="1"/>
  <c r="D79" i="37" s="1"/>
  <c r="D80" i="37" s="1"/>
  <c r="D81" i="37" s="1"/>
  <c r="D82" i="37" s="1"/>
  <c r="D83" i="37" s="1"/>
  <c r="D84" i="37" s="1"/>
  <c r="D85" i="37" s="1"/>
  <c r="D86" i="37" s="1"/>
  <c r="D87" i="37" s="1"/>
  <c r="D88" i="37" s="1"/>
  <c r="D89" i="37" s="1"/>
  <c r="D90" i="37" s="1"/>
  <c r="D91" i="37" s="1"/>
  <c r="D92" i="37" s="1"/>
  <c r="D93" i="37" s="1"/>
  <c r="D94" i="37" s="1"/>
  <c r="D95" i="37" s="1"/>
  <c r="D96" i="37" s="1"/>
  <c r="D97" i="37" s="1"/>
  <c r="D98" i="37" s="1"/>
  <c r="D99" i="37" s="1"/>
  <c r="D100" i="37" s="1"/>
  <c r="D101" i="37" s="1"/>
  <c r="D102" i="37" s="1"/>
  <c r="D103" i="37" s="1"/>
  <c r="D104" i="37" s="1"/>
  <c r="D105" i="37" s="1"/>
  <c r="D106" i="37" s="1"/>
  <c r="D107" i="37" s="1"/>
  <c r="E60" i="37"/>
  <c r="B60" i="37" s="1"/>
  <c r="E61" i="37"/>
  <c r="B61" i="37" s="1"/>
  <c r="E62" i="37"/>
  <c r="B62" i="37" s="1"/>
  <c r="E63" i="37"/>
  <c r="B63" i="37" s="1"/>
  <c r="E64" i="37"/>
  <c r="B64" i="37" s="1"/>
  <c r="E65" i="37"/>
  <c r="B65" i="37" s="1"/>
  <c r="E66" i="37"/>
  <c r="B66" i="37" s="1"/>
  <c r="E67" i="37"/>
  <c r="B67" i="37" s="1"/>
  <c r="E68" i="37"/>
  <c r="B68" i="37" s="1"/>
  <c r="E69" i="37"/>
  <c r="B69" i="37" s="1"/>
  <c r="E70" i="37"/>
  <c r="B70" i="37" s="1"/>
  <c r="E71" i="37"/>
  <c r="B71" i="37" s="1"/>
  <c r="E72" i="37"/>
  <c r="B72" i="37" s="1"/>
  <c r="E73" i="37"/>
  <c r="B73" i="37" s="1"/>
  <c r="E74" i="37"/>
  <c r="B74" i="37" s="1"/>
  <c r="E75" i="37"/>
  <c r="B75" i="37" s="1"/>
  <c r="E76" i="37"/>
  <c r="B76" i="37" s="1"/>
  <c r="E77" i="37"/>
  <c r="B77" i="37" s="1"/>
  <c r="E78" i="37"/>
  <c r="B78" i="37" s="1"/>
  <c r="E79" i="37"/>
  <c r="B79" i="37" s="1"/>
  <c r="E80" i="37"/>
  <c r="B80" i="37" s="1"/>
  <c r="E81" i="37"/>
  <c r="B81" i="37" s="1"/>
  <c r="E82" i="37"/>
  <c r="B82" i="37" s="1"/>
  <c r="E83" i="37"/>
  <c r="B83" i="37" s="1"/>
  <c r="E84" i="37"/>
  <c r="B84" i="37" s="1"/>
  <c r="E85" i="37"/>
  <c r="B85" i="37" s="1"/>
  <c r="E86" i="37"/>
  <c r="B86" i="37" s="1"/>
  <c r="E87" i="37"/>
  <c r="B87" i="37" s="1"/>
  <c r="E88" i="37"/>
  <c r="B88" i="37" s="1"/>
  <c r="E89" i="37"/>
  <c r="B89" i="37" s="1"/>
  <c r="E90" i="37"/>
  <c r="B90" i="37" s="1"/>
  <c r="E91" i="37"/>
  <c r="B91" i="37" s="1"/>
  <c r="E92" i="37"/>
  <c r="B92" i="37" s="1"/>
  <c r="E93" i="37"/>
  <c r="B93" i="37" s="1"/>
  <c r="E94" i="37"/>
  <c r="B94" i="37" s="1"/>
  <c r="E95" i="37"/>
  <c r="B95" i="37" s="1"/>
  <c r="E96" i="37"/>
  <c r="B96" i="37" s="1"/>
  <c r="E97" i="37"/>
  <c r="B97" i="37" s="1"/>
  <c r="E98" i="37"/>
  <c r="B98" i="37" s="1"/>
  <c r="E99" i="37"/>
  <c r="B99" i="37" s="1"/>
  <c r="E100" i="37"/>
  <c r="B100" i="37" s="1"/>
  <c r="E101" i="37"/>
  <c r="B101" i="37" s="1"/>
  <c r="E102" i="37"/>
  <c r="B102" i="37" s="1"/>
  <c r="E103" i="37"/>
  <c r="B103" i="37" s="1"/>
  <c r="E104" i="37"/>
  <c r="B104" i="37" s="1"/>
  <c r="E105" i="37"/>
  <c r="B105" i="37" s="1"/>
  <c r="E106" i="37"/>
  <c r="B106" i="37" s="1"/>
  <c r="E107" i="37"/>
  <c r="B107" i="37" s="1"/>
  <c r="E108" i="37"/>
  <c r="E109" i="37"/>
  <c r="B109" i="37" s="1"/>
  <c r="D109" i="37"/>
  <c r="D110" i="37" s="1"/>
  <c r="D111" i="37" s="1"/>
  <c r="D112" i="37" s="1"/>
  <c r="D113" i="37" s="1"/>
  <c r="D114" i="37" s="1"/>
  <c r="D115" i="37" s="1"/>
  <c r="D116" i="37" s="1"/>
  <c r="D117" i="37" s="1"/>
  <c r="D118" i="37" s="1"/>
  <c r="D119" i="37" s="1"/>
  <c r="D120" i="37" s="1"/>
  <c r="D121" i="37" s="1"/>
  <c r="D122" i="37" s="1"/>
  <c r="D123" i="37" s="1"/>
  <c r="D124" i="37" s="1"/>
  <c r="D125" i="37" s="1"/>
  <c r="D126" i="37" s="1"/>
  <c r="D127" i="37" s="1"/>
  <c r="D128" i="37" s="1"/>
  <c r="D129" i="37" s="1"/>
  <c r="D130" i="37" s="1"/>
  <c r="D131" i="37" s="1"/>
  <c r="D132" i="37" s="1"/>
  <c r="D133" i="37" s="1"/>
  <c r="D134" i="37" s="1"/>
  <c r="D135" i="37" s="1"/>
  <c r="D136" i="37" s="1"/>
  <c r="D137" i="37" s="1"/>
  <c r="D138" i="37" s="1"/>
  <c r="D139" i="37" s="1"/>
  <c r="D140" i="37" s="1"/>
  <c r="D141" i="37" s="1"/>
  <c r="D142" i="37" s="1"/>
  <c r="D143" i="37" s="1"/>
  <c r="D144" i="37" s="1"/>
  <c r="D145" i="37" s="1"/>
  <c r="D146" i="37" s="1"/>
  <c r="D147" i="37" s="1"/>
  <c r="D148" i="37" s="1"/>
  <c r="D149" i="37" s="1"/>
  <c r="D150" i="37" s="1"/>
  <c r="D151" i="37" s="1"/>
  <c r="D152" i="37" s="1"/>
  <c r="D153" i="37" s="1"/>
  <c r="D154" i="37" s="1"/>
  <c r="D155" i="37" s="1"/>
  <c r="D156" i="37" s="1"/>
  <c r="D157" i="37" s="1"/>
  <c r="E110" i="37"/>
  <c r="B110" i="37" s="1"/>
  <c r="E111" i="37"/>
  <c r="B111" i="37" s="1"/>
  <c r="E112" i="37"/>
  <c r="B112" i="37" s="1"/>
  <c r="E113" i="37"/>
  <c r="B113" i="37"/>
  <c r="E114" i="37"/>
  <c r="B114" i="37" s="1"/>
  <c r="E115" i="37"/>
  <c r="B115" i="37"/>
  <c r="E116" i="37"/>
  <c r="B116" i="37" s="1"/>
  <c r="E117" i="37"/>
  <c r="B117" i="37" s="1"/>
  <c r="E118" i="37"/>
  <c r="B118" i="37" s="1"/>
  <c r="E119" i="37"/>
  <c r="B119" i="37" s="1"/>
  <c r="E120" i="37"/>
  <c r="B120" i="37" s="1"/>
  <c r="E121" i="37"/>
  <c r="B121" i="37" s="1"/>
  <c r="E122" i="37"/>
  <c r="B122" i="37"/>
  <c r="E123" i="37"/>
  <c r="B123" i="37" s="1"/>
  <c r="E124" i="37"/>
  <c r="B124" i="37" s="1"/>
  <c r="E125" i="37"/>
  <c r="B125" i="37" s="1"/>
  <c r="E126" i="37"/>
  <c r="B126" i="37" s="1"/>
  <c r="E127" i="37"/>
  <c r="B127" i="37" s="1"/>
  <c r="E128" i="37"/>
  <c r="B128" i="37" s="1"/>
  <c r="E129" i="37"/>
  <c r="B129" i="37" s="1"/>
  <c r="E130" i="37"/>
  <c r="B130" i="37" s="1"/>
  <c r="E131" i="37"/>
  <c r="B131" i="37"/>
  <c r="E132" i="37"/>
  <c r="B132" i="37" s="1"/>
  <c r="E133" i="37"/>
  <c r="B133" i="37"/>
  <c r="E134" i="37"/>
  <c r="B134" i="37" s="1"/>
  <c r="E135" i="37"/>
  <c r="B135" i="37" s="1"/>
  <c r="E136" i="37"/>
  <c r="B136" i="37" s="1"/>
  <c r="E137" i="37"/>
  <c r="B137" i="37" s="1"/>
  <c r="E138" i="37"/>
  <c r="B138" i="37" s="1"/>
  <c r="E139" i="37"/>
  <c r="B139" i="37" s="1"/>
  <c r="E140" i="37"/>
  <c r="B140" i="37" s="1"/>
  <c r="E141" i="37"/>
  <c r="B141" i="37" s="1"/>
  <c r="E142" i="37"/>
  <c r="B142" i="37"/>
  <c r="E143" i="37"/>
  <c r="B143" i="37" s="1"/>
  <c r="E144" i="37"/>
  <c r="B144" i="37" s="1"/>
  <c r="E145" i="37"/>
  <c r="B145" i="37" s="1"/>
  <c r="E146" i="37"/>
  <c r="B146" i="37" s="1"/>
  <c r="E147" i="37"/>
  <c r="B147" i="37" s="1"/>
  <c r="E148" i="37"/>
  <c r="B148" i="37" s="1"/>
  <c r="E149" i="37"/>
  <c r="B149" i="37" s="1"/>
  <c r="E150" i="37"/>
  <c r="B150" i="37" s="1"/>
  <c r="E151" i="37"/>
  <c r="B151" i="37" s="1"/>
  <c r="E152" i="37"/>
  <c r="B152" i="37" s="1"/>
  <c r="E153" i="37"/>
  <c r="B153" i="37" s="1"/>
  <c r="E154" i="37"/>
  <c r="B154" i="37" s="1"/>
  <c r="E155" i="37"/>
  <c r="B155" i="37" s="1"/>
  <c r="E156" i="37"/>
  <c r="B156" i="37" s="1"/>
  <c r="E157" i="37"/>
  <c r="B157" i="37" s="1"/>
  <c r="E158" i="37"/>
  <c r="E159" i="37"/>
  <c r="B159" i="37" s="1"/>
  <c r="D159" i="37"/>
  <c r="D160" i="37" s="1"/>
  <c r="D161" i="37" s="1"/>
  <c r="D162" i="37" s="1"/>
  <c r="D163" i="37" s="1"/>
  <c r="D164" i="37" s="1"/>
  <c r="D165" i="37" s="1"/>
  <c r="D166" i="37" s="1"/>
  <c r="D167" i="37" s="1"/>
  <c r="D168" i="37" s="1"/>
  <c r="D169" i="37" s="1"/>
  <c r="D170" i="37" s="1"/>
  <c r="D171" i="37" s="1"/>
  <c r="D172" i="37" s="1"/>
  <c r="D173" i="37" s="1"/>
  <c r="D174" i="37" s="1"/>
  <c r="D175" i="37" s="1"/>
  <c r="D176" i="37" s="1"/>
  <c r="D177" i="37" s="1"/>
  <c r="D178" i="37" s="1"/>
  <c r="D179" i="37" s="1"/>
  <c r="D180" i="37" s="1"/>
  <c r="D181" i="37" s="1"/>
  <c r="D182" i="37" s="1"/>
  <c r="D183" i="37" s="1"/>
  <c r="D184" i="37" s="1"/>
  <c r="D185" i="37" s="1"/>
  <c r="D186" i="37" s="1"/>
  <c r="D187" i="37" s="1"/>
  <c r="D188" i="37" s="1"/>
  <c r="D189" i="37" s="1"/>
  <c r="D190" i="37" s="1"/>
  <c r="D191" i="37" s="1"/>
  <c r="D192" i="37" s="1"/>
  <c r="D193" i="37" s="1"/>
  <c r="D194" i="37" s="1"/>
  <c r="D195" i="37" s="1"/>
  <c r="D196" i="37" s="1"/>
  <c r="D197" i="37" s="1"/>
  <c r="D198" i="37" s="1"/>
  <c r="D199" i="37" s="1"/>
  <c r="D200" i="37" s="1"/>
  <c r="D201" i="37" s="1"/>
  <c r="D202" i="37" s="1"/>
  <c r="D203" i="37" s="1"/>
  <c r="D204" i="37" s="1"/>
  <c r="D205" i="37" s="1"/>
  <c r="D206" i="37" s="1"/>
  <c r="D207" i="37" s="1"/>
  <c r="E160" i="37"/>
  <c r="B160" i="37" s="1"/>
  <c r="E161" i="37"/>
  <c r="B161" i="37" s="1"/>
  <c r="E162" i="37"/>
  <c r="B162" i="37" s="1"/>
  <c r="E163" i="37"/>
  <c r="B163" i="37" s="1"/>
  <c r="E164" i="37"/>
  <c r="B164" i="37" s="1"/>
  <c r="E165" i="37"/>
  <c r="B165" i="37" s="1"/>
  <c r="E166" i="37"/>
  <c r="B166" i="37" s="1"/>
  <c r="E167" i="37"/>
  <c r="B167" i="37" s="1"/>
  <c r="E168" i="37"/>
  <c r="B168" i="37" s="1"/>
  <c r="E169" i="37"/>
  <c r="B169" i="37" s="1"/>
  <c r="E170" i="37"/>
  <c r="B170" i="37"/>
  <c r="E171" i="37"/>
  <c r="B171" i="37" s="1"/>
  <c r="E172" i="37"/>
  <c r="B172" i="37" s="1"/>
  <c r="E173" i="37"/>
  <c r="B173" i="37" s="1"/>
  <c r="E174" i="37"/>
  <c r="B174" i="37" s="1"/>
  <c r="E175" i="37"/>
  <c r="B175" i="37" s="1"/>
  <c r="E176" i="37"/>
  <c r="B176" i="37" s="1"/>
  <c r="E177" i="37"/>
  <c r="B177" i="37" s="1"/>
  <c r="E178" i="37"/>
  <c r="B178" i="37" s="1"/>
  <c r="E179" i="37"/>
  <c r="B179" i="37"/>
  <c r="E180" i="37"/>
  <c r="B180" i="37" s="1"/>
  <c r="E181" i="37"/>
  <c r="B181" i="37"/>
  <c r="E182" i="37"/>
  <c r="B182" i="37" s="1"/>
  <c r="E183" i="37"/>
  <c r="B183" i="37" s="1"/>
  <c r="E184" i="37"/>
  <c r="B184" i="37" s="1"/>
  <c r="E185" i="37"/>
  <c r="B185" i="37" s="1"/>
  <c r="E186" i="37"/>
  <c r="B186" i="37" s="1"/>
  <c r="E187" i="37"/>
  <c r="B187" i="37"/>
  <c r="E188" i="37"/>
  <c r="B188" i="37" s="1"/>
  <c r="E189" i="37"/>
  <c r="B189" i="37" s="1"/>
  <c r="E190" i="37"/>
  <c r="B190" i="37" s="1"/>
  <c r="E191" i="37"/>
  <c r="B191" i="37" s="1"/>
  <c r="E192" i="37"/>
  <c r="B192" i="37" s="1"/>
  <c r="E193" i="37"/>
  <c r="B193" i="37" s="1"/>
  <c r="E194" i="37"/>
  <c r="B194" i="37" s="1"/>
  <c r="E195" i="37"/>
  <c r="B195" i="37" s="1"/>
  <c r="E196" i="37"/>
  <c r="B196" i="37" s="1"/>
  <c r="E197" i="37"/>
  <c r="B197" i="37" s="1"/>
  <c r="E198" i="37"/>
  <c r="B198" i="37" s="1"/>
  <c r="E199" i="37"/>
  <c r="B199" i="37" s="1"/>
  <c r="E200" i="37"/>
  <c r="B200" i="37" s="1"/>
  <c r="E201" i="37"/>
  <c r="B201" i="37" s="1"/>
  <c r="E202" i="37"/>
  <c r="B202" i="37" s="1"/>
  <c r="E203" i="37"/>
  <c r="B203" i="37" s="1"/>
  <c r="E204" i="37"/>
  <c r="B204" i="37" s="1"/>
  <c r="E205" i="37"/>
  <c r="B205" i="37" s="1"/>
  <c r="E206" i="37"/>
  <c r="B206" i="37" s="1"/>
  <c r="E207" i="37"/>
  <c r="B207" i="37" s="1"/>
  <c r="E208" i="37"/>
  <c r="E209" i="37"/>
  <c r="B209" i="37" s="1"/>
  <c r="D209" i="37"/>
  <c r="D210" i="37" s="1"/>
  <c r="D211" i="37" s="1"/>
  <c r="D212" i="37" s="1"/>
  <c r="D213" i="37" s="1"/>
  <c r="D214" i="37" s="1"/>
  <c r="D215" i="37" s="1"/>
  <c r="D216" i="37" s="1"/>
  <c r="D217" i="37" s="1"/>
  <c r="D218" i="37" s="1"/>
  <c r="D219" i="37" s="1"/>
  <c r="D220" i="37" s="1"/>
  <c r="D221" i="37" s="1"/>
  <c r="D222" i="37" s="1"/>
  <c r="D223" i="37" s="1"/>
  <c r="D224" i="37" s="1"/>
  <c r="D225" i="37" s="1"/>
  <c r="D226" i="37" s="1"/>
  <c r="D227" i="37" s="1"/>
  <c r="D228" i="37" s="1"/>
  <c r="D229" i="37" s="1"/>
  <c r="D230" i="37" s="1"/>
  <c r="D231" i="37" s="1"/>
  <c r="D232" i="37" s="1"/>
  <c r="D233" i="37" s="1"/>
  <c r="D234" i="37" s="1"/>
  <c r="D235" i="37" s="1"/>
  <c r="D236" i="37" s="1"/>
  <c r="D237" i="37" s="1"/>
  <c r="D238" i="37" s="1"/>
  <c r="D239" i="37" s="1"/>
  <c r="D240" i="37" s="1"/>
  <c r="D241" i="37" s="1"/>
  <c r="D242" i="37" s="1"/>
  <c r="D243" i="37" s="1"/>
  <c r="D244" i="37" s="1"/>
  <c r="D245" i="37" s="1"/>
  <c r="D246" i="37" s="1"/>
  <c r="D247" i="37" s="1"/>
  <c r="D248" i="37" s="1"/>
  <c r="D249" i="37" s="1"/>
  <c r="D250" i="37" s="1"/>
  <c r="D251" i="37" s="1"/>
  <c r="D252" i="37" s="1"/>
  <c r="D253" i="37" s="1"/>
  <c r="D254" i="37" s="1"/>
  <c r="D255" i="37" s="1"/>
  <c r="D256" i="37" s="1"/>
  <c r="D257" i="37" s="1"/>
  <c r="E210" i="37"/>
  <c r="B210" i="37" s="1"/>
  <c r="E211" i="37"/>
  <c r="B211" i="37" s="1"/>
  <c r="E212" i="37"/>
  <c r="B212" i="37" s="1"/>
  <c r="E213" i="37"/>
  <c r="B213" i="37" s="1"/>
  <c r="E214" i="37"/>
  <c r="B214" i="37" s="1"/>
  <c r="E215" i="37"/>
  <c r="B215" i="37" s="1"/>
  <c r="E216" i="37"/>
  <c r="B216" i="37" s="1"/>
  <c r="E217" i="37"/>
  <c r="B217" i="37" s="1"/>
  <c r="E218" i="37"/>
  <c r="B218" i="37" s="1"/>
  <c r="E219" i="37"/>
  <c r="B219" i="37" s="1"/>
  <c r="E220" i="37"/>
  <c r="B220" i="37" s="1"/>
  <c r="E221" i="37"/>
  <c r="B221" i="37" s="1"/>
  <c r="E222" i="37"/>
  <c r="B222" i="37" s="1"/>
  <c r="E223" i="37"/>
  <c r="B223" i="37" s="1"/>
  <c r="E224" i="37"/>
  <c r="B224" i="37" s="1"/>
  <c r="E225" i="37"/>
  <c r="B225" i="37" s="1"/>
  <c r="E226" i="37"/>
  <c r="B226" i="37" s="1"/>
  <c r="E227" i="37"/>
  <c r="B227" i="37" s="1"/>
  <c r="E228" i="37"/>
  <c r="B228" i="37" s="1"/>
  <c r="E229" i="37"/>
  <c r="B229" i="37" s="1"/>
  <c r="E230" i="37"/>
  <c r="B230" i="37" s="1"/>
  <c r="E231" i="37"/>
  <c r="B231" i="37" s="1"/>
  <c r="E232" i="37"/>
  <c r="B232" i="37" s="1"/>
  <c r="E233" i="37"/>
  <c r="B233" i="37" s="1"/>
  <c r="E234" i="37"/>
  <c r="B234" i="37" s="1"/>
  <c r="E235" i="37"/>
  <c r="B235" i="37" s="1"/>
  <c r="E236" i="37"/>
  <c r="B236" i="37" s="1"/>
  <c r="E237" i="37"/>
  <c r="B237" i="37" s="1"/>
  <c r="E238" i="37"/>
  <c r="B238" i="37" s="1"/>
  <c r="E239" i="37"/>
  <c r="B239" i="37" s="1"/>
  <c r="E240" i="37"/>
  <c r="B240" i="37" s="1"/>
  <c r="E241" i="37"/>
  <c r="B241" i="37" s="1"/>
  <c r="E242" i="37"/>
  <c r="B242" i="37" s="1"/>
  <c r="E243" i="37"/>
  <c r="B243" i="37" s="1"/>
  <c r="E244" i="37"/>
  <c r="B244" i="37"/>
  <c r="E245" i="37"/>
  <c r="B245" i="37" s="1"/>
  <c r="E246" i="37"/>
  <c r="B246" i="37" s="1"/>
  <c r="E247" i="37"/>
  <c r="B247" i="37" s="1"/>
  <c r="E248" i="37"/>
  <c r="B248" i="37" s="1"/>
  <c r="E249" i="37"/>
  <c r="B249" i="37" s="1"/>
  <c r="E250" i="37"/>
  <c r="B250" i="37" s="1"/>
  <c r="E251" i="37"/>
  <c r="B251" i="37" s="1"/>
  <c r="E252" i="37"/>
  <c r="B252" i="37" s="1"/>
  <c r="E253" i="37"/>
  <c r="B253" i="37" s="1"/>
  <c r="E254" i="37"/>
  <c r="B254" i="37" s="1"/>
  <c r="E255" i="37"/>
  <c r="B255" i="37" s="1"/>
  <c r="E256" i="37"/>
  <c r="B256" i="37" s="1"/>
  <c r="E257" i="37"/>
  <c r="B257" i="37" s="1"/>
  <c r="E258" i="37"/>
  <c r="E259" i="37"/>
  <c r="B259" i="37" s="1"/>
  <c r="D259" i="37"/>
  <c r="D260" i="37" s="1"/>
  <c r="D261" i="37" s="1"/>
  <c r="D262" i="37" s="1"/>
  <c r="D263" i="37" s="1"/>
  <c r="D264" i="37" s="1"/>
  <c r="D265" i="37" s="1"/>
  <c r="D266" i="37" s="1"/>
  <c r="D267" i="37" s="1"/>
  <c r="D268" i="37" s="1"/>
  <c r="D269" i="37" s="1"/>
  <c r="D270" i="37" s="1"/>
  <c r="D271" i="37" s="1"/>
  <c r="D272" i="37" s="1"/>
  <c r="D273" i="37" s="1"/>
  <c r="D274" i="37" s="1"/>
  <c r="D275" i="37" s="1"/>
  <c r="D276" i="37" s="1"/>
  <c r="D277" i="37" s="1"/>
  <c r="D278" i="37" s="1"/>
  <c r="D279" i="37" s="1"/>
  <c r="D280" i="37" s="1"/>
  <c r="D281" i="37" s="1"/>
  <c r="D282" i="37" s="1"/>
  <c r="D283" i="37" s="1"/>
  <c r="D284" i="37" s="1"/>
  <c r="D285" i="37" s="1"/>
  <c r="D286" i="37" s="1"/>
  <c r="D287" i="37" s="1"/>
  <c r="D288" i="37" s="1"/>
  <c r="D289" i="37" s="1"/>
  <c r="D290" i="37" s="1"/>
  <c r="D291" i="37" s="1"/>
  <c r="D292" i="37" s="1"/>
  <c r="D293" i="37" s="1"/>
  <c r="D294" i="37" s="1"/>
  <c r="D295" i="37" s="1"/>
  <c r="D296" i="37" s="1"/>
  <c r="D297" i="37" s="1"/>
  <c r="D298" i="37" s="1"/>
  <c r="D299" i="37" s="1"/>
  <c r="D300" i="37" s="1"/>
  <c r="D301" i="37" s="1"/>
  <c r="D302" i="37" s="1"/>
  <c r="D303" i="37" s="1"/>
  <c r="D304" i="37" s="1"/>
  <c r="D305" i="37" s="1"/>
  <c r="D306" i="37" s="1"/>
  <c r="D307" i="37" s="1"/>
  <c r="E260" i="37"/>
  <c r="B260" i="37" s="1"/>
  <c r="E261" i="37"/>
  <c r="B261" i="37" s="1"/>
  <c r="E262" i="37"/>
  <c r="B262" i="37" s="1"/>
  <c r="E263" i="37"/>
  <c r="B263" i="37" s="1"/>
  <c r="E264" i="37"/>
  <c r="B264" i="37" s="1"/>
  <c r="E265" i="37"/>
  <c r="B265" i="37" s="1"/>
  <c r="E266" i="37"/>
  <c r="B266" i="37" s="1"/>
  <c r="E267" i="37"/>
  <c r="B267" i="37" s="1"/>
  <c r="E268" i="37"/>
  <c r="B268" i="37" s="1"/>
  <c r="E269" i="37"/>
  <c r="B269" i="37" s="1"/>
  <c r="E270" i="37"/>
  <c r="B270" i="37" s="1"/>
  <c r="E271" i="37"/>
  <c r="B271" i="37" s="1"/>
  <c r="E272" i="37"/>
  <c r="B272" i="37" s="1"/>
  <c r="E273" i="37"/>
  <c r="B273" i="37" s="1"/>
  <c r="E274" i="37"/>
  <c r="B274" i="37" s="1"/>
  <c r="E275" i="37"/>
  <c r="B275" i="37" s="1"/>
  <c r="E276" i="37"/>
  <c r="B276" i="37" s="1"/>
  <c r="E277" i="37"/>
  <c r="B277" i="37" s="1"/>
  <c r="E278" i="37"/>
  <c r="B278" i="37" s="1"/>
  <c r="E279" i="37"/>
  <c r="B279" i="37" s="1"/>
  <c r="E280" i="37"/>
  <c r="B280" i="37" s="1"/>
  <c r="E281" i="37"/>
  <c r="B281" i="37" s="1"/>
  <c r="E282" i="37"/>
  <c r="B282" i="37" s="1"/>
  <c r="E283" i="37"/>
  <c r="B283" i="37" s="1"/>
  <c r="E284" i="37"/>
  <c r="B284" i="37" s="1"/>
  <c r="E285" i="37"/>
  <c r="B285" i="37" s="1"/>
  <c r="E286" i="37"/>
  <c r="B286" i="37" s="1"/>
  <c r="E287" i="37"/>
  <c r="B287" i="37" s="1"/>
  <c r="E288" i="37"/>
  <c r="B288" i="37" s="1"/>
  <c r="E289" i="37"/>
  <c r="B289" i="37" s="1"/>
  <c r="E290" i="37"/>
  <c r="B290" i="37" s="1"/>
  <c r="E291" i="37"/>
  <c r="B291" i="37" s="1"/>
  <c r="E292" i="37"/>
  <c r="B292" i="37" s="1"/>
  <c r="E293" i="37"/>
  <c r="B293" i="37" s="1"/>
  <c r="E294" i="37"/>
  <c r="B294" i="37" s="1"/>
  <c r="E295" i="37"/>
  <c r="B295" i="37" s="1"/>
  <c r="E296" i="37"/>
  <c r="B296" i="37" s="1"/>
  <c r="E297" i="37"/>
  <c r="B297" i="37" s="1"/>
  <c r="E298" i="37"/>
  <c r="B298" i="37" s="1"/>
  <c r="E299" i="37"/>
  <c r="B299" i="37" s="1"/>
  <c r="E300" i="37"/>
  <c r="B300" i="37" s="1"/>
  <c r="E301" i="37"/>
  <c r="B301" i="37" s="1"/>
  <c r="E302" i="37"/>
  <c r="B302" i="37" s="1"/>
  <c r="E303" i="37"/>
  <c r="B303" i="37" s="1"/>
  <c r="E304" i="37"/>
  <c r="B304" i="37" s="1"/>
  <c r="E305" i="37"/>
  <c r="B305" i="37" s="1"/>
  <c r="E306" i="37"/>
  <c r="B306" i="37" s="1"/>
  <c r="E307" i="37"/>
  <c r="B307" i="37" s="1"/>
  <c r="E308" i="37"/>
  <c r="E309" i="37"/>
  <c r="B309" i="37" s="1"/>
  <c r="D309" i="37"/>
  <c r="D310" i="37" s="1"/>
  <c r="D311" i="37" s="1"/>
  <c r="D312" i="37" s="1"/>
  <c r="D313" i="37" s="1"/>
  <c r="D314" i="37" s="1"/>
  <c r="D315" i="37" s="1"/>
  <c r="D316" i="37" s="1"/>
  <c r="D317" i="37" s="1"/>
  <c r="D318" i="37" s="1"/>
  <c r="D319" i="37" s="1"/>
  <c r="D320" i="37" s="1"/>
  <c r="D321" i="37" s="1"/>
  <c r="D322" i="37" s="1"/>
  <c r="D323" i="37" s="1"/>
  <c r="D324" i="37" s="1"/>
  <c r="D325" i="37" s="1"/>
  <c r="D326" i="37" s="1"/>
  <c r="D327" i="37" s="1"/>
  <c r="D328" i="37" s="1"/>
  <c r="D329" i="37" s="1"/>
  <c r="D330" i="37" s="1"/>
  <c r="D331" i="37" s="1"/>
  <c r="D332" i="37" s="1"/>
  <c r="D333" i="37" s="1"/>
  <c r="D334" i="37" s="1"/>
  <c r="D335" i="37" s="1"/>
  <c r="D336" i="37" s="1"/>
  <c r="D337" i="37" s="1"/>
  <c r="D338" i="37" s="1"/>
  <c r="D339" i="37" s="1"/>
  <c r="D340" i="37" s="1"/>
  <c r="D341" i="37" s="1"/>
  <c r="D342" i="37" s="1"/>
  <c r="D343" i="37" s="1"/>
  <c r="D344" i="37" s="1"/>
  <c r="D345" i="37" s="1"/>
  <c r="D346" i="37" s="1"/>
  <c r="D347" i="37" s="1"/>
  <c r="D348" i="37" s="1"/>
  <c r="D349" i="37" s="1"/>
  <c r="D350" i="37" s="1"/>
  <c r="D351" i="37" s="1"/>
  <c r="D352" i="37" s="1"/>
  <c r="D353" i="37" s="1"/>
  <c r="D354" i="37" s="1"/>
  <c r="D355" i="37" s="1"/>
  <c r="D356" i="37" s="1"/>
  <c r="D357" i="37" s="1"/>
  <c r="E310" i="37"/>
  <c r="B310" i="37" s="1"/>
  <c r="E311" i="37"/>
  <c r="B311" i="37" s="1"/>
  <c r="E312" i="37"/>
  <c r="B312" i="37" s="1"/>
  <c r="E313" i="37"/>
  <c r="B313" i="37" s="1"/>
  <c r="E314" i="37"/>
  <c r="B314" i="37" s="1"/>
  <c r="E315" i="37"/>
  <c r="B315" i="37" s="1"/>
  <c r="E316" i="37"/>
  <c r="B316" i="37" s="1"/>
  <c r="E317" i="37"/>
  <c r="B317" i="37" s="1"/>
  <c r="E318" i="37"/>
  <c r="B318" i="37" s="1"/>
  <c r="E319" i="37"/>
  <c r="B319" i="37" s="1"/>
  <c r="E320" i="37"/>
  <c r="B320" i="37" s="1"/>
  <c r="E321" i="37"/>
  <c r="B321" i="37" s="1"/>
  <c r="E322" i="37"/>
  <c r="B322" i="37" s="1"/>
  <c r="E323" i="37"/>
  <c r="B323" i="37" s="1"/>
  <c r="E324" i="37"/>
  <c r="B324" i="37" s="1"/>
  <c r="E325" i="37"/>
  <c r="B325" i="37" s="1"/>
  <c r="E326" i="37"/>
  <c r="B326" i="37" s="1"/>
  <c r="E327" i="37"/>
  <c r="B327" i="37" s="1"/>
  <c r="E328" i="37"/>
  <c r="B328" i="37" s="1"/>
  <c r="E329" i="37"/>
  <c r="B329" i="37" s="1"/>
  <c r="E330" i="37"/>
  <c r="B330" i="37" s="1"/>
  <c r="E331" i="37"/>
  <c r="B331" i="37" s="1"/>
  <c r="E332" i="37"/>
  <c r="B332" i="37" s="1"/>
  <c r="E333" i="37"/>
  <c r="B333" i="37" s="1"/>
  <c r="E334" i="37"/>
  <c r="B334" i="37" s="1"/>
  <c r="E335" i="37"/>
  <c r="B335" i="37" s="1"/>
  <c r="E336" i="37"/>
  <c r="B336" i="37" s="1"/>
  <c r="E337" i="37"/>
  <c r="B337" i="37" s="1"/>
  <c r="E338" i="37"/>
  <c r="B338" i="37" s="1"/>
  <c r="E339" i="37"/>
  <c r="B339" i="37" s="1"/>
  <c r="E340" i="37"/>
  <c r="B340" i="37" s="1"/>
  <c r="E341" i="37"/>
  <c r="B341" i="37" s="1"/>
  <c r="E342" i="37"/>
  <c r="B342" i="37" s="1"/>
  <c r="E343" i="37"/>
  <c r="B343" i="37" s="1"/>
  <c r="E344" i="37"/>
  <c r="B344" i="37" s="1"/>
  <c r="E345" i="37"/>
  <c r="B345" i="37" s="1"/>
  <c r="E346" i="37"/>
  <c r="B346" i="37" s="1"/>
  <c r="E347" i="37"/>
  <c r="B347" i="37" s="1"/>
  <c r="E348" i="37"/>
  <c r="B348" i="37" s="1"/>
  <c r="E349" i="37"/>
  <c r="B349" i="37" s="1"/>
  <c r="E350" i="37"/>
  <c r="B350" i="37" s="1"/>
  <c r="E351" i="37"/>
  <c r="B351" i="37" s="1"/>
  <c r="E352" i="37"/>
  <c r="B352" i="37" s="1"/>
  <c r="E353" i="37"/>
  <c r="B353" i="37" s="1"/>
  <c r="E354" i="37"/>
  <c r="B354" i="37" s="1"/>
  <c r="E355" i="37"/>
  <c r="B355" i="37" s="1"/>
  <c r="E356" i="37"/>
  <c r="B356" i="37" s="1"/>
  <c r="E357" i="37"/>
  <c r="B357" i="37" s="1"/>
  <c r="J4" i="36"/>
  <c r="C8" i="36"/>
  <c r="G8" i="36"/>
  <c r="C9" i="36"/>
  <c r="G9" i="36"/>
  <c r="C10" i="36"/>
  <c r="G10" i="36"/>
  <c r="C11" i="36"/>
  <c r="G11" i="36"/>
  <c r="C12" i="36"/>
  <c r="G12" i="36"/>
  <c r="C13" i="36"/>
  <c r="G13" i="36"/>
  <c r="C14" i="36"/>
  <c r="G14" i="36"/>
  <c r="D8" i="35"/>
  <c r="F8" i="35"/>
  <c r="G8" i="35"/>
  <c r="I8" i="35"/>
  <c r="L8" i="35"/>
  <c r="C9" i="2"/>
  <c r="N9" i="35" s="1"/>
  <c r="Q8" i="35"/>
  <c r="R8" i="35"/>
  <c r="U8" i="35"/>
  <c r="X8" i="35"/>
  <c r="AG8" i="35"/>
  <c r="AL8" i="35"/>
  <c r="D9" i="35"/>
  <c r="F9" i="35"/>
  <c r="G9" i="35"/>
  <c r="I9" i="35"/>
  <c r="L9" i="35"/>
  <c r="Q9" i="35"/>
  <c r="R9" i="35"/>
  <c r="U9" i="35"/>
  <c r="X9" i="35"/>
  <c r="AG9" i="35"/>
  <c r="D10" i="35"/>
  <c r="F10" i="35"/>
  <c r="G10" i="35"/>
  <c r="I10" i="35"/>
  <c r="L10" i="35"/>
  <c r="Q10" i="35"/>
  <c r="R10" i="35"/>
  <c r="U10" i="35"/>
  <c r="X10" i="35"/>
  <c r="AG10" i="35"/>
  <c r="D11" i="35"/>
  <c r="F11" i="35"/>
  <c r="G11" i="35"/>
  <c r="I11" i="35"/>
  <c r="L11" i="35"/>
  <c r="Q11" i="35"/>
  <c r="R11" i="35"/>
  <c r="U11" i="35"/>
  <c r="X11" i="35"/>
  <c r="AG11" i="35"/>
  <c r="D12" i="35"/>
  <c r="F12" i="35"/>
  <c r="G12" i="35"/>
  <c r="I12" i="35"/>
  <c r="L12" i="35"/>
  <c r="Q12" i="35"/>
  <c r="R12" i="35"/>
  <c r="U12" i="35"/>
  <c r="U13" i="35" s="1"/>
  <c r="X12" i="35"/>
  <c r="AG12" i="35"/>
  <c r="D13" i="35"/>
  <c r="F13" i="35"/>
  <c r="G13" i="35"/>
  <c r="I13" i="35"/>
  <c r="L13" i="35"/>
  <c r="Q13" i="35"/>
  <c r="R13" i="35"/>
  <c r="X13" i="35"/>
  <c r="AG13" i="35"/>
  <c r="AL13" i="35"/>
  <c r="D14" i="35"/>
  <c r="F14" i="35"/>
  <c r="G14" i="35"/>
  <c r="I14" i="35"/>
  <c r="L14" i="35"/>
  <c r="Q14" i="35"/>
  <c r="R14" i="35"/>
  <c r="X14" i="35"/>
  <c r="AG14" i="35"/>
  <c r="AL14" i="35"/>
  <c r="D2" i="34"/>
  <c r="E2" i="34"/>
  <c r="T5" i="1"/>
  <c r="T8" i="1"/>
  <c r="T9" i="1"/>
  <c r="T10" i="1"/>
  <c r="T11" i="1"/>
  <c r="T12" i="1"/>
  <c r="T13" i="1"/>
  <c r="T14" i="1"/>
  <c r="V15" i="1"/>
  <c r="B27" i="1"/>
  <c r="C42" i="1" s="1"/>
  <c r="D42" i="1" s="1"/>
  <c r="B34" i="1"/>
  <c r="C10" i="7"/>
  <c r="L57" i="1" s="1"/>
  <c r="C11" i="7"/>
  <c r="C12" i="7"/>
  <c r="N62" i="1" s="1"/>
  <c r="C13" i="7"/>
  <c r="O62" i="1" s="1"/>
  <c r="C14" i="7"/>
  <c r="O63" i="1" s="1"/>
  <c r="C15" i="7"/>
  <c r="O64" i="1" s="1"/>
  <c r="C18" i="7"/>
  <c r="C19" i="7"/>
  <c r="Q65" i="1" s="1"/>
  <c r="C20" i="7"/>
  <c r="Q66" i="1" s="1"/>
  <c r="C21" i="7"/>
  <c r="N68" i="1" s="1"/>
  <c r="C23" i="7"/>
  <c r="P69" i="1" s="1"/>
  <c r="D23" i="7"/>
  <c r="D53" i="1"/>
  <c r="F10" i="7"/>
  <c r="U58" i="1" s="1"/>
  <c r="I10" i="7"/>
  <c r="Z58" i="1" s="1"/>
  <c r="L10" i="7"/>
  <c r="AH58" i="1" s="1"/>
  <c r="F11" i="7"/>
  <c r="I11" i="7"/>
  <c r="Y61" i="1" s="1"/>
  <c r="L11" i="7"/>
  <c r="AF61" i="1" s="1"/>
  <c r="F12" i="7"/>
  <c r="W59" i="1" s="1"/>
  <c r="I12" i="7"/>
  <c r="AB60" i="1" s="1"/>
  <c r="L12" i="7"/>
  <c r="AE62" i="1" s="1"/>
  <c r="F13" i="7"/>
  <c r="W60" i="1" s="1"/>
  <c r="I13" i="7"/>
  <c r="Z63" i="1" s="1"/>
  <c r="L13" i="7"/>
  <c r="F14" i="7"/>
  <c r="I14" i="7"/>
  <c r="AA63" i="1" s="1"/>
  <c r="L14" i="7"/>
  <c r="F15" i="7"/>
  <c r="U64" i="1" s="1"/>
  <c r="I15" i="7"/>
  <c r="AB63" i="1" s="1"/>
  <c r="L15" i="7"/>
  <c r="C17" i="7"/>
  <c r="Q63" i="1" s="1"/>
  <c r="F17" i="7"/>
  <c r="I17" i="7"/>
  <c r="L17" i="7"/>
  <c r="AI63" i="1" s="1"/>
  <c r="F18" i="7"/>
  <c r="I18" i="7"/>
  <c r="Y65" i="1" s="1"/>
  <c r="L18" i="7"/>
  <c r="AG65" i="1" s="1"/>
  <c r="F19" i="7"/>
  <c r="I19" i="7"/>
  <c r="AA66" i="1" s="1"/>
  <c r="L19" i="7"/>
  <c r="AD66" i="1" s="1"/>
  <c r="F20" i="7"/>
  <c r="U67" i="1" s="1"/>
  <c r="I20" i="7"/>
  <c r="AA67" i="1" s="1"/>
  <c r="L20" i="7"/>
  <c r="AE67" i="1" s="1"/>
  <c r="F21" i="7"/>
  <c r="U68" i="1" s="1"/>
  <c r="I21" i="7"/>
  <c r="Y68" i="1" s="1"/>
  <c r="L21" i="7"/>
  <c r="AH68" i="1" s="1"/>
  <c r="C22" i="7"/>
  <c r="Q68" i="1" s="1"/>
  <c r="F22" i="7"/>
  <c r="W68" i="1" s="1"/>
  <c r="I22" i="7"/>
  <c r="AC68" i="1" s="1"/>
  <c r="L22" i="7"/>
  <c r="AI68" i="1" s="1"/>
  <c r="D71" i="1"/>
  <c r="D89" i="1"/>
  <c r="D107" i="1"/>
  <c r="C2" i="12"/>
  <c r="C3" i="12"/>
  <c r="B5" i="2"/>
  <c r="C4" i="4" s="1"/>
  <c r="C6" i="2"/>
  <c r="G1" i="6" s="1"/>
  <c r="I32" i="12"/>
  <c r="D21" i="12" s="1"/>
  <c r="B22" i="12"/>
  <c r="AD51" i="5" s="1"/>
  <c r="K35" i="7"/>
  <c r="M35" i="7" s="1"/>
  <c r="C22" i="12" s="1"/>
  <c r="C27" i="12"/>
  <c r="D27" i="12"/>
  <c r="C28" i="12"/>
  <c r="D28" i="12"/>
  <c r="C29" i="12"/>
  <c r="D29" i="12"/>
  <c r="D10" i="12" s="1"/>
  <c r="C30" i="12"/>
  <c r="D30" i="12"/>
  <c r="D11" i="12" s="1"/>
  <c r="C31" i="12"/>
  <c r="D31" i="12"/>
  <c r="C32" i="12"/>
  <c r="D32" i="12"/>
  <c r="C33" i="12"/>
  <c r="D33" i="12"/>
  <c r="D14" i="12" s="1"/>
  <c r="C34" i="12"/>
  <c r="D34" i="12"/>
  <c r="D15" i="12" s="1"/>
  <c r="C35" i="12"/>
  <c r="D35" i="12"/>
  <c r="C36" i="12"/>
  <c r="D36" i="12"/>
  <c r="C37" i="12"/>
  <c r="D37" i="12"/>
  <c r="D18" i="12" s="1"/>
  <c r="C38" i="12"/>
  <c r="D22" i="12" s="1"/>
  <c r="D38" i="12"/>
  <c r="D19" i="12" s="1"/>
  <c r="H38" i="12"/>
  <c r="I38" i="12"/>
  <c r="C39" i="12"/>
  <c r="D39" i="12"/>
  <c r="G127" i="5" s="1"/>
  <c r="H127" i="5" s="1"/>
  <c r="I127" i="5" s="1"/>
  <c r="C40" i="12"/>
  <c r="H41" i="12"/>
  <c r="I41" i="12"/>
  <c r="G46" i="12"/>
  <c r="C2" i="11"/>
  <c r="C3" i="11"/>
  <c r="B22" i="11"/>
  <c r="X51" i="5" s="1"/>
  <c r="H35" i="7"/>
  <c r="J35" i="7" s="1"/>
  <c r="C22" i="11" s="1"/>
  <c r="C27" i="11"/>
  <c r="D27" i="11"/>
  <c r="D8" i="11" s="1"/>
  <c r="C28" i="11"/>
  <c r="D28" i="11"/>
  <c r="D9" i="11" s="1"/>
  <c r="C29" i="11"/>
  <c r="D29" i="11"/>
  <c r="C30" i="11"/>
  <c r="D30" i="11"/>
  <c r="D11" i="11" s="1"/>
  <c r="C31" i="11"/>
  <c r="D31" i="11"/>
  <c r="D12" i="11" s="1"/>
  <c r="C32" i="11"/>
  <c r="D32" i="11"/>
  <c r="D13" i="11" s="1"/>
  <c r="C33" i="11"/>
  <c r="D33" i="11"/>
  <c r="C34" i="11"/>
  <c r="D34" i="11"/>
  <c r="D15" i="11" s="1"/>
  <c r="C35" i="11"/>
  <c r="D35" i="11"/>
  <c r="D16" i="11" s="1"/>
  <c r="C36" i="11"/>
  <c r="D36" i="11"/>
  <c r="D17" i="11" s="1"/>
  <c r="C37" i="11"/>
  <c r="D37" i="11"/>
  <c r="C38" i="11"/>
  <c r="D22" i="11" s="1"/>
  <c r="D38" i="11"/>
  <c r="H38" i="11"/>
  <c r="I38" i="11"/>
  <c r="C39" i="11"/>
  <c r="D39" i="11"/>
  <c r="D20" i="11" s="1"/>
  <c r="C40" i="11"/>
  <c r="H41" i="11"/>
  <c r="I41" i="11"/>
  <c r="G46" i="11"/>
  <c r="C2" i="10"/>
  <c r="C3" i="10"/>
  <c r="D27" i="10"/>
  <c r="D8" i="10" s="1"/>
  <c r="I32" i="10"/>
  <c r="D21" i="10" s="1"/>
  <c r="B22" i="10"/>
  <c r="E35" i="7"/>
  <c r="G35" i="7" s="1"/>
  <c r="C22" i="10" s="1"/>
  <c r="D22" i="10"/>
  <c r="H38" i="10"/>
  <c r="I38" i="10"/>
  <c r="H41" i="10"/>
  <c r="I41" i="10"/>
  <c r="G46" i="10"/>
  <c r="C2" i="9"/>
  <c r="C3" i="9"/>
  <c r="D27" i="9"/>
  <c r="B22" i="9"/>
  <c r="B35" i="7"/>
  <c r="D35" i="7" s="1"/>
  <c r="C22" i="9" s="1"/>
  <c r="I32" i="9"/>
  <c r="H38" i="9"/>
  <c r="I38" i="9"/>
  <c r="H41" i="9"/>
  <c r="I41" i="9"/>
  <c r="G46" i="9"/>
  <c r="C1" i="6"/>
  <c r="C2" i="6"/>
  <c r="F9" i="6"/>
  <c r="G9" i="6" s="1"/>
  <c r="H9" i="6" s="1"/>
  <c r="F16" i="6"/>
  <c r="G16" i="6" s="1"/>
  <c r="H16" i="6" s="1"/>
  <c r="D22" i="6"/>
  <c r="D25" i="6"/>
  <c r="D26" i="6" s="1"/>
  <c r="J28" i="6" s="1"/>
  <c r="J27" i="6" s="1"/>
  <c r="F22" i="6"/>
  <c r="C33" i="6"/>
  <c r="D33" i="6"/>
  <c r="G1110" i="41" s="1"/>
  <c r="F33" i="6"/>
  <c r="G33" i="6"/>
  <c r="G1320" i="41" s="1"/>
  <c r="C34" i="6"/>
  <c r="D34" i="6"/>
  <c r="G1111" i="41" s="1"/>
  <c r="F34" i="6"/>
  <c r="G34" i="6"/>
  <c r="G1321" i="41" s="1"/>
  <c r="C35" i="6"/>
  <c r="D35" i="6"/>
  <c r="G1112" i="41" s="1"/>
  <c r="F35" i="6"/>
  <c r="G35" i="6"/>
  <c r="G1322" i="41" s="1"/>
  <c r="C36" i="6"/>
  <c r="D36" i="6"/>
  <c r="G1113" i="41" s="1"/>
  <c r="F36" i="6"/>
  <c r="G36" i="6"/>
  <c r="G1323" i="41" s="1"/>
  <c r="C37" i="6"/>
  <c r="D37" i="6"/>
  <c r="G1114" i="41" s="1"/>
  <c r="F37" i="6"/>
  <c r="G37" i="6"/>
  <c r="G1324" i="41" s="1"/>
  <c r="C38" i="6"/>
  <c r="D38" i="6"/>
  <c r="G1115" i="41" s="1"/>
  <c r="F38" i="6"/>
  <c r="G38" i="6"/>
  <c r="G1325" i="41" s="1"/>
  <c r="C39" i="6"/>
  <c r="D39" i="6"/>
  <c r="G1116" i="41" s="1"/>
  <c r="F39" i="6"/>
  <c r="G39" i="6"/>
  <c r="G1326" i="41" s="1"/>
  <c r="M39" i="6"/>
  <c r="N39" i="6"/>
  <c r="C40" i="6"/>
  <c r="D40" i="6"/>
  <c r="G1117" i="41" s="1"/>
  <c r="F40" i="6"/>
  <c r="G40" i="6"/>
  <c r="G1327" i="41" s="1"/>
  <c r="C41" i="6"/>
  <c r="D41" i="6"/>
  <c r="G1118" i="41" s="1"/>
  <c r="F41" i="6"/>
  <c r="G41" i="6"/>
  <c r="G1328" i="41" s="1"/>
  <c r="C42" i="6"/>
  <c r="D42" i="6"/>
  <c r="G1119" i="41" s="1"/>
  <c r="F42" i="6"/>
  <c r="G42" i="6"/>
  <c r="G1329" i="41" s="1"/>
  <c r="C43" i="6"/>
  <c r="D43" i="6"/>
  <c r="G1120" i="41" s="1"/>
  <c r="F43" i="6"/>
  <c r="G43" i="6"/>
  <c r="G1330" i="41" s="1"/>
  <c r="C44" i="6"/>
  <c r="D44" i="6"/>
  <c r="G1121" i="41" s="1"/>
  <c r="F44" i="6"/>
  <c r="G44" i="6"/>
  <c r="G1331" i="41" s="1"/>
  <c r="C45" i="6"/>
  <c r="D45" i="6"/>
  <c r="G1122" i="41" s="1"/>
  <c r="F45" i="6"/>
  <c r="G45" i="6"/>
  <c r="G1332" i="41" s="1"/>
  <c r="C46" i="6"/>
  <c r="D46" i="6"/>
  <c r="G1123" i="41" s="1"/>
  <c r="F46" i="6"/>
  <c r="G46" i="6"/>
  <c r="G1333" i="41" s="1"/>
  <c r="C47" i="6"/>
  <c r="F47" i="6"/>
  <c r="D48" i="6"/>
  <c r="G48" i="6"/>
  <c r="B49" i="6"/>
  <c r="D49" i="6" s="1"/>
  <c r="E49" i="6"/>
  <c r="G49" i="6" s="1"/>
  <c r="D1" i="7"/>
  <c r="D2" i="7"/>
  <c r="C16" i="7"/>
  <c r="F16" i="7"/>
  <c r="I16" i="7"/>
  <c r="L16" i="7"/>
  <c r="C24" i="7"/>
  <c r="F24" i="7"/>
  <c r="I24" i="7"/>
  <c r="L24" i="7"/>
  <c r="C2" i="4"/>
  <c r="C3" i="4"/>
  <c r="G20" i="4"/>
  <c r="H20" i="4" s="1"/>
  <c r="I20" i="4" s="1"/>
  <c r="G21" i="4"/>
  <c r="H21" i="4" s="1"/>
  <c r="I21" i="4" s="1"/>
  <c r="P65" i="5" s="1"/>
  <c r="G22" i="4"/>
  <c r="H22" i="4" s="1"/>
  <c r="G23" i="4"/>
  <c r="H23" i="4" s="1"/>
  <c r="G25" i="4"/>
  <c r="H25" i="4" s="1"/>
  <c r="I25" i="4" s="1"/>
  <c r="G26" i="4"/>
  <c r="H26" i="4" s="1"/>
  <c r="I26" i="4" s="1"/>
  <c r="J26" i="4" s="1"/>
  <c r="G27" i="4"/>
  <c r="H27" i="4" s="1"/>
  <c r="G929" i="41"/>
  <c r="G28" i="4"/>
  <c r="H28" i="4" s="1"/>
  <c r="I28" i="4" s="1"/>
  <c r="P71" i="5" s="1"/>
  <c r="G33" i="4"/>
  <c r="H33" i="4" s="1"/>
  <c r="G91" i="41" s="1"/>
  <c r="G34" i="4"/>
  <c r="H34" i="4" s="1"/>
  <c r="I34" i="4" s="1"/>
  <c r="F56" i="5" s="1"/>
  <c r="G36" i="4"/>
  <c r="H36" i="4" s="1"/>
  <c r="G37" i="4"/>
  <c r="H37" i="4" s="1"/>
  <c r="I37" i="4" s="1"/>
  <c r="G39" i="4"/>
  <c r="H39" i="4" s="1"/>
  <c r="G721" i="41" s="1"/>
  <c r="G40" i="4"/>
  <c r="H40" i="4" s="1"/>
  <c r="G42" i="4"/>
  <c r="H42" i="4" s="1"/>
  <c r="G43" i="4"/>
  <c r="H43" i="4" s="1"/>
  <c r="B1" i="3"/>
  <c r="E1" i="3"/>
  <c r="B2" i="3"/>
  <c r="F12" i="3"/>
  <c r="G12" i="3"/>
  <c r="G14" i="3" s="1"/>
  <c r="F13" i="3"/>
  <c r="G13" i="3"/>
  <c r="H13" i="3" s="1"/>
  <c r="F18" i="3"/>
  <c r="F19" i="3"/>
  <c r="G19" i="3"/>
  <c r="H19" i="3" s="1"/>
  <c r="F24" i="3"/>
  <c r="G24" i="3"/>
  <c r="F25" i="3"/>
  <c r="G25" i="3"/>
  <c r="H25" i="3" s="1"/>
  <c r="F30" i="3"/>
  <c r="F31" i="3"/>
  <c r="G31" i="3"/>
  <c r="H31" i="3" s="1"/>
  <c r="D38" i="3"/>
  <c r="D41" i="3"/>
  <c r="F38" i="3"/>
  <c r="F41" i="3"/>
  <c r="H38" i="3"/>
  <c r="H41" i="3"/>
  <c r="H42" i="3" s="1"/>
  <c r="J38" i="3"/>
  <c r="J41" i="3"/>
  <c r="J42" i="3" s="1"/>
  <c r="C25" i="4" s="1"/>
  <c r="N38" i="3"/>
  <c r="N41" i="3"/>
  <c r="G48" i="3"/>
  <c r="H48" i="3"/>
  <c r="I48" i="3"/>
  <c r="J48" i="3"/>
  <c r="O1" i="5"/>
  <c r="F121" i="41" s="1"/>
  <c r="O2" i="5"/>
  <c r="F332" i="41" s="1"/>
  <c r="BJ2" i="5"/>
  <c r="BJ3" i="5" s="1"/>
  <c r="BJ4" i="5" s="1"/>
  <c r="BJ5" i="5" s="1"/>
  <c r="BJ6" i="5" s="1"/>
  <c r="BJ7" i="5" s="1"/>
  <c r="BJ8" i="5" s="1"/>
  <c r="BJ9" i="5" s="1"/>
  <c r="BJ10" i="5" s="1"/>
  <c r="BJ11" i="5" s="1"/>
  <c r="BJ12" i="5" s="1"/>
  <c r="BJ13" i="5" s="1"/>
  <c r="BJ14" i="5" s="1"/>
  <c r="BJ15" i="5" s="1"/>
  <c r="BJ16" i="5" s="1"/>
  <c r="BJ17" i="5" s="1"/>
  <c r="BJ18" i="5" s="1"/>
  <c r="BJ19" i="5" s="1"/>
  <c r="BJ20" i="5" s="1"/>
  <c r="BJ21" i="5" s="1"/>
  <c r="BJ22" i="5" s="1"/>
  <c r="BJ23" i="5" s="1"/>
  <c r="BJ24" i="5" s="1"/>
  <c r="BJ25" i="5" s="1"/>
  <c r="BJ26" i="5" s="1"/>
  <c r="BJ27" i="5" s="1"/>
  <c r="BJ28" i="5" s="1"/>
  <c r="BJ29" i="5" s="1"/>
  <c r="BJ30" i="5" s="1"/>
  <c r="BJ31" i="5" s="1"/>
  <c r="BJ32" i="5" s="1"/>
  <c r="BJ33" i="5" s="1"/>
  <c r="BJ34" i="5" s="1"/>
  <c r="BJ35" i="5" s="1"/>
  <c r="BJ36" i="5" s="1"/>
  <c r="BJ37" i="5" s="1"/>
  <c r="BJ38" i="5" s="1"/>
  <c r="BJ39" i="5" s="1"/>
  <c r="BJ40" i="5" s="1"/>
  <c r="BJ41" i="5" s="1"/>
  <c r="BJ42" i="5" s="1"/>
  <c r="BJ43" i="5" s="1"/>
  <c r="BJ44" i="5" s="1"/>
  <c r="BJ45" i="5" s="1"/>
  <c r="BJ46" i="5" s="1"/>
  <c r="BJ47" i="5" s="1"/>
  <c r="BJ48" i="5" s="1"/>
  <c r="BJ49" i="5" s="1"/>
  <c r="BJ50" i="5" s="1"/>
  <c r="BJ51" i="5" s="1"/>
  <c r="BJ52" i="5" s="1"/>
  <c r="BJ53" i="5" s="1"/>
  <c r="BJ54" i="5" s="1"/>
  <c r="BJ55" i="5" s="1"/>
  <c r="BJ56" i="5" s="1"/>
  <c r="BJ57" i="5" s="1"/>
  <c r="BJ58" i="5" s="1"/>
  <c r="BJ59" i="5" s="1"/>
  <c r="BJ60" i="5" s="1"/>
  <c r="BJ61" i="5" s="1"/>
  <c r="BJ62" i="5" s="1"/>
  <c r="BJ63" i="5" s="1"/>
  <c r="BJ64" i="5" s="1"/>
  <c r="BJ65" i="5" s="1"/>
  <c r="BJ66" i="5" s="1"/>
  <c r="BJ67" i="5" s="1"/>
  <c r="BJ68" i="5" s="1"/>
  <c r="BJ69" i="5" s="1"/>
  <c r="BJ70" i="5" s="1"/>
  <c r="BJ71" i="5" s="1"/>
  <c r="BJ72" i="5" s="1"/>
  <c r="BJ73" i="5" s="1"/>
  <c r="BJ74" i="5" s="1"/>
  <c r="BJ75" i="5" s="1"/>
  <c r="BJ76" i="5" s="1"/>
  <c r="BJ77" i="5" s="1"/>
  <c r="BJ78" i="5" s="1"/>
  <c r="BJ79" i="5" s="1"/>
  <c r="BJ80" i="5" s="1"/>
  <c r="BJ81" i="5" s="1"/>
  <c r="BJ82" i="5" s="1"/>
  <c r="BJ83" i="5" s="1"/>
  <c r="BJ84" i="5" s="1"/>
  <c r="BJ85" i="5" s="1"/>
  <c r="BJ86" i="5" s="1"/>
  <c r="BJ87" i="5" s="1"/>
  <c r="BJ88" i="5" s="1"/>
  <c r="BJ89" i="5" s="1"/>
  <c r="BJ90" i="5" s="1"/>
  <c r="BJ91" i="5" s="1"/>
  <c r="BJ92" i="5" s="1"/>
  <c r="BJ93" i="5" s="1"/>
  <c r="BJ94" i="5" s="1"/>
  <c r="BJ95" i="5" s="1"/>
  <c r="BJ96" i="5" s="1"/>
  <c r="BJ97" i="5" s="1"/>
  <c r="BJ98" i="5" s="1"/>
  <c r="BJ99" i="5" s="1"/>
  <c r="N4" i="5"/>
  <c r="O4" i="5"/>
  <c r="P4" i="5"/>
  <c r="S4" i="5"/>
  <c r="T4" i="5"/>
  <c r="U4" i="5"/>
  <c r="V4" i="5"/>
  <c r="BZ4" i="5"/>
  <c r="N5" i="5"/>
  <c r="O5" i="5"/>
  <c r="P5" i="5"/>
  <c r="S5" i="5"/>
  <c r="T5" i="5"/>
  <c r="U5" i="5"/>
  <c r="V5" i="5"/>
  <c r="BZ5" i="5"/>
  <c r="N6" i="5"/>
  <c r="O6" i="5"/>
  <c r="P6" i="5"/>
  <c r="S6" i="5"/>
  <c r="T6" i="5"/>
  <c r="U6" i="5"/>
  <c r="V6" i="5"/>
  <c r="BZ6" i="5"/>
  <c r="BZ7" i="5"/>
  <c r="BZ8" i="5"/>
  <c r="BZ9" i="5"/>
  <c r="BZ10" i="5"/>
  <c r="BZ11" i="5"/>
  <c r="BZ12" i="5"/>
  <c r="BZ13" i="5"/>
  <c r="BZ14" i="5"/>
  <c r="H15" i="5"/>
  <c r="BZ15" i="5"/>
  <c r="AY16" i="5"/>
  <c r="AZ16" i="5"/>
  <c r="BZ16" i="5"/>
  <c r="AY17" i="5"/>
  <c r="AZ17" i="5"/>
  <c r="BZ17" i="5"/>
  <c r="AY18" i="5"/>
  <c r="AZ18" i="5"/>
  <c r="BZ18" i="5"/>
  <c r="AY19" i="5"/>
  <c r="AZ19" i="5"/>
  <c r="G13" i="7"/>
  <c r="BZ19" i="5"/>
  <c r="BZ20" i="5"/>
  <c r="BZ21" i="5"/>
  <c r="AY22" i="5"/>
  <c r="D16" i="7"/>
  <c r="G276" i="41" s="1"/>
  <c r="AZ22" i="5"/>
  <c r="BZ22" i="5"/>
  <c r="BZ23" i="5"/>
  <c r="BZ24" i="5"/>
  <c r="BZ25" i="5"/>
  <c r="BZ26" i="5"/>
  <c r="BZ27" i="5"/>
  <c r="BZ28" i="5"/>
  <c r="BZ29" i="5"/>
  <c r="AY30" i="5"/>
  <c r="BZ30" i="5"/>
  <c r="BZ31" i="5"/>
  <c r="BZ32" i="5"/>
  <c r="BZ33" i="5"/>
  <c r="BZ34" i="5"/>
  <c r="BZ35" i="5"/>
  <c r="BZ36" i="5"/>
  <c r="L37" i="5"/>
  <c r="M37" i="5"/>
  <c r="R37" i="5"/>
  <c r="S37" i="5"/>
  <c r="X37" i="5"/>
  <c r="Y37" i="5"/>
  <c r="AD37" i="5"/>
  <c r="AE37" i="5"/>
  <c r="BZ37" i="5"/>
  <c r="L38" i="5"/>
  <c r="M38" i="5"/>
  <c r="R38" i="5"/>
  <c r="S38" i="5"/>
  <c r="X38" i="5"/>
  <c r="Y38" i="5"/>
  <c r="AD38" i="5"/>
  <c r="AE38" i="5"/>
  <c r="BZ38" i="5"/>
  <c r="L39" i="5"/>
  <c r="M39" i="5"/>
  <c r="R39" i="5"/>
  <c r="S39" i="5"/>
  <c r="X39" i="5"/>
  <c r="Y39" i="5"/>
  <c r="AD39" i="5"/>
  <c r="AE39" i="5"/>
  <c r="BZ39" i="5"/>
  <c r="L40" i="5"/>
  <c r="M40" i="5"/>
  <c r="R40" i="5"/>
  <c r="S40" i="5"/>
  <c r="X40" i="5"/>
  <c r="Y40" i="5"/>
  <c r="AD40" i="5"/>
  <c r="AE40" i="5"/>
  <c r="BZ40" i="5"/>
  <c r="L41" i="5"/>
  <c r="M41" i="5"/>
  <c r="R41" i="5"/>
  <c r="S41" i="5"/>
  <c r="X41" i="5"/>
  <c r="Y41" i="5"/>
  <c r="AD41" i="5"/>
  <c r="AE41" i="5"/>
  <c r="BZ41" i="5"/>
  <c r="L42" i="5"/>
  <c r="M42" i="5"/>
  <c r="R42" i="5"/>
  <c r="S42" i="5"/>
  <c r="X42" i="5"/>
  <c r="Y42" i="5"/>
  <c r="AD42" i="5"/>
  <c r="AE42" i="5"/>
  <c r="BZ42" i="5"/>
  <c r="L43" i="5"/>
  <c r="M43" i="5"/>
  <c r="R43" i="5"/>
  <c r="S43" i="5"/>
  <c r="X43" i="5"/>
  <c r="Y43" i="5"/>
  <c r="AD43" i="5"/>
  <c r="AE43" i="5"/>
  <c r="BZ43" i="5"/>
  <c r="L44" i="5"/>
  <c r="M44" i="5"/>
  <c r="R44" i="5"/>
  <c r="S44" i="5"/>
  <c r="X44" i="5"/>
  <c r="Y44" i="5"/>
  <c r="AD44" i="5"/>
  <c r="AE44" i="5"/>
  <c r="BZ44" i="5"/>
  <c r="L45" i="5"/>
  <c r="M45" i="5"/>
  <c r="R45" i="5"/>
  <c r="S45" i="5"/>
  <c r="X45" i="5"/>
  <c r="Y45" i="5"/>
  <c r="AD45" i="5"/>
  <c r="AE45" i="5"/>
  <c r="BZ45" i="5"/>
  <c r="L46" i="5"/>
  <c r="M46" i="5"/>
  <c r="R46" i="5"/>
  <c r="S46" i="5"/>
  <c r="X46" i="5"/>
  <c r="Y46" i="5"/>
  <c r="AD46" i="5"/>
  <c r="AE46" i="5"/>
  <c r="BZ46" i="5"/>
  <c r="L47" i="5"/>
  <c r="M47" i="5"/>
  <c r="R47" i="5"/>
  <c r="S47" i="5"/>
  <c r="X47" i="5"/>
  <c r="Y47" i="5"/>
  <c r="AD47" i="5"/>
  <c r="AE47" i="5"/>
  <c r="BZ47" i="5"/>
  <c r="L48" i="5"/>
  <c r="M48" i="5"/>
  <c r="R48" i="5"/>
  <c r="S48" i="5"/>
  <c r="X48" i="5"/>
  <c r="Y48" i="5"/>
  <c r="AD48" i="5"/>
  <c r="AE48" i="5"/>
  <c r="BZ48" i="5"/>
  <c r="L49" i="5"/>
  <c r="M49" i="5"/>
  <c r="R49" i="5"/>
  <c r="S49" i="5"/>
  <c r="X49" i="5"/>
  <c r="Y49" i="5"/>
  <c r="AD49" i="5"/>
  <c r="AE49" i="5"/>
  <c r="BZ49" i="5"/>
  <c r="L50" i="5"/>
  <c r="M50" i="5"/>
  <c r="R50" i="5"/>
  <c r="S50" i="5"/>
  <c r="X50" i="5"/>
  <c r="Y50" i="5"/>
  <c r="AD50" i="5"/>
  <c r="AE50" i="5"/>
  <c r="AK50" i="5"/>
  <c r="BZ50" i="5"/>
  <c r="M51" i="5"/>
  <c r="S51" i="5"/>
  <c r="Y51" i="5"/>
  <c r="AE51" i="5"/>
  <c r="BZ51" i="5"/>
  <c r="BZ52" i="5"/>
  <c r="BZ53" i="5"/>
  <c r="BZ54" i="5"/>
  <c r="BZ55" i="5"/>
  <c r="BZ56" i="5"/>
  <c r="BZ57" i="5"/>
  <c r="BZ58" i="5"/>
  <c r="BZ59" i="5"/>
  <c r="BZ60" i="5"/>
  <c r="BZ61" i="5"/>
  <c r="BZ62" i="5"/>
  <c r="BZ63" i="5"/>
  <c r="BZ64" i="5"/>
  <c r="BZ65" i="5"/>
  <c r="BZ66" i="5"/>
  <c r="BZ67" i="5"/>
  <c r="BZ68" i="5"/>
  <c r="BZ69" i="5"/>
  <c r="BZ70" i="5"/>
  <c r="BZ71" i="5"/>
  <c r="BZ72" i="5"/>
  <c r="BZ73" i="5"/>
  <c r="BZ74" i="5"/>
  <c r="BZ75" i="5"/>
  <c r="BZ76" i="5"/>
  <c r="BZ77" i="5"/>
  <c r="BZ78" i="5"/>
  <c r="BZ79" i="5"/>
  <c r="BZ80" i="5"/>
  <c r="BZ81" i="5"/>
  <c r="BZ82" i="5"/>
  <c r="BZ83" i="5"/>
  <c r="BZ84" i="5"/>
  <c r="BZ85" i="5"/>
  <c r="BZ86" i="5"/>
  <c r="BZ87" i="5"/>
  <c r="BZ88" i="5"/>
  <c r="BZ89" i="5"/>
  <c r="BZ90" i="5"/>
  <c r="BZ91" i="5"/>
  <c r="BZ92" i="5"/>
  <c r="BZ93" i="5"/>
  <c r="BZ94" i="5"/>
  <c r="BZ95" i="5"/>
  <c r="BZ96" i="5"/>
  <c r="BZ97" i="5"/>
  <c r="L98" i="5"/>
  <c r="M98" i="5"/>
  <c r="BZ98" i="5"/>
  <c r="L99" i="5"/>
  <c r="M99" i="5"/>
  <c r="BZ99" i="5"/>
  <c r="L100" i="5"/>
  <c r="M100" i="5"/>
  <c r="BZ100" i="5"/>
  <c r="L101" i="5"/>
  <c r="M101" i="5"/>
  <c r="BZ101" i="5"/>
  <c r="L102" i="5"/>
  <c r="M102" i="5"/>
  <c r="BZ102" i="5"/>
  <c r="L103" i="5"/>
  <c r="M103" i="5"/>
  <c r="BZ103" i="5"/>
  <c r="L104" i="5"/>
  <c r="M104" i="5"/>
  <c r="BZ104" i="5"/>
  <c r="L105" i="5"/>
  <c r="M105" i="5"/>
  <c r="BZ105" i="5"/>
  <c r="L106" i="5"/>
  <c r="M106" i="5"/>
  <c r="BZ106" i="5"/>
  <c r="L107" i="5"/>
  <c r="M107" i="5"/>
  <c r="BZ107" i="5"/>
  <c r="L108" i="5"/>
  <c r="M108" i="5"/>
  <c r="BZ108" i="5"/>
  <c r="L109" i="5"/>
  <c r="M109" i="5"/>
  <c r="BZ109" i="5"/>
  <c r="L110" i="5"/>
  <c r="M110" i="5"/>
  <c r="BZ110" i="5"/>
  <c r="L111" i="5"/>
  <c r="M111" i="5"/>
  <c r="BZ111" i="5"/>
  <c r="L112" i="5"/>
  <c r="BZ112" i="5"/>
  <c r="BZ113" i="5"/>
  <c r="BZ114" i="5"/>
  <c r="B115" i="5"/>
  <c r="D121" i="5" s="1"/>
  <c r="E115" i="5"/>
  <c r="F115" i="5" s="1"/>
  <c r="G115" i="5" s="1"/>
  <c r="H115" i="5"/>
  <c r="J121" i="5" s="1"/>
  <c r="K115" i="5"/>
  <c r="BZ115" i="5"/>
  <c r="B116" i="5"/>
  <c r="E116" i="5"/>
  <c r="H116" i="5"/>
  <c r="K116" i="5"/>
  <c r="BZ116" i="5"/>
  <c r="B117" i="5"/>
  <c r="C117" i="5" s="1"/>
  <c r="E117" i="5"/>
  <c r="H117" i="5"/>
  <c r="K117" i="5"/>
  <c r="BZ117" i="5"/>
  <c r="B118" i="5"/>
  <c r="E118" i="5"/>
  <c r="H118" i="5"/>
  <c r="K118" i="5"/>
  <c r="BZ118" i="5"/>
  <c r="B119" i="5"/>
  <c r="E119" i="5"/>
  <c r="H119" i="5"/>
  <c r="K119" i="5"/>
  <c r="L120" i="5" s="1"/>
  <c r="BZ119" i="5"/>
  <c r="B120" i="5"/>
  <c r="E120" i="5"/>
  <c r="H120" i="5"/>
  <c r="K120" i="5"/>
  <c r="BZ120" i="5"/>
  <c r="BZ121" i="5"/>
  <c r="BZ122" i="5"/>
  <c r="BZ123" i="5"/>
  <c r="BZ124" i="5"/>
  <c r="BZ125" i="5"/>
  <c r="BZ126" i="5"/>
  <c r="BZ127" i="5"/>
  <c r="BZ128" i="5"/>
  <c r="BZ129" i="5"/>
  <c r="BZ130" i="5"/>
  <c r="BZ131" i="5"/>
  <c r="BZ132" i="5"/>
  <c r="BZ133" i="5"/>
  <c r="BZ134" i="5"/>
  <c r="BZ135" i="5"/>
  <c r="BZ136" i="5"/>
  <c r="BZ137" i="5"/>
  <c r="BZ138" i="5"/>
  <c r="BZ139" i="5"/>
  <c r="BZ140" i="5"/>
  <c r="BZ141" i="5"/>
  <c r="BZ142" i="5"/>
  <c r="BZ143" i="5"/>
  <c r="BZ144" i="5"/>
  <c r="BZ145" i="5"/>
  <c r="BZ146" i="5"/>
  <c r="BZ147" i="5"/>
  <c r="D148" i="5"/>
  <c r="BZ148" i="5"/>
  <c r="BZ149" i="5"/>
  <c r="BZ150" i="5"/>
  <c r="BZ151" i="5"/>
  <c r="BZ152" i="5"/>
  <c r="BZ153" i="5"/>
  <c r="BZ154" i="5"/>
  <c r="C155" i="5"/>
  <c r="BZ155" i="5"/>
  <c r="BZ156" i="5"/>
  <c r="BZ157" i="5"/>
  <c r="BZ158" i="5"/>
  <c r="BZ159" i="5"/>
  <c r="BZ160" i="5"/>
  <c r="BZ161" i="5"/>
  <c r="BZ162" i="5"/>
  <c r="BZ163" i="5"/>
  <c r="BZ164" i="5"/>
  <c r="BZ165" i="5"/>
  <c r="BZ166" i="5"/>
  <c r="BZ167" i="5"/>
  <c r="BZ168" i="5"/>
  <c r="BZ169" i="5"/>
  <c r="BZ170" i="5"/>
  <c r="BZ171" i="5"/>
  <c r="BZ172" i="5"/>
  <c r="BZ173" i="5"/>
  <c r="BZ174" i="5"/>
  <c r="BZ175" i="5"/>
  <c r="BZ176" i="5"/>
  <c r="BZ177" i="5"/>
  <c r="BZ178" i="5"/>
  <c r="BZ179" i="5"/>
  <c r="BZ180" i="5"/>
  <c r="BZ181" i="5"/>
  <c r="BZ182" i="5"/>
  <c r="BZ183" i="5"/>
  <c r="BZ184" i="5"/>
  <c r="BZ185" i="5"/>
  <c r="BZ186" i="5"/>
  <c r="BZ187" i="5"/>
  <c r="BZ188" i="5"/>
  <c r="BZ189" i="5"/>
  <c r="BZ190" i="5"/>
  <c r="BZ191" i="5"/>
  <c r="BZ192" i="5"/>
  <c r="BZ193" i="5"/>
  <c r="BZ194" i="5"/>
  <c r="BZ195" i="5"/>
  <c r="BZ196" i="5"/>
  <c r="BZ197" i="5"/>
  <c r="BZ198" i="5"/>
  <c r="BZ199" i="5"/>
  <c r="BZ200" i="5"/>
  <c r="BZ201" i="5"/>
  <c r="BZ202" i="5"/>
  <c r="BZ203" i="5"/>
  <c r="BZ204" i="5"/>
  <c r="BZ205" i="5"/>
  <c r="BZ206" i="5"/>
  <c r="BZ207" i="5"/>
  <c r="BZ208" i="5"/>
  <c r="BZ209" i="5"/>
  <c r="BZ210" i="5"/>
  <c r="BZ211" i="5"/>
  <c r="BZ212" i="5"/>
  <c r="BZ213" i="5"/>
  <c r="BZ214" i="5"/>
  <c r="BZ215" i="5"/>
  <c r="BZ216" i="5"/>
  <c r="BZ217" i="5"/>
  <c r="BZ218" i="5"/>
  <c r="BZ219" i="5"/>
  <c r="BZ220" i="5"/>
  <c r="BZ221" i="5"/>
  <c r="BZ222" i="5"/>
  <c r="BZ223" i="5"/>
  <c r="BZ224" i="5"/>
  <c r="BZ225" i="5"/>
  <c r="BZ226" i="5"/>
  <c r="BZ227" i="5"/>
  <c r="BZ228" i="5"/>
  <c r="BZ229" i="5"/>
  <c r="BZ230" i="5"/>
  <c r="BZ231" i="5"/>
  <c r="BZ232" i="5"/>
  <c r="BZ233" i="5"/>
  <c r="BZ234" i="5"/>
  <c r="BZ235" i="5"/>
  <c r="BZ236" i="5"/>
  <c r="BZ237" i="5"/>
  <c r="BZ238" i="5"/>
  <c r="BZ239" i="5"/>
  <c r="BZ240" i="5"/>
  <c r="BZ241" i="5"/>
  <c r="BZ242" i="5"/>
  <c r="BZ243" i="5"/>
  <c r="BZ244" i="5"/>
  <c r="BZ245" i="5"/>
  <c r="BZ246" i="5"/>
  <c r="BZ247" i="5"/>
  <c r="BZ248" i="5"/>
  <c r="BZ249" i="5"/>
  <c r="BZ250" i="5"/>
  <c r="BZ251" i="5"/>
  <c r="BZ252" i="5"/>
  <c r="BZ253" i="5"/>
  <c r="BZ254" i="5"/>
  <c r="BZ255" i="5"/>
  <c r="BZ256" i="5"/>
  <c r="BZ257" i="5"/>
  <c r="BZ258" i="5"/>
  <c r="BZ259" i="5"/>
  <c r="BZ260" i="5"/>
  <c r="BZ261" i="5"/>
  <c r="BZ262" i="5"/>
  <c r="BZ263" i="5"/>
  <c r="BZ264" i="5"/>
  <c r="BZ265" i="5"/>
  <c r="BZ266" i="5"/>
  <c r="BZ267" i="5"/>
  <c r="BZ268" i="5"/>
  <c r="BZ269" i="5"/>
  <c r="BZ270" i="5"/>
  <c r="BZ271" i="5"/>
  <c r="BZ272" i="5"/>
  <c r="BZ273" i="5"/>
  <c r="BZ274" i="5"/>
  <c r="BZ275" i="5"/>
  <c r="BZ276" i="5"/>
  <c r="BZ277" i="5"/>
  <c r="BZ278" i="5"/>
  <c r="BZ279" i="5"/>
  <c r="BZ280" i="5"/>
  <c r="BZ281" i="5"/>
  <c r="BZ282" i="5"/>
  <c r="BZ283" i="5"/>
  <c r="BZ284" i="5"/>
  <c r="BZ285" i="5"/>
  <c r="BZ286" i="5"/>
  <c r="BZ287" i="5"/>
  <c r="BZ288" i="5"/>
  <c r="BZ289" i="5"/>
  <c r="BZ290" i="5"/>
  <c r="BZ291" i="5"/>
  <c r="BZ292" i="5"/>
  <c r="BZ293" i="5"/>
  <c r="BZ294" i="5"/>
  <c r="BZ295" i="5"/>
  <c r="BZ296" i="5"/>
  <c r="BZ297" i="5"/>
  <c r="BZ298" i="5"/>
  <c r="BZ299" i="5"/>
  <c r="BZ300" i="5"/>
  <c r="BZ301" i="5"/>
  <c r="BZ302" i="5"/>
  <c r="BZ303" i="5"/>
  <c r="BZ304" i="5"/>
  <c r="BZ305" i="5"/>
  <c r="BZ306" i="5"/>
  <c r="BZ307" i="5"/>
  <c r="BZ308" i="5"/>
  <c r="BZ309" i="5"/>
  <c r="BZ310" i="5"/>
  <c r="BZ311" i="5"/>
  <c r="BZ312" i="5"/>
  <c r="BZ313" i="5"/>
  <c r="BZ314" i="5"/>
  <c r="BZ315" i="5"/>
  <c r="BZ316" i="5"/>
  <c r="BZ317" i="5"/>
  <c r="BZ318" i="5"/>
  <c r="BZ319" i="5"/>
  <c r="BZ320" i="5"/>
  <c r="BZ321" i="5"/>
  <c r="BZ322" i="5"/>
  <c r="BZ323" i="5"/>
  <c r="BZ324" i="5"/>
  <c r="BZ325" i="5"/>
  <c r="BZ326" i="5"/>
  <c r="BZ327" i="5"/>
  <c r="BZ328" i="5"/>
  <c r="BZ329" i="5"/>
  <c r="BZ330" i="5"/>
  <c r="BZ331" i="5"/>
  <c r="BZ332" i="5"/>
  <c r="BZ333" i="5"/>
  <c r="BZ334" i="5"/>
  <c r="J22" i="2"/>
  <c r="A50" i="2"/>
  <c r="C50" i="2"/>
  <c r="D50" i="2"/>
  <c r="E50" i="2"/>
  <c r="F50" i="2"/>
  <c r="D19" i="7"/>
  <c r="G279" i="41" s="1"/>
  <c r="M65" i="1"/>
  <c r="M57" i="1"/>
  <c r="G20" i="3"/>
  <c r="M20" i="3" s="1"/>
  <c r="H18" i="3"/>
  <c r="H20" i="3" s="1"/>
  <c r="G470" i="41" s="1"/>
  <c r="F447" i="41"/>
  <c r="F1280" i="41"/>
  <c r="F650" i="41"/>
  <c r="F1078" i="41"/>
  <c r="F658" i="41"/>
  <c r="M60" i="1"/>
  <c r="N60" i="1"/>
  <c r="D11" i="7"/>
  <c r="G271" i="41" s="1"/>
  <c r="D20" i="7"/>
  <c r="G23" i="7"/>
  <c r="G493" i="41" s="1"/>
  <c r="D13" i="7"/>
  <c r="G273" i="41" s="1"/>
  <c r="G17" i="7"/>
  <c r="D17" i="7"/>
  <c r="D12" i="7"/>
  <c r="G272" i="41" s="1"/>
  <c r="G18" i="7"/>
  <c r="G488" i="41" s="1"/>
  <c r="R9" i="3"/>
  <c r="G227" i="41" s="1"/>
  <c r="D18" i="7"/>
  <c r="G68" i="41" s="1"/>
  <c r="G15" i="7"/>
  <c r="G14" i="7"/>
  <c r="AC58" i="1"/>
  <c r="G22" i="7"/>
  <c r="G492" i="41" s="1"/>
  <c r="G19" i="7"/>
  <c r="A127" i="5"/>
  <c r="B127" i="5" s="1"/>
  <c r="C127" i="5" s="1"/>
  <c r="A15" i="4"/>
  <c r="F495" i="41" s="1"/>
  <c r="M35" i="6"/>
  <c r="T62" i="1"/>
  <c r="G12" i="7"/>
  <c r="G11" i="7"/>
  <c r="C9" i="10" s="1"/>
  <c r="F9" i="10" s="1"/>
  <c r="G21" i="7"/>
  <c r="C18" i="10" s="1"/>
  <c r="F18" i="10" s="1"/>
  <c r="G89" i="41"/>
  <c r="G299" i="41"/>
  <c r="J8" i="3"/>
  <c r="J136" i="5"/>
  <c r="S9" i="3"/>
  <c r="G437" i="41" s="1"/>
  <c r="U9" i="3"/>
  <c r="G857" i="41"/>
  <c r="I16" i="4"/>
  <c r="J16" i="4" s="1"/>
  <c r="I12" i="4"/>
  <c r="G22" i="5" s="1"/>
  <c r="A22" i="4"/>
  <c r="A28" i="4"/>
  <c r="A17" i="4"/>
  <c r="F497" i="41" s="1"/>
  <c r="A25" i="4"/>
  <c r="A23" i="4"/>
  <c r="N67" i="5" s="1"/>
  <c r="A43" i="4"/>
  <c r="N79" i="5" s="1"/>
  <c r="F48" i="41"/>
  <c r="M5" i="5"/>
  <c r="W57" i="5"/>
  <c r="M6" i="5"/>
  <c r="M4" i="5"/>
  <c r="S69" i="1"/>
  <c r="W61" i="1"/>
  <c r="F25" i="41"/>
  <c r="F1285" i="41"/>
  <c r="F655" i="41"/>
  <c r="F861" i="41"/>
  <c r="F1281" i="41"/>
  <c r="F21" i="41"/>
  <c r="F1071" i="41"/>
  <c r="F657" i="41"/>
  <c r="F27" i="41"/>
  <c r="F858" i="41"/>
  <c r="F18" i="41"/>
  <c r="F648" i="41"/>
  <c r="F1068" i="41"/>
  <c r="F1278" i="41"/>
  <c r="F649" i="41"/>
  <c r="Z57" i="5"/>
  <c r="AC57" i="1"/>
  <c r="X58" i="1"/>
  <c r="V63" i="1"/>
  <c r="V62" i="5"/>
  <c r="K42" i="2" s="1"/>
  <c r="B29" i="6"/>
  <c r="AN13" i="35"/>
  <c r="U59" i="5"/>
  <c r="Y58" i="5"/>
  <c r="W58" i="5"/>
  <c r="W62" i="5"/>
  <c r="K38" i="2" s="1"/>
  <c r="Y57" i="5"/>
  <c r="X62" i="5"/>
  <c r="K43" i="2" s="1"/>
  <c r="H19" i="6"/>
  <c r="K125" i="5"/>
  <c r="C19" i="6"/>
  <c r="U58" i="5"/>
  <c r="U57" i="5"/>
  <c r="U60" i="5"/>
  <c r="X58" i="5"/>
  <c r="Z58" i="5"/>
  <c r="U69" i="1"/>
  <c r="F859" i="41"/>
  <c r="F1069" i="41"/>
  <c r="F19" i="41"/>
  <c r="F860" i="41"/>
  <c r="V60" i="1"/>
  <c r="U61" i="1"/>
  <c r="R63" i="1"/>
  <c r="A12" i="4"/>
  <c r="F77" i="41" s="1"/>
  <c r="A16" i="4"/>
  <c r="A37" i="4"/>
  <c r="N75" i="5" s="1"/>
  <c r="A10" i="4"/>
  <c r="A27" i="4"/>
  <c r="A26" i="4"/>
  <c r="A34" i="4"/>
  <c r="N73" i="5" s="1"/>
  <c r="A13" i="4"/>
  <c r="F288" i="41" s="1"/>
  <c r="A42" i="4"/>
  <c r="F919" i="41" s="1"/>
  <c r="A18" i="4"/>
  <c r="N63" i="5" s="1"/>
  <c r="A20" i="4"/>
  <c r="F705" i="41" s="1"/>
  <c r="A36" i="4"/>
  <c r="N74" i="5" s="1"/>
  <c r="A33" i="4"/>
  <c r="F289" i="41" s="1"/>
  <c r="AG68" i="1"/>
  <c r="AH66" i="1"/>
  <c r="J134" i="5"/>
  <c r="AC69" i="1"/>
  <c r="X69" i="1"/>
  <c r="Y69" i="1"/>
  <c r="A126" i="5"/>
  <c r="B126" i="5" s="1"/>
  <c r="C126" i="5" s="1"/>
  <c r="AA69" i="1"/>
  <c r="V58" i="5"/>
  <c r="V59" i="5"/>
  <c r="E19" i="6"/>
  <c r="F19" i="6"/>
  <c r="Z59" i="5"/>
  <c r="AN14" i="35"/>
  <c r="Y62" i="5"/>
  <c r="K39" i="2" s="1"/>
  <c r="E29" i="6"/>
  <c r="K124" i="5"/>
  <c r="L124" i="5" s="1"/>
  <c r="V57" i="5"/>
  <c r="X60" i="5"/>
  <c r="U62" i="5"/>
  <c r="K37" i="2" s="1"/>
  <c r="X57" i="5"/>
  <c r="X59" i="5"/>
  <c r="Z62" i="5"/>
  <c r="K44" i="2" s="1"/>
  <c r="K127" i="5"/>
  <c r="M127" i="5" s="1"/>
  <c r="V60" i="5"/>
  <c r="Z60" i="5"/>
  <c r="AG69" i="1"/>
  <c r="AE69" i="1"/>
  <c r="AI69" i="1"/>
  <c r="F1076" i="41"/>
  <c r="F446" i="41"/>
  <c r="F656" i="41"/>
  <c r="F26" i="41"/>
  <c r="F1286" i="41"/>
  <c r="F866" i="41"/>
  <c r="N35" i="6"/>
  <c r="AA60" i="1"/>
  <c r="F22" i="41"/>
  <c r="F1072" i="41"/>
  <c r="F652" i="41"/>
  <c r="F1282" i="41"/>
  <c r="F862" i="41"/>
  <c r="K19" i="6"/>
  <c r="AB69" i="1"/>
  <c r="F28" i="41"/>
  <c r="F1288" i="41"/>
  <c r="F448" i="41"/>
  <c r="D138" i="5"/>
  <c r="D135" i="5"/>
  <c r="G138" i="5"/>
  <c r="Y58" i="1"/>
  <c r="AH63" i="1"/>
  <c r="F449" i="41"/>
  <c r="F869" i="41"/>
  <c r="F659" i="41"/>
  <c r="M136" i="5"/>
  <c r="D136" i="5"/>
  <c r="G133" i="5"/>
  <c r="G139" i="5" s="1"/>
  <c r="D134" i="5"/>
  <c r="F331" i="41"/>
  <c r="G927" i="41"/>
  <c r="W58" i="1"/>
  <c r="P67" i="1"/>
  <c r="L63" i="1"/>
  <c r="Q57" i="1"/>
  <c r="N59" i="1"/>
  <c r="P58" i="1"/>
  <c r="L61" i="1"/>
  <c r="M58" i="1"/>
  <c r="O57" i="1"/>
  <c r="G90" i="41"/>
  <c r="Y64" i="1"/>
  <c r="G300" i="41"/>
  <c r="AB64" i="1"/>
  <c r="S61" i="1"/>
  <c r="O58" i="1"/>
  <c r="L60" i="1"/>
  <c r="X66" i="1"/>
  <c r="AC64" i="1"/>
  <c r="T63" i="1"/>
  <c r="U62" i="1"/>
  <c r="Z59" i="1"/>
  <c r="AA58" i="1"/>
  <c r="AB57" i="1"/>
  <c r="Z60" i="1"/>
  <c r="X61" i="1"/>
  <c r="X60" i="1"/>
  <c r="Y59" i="1"/>
  <c r="AB58" i="1"/>
  <c r="P61" i="1"/>
  <c r="F29" i="41"/>
  <c r="F1289" i="41"/>
  <c r="F1079" i="41"/>
  <c r="F867" i="41"/>
  <c r="F1077" i="41"/>
  <c r="F1287" i="41"/>
  <c r="F865" i="41"/>
  <c r="F445" i="41"/>
  <c r="L68" i="1"/>
  <c r="M68" i="1"/>
  <c r="P68" i="1"/>
  <c r="Q67" i="1"/>
  <c r="Q60" i="1"/>
  <c r="N63" i="1"/>
  <c r="G507" i="41"/>
  <c r="I15" i="4"/>
  <c r="G513" i="41" s="1"/>
  <c r="M63" i="1"/>
  <c r="AI67" i="1"/>
  <c r="AA61" i="1"/>
  <c r="G124" i="5"/>
  <c r="H124" i="5" s="1"/>
  <c r="I124" i="5" s="1"/>
  <c r="G88" i="41"/>
  <c r="O68" i="1"/>
  <c r="Y67" i="1"/>
  <c r="N67" i="1"/>
  <c r="M67" i="1"/>
  <c r="O67" i="1"/>
  <c r="L67" i="1"/>
  <c r="S65" i="1"/>
  <c r="S63" i="1"/>
  <c r="AD60" i="1"/>
  <c r="AD61" i="1"/>
  <c r="I27" i="4"/>
  <c r="P70" i="5" s="1"/>
  <c r="AA59" i="1"/>
  <c r="X59" i="1"/>
  <c r="AA57" i="1"/>
  <c r="Y57" i="1"/>
  <c r="X57" i="1"/>
  <c r="Y60" i="1"/>
  <c r="G121" i="5"/>
  <c r="W66" i="1"/>
  <c r="T66" i="1"/>
  <c r="U59" i="1"/>
  <c r="F651" i="41"/>
  <c r="D137" i="5"/>
  <c r="J35" i="4"/>
  <c r="J45" i="4" s="1"/>
  <c r="B21" i="2" s="1"/>
  <c r="J33" i="4"/>
  <c r="AC61" i="1"/>
  <c r="C65" i="1"/>
  <c r="D65" i="1" s="1"/>
  <c r="A80" i="1"/>
  <c r="C4" i="10"/>
  <c r="H57" i="1"/>
  <c r="G46" i="1"/>
  <c r="A87" i="1"/>
  <c r="A45" i="1"/>
  <c r="A94" i="1"/>
  <c r="C50" i="1"/>
  <c r="D50" i="1" s="1"/>
  <c r="A69" i="1"/>
  <c r="A64" i="1"/>
  <c r="B40" i="1"/>
  <c r="C68" i="1"/>
  <c r="D68" i="1" s="1"/>
  <c r="C67" i="1"/>
  <c r="D67" i="1" s="1"/>
  <c r="A58" i="1"/>
  <c r="C83" i="1"/>
  <c r="D83" i="1" s="1"/>
  <c r="G43" i="1"/>
  <c r="A84" i="1"/>
  <c r="H52" i="1"/>
  <c r="H54" i="1"/>
  <c r="A63" i="1"/>
  <c r="G49" i="1"/>
  <c r="B68" i="1"/>
  <c r="A100" i="1"/>
  <c r="A78" i="1"/>
  <c r="C4" i="11"/>
  <c r="H61" i="1"/>
  <c r="C104" i="1"/>
  <c r="D104" i="1" s="1"/>
  <c r="H64" i="1"/>
  <c r="C88" i="1"/>
  <c r="D88" i="1" s="1"/>
  <c r="B95" i="1"/>
  <c r="B101" i="1"/>
  <c r="C105" i="1"/>
  <c r="D105" i="1" s="1"/>
  <c r="B41" i="1"/>
  <c r="B45" i="1"/>
  <c r="B65" i="1"/>
  <c r="G901" i="41"/>
  <c r="G66" i="41"/>
  <c r="G902" i="41"/>
  <c r="G694" i="41"/>
  <c r="G63" i="41"/>
  <c r="G909" i="41"/>
  <c r="G281" i="41"/>
  <c r="G50" i="2"/>
  <c r="E22" i="11"/>
  <c r="C59" i="1"/>
  <c r="D59" i="1" s="1"/>
  <c r="A41" i="1"/>
  <c r="B69" i="1"/>
  <c r="A95" i="1"/>
  <c r="B81" i="1"/>
  <c r="C86" i="1"/>
  <c r="D86" i="1" s="1"/>
  <c r="E42" i="1"/>
  <c r="F42" i="1" s="1"/>
  <c r="H51" i="1"/>
  <c r="G316" i="41"/>
  <c r="G44" i="1"/>
  <c r="H53" i="1"/>
  <c r="B64" i="1"/>
  <c r="C106" i="1"/>
  <c r="D106" i="1" s="1"/>
  <c r="A85" i="1"/>
  <c r="E44" i="1"/>
  <c r="F44" i="1" s="1"/>
  <c r="B59" i="1"/>
  <c r="C52" i="1"/>
  <c r="D52" i="1" s="1"/>
  <c r="A86" i="1"/>
  <c r="C76" i="1"/>
  <c r="D76" i="1" s="1"/>
  <c r="C41" i="1"/>
  <c r="D41" i="1" s="1"/>
  <c r="B67" i="1"/>
  <c r="D15" i="10"/>
  <c r="E24" i="2"/>
  <c r="E12" i="10"/>
  <c r="C20" i="11"/>
  <c r="F20" i="11" s="1"/>
  <c r="AA49" i="5" s="1"/>
  <c r="E20" i="9"/>
  <c r="D9" i="12"/>
  <c r="E15" i="11"/>
  <c r="D10" i="10"/>
  <c r="G282" i="41"/>
  <c r="G72" i="41"/>
  <c r="G490" i="41"/>
  <c r="G698" i="41"/>
  <c r="G483" i="41"/>
  <c r="G900" i="41"/>
  <c r="G692" i="41"/>
  <c r="G283" i="41"/>
  <c r="G73" i="41"/>
  <c r="G700" i="41"/>
  <c r="G64" i="41"/>
  <c r="A60" i="1"/>
  <c r="C70" i="1"/>
  <c r="D70" i="1" s="1"/>
  <c r="C61" i="1"/>
  <c r="D61" i="1" s="1"/>
  <c r="H55" i="1"/>
  <c r="H65" i="1"/>
  <c r="A61" i="1"/>
  <c r="C78" i="1"/>
  <c r="D78" i="1" s="1"/>
  <c r="B62" i="1"/>
  <c r="C82" i="1"/>
  <c r="D82" i="1" s="1"/>
  <c r="A103" i="1"/>
  <c r="G45" i="1"/>
  <c r="B47" i="1"/>
  <c r="B99" i="1"/>
  <c r="E48" i="1"/>
  <c r="F48" i="1" s="1"/>
  <c r="B51" i="1"/>
  <c r="A79" i="1"/>
  <c r="E41" i="1"/>
  <c r="F41" i="1" s="1"/>
  <c r="H43" i="1"/>
  <c r="C102" i="1"/>
  <c r="D102" i="1" s="1"/>
  <c r="A66" i="1"/>
  <c r="A59" i="1"/>
  <c r="A51" i="1"/>
  <c r="C97" i="1"/>
  <c r="D97" i="1" s="1"/>
  <c r="C81" i="1"/>
  <c r="D81" i="1" s="1"/>
  <c r="C62" i="1"/>
  <c r="D62" i="1" s="1"/>
  <c r="C47" i="1"/>
  <c r="D47" i="1" s="1"/>
  <c r="B106" i="1"/>
  <c r="B107" i="1"/>
  <c r="B49" i="1"/>
  <c r="A105" i="1"/>
  <c r="C44" i="1"/>
  <c r="D44" i="1" s="1"/>
  <c r="C45" i="1"/>
  <c r="D45" i="1" s="1"/>
  <c r="A83" i="1"/>
  <c r="H59" i="1"/>
  <c r="H41" i="1"/>
  <c r="C4" i="9"/>
  <c r="G904" i="41"/>
  <c r="F961" i="41"/>
  <c r="F751" i="41"/>
  <c r="F1381" i="41"/>
  <c r="E14" i="10"/>
  <c r="E8" i="12"/>
  <c r="D18" i="9"/>
  <c r="E20" i="12"/>
  <c r="B13" i="35"/>
  <c r="B13" i="39" s="1"/>
  <c r="B8" i="37"/>
  <c r="S8" i="35" s="1"/>
  <c r="E9" i="12"/>
  <c r="E12" i="12"/>
  <c r="E14" i="9"/>
  <c r="D16" i="9"/>
  <c r="D21" i="9"/>
  <c r="E9" i="11"/>
  <c r="E10" i="12"/>
  <c r="E19" i="9"/>
  <c r="E8" i="11"/>
  <c r="E10" i="11"/>
  <c r="D9" i="9"/>
  <c r="E18" i="9"/>
  <c r="C12" i="11"/>
  <c r="F12" i="11" s="1"/>
  <c r="G12" i="11" s="1"/>
  <c r="E10" i="9"/>
  <c r="C18" i="11"/>
  <c r="F18" i="11" s="1"/>
  <c r="G18" i="11" s="1"/>
  <c r="AB47" i="5" s="1"/>
  <c r="D15" i="9"/>
  <c r="H50" i="2"/>
  <c r="C10" i="11"/>
  <c r="F10" i="11" s="1"/>
  <c r="E18" i="10"/>
  <c r="C14" i="9"/>
  <c r="F14" i="9" s="1"/>
  <c r="E12" i="11"/>
  <c r="E11" i="9"/>
  <c r="E8" i="10"/>
  <c r="D14" i="10"/>
  <c r="C16" i="11"/>
  <c r="F16" i="11" s="1"/>
  <c r="G16" i="11" s="1"/>
  <c r="AB45" i="5" s="1"/>
  <c r="E16" i="11"/>
  <c r="E23" i="2"/>
  <c r="D16" i="10"/>
  <c r="D13" i="9"/>
  <c r="E11" i="10"/>
  <c r="C18" i="9"/>
  <c r="F18" i="9" s="1"/>
  <c r="O47" i="5" s="1"/>
  <c r="D20" i="12"/>
  <c r="C11" i="12"/>
  <c r="F11" i="12" s="1"/>
  <c r="D20" i="10"/>
  <c r="E10" i="10"/>
  <c r="E17" i="11"/>
  <c r="C19" i="12"/>
  <c r="F19" i="12" s="1"/>
  <c r="G19" i="12" s="1"/>
  <c r="D10" i="11"/>
  <c r="E19" i="11"/>
  <c r="C20" i="12"/>
  <c r="C17" i="12"/>
  <c r="F17" i="12" s="1"/>
  <c r="D16" i="12"/>
  <c r="E18" i="12"/>
  <c r="N119" i="5" s="1"/>
  <c r="E18" i="11"/>
  <c r="C17" i="10"/>
  <c r="F17" i="10" s="1"/>
  <c r="G17" i="10" s="1"/>
  <c r="H17" i="10" s="1"/>
  <c r="Q46" i="5" s="1"/>
  <c r="C17" i="11"/>
  <c r="F17" i="11" s="1"/>
  <c r="C16" i="12"/>
  <c r="F16" i="12" s="1"/>
  <c r="G16" i="12" s="1"/>
  <c r="E14" i="11"/>
  <c r="E15" i="10"/>
  <c r="C15" i="12"/>
  <c r="F15" i="12" s="1"/>
  <c r="C11" i="11"/>
  <c r="F11" i="11" s="1"/>
  <c r="E11" i="12"/>
  <c r="C9" i="12"/>
  <c r="F9" i="12" s="1"/>
  <c r="AG38" i="5" s="1"/>
  <c r="E20" i="11"/>
  <c r="D9" i="10"/>
  <c r="C18" i="12"/>
  <c r="F18" i="12" s="1"/>
  <c r="E13" i="9"/>
  <c r="D17" i="12"/>
  <c r="C13" i="9"/>
  <c r="F13" i="9" s="1"/>
  <c r="G13" i="9" s="1"/>
  <c r="P42" i="5" s="1"/>
  <c r="C19" i="9"/>
  <c r="F19" i="9" s="1"/>
  <c r="B50" i="2"/>
  <c r="E17" i="12"/>
  <c r="N118" i="5" s="1"/>
  <c r="E15" i="9"/>
  <c r="C13" i="11"/>
  <c r="F13" i="11" s="1"/>
  <c r="AA42" i="5" s="1"/>
  <c r="D8" i="9"/>
  <c r="D14" i="11"/>
  <c r="D18" i="11"/>
  <c r="E13" i="10"/>
  <c r="D13" i="10"/>
  <c r="E13" i="11"/>
  <c r="C13" i="12"/>
  <c r="F13" i="12" s="1"/>
  <c r="D13" i="12"/>
  <c r="E16" i="9"/>
  <c r="E13" i="2"/>
  <c r="G314" i="41" s="1"/>
  <c r="E19" i="12"/>
  <c r="N120" i="5" s="1"/>
  <c r="E9" i="9"/>
  <c r="D14" i="9"/>
  <c r="E12" i="9"/>
  <c r="E20" i="10"/>
  <c r="C25" i="2"/>
  <c r="C15" i="9"/>
  <c r="F15" i="9" s="1"/>
  <c r="G15" i="9" s="1"/>
  <c r="D11" i="9"/>
  <c r="D12" i="12"/>
  <c r="E20" i="2"/>
  <c r="E16" i="12"/>
  <c r="N117" i="5" s="1"/>
  <c r="C11" i="9"/>
  <c r="F11" i="9" s="1"/>
  <c r="E14" i="12"/>
  <c r="N115" i="5" s="1"/>
  <c r="E21" i="2"/>
  <c r="C19" i="11"/>
  <c r="F19" i="11" s="1"/>
  <c r="G19" i="11" s="1"/>
  <c r="H19" i="11" s="1"/>
  <c r="W48" i="5" s="1"/>
  <c r="E15" i="12"/>
  <c r="N116" i="5" s="1"/>
  <c r="E17" i="10"/>
  <c r="C14" i="11"/>
  <c r="F14" i="11" s="1"/>
  <c r="G14" i="11" s="1"/>
  <c r="H14" i="11" s="1"/>
  <c r="W43" i="5" s="1"/>
  <c r="C8" i="10"/>
  <c r="F8" i="10" s="1"/>
  <c r="U37" i="5" s="1"/>
  <c r="E16" i="10"/>
  <c r="C14" i="12"/>
  <c r="F14" i="12" s="1"/>
  <c r="G14" i="12" s="1"/>
  <c r="C15" i="11"/>
  <c r="F15" i="11" s="1"/>
  <c r="C20" i="9"/>
  <c r="F20" i="9" s="1"/>
  <c r="D17" i="10"/>
  <c r="E17" i="9"/>
  <c r="C12" i="9"/>
  <c r="F12" i="9" s="1"/>
  <c r="O41" i="5" s="1"/>
  <c r="D20" i="9"/>
  <c r="C9" i="11"/>
  <c r="F9" i="11" s="1"/>
  <c r="AA38" i="5" s="1"/>
  <c r="C11" i="10"/>
  <c r="F11" i="10" s="1"/>
  <c r="C10" i="12"/>
  <c r="F10" i="12" s="1"/>
  <c r="G10" i="12" s="1"/>
  <c r="E13" i="12"/>
  <c r="D18" i="10"/>
  <c r="D12" i="10"/>
  <c r="E22" i="2"/>
  <c r="E9" i="10"/>
  <c r="D12" i="9"/>
  <c r="D8" i="12"/>
  <c r="D19" i="9"/>
  <c r="C8" i="12"/>
  <c r="F8" i="12" s="1"/>
  <c r="E11" i="11"/>
  <c r="E8" i="9"/>
  <c r="E19" i="10"/>
  <c r="C8" i="11"/>
  <c r="F8" i="11" s="1"/>
  <c r="D19" i="11"/>
  <c r="F20" i="12"/>
  <c r="AG49" i="5" s="1"/>
  <c r="N10" i="35"/>
  <c r="N8" i="35"/>
  <c r="N64" i="5"/>
  <c r="G935" i="41"/>
  <c r="J15" i="4"/>
  <c r="J19" i="4" s="1"/>
  <c r="P60" i="5"/>
  <c r="I22" i="5"/>
  <c r="I31" i="5" s="1"/>
  <c r="F918" i="41"/>
  <c r="N71" i="5"/>
  <c r="N60" i="5"/>
  <c r="G487" i="41"/>
  <c r="C14" i="10"/>
  <c r="F14" i="10" s="1"/>
  <c r="I32" i="3"/>
  <c r="J32" i="3" s="1"/>
  <c r="I40" i="4"/>
  <c r="J40" i="4" s="1"/>
  <c r="G722" i="41"/>
  <c r="N65" i="1"/>
  <c r="P65" i="1"/>
  <c r="L65" i="1"/>
  <c r="Q64" i="1"/>
  <c r="O65" i="1"/>
  <c r="Q61" i="1"/>
  <c r="N61" i="1"/>
  <c r="M61" i="1"/>
  <c r="O60" i="1"/>
  <c r="P59" i="1"/>
  <c r="I33" i="4"/>
  <c r="E56" i="5" s="1"/>
  <c r="E62" i="5" s="1"/>
  <c r="AD68" i="1"/>
  <c r="AF68" i="1"/>
  <c r="AE68" i="1"/>
  <c r="S67" i="1"/>
  <c r="V67" i="1"/>
  <c r="R67" i="1"/>
  <c r="W65" i="1"/>
  <c r="S66" i="1"/>
  <c r="V66" i="1"/>
  <c r="L64" i="1"/>
  <c r="AG63" i="1"/>
  <c r="AF64" i="1"/>
  <c r="AI61" i="1"/>
  <c r="AH62" i="1"/>
  <c r="V62" i="1"/>
  <c r="U63" i="1"/>
  <c r="T64" i="1"/>
  <c r="AB61" i="1"/>
  <c r="Z61" i="1"/>
  <c r="X62" i="1"/>
  <c r="G10" i="6"/>
  <c r="J10" i="6" s="1"/>
  <c r="H8" i="6"/>
  <c r="H10" i="6" s="1"/>
  <c r="G1100" i="41" s="1"/>
  <c r="G275" i="41"/>
  <c r="G65" i="41"/>
  <c r="N11" i="35"/>
  <c r="N14" i="35"/>
  <c r="N12" i="35"/>
  <c r="W57" i="1"/>
  <c r="F76" i="41"/>
  <c r="AD69" i="1"/>
  <c r="AF69" i="1"/>
  <c r="AH64" i="1"/>
  <c r="I27" i="5"/>
  <c r="R60" i="1"/>
  <c r="G278" i="41"/>
  <c r="R59" i="1"/>
  <c r="Z62" i="1"/>
  <c r="N57" i="5"/>
  <c r="A39" i="4"/>
  <c r="N76" i="5" s="1"/>
  <c r="N72" i="5"/>
  <c r="AI60" i="1"/>
  <c r="B3" i="3"/>
  <c r="L6" i="47"/>
  <c r="D6" i="47"/>
  <c r="G14" i="38"/>
  <c r="G13" i="38"/>
  <c r="G1085" i="41"/>
  <c r="H14" i="38"/>
  <c r="F6" i="47"/>
  <c r="J6" i="47"/>
  <c r="G1292" i="41"/>
  <c r="G1277" i="41"/>
  <c r="G1294" i="41"/>
  <c r="F1305" i="41"/>
  <c r="G1291" i="41"/>
  <c r="G1094" i="41"/>
  <c r="G1096" i="41"/>
  <c r="G1067" i="41"/>
  <c r="G1084" i="41"/>
  <c r="B6" i="47"/>
  <c r="H6" i="47"/>
  <c r="G1083" i="41"/>
  <c r="I14" i="38"/>
  <c r="N6" i="47"/>
  <c r="G1304" i="41"/>
  <c r="G1080" i="41"/>
  <c r="P6" i="47"/>
  <c r="G1290" i="41"/>
  <c r="G1082" i="41"/>
  <c r="G1093" i="41"/>
  <c r="I13" i="38"/>
  <c r="G1081" i="41"/>
  <c r="H13" i="38"/>
  <c r="G1306" i="41"/>
  <c r="G1303" i="41"/>
  <c r="G1295" i="41"/>
  <c r="F1095" i="41"/>
  <c r="G1293" i="41"/>
  <c r="G738" i="41" l="1"/>
  <c r="G318" i="41"/>
  <c r="G108" i="41"/>
  <c r="G948" i="41"/>
  <c r="G528" i="41"/>
  <c r="C33" i="4"/>
  <c r="C10" i="4"/>
  <c r="J14" i="4" s="1"/>
  <c r="J30" i="4" s="1"/>
  <c r="B22" i="2" s="1"/>
  <c r="I14" i="3"/>
  <c r="G261" i="41" s="1"/>
  <c r="AD64" i="1"/>
  <c r="N22" i="5"/>
  <c r="F920" i="41"/>
  <c r="G301" i="41"/>
  <c r="P62" i="1"/>
  <c r="AB62" i="1"/>
  <c r="F23" i="41"/>
  <c r="C12" i="12"/>
  <c r="F12" i="12" s="1"/>
  <c r="J135" i="5"/>
  <c r="S22" i="5"/>
  <c r="S29" i="5" s="1"/>
  <c r="G61" i="41"/>
  <c r="Z64" i="1"/>
  <c r="P60" i="1"/>
  <c r="AE64" i="1"/>
  <c r="F42" i="3"/>
  <c r="C36" i="4" s="1"/>
  <c r="E126" i="5"/>
  <c r="X67" i="1"/>
  <c r="Q59" i="1"/>
  <c r="F443" i="41"/>
  <c r="AB67" i="1"/>
  <c r="J27" i="4"/>
  <c r="AG60" i="1"/>
  <c r="AC66" i="1"/>
  <c r="F80" i="41"/>
  <c r="F500" i="41"/>
  <c r="F1283" i="41"/>
  <c r="Z67" i="1"/>
  <c r="AD62" i="1"/>
  <c r="F79" i="41"/>
  <c r="O44" i="5"/>
  <c r="F863" i="41"/>
  <c r="C8" i="9"/>
  <c r="F8" i="9" s="1"/>
  <c r="B9" i="35"/>
  <c r="AL9" i="35" s="1"/>
  <c r="P61" i="5"/>
  <c r="G32" i="3"/>
  <c r="M32" i="3" s="1"/>
  <c r="AF65" i="1"/>
  <c r="F962" i="41"/>
  <c r="C9" i="9"/>
  <c r="F9" i="9" s="1"/>
  <c r="O38" i="5" s="1"/>
  <c r="B8" i="39"/>
  <c r="J22" i="5"/>
  <c r="N27" i="5"/>
  <c r="E14" i="2"/>
  <c r="G524" i="41" s="1"/>
  <c r="J21" i="4"/>
  <c r="G97" i="41"/>
  <c r="B11" i="35"/>
  <c r="B11" i="38" s="1"/>
  <c r="B8" i="41"/>
  <c r="B9" i="41" s="1"/>
  <c r="B10" i="41" s="1"/>
  <c r="B11" i="41" s="1"/>
  <c r="B12" i="41" s="1"/>
  <c r="B13" i="41" s="1"/>
  <c r="B14" i="41" s="1"/>
  <c r="B15" i="41" s="1"/>
  <c r="B16" i="41" s="1"/>
  <c r="B17" i="41" s="1"/>
  <c r="B18" i="41" s="1"/>
  <c r="B19" i="41" s="1"/>
  <c r="B20" i="41" s="1"/>
  <c r="B21" i="41" s="1"/>
  <c r="B22" i="41" s="1"/>
  <c r="B23" i="41" s="1"/>
  <c r="B24" i="41" s="1"/>
  <c r="B25" i="41" s="1"/>
  <c r="B26" i="41" s="1"/>
  <c r="B27" i="41" s="1"/>
  <c r="B28" i="41" s="1"/>
  <c r="B29" i="41" s="1"/>
  <c r="B30" i="41" s="1"/>
  <c r="B31" i="41" s="1"/>
  <c r="B32" i="41" s="1"/>
  <c r="B33" i="41" s="1"/>
  <c r="B34" i="41" s="1"/>
  <c r="B35" i="41" s="1"/>
  <c r="B36" i="41" s="1"/>
  <c r="B37" i="41" s="1"/>
  <c r="B38" i="41" s="1"/>
  <c r="B39" i="41" s="1"/>
  <c r="B40" i="41" s="1"/>
  <c r="B41" i="41" s="1"/>
  <c r="B42" i="41" s="1"/>
  <c r="B43" i="41" s="1"/>
  <c r="B44" i="41" s="1"/>
  <c r="B45" i="41" s="1"/>
  <c r="B46" i="41" s="1"/>
  <c r="B47" i="41" s="1"/>
  <c r="B48" i="41" s="1"/>
  <c r="B49" i="41" s="1"/>
  <c r="B50" i="41" s="1"/>
  <c r="B51" i="41" s="1"/>
  <c r="B52" i="41" s="1"/>
  <c r="B53" i="41" s="1"/>
  <c r="B54" i="41" s="1"/>
  <c r="B55" i="41" s="1"/>
  <c r="B56" i="41" s="1"/>
  <c r="B57" i="41" s="1"/>
  <c r="B58" i="41" s="1"/>
  <c r="B59" i="41" s="1"/>
  <c r="B60" i="41" s="1"/>
  <c r="B61" i="41" s="1"/>
  <c r="B62" i="41" s="1"/>
  <c r="B63" i="41" s="1"/>
  <c r="B64" i="41" s="1"/>
  <c r="B65" i="41" s="1"/>
  <c r="B66" i="41" s="1"/>
  <c r="B67" i="41" s="1"/>
  <c r="B68" i="41" s="1"/>
  <c r="B69" i="41" s="1"/>
  <c r="B70" i="41" s="1"/>
  <c r="B71" i="41" s="1"/>
  <c r="B72" i="41" s="1"/>
  <c r="B73" i="41" s="1"/>
  <c r="B74" i="41" s="1"/>
  <c r="B75" i="41" s="1"/>
  <c r="B76" i="41" s="1"/>
  <c r="B77" i="41" s="1"/>
  <c r="B78" i="41" s="1"/>
  <c r="B79" i="41" s="1"/>
  <c r="B80" i="41" s="1"/>
  <c r="B81" i="41" s="1"/>
  <c r="B82" i="41" s="1"/>
  <c r="B83" i="41" s="1"/>
  <c r="B84" i="41" s="1"/>
  <c r="B85" i="41" s="1"/>
  <c r="B86" i="41" s="1"/>
  <c r="B87" i="41" s="1"/>
  <c r="B88" i="41" s="1"/>
  <c r="B89" i="41" s="1"/>
  <c r="B90" i="41" s="1"/>
  <c r="B91" i="41" s="1"/>
  <c r="B92" i="41" s="1"/>
  <c r="B93" i="41" s="1"/>
  <c r="B94" i="41" s="1"/>
  <c r="B95" i="41" s="1"/>
  <c r="B96" i="41" s="1"/>
  <c r="B97" i="41" s="1"/>
  <c r="B98" i="41" s="1"/>
  <c r="B217" i="41" s="1"/>
  <c r="F122" i="41"/>
  <c r="G60" i="41"/>
  <c r="S26" i="5"/>
  <c r="F542" i="41"/>
  <c r="F1172" i="41"/>
  <c r="B13" i="38"/>
  <c r="B8" i="36"/>
  <c r="B8" i="40"/>
  <c r="AG61" i="1"/>
  <c r="D126" i="5"/>
  <c r="F1074" i="41"/>
  <c r="F864" i="41"/>
  <c r="F654" i="41"/>
  <c r="J133" i="5"/>
  <c r="J139" i="5" s="1"/>
  <c r="T60" i="1"/>
  <c r="V68" i="1"/>
  <c r="AD63" i="1"/>
  <c r="F752" i="41"/>
  <c r="AG43" i="5"/>
  <c r="B189" i="5"/>
  <c r="F1382" i="41"/>
  <c r="B13" i="40"/>
  <c r="B12" i="35"/>
  <c r="B14" i="35"/>
  <c r="B1268" i="41" s="1"/>
  <c r="B1269" i="41" s="1"/>
  <c r="B1270" i="41" s="1"/>
  <c r="B1271" i="41" s="1"/>
  <c r="B1272" i="41" s="1"/>
  <c r="B1273" i="41" s="1"/>
  <c r="B1274" i="41" s="1"/>
  <c r="B1275" i="41" s="1"/>
  <c r="B1276" i="41" s="1"/>
  <c r="B1277" i="41" s="1"/>
  <c r="B1278" i="41" s="1"/>
  <c r="B1279" i="41" s="1"/>
  <c r="B1280" i="41" s="1"/>
  <c r="B1281" i="41" s="1"/>
  <c r="B1282" i="41" s="1"/>
  <c r="B1283" i="41" s="1"/>
  <c r="B1284" i="41" s="1"/>
  <c r="B1285" i="41" s="1"/>
  <c r="B1286" i="41" s="1"/>
  <c r="B1287" i="41" s="1"/>
  <c r="B1288" i="41" s="1"/>
  <c r="B1289" i="41" s="1"/>
  <c r="B1290" i="41" s="1"/>
  <c r="B1291" i="41" s="1"/>
  <c r="B1292" i="41" s="1"/>
  <c r="B1293" i="41" s="1"/>
  <c r="B1294" i="41" s="1"/>
  <c r="B1295" i="41" s="1"/>
  <c r="B1296" i="41" s="1"/>
  <c r="B1297" i="41" s="1"/>
  <c r="B1298" i="41" s="1"/>
  <c r="B1299" i="41" s="1"/>
  <c r="B1300" i="41" s="1"/>
  <c r="B1301" i="41" s="1"/>
  <c r="B1302" i="41" s="1"/>
  <c r="B1303" i="41" s="1"/>
  <c r="B1304" i="41" s="1"/>
  <c r="B1305" i="41" s="1"/>
  <c r="B1306" i="41" s="1"/>
  <c r="B1307" i="41" s="1"/>
  <c r="B1308" i="41" s="1"/>
  <c r="B1309" i="41" s="1"/>
  <c r="B1310" i="41" s="1"/>
  <c r="B1311" i="41" s="1"/>
  <c r="B1312" i="41" s="1"/>
  <c r="B1313" i="41" s="1"/>
  <c r="B1314" i="41" s="1"/>
  <c r="B1315" i="41" s="1"/>
  <c r="B1316" i="41" s="1"/>
  <c r="B1317" i="41" s="1"/>
  <c r="B1318" i="41" s="1"/>
  <c r="B1319" i="41" s="1"/>
  <c r="B1320" i="41" s="1"/>
  <c r="B1321" i="41" s="1"/>
  <c r="B1322" i="41" s="1"/>
  <c r="B1323" i="41" s="1"/>
  <c r="B1324" i="41" s="1"/>
  <c r="B1325" i="41" s="1"/>
  <c r="B1326" i="41" s="1"/>
  <c r="B1327" i="41" s="1"/>
  <c r="B1328" i="41" s="1"/>
  <c r="B1329" i="41" s="1"/>
  <c r="B1330" i="41" s="1"/>
  <c r="B1331" i="41" s="1"/>
  <c r="B1332" i="41" s="1"/>
  <c r="B1333" i="41" s="1"/>
  <c r="B1334" i="41" s="1"/>
  <c r="B1335" i="41" s="1"/>
  <c r="B1336" i="41" s="1"/>
  <c r="B1337" i="41" s="1"/>
  <c r="B1338" i="41" s="1"/>
  <c r="B1339" i="41" s="1"/>
  <c r="B1340" i="41" s="1"/>
  <c r="B1341" i="41" s="1"/>
  <c r="B1342" i="41" s="1"/>
  <c r="B1343" i="41" s="1"/>
  <c r="B1344" i="41" s="1"/>
  <c r="B1345" i="41" s="1"/>
  <c r="B1346" i="41" s="1"/>
  <c r="B1347" i="41" s="1"/>
  <c r="B1348" i="41" s="1"/>
  <c r="B1349" i="41" s="1"/>
  <c r="B1350" i="41" s="1"/>
  <c r="B1351" i="41" s="1"/>
  <c r="B1352" i="41" s="1"/>
  <c r="B1353" i="41" s="1"/>
  <c r="B1354" i="41" s="1"/>
  <c r="B1355" i="41" s="1"/>
  <c r="B1356" i="41" s="1"/>
  <c r="B1357" i="41" s="1"/>
  <c r="B1358" i="41" s="1"/>
  <c r="B1477" i="41" s="1"/>
  <c r="U14" i="35"/>
  <c r="AA68" i="1"/>
  <c r="F444" i="41"/>
  <c r="F120" i="5"/>
  <c r="L118" i="5"/>
  <c r="M134" i="5"/>
  <c r="G724" i="41"/>
  <c r="T58" i="1"/>
  <c r="S57" i="1"/>
  <c r="P72" i="5"/>
  <c r="AC59" i="1"/>
  <c r="X63" i="1"/>
  <c r="B1058" i="41"/>
  <c r="B1059" i="41" s="1"/>
  <c r="B1060" i="41" s="1"/>
  <c r="B1061" i="41" s="1"/>
  <c r="B1062" i="41" s="1"/>
  <c r="B1063" i="41" s="1"/>
  <c r="B1064" i="41" s="1"/>
  <c r="B1065" i="41" s="1"/>
  <c r="B1066" i="41" s="1"/>
  <c r="B1067" i="41" s="1"/>
  <c r="B1068" i="41" s="1"/>
  <c r="B1069" i="41" s="1"/>
  <c r="B1070" i="41" s="1"/>
  <c r="B1071" i="41" s="1"/>
  <c r="B1072" i="41" s="1"/>
  <c r="B1073" i="41" s="1"/>
  <c r="B1074" i="41" s="1"/>
  <c r="B1075" i="41" s="1"/>
  <c r="B1076" i="41" s="1"/>
  <c r="B1077" i="41" s="1"/>
  <c r="B1078" i="41" s="1"/>
  <c r="B1079" i="41" s="1"/>
  <c r="B1080" i="41" s="1"/>
  <c r="B1081" i="41" s="1"/>
  <c r="B1082" i="41" s="1"/>
  <c r="B1083" i="41" s="1"/>
  <c r="B1084" i="41" s="1"/>
  <c r="B1085" i="41" s="1"/>
  <c r="B1086" i="41" s="1"/>
  <c r="B1087" i="41" s="1"/>
  <c r="B1088" i="41" s="1"/>
  <c r="B1089" i="41" s="1"/>
  <c r="B1090" i="41" s="1"/>
  <c r="B1091" i="41" s="1"/>
  <c r="B1092" i="41" s="1"/>
  <c r="B1093" i="41" s="1"/>
  <c r="B1094" i="41" s="1"/>
  <c r="B1095" i="41" s="1"/>
  <c r="B1096" i="41" s="1"/>
  <c r="B1097" i="41" s="1"/>
  <c r="B1098" i="41" s="1"/>
  <c r="B1099" i="41" s="1"/>
  <c r="B1100" i="41" s="1"/>
  <c r="B1101" i="41" s="1"/>
  <c r="B1102" i="41" s="1"/>
  <c r="B1103" i="41" s="1"/>
  <c r="B1104" i="41" s="1"/>
  <c r="B1105" i="41" s="1"/>
  <c r="B1106" i="41" s="1"/>
  <c r="B1107" i="41" s="1"/>
  <c r="B1108" i="41" s="1"/>
  <c r="B1109" i="41" s="1"/>
  <c r="B1110" i="41" s="1"/>
  <c r="B1111" i="41" s="1"/>
  <c r="B1112" i="41" s="1"/>
  <c r="B1113" i="41" s="1"/>
  <c r="B1114" i="41" s="1"/>
  <c r="B1115" i="41" s="1"/>
  <c r="B1116" i="41" s="1"/>
  <c r="B1117" i="41" s="1"/>
  <c r="B1118" i="41" s="1"/>
  <c r="B1119" i="41" s="1"/>
  <c r="B1120" i="41" s="1"/>
  <c r="B1121" i="41" s="1"/>
  <c r="B1122" i="41" s="1"/>
  <c r="B1123" i="41" s="1"/>
  <c r="B1124" i="41" s="1"/>
  <c r="B1125" i="41" s="1"/>
  <c r="B1126" i="41" s="1"/>
  <c r="B1127" i="41" s="1"/>
  <c r="B1128" i="41" s="1"/>
  <c r="B1129" i="41" s="1"/>
  <c r="B1130" i="41" s="1"/>
  <c r="B1131" i="41" s="1"/>
  <c r="B1132" i="41" s="1"/>
  <c r="B1133" i="41" s="1"/>
  <c r="B1134" i="41" s="1"/>
  <c r="B1135" i="41" s="1"/>
  <c r="B1136" i="41" s="1"/>
  <c r="B1137" i="41" s="1"/>
  <c r="B1138" i="41" s="1"/>
  <c r="B1139" i="41" s="1"/>
  <c r="B1140" i="41" s="1"/>
  <c r="B1141" i="41" s="1"/>
  <c r="B1142" i="41" s="1"/>
  <c r="B1143" i="41" s="1"/>
  <c r="B1144" i="41" s="1"/>
  <c r="B1145" i="41" s="1"/>
  <c r="B1146" i="41" s="1"/>
  <c r="B1147" i="41" s="1"/>
  <c r="B1148" i="41" s="1"/>
  <c r="B10" i="35"/>
  <c r="G491" i="41"/>
  <c r="W62" i="1"/>
  <c r="W67" i="1"/>
  <c r="D17" i="9"/>
  <c r="G20" i="11"/>
  <c r="H20" i="11" s="1"/>
  <c r="W49" i="5" s="1"/>
  <c r="AB48" i="5"/>
  <c r="O126" i="5"/>
  <c r="P126" i="5" s="1"/>
  <c r="Q126" i="5" s="1"/>
  <c r="G104" i="41"/>
  <c r="E16" i="2"/>
  <c r="G944" i="41" s="1"/>
  <c r="V46" i="5"/>
  <c r="U46" i="5"/>
  <c r="G9" i="12"/>
  <c r="H9" i="12" s="1"/>
  <c r="AC38" i="5" s="1"/>
  <c r="AB43" i="5"/>
  <c r="V61" i="5"/>
  <c r="AA48" i="5"/>
  <c r="C16" i="10"/>
  <c r="F16" i="10" s="1"/>
  <c r="U45" i="5" s="1"/>
  <c r="G489" i="41"/>
  <c r="B12" i="39"/>
  <c r="L115" i="5"/>
  <c r="M115" i="5" s="1"/>
  <c r="M121" i="5"/>
  <c r="G67" i="41"/>
  <c r="G277" i="41"/>
  <c r="L116" i="5"/>
  <c r="M116" i="5" s="1"/>
  <c r="G18" i="9"/>
  <c r="H18" i="9" s="1"/>
  <c r="K47" i="5" s="1"/>
  <c r="F917" i="41"/>
  <c r="N70" i="5"/>
  <c r="G891" i="41"/>
  <c r="B258" i="37"/>
  <c r="S13" i="35" s="1"/>
  <c r="B13" i="36"/>
  <c r="G481" i="41"/>
  <c r="I11" i="4"/>
  <c r="F22" i="5" s="1"/>
  <c r="F24" i="5" s="1"/>
  <c r="F34" i="5" s="1"/>
  <c r="G298" i="41"/>
  <c r="G17" i="11"/>
  <c r="AA46" i="5"/>
  <c r="G485" i="41"/>
  <c r="C13" i="10"/>
  <c r="F13" i="10" s="1"/>
  <c r="U42" i="5" s="1"/>
  <c r="B10" i="39"/>
  <c r="N59" i="5"/>
  <c r="B10" i="40"/>
  <c r="N61" i="5"/>
  <c r="F496" i="41"/>
  <c r="H24" i="3"/>
  <c r="H26" i="3" s="1"/>
  <c r="G680" i="41" s="1"/>
  <c r="G26" i="3"/>
  <c r="M26" i="3" s="1"/>
  <c r="N26" i="3" s="1"/>
  <c r="G685" i="41" s="1"/>
  <c r="P59" i="5"/>
  <c r="H22" i="5"/>
  <c r="H29" i="5" s="1"/>
  <c r="AL10" i="35"/>
  <c r="F78" i="41"/>
  <c r="X61" i="5"/>
  <c r="N58" i="5"/>
  <c r="F287" i="41"/>
  <c r="M137" i="5"/>
  <c r="E18" i="2"/>
  <c r="F1070" i="41"/>
  <c r="W60" i="5"/>
  <c r="W59" i="5"/>
  <c r="F24" i="41"/>
  <c r="A21" i="4"/>
  <c r="Z57" i="1"/>
  <c r="A40" i="4"/>
  <c r="N42" i="3"/>
  <c r="I42" i="10"/>
  <c r="I33" i="10" s="1"/>
  <c r="C10" i="9"/>
  <c r="F10" i="9" s="1"/>
  <c r="O39" i="5" s="1"/>
  <c r="N64" i="1"/>
  <c r="AI57" i="1"/>
  <c r="AA65" i="1"/>
  <c r="G126" i="5"/>
  <c r="H126" i="5" s="1"/>
  <c r="I126" i="5" s="1"/>
  <c r="Z61" i="5"/>
  <c r="AD65" i="1"/>
  <c r="AA45" i="5"/>
  <c r="T57" i="1"/>
  <c r="V57" i="1"/>
  <c r="N13" i="35"/>
  <c r="AC60" i="1"/>
  <c r="T67" i="1"/>
  <c r="L119" i="5"/>
  <c r="G718" i="41"/>
  <c r="C3" i="6"/>
  <c r="C40" i="1"/>
  <c r="D40" i="1" s="1"/>
  <c r="H63" i="1"/>
  <c r="H56" i="1"/>
  <c r="B76" i="1"/>
  <c r="H58" i="1"/>
  <c r="A101" i="1"/>
  <c r="B70" i="1"/>
  <c r="B71" i="1" s="1"/>
  <c r="M64" i="1"/>
  <c r="V61" i="1"/>
  <c r="X65" i="1"/>
  <c r="F1075" i="41"/>
  <c r="L59" i="1"/>
  <c r="AB65" i="1"/>
  <c r="F868" i="41"/>
  <c r="K126" i="5"/>
  <c r="Y60" i="5"/>
  <c r="D19" i="6"/>
  <c r="Y59" i="5"/>
  <c r="Y61" i="5" s="1"/>
  <c r="F1284" i="41"/>
  <c r="F541" i="41"/>
  <c r="M138" i="5"/>
  <c r="W6" i="5"/>
  <c r="X6" i="5" s="1"/>
  <c r="W4" i="5"/>
  <c r="X4" i="5" s="1"/>
  <c r="F1171" i="41"/>
  <c r="I10" i="6"/>
  <c r="G1101" i="41" s="1"/>
  <c r="Z65" i="1"/>
  <c r="H12" i="3"/>
  <c r="H14" i="3" s="1"/>
  <c r="G260" i="41" s="1"/>
  <c r="I42" i="11"/>
  <c r="I33" i="11" s="1"/>
  <c r="I32" i="11" s="1"/>
  <c r="D21" i="11" s="1"/>
  <c r="G8" i="12"/>
  <c r="AH36" i="5" s="1"/>
  <c r="AG37" i="5"/>
  <c r="G509" i="41"/>
  <c r="I17" i="4"/>
  <c r="J17" i="4" s="1"/>
  <c r="I10" i="4"/>
  <c r="G297" i="41"/>
  <c r="G87" i="41"/>
  <c r="G510" i="41"/>
  <c r="I18" i="4"/>
  <c r="G516" i="41" s="1"/>
  <c r="H15" i="9"/>
  <c r="K44" i="5" s="1"/>
  <c r="P44" i="5"/>
  <c r="B9" i="38"/>
  <c r="P64" i="1"/>
  <c r="AD59" i="1"/>
  <c r="AE58" i="1"/>
  <c r="O66" i="1"/>
  <c r="F499" i="41"/>
  <c r="AE57" i="1"/>
  <c r="R68" i="1"/>
  <c r="P63" i="1"/>
  <c r="I42" i="12"/>
  <c r="I33" i="12" s="1"/>
  <c r="D34" i="7"/>
  <c r="D33" i="7" s="1"/>
  <c r="B13" i="2" s="1"/>
  <c r="I4" i="5" s="1"/>
  <c r="G302" i="41"/>
  <c r="AA41" i="5"/>
  <c r="R57" i="1"/>
  <c r="E63" i="5"/>
  <c r="T68" i="1"/>
  <c r="N32" i="5"/>
  <c r="C15" i="4"/>
  <c r="G92" i="41"/>
  <c r="B11" i="40"/>
  <c r="B58" i="37"/>
  <c r="S9" i="35" s="1"/>
  <c r="C15" i="10"/>
  <c r="F15" i="10" s="1"/>
  <c r="E22" i="12"/>
  <c r="F22" i="12" s="1"/>
  <c r="G22" i="12" s="1"/>
  <c r="G894" i="41"/>
  <c r="AG57" i="1"/>
  <c r="AD58" i="1"/>
  <c r="N78" i="5"/>
  <c r="AE60" i="1"/>
  <c r="S68" i="1"/>
  <c r="N62" i="5"/>
  <c r="I120" i="5"/>
  <c r="F117" i="5"/>
  <c r="G137" i="5"/>
  <c r="M133" i="5"/>
  <c r="M139" i="5" s="1"/>
  <c r="F709" i="41"/>
  <c r="B9" i="40"/>
  <c r="Q62" i="1"/>
  <c r="AE59" i="1"/>
  <c r="AF58" i="1"/>
  <c r="AF60" i="1"/>
  <c r="AC65" i="1"/>
  <c r="C118" i="5"/>
  <c r="F708" i="41"/>
  <c r="L127" i="5"/>
  <c r="N29" i="5"/>
  <c r="B9" i="36"/>
  <c r="R61" i="1"/>
  <c r="G9" i="11"/>
  <c r="AB38" i="5" s="1"/>
  <c r="AI59" i="1"/>
  <c r="B9" i="39"/>
  <c r="P58" i="5"/>
  <c r="G69" i="41"/>
  <c r="AH57" i="1"/>
  <c r="AF57" i="1"/>
  <c r="AE65" i="1"/>
  <c r="AH60" i="1"/>
  <c r="I42" i="9"/>
  <c r="I33" i="9" s="1"/>
  <c r="AC67" i="1"/>
  <c r="O127" i="5"/>
  <c r="P127" i="5" s="1"/>
  <c r="Q127" i="5" s="1"/>
  <c r="M66" i="1"/>
  <c r="AF59" i="1"/>
  <c r="AD57" i="1"/>
  <c r="Y63" i="1"/>
  <c r="AH65" i="1"/>
  <c r="AF62" i="1"/>
  <c r="AI64" i="1"/>
  <c r="C42" i="4"/>
  <c r="F119" i="5"/>
  <c r="Z66" i="1"/>
  <c r="G136" i="5"/>
  <c r="E64" i="5"/>
  <c r="N26" i="5"/>
  <c r="E15" i="2"/>
  <c r="G734" i="41" s="1"/>
  <c r="G51" i="41"/>
  <c r="G936" i="41"/>
  <c r="AA62" i="1"/>
  <c r="B848" i="41"/>
  <c r="B849" i="41" s="1"/>
  <c r="B850" i="41" s="1"/>
  <c r="B851" i="41" s="1"/>
  <c r="B852" i="41" s="1"/>
  <c r="B853" i="41" s="1"/>
  <c r="B854" i="41" s="1"/>
  <c r="B855" i="41" s="1"/>
  <c r="B856" i="41" s="1"/>
  <c r="B857" i="41" s="1"/>
  <c r="B858" i="41" s="1"/>
  <c r="B859" i="41" s="1"/>
  <c r="B860" i="41" s="1"/>
  <c r="B861" i="41" s="1"/>
  <c r="B862" i="41" s="1"/>
  <c r="B863" i="41" s="1"/>
  <c r="B864" i="41" s="1"/>
  <c r="B865" i="41" s="1"/>
  <c r="B866" i="41" s="1"/>
  <c r="B867" i="41" s="1"/>
  <c r="B868" i="41" s="1"/>
  <c r="B869" i="41" s="1"/>
  <c r="B870" i="41" s="1"/>
  <c r="B871" i="41" s="1"/>
  <c r="B872" i="41" s="1"/>
  <c r="B873" i="41" s="1"/>
  <c r="B874" i="41" s="1"/>
  <c r="B875" i="41" s="1"/>
  <c r="B876" i="41" s="1"/>
  <c r="B877" i="41" s="1"/>
  <c r="B878" i="41" s="1"/>
  <c r="B879" i="41" s="1"/>
  <c r="B880" i="41" s="1"/>
  <c r="B881" i="41" s="1"/>
  <c r="B882" i="41" s="1"/>
  <c r="B883" i="41" s="1"/>
  <c r="B884" i="41" s="1"/>
  <c r="B885" i="41" s="1"/>
  <c r="B886" i="41" s="1"/>
  <c r="B887" i="41" s="1"/>
  <c r="B888" i="41" s="1"/>
  <c r="B889" i="41" s="1"/>
  <c r="B890" i="41" s="1"/>
  <c r="B891" i="41" s="1"/>
  <c r="B892" i="41" s="1"/>
  <c r="B893" i="41" s="1"/>
  <c r="B894" i="41" s="1"/>
  <c r="B895" i="41" s="1"/>
  <c r="B896" i="41" s="1"/>
  <c r="B897" i="41" s="1"/>
  <c r="B898" i="41" s="1"/>
  <c r="B899" i="41" s="1"/>
  <c r="B900" i="41" s="1"/>
  <c r="B901" i="41" s="1"/>
  <c r="B902" i="41" s="1"/>
  <c r="B903" i="41" s="1"/>
  <c r="B904" i="41" s="1"/>
  <c r="B905" i="41" s="1"/>
  <c r="B906" i="41" s="1"/>
  <c r="B907" i="41" s="1"/>
  <c r="B908" i="41" s="1"/>
  <c r="B909" i="41" s="1"/>
  <c r="B910" i="41" s="1"/>
  <c r="B911" i="41" s="1"/>
  <c r="B912" i="41" s="1"/>
  <c r="B913" i="41" s="1"/>
  <c r="B914" i="41" s="1"/>
  <c r="B915" i="41" s="1"/>
  <c r="B916" i="41" s="1"/>
  <c r="B917" i="41" s="1"/>
  <c r="B918" i="41" s="1"/>
  <c r="B919" i="41" s="1"/>
  <c r="B920" i="41" s="1"/>
  <c r="B921" i="41" s="1"/>
  <c r="B922" i="41" s="1"/>
  <c r="B923" i="41" s="1"/>
  <c r="B924" i="41" s="1"/>
  <c r="B925" i="41" s="1"/>
  <c r="B926" i="41" s="1"/>
  <c r="B927" i="41" s="1"/>
  <c r="B928" i="41" s="1"/>
  <c r="B929" i="41" s="1"/>
  <c r="B930" i="41" s="1"/>
  <c r="B931" i="41" s="1"/>
  <c r="B932" i="41" s="1"/>
  <c r="B933" i="41" s="1"/>
  <c r="B934" i="41" s="1"/>
  <c r="B935" i="41" s="1"/>
  <c r="B936" i="41" s="1"/>
  <c r="B937" i="41" s="1"/>
  <c r="B938" i="41" s="1"/>
  <c r="B1057" i="41" s="1"/>
  <c r="H16" i="11"/>
  <c r="W45" i="5" s="1"/>
  <c r="AG59" i="1"/>
  <c r="AB66" i="1"/>
  <c r="U61" i="5"/>
  <c r="F116" i="5"/>
  <c r="G116" i="5" s="1"/>
  <c r="F64" i="5"/>
  <c r="F61" i="5"/>
  <c r="F62" i="5"/>
  <c r="G10" i="11"/>
  <c r="AA39" i="5"/>
  <c r="E127" i="5"/>
  <c r="D127" i="5"/>
  <c r="H56" i="5"/>
  <c r="H65" i="5" s="1"/>
  <c r="J37" i="4"/>
  <c r="P75" i="5"/>
  <c r="G518" i="41"/>
  <c r="G933" i="41"/>
  <c r="Q22" i="5"/>
  <c r="J25" i="4"/>
  <c r="J29" i="4" s="1"/>
  <c r="P68" i="5"/>
  <c r="G13" i="12"/>
  <c r="H13" i="12" s="1"/>
  <c r="AC42" i="5" s="1"/>
  <c r="AG42" i="5"/>
  <c r="I23" i="4"/>
  <c r="P22" i="5" s="1"/>
  <c r="G720" i="41"/>
  <c r="I14" i="2"/>
  <c r="G474" i="41"/>
  <c r="N20" i="3"/>
  <c r="G475" i="41" s="1"/>
  <c r="G892" i="41"/>
  <c r="F16" i="2"/>
  <c r="G16" i="2" s="1"/>
  <c r="G945" i="41" s="1"/>
  <c r="AG44" i="5"/>
  <c r="G15" i="12"/>
  <c r="AH44" i="5" s="1"/>
  <c r="G27" i="5"/>
  <c r="G28" i="5"/>
  <c r="G32" i="5"/>
  <c r="G24" i="5"/>
  <c r="G34" i="5" s="1"/>
  <c r="G33" i="5"/>
  <c r="G26" i="5"/>
  <c r="G25" i="5"/>
  <c r="G31" i="5"/>
  <c r="G30" i="5"/>
  <c r="B182" i="5"/>
  <c r="G29" i="5"/>
  <c r="B181" i="5"/>
  <c r="F29" i="5"/>
  <c r="G15" i="11"/>
  <c r="AB44" i="5" s="1"/>
  <c r="AA44" i="5"/>
  <c r="O116" i="5"/>
  <c r="O115" i="5"/>
  <c r="P115" i="5" s="1"/>
  <c r="G739" i="41"/>
  <c r="G319" i="41"/>
  <c r="G529" i="41"/>
  <c r="G109" i="41"/>
  <c r="G949" i="41"/>
  <c r="I43" i="4"/>
  <c r="G932" i="41"/>
  <c r="G723" i="41"/>
  <c r="M22" i="5"/>
  <c r="M25" i="5" s="1"/>
  <c r="P64" i="5"/>
  <c r="J20" i="4"/>
  <c r="J24" i="4" s="1"/>
  <c r="G1314" i="41"/>
  <c r="M17" i="6"/>
  <c r="G1315" i="41" s="1"/>
  <c r="G12" i="9"/>
  <c r="F118" i="5"/>
  <c r="B185" i="5"/>
  <c r="O117" i="5"/>
  <c r="H24" i="5"/>
  <c r="H34" i="5" s="1"/>
  <c r="F290" i="41"/>
  <c r="H15" i="6"/>
  <c r="H17" i="6" s="1"/>
  <c r="G1310" i="41" s="1"/>
  <c r="M124" i="5"/>
  <c r="T69" i="1"/>
  <c r="G95" i="41"/>
  <c r="G20" i="12"/>
  <c r="M34" i="7"/>
  <c r="M33" i="7" s="1"/>
  <c r="B16" i="2" s="1"/>
  <c r="S31" i="5"/>
  <c r="P73" i="5"/>
  <c r="G307" i="41"/>
  <c r="G684" i="41"/>
  <c r="J25" i="5"/>
  <c r="I15" i="2"/>
  <c r="C20" i="10"/>
  <c r="F20" i="10" s="1"/>
  <c r="G20" i="10" s="1"/>
  <c r="B218" i="41"/>
  <c r="B219" i="41" s="1"/>
  <c r="B220" i="41" s="1"/>
  <c r="B221" i="41" s="1"/>
  <c r="B222" i="41" s="1"/>
  <c r="B223" i="41" s="1"/>
  <c r="B224" i="41" s="1"/>
  <c r="B225" i="41" s="1"/>
  <c r="B226" i="41" s="1"/>
  <c r="B227" i="41" s="1"/>
  <c r="B228" i="41" s="1"/>
  <c r="B229" i="41" s="1"/>
  <c r="B230" i="41" s="1"/>
  <c r="B231" i="41" s="1"/>
  <c r="B232" i="41" s="1"/>
  <c r="B233" i="41" s="1"/>
  <c r="B234" i="41" s="1"/>
  <c r="B235" i="41" s="1"/>
  <c r="B236" i="41" s="1"/>
  <c r="B237" i="41" s="1"/>
  <c r="B238" i="41" s="1"/>
  <c r="B239" i="41" s="1"/>
  <c r="B240" i="41" s="1"/>
  <c r="B241" i="41" s="1"/>
  <c r="B242" i="41" s="1"/>
  <c r="B243" i="41" s="1"/>
  <c r="B244" i="41" s="1"/>
  <c r="B245" i="41" s="1"/>
  <c r="B246" i="41" s="1"/>
  <c r="B247" i="41" s="1"/>
  <c r="B248" i="41" s="1"/>
  <c r="B249" i="41" s="1"/>
  <c r="B250" i="41" s="1"/>
  <c r="B251" i="41" s="1"/>
  <c r="B252" i="41" s="1"/>
  <c r="B253" i="41" s="1"/>
  <c r="B254" i="41" s="1"/>
  <c r="B255" i="41" s="1"/>
  <c r="B256" i="41" s="1"/>
  <c r="B257" i="41" s="1"/>
  <c r="B258" i="41" s="1"/>
  <c r="B259" i="41" s="1"/>
  <c r="B260" i="41" s="1"/>
  <c r="B261" i="41" s="1"/>
  <c r="B262" i="41" s="1"/>
  <c r="B263" i="41" s="1"/>
  <c r="B264" i="41" s="1"/>
  <c r="B265" i="41" s="1"/>
  <c r="B266" i="41" s="1"/>
  <c r="B267" i="41" s="1"/>
  <c r="B268" i="41" s="1"/>
  <c r="B269" i="41" s="1"/>
  <c r="B270" i="41" s="1"/>
  <c r="B271" i="41" s="1"/>
  <c r="B272" i="41" s="1"/>
  <c r="B273" i="41" s="1"/>
  <c r="B274" i="41" s="1"/>
  <c r="B275" i="41" s="1"/>
  <c r="B276" i="41" s="1"/>
  <c r="B277" i="41" s="1"/>
  <c r="B278" i="41" s="1"/>
  <c r="B279" i="41" s="1"/>
  <c r="B280" i="41" s="1"/>
  <c r="B281" i="41" s="1"/>
  <c r="B282" i="41" s="1"/>
  <c r="B283" i="41" s="1"/>
  <c r="B284" i="41" s="1"/>
  <c r="B285" i="41" s="1"/>
  <c r="B286" i="41" s="1"/>
  <c r="B287" i="41" s="1"/>
  <c r="B288" i="41" s="1"/>
  <c r="B289" i="41" s="1"/>
  <c r="B290" i="41" s="1"/>
  <c r="B291" i="41" s="1"/>
  <c r="B292" i="41" s="1"/>
  <c r="B293" i="41" s="1"/>
  <c r="B294" i="41" s="1"/>
  <c r="B295" i="41" s="1"/>
  <c r="B296" i="41" s="1"/>
  <c r="B297" i="41" s="1"/>
  <c r="B298" i="41" s="1"/>
  <c r="B299" i="41" s="1"/>
  <c r="B300" i="41" s="1"/>
  <c r="B301" i="41" s="1"/>
  <c r="B302" i="41" s="1"/>
  <c r="B303" i="41" s="1"/>
  <c r="B304" i="41" s="1"/>
  <c r="B305" i="41" s="1"/>
  <c r="B306" i="41" s="1"/>
  <c r="B307" i="41" s="1"/>
  <c r="B308" i="41" s="1"/>
  <c r="H28" i="5"/>
  <c r="G515" i="41"/>
  <c r="AD67" i="1"/>
  <c r="D3" i="7"/>
  <c r="C4" i="12"/>
  <c r="M62" i="1"/>
  <c r="O61" i="1"/>
  <c r="H25" i="5"/>
  <c r="J29" i="5"/>
  <c r="H18" i="11"/>
  <c r="W47" i="5" s="1"/>
  <c r="AA47" i="5"/>
  <c r="C16" i="9"/>
  <c r="F16" i="9" s="1"/>
  <c r="G16" i="9" s="1"/>
  <c r="G96" i="41"/>
  <c r="G717" i="41"/>
  <c r="AH67" i="1"/>
  <c r="G305" i="41"/>
  <c r="J12" i="4"/>
  <c r="G62" i="41"/>
  <c r="W5" i="5"/>
  <c r="X5" i="5" s="1"/>
  <c r="G512" i="41"/>
  <c r="H31" i="5"/>
  <c r="J32" i="5"/>
  <c r="G306" i="41"/>
  <c r="J56" i="5"/>
  <c r="J58" i="5" s="1"/>
  <c r="J67" i="5" s="1"/>
  <c r="H33" i="5"/>
  <c r="J31" i="5"/>
  <c r="AG39" i="5"/>
  <c r="O124" i="5"/>
  <c r="P124" i="5" s="1"/>
  <c r="Q124" i="5" s="1"/>
  <c r="C19" i="10"/>
  <c r="F19" i="10" s="1"/>
  <c r="G19" i="10" s="1"/>
  <c r="F498" i="41"/>
  <c r="A125" i="5"/>
  <c r="B125" i="5" s="1"/>
  <c r="C125" i="5" s="1"/>
  <c r="E125" i="5" s="1"/>
  <c r="J24" i="5"/>
  <c r="J34" i="5" s="1"/>
  <c r="G8" i="10"/>
  <c r="H8" i="10" s="1"/>
  <c r="Q37" i="5" s="1"/>
  <c r="I20" i="3"/>
  <c r="G34" i="7" s="1"/>
  <c r="G33" i="7" s="1"/>
  <c r="C21" i="10" s="1"/>
  <c r="F21" i="10" s="1"/>
  <c r="H30" i="5"/>
  <c r="B10" i="36"/>
  <c r="P62" i="5"/>
  <c r="W69" i="1"/>
  <c r="I39" i="4"/>
  <c r="G727" i="41" s="1"/>
  <c r="L10" i="6"/>
  <c r="O120" i="5"/>
  <c r="J13" i="4"/>
  <c r="I44" i="2"/>
  <c r="J44" i="2" s="1"/>
  <c r="J17" i="6"/>
  <c r="G17" i="41"/>
  <c r="R69" i="1"/>
  <c r="I115" i="5"/>
  <c r="J115" i="5" s="1"/>
  <c r="Q6" i="5"/>
  <c r="R6" i="5" s="1"/>
  <c r="Q5" i="5"/>
  <c r="R5" i="5" s="1"/>
  <c r="Q4" i="5"/>
  <c r="R4" i="5" s="1"/>
  <c r="N11" i="6"/>
  <c r="F1106" i="41"/>
  <c r="D133" i="5"/>
  <c r="D139" i="5" s="1"/>
  <c r="G135" i="5"/>
  <c r="M135" i="5"/>
  <c r="F442" i="41"/>
  <c r="F232" i="41"/>
  <c r="G134" i="5"/>
  <c r="J138" i="5"/>
  <c r="P66" i="1"/>
  <c r="AG58" i="1"/>
  <c r="N66" i="1"/>
  <c r="Y66" i="1"/>
  <c r="F1073" i="41"/>
  <c r="AB59" i="1"/>
  <c r="S62" i="1"/>
  <c r="L66" i="1"/>
  <c r="I117" i="5"/>
  <c r="Y62" i="1"/>
  <c r="F231" i="41"/>
  <c r="F441" i="41"/>
  <c r="F230" i="41"/>
  <c r="F440" i="41"/>
  <c r="J137" i="5"/>
  <c r="F439" i="41"/>
  <c r="F229" i="41"/>
  <c r="F438" i="41"/>
  <c r="F228" i="41"/>
  <c r="N18" i="6"/>
  <c r="F1316" i="41"/>
  <c r="J3" i="7"/>
  <c r="G4" i="9"/>
  <c r="G595" i="41"/>
  <c r="G565" i="41"/>
  <c r="G575" i="41"/>
  <c r="G580" i="41"/>
  <c r="G590" i="41"/>
  <c r="G570" i="41"/>
  <c r="G600" i="41"/>
  <c r="G585" i="41"/>
  <c r="H217" i="41"/>
  <c r="H218" i="41" s="1"/>
  <c r="H219" i="41" s="1"/>
  <c r="H220" i="41" s="1"/>
  <c r="H221" i="41" s="1"/>
  <c r="H222" i="41" s="1"/>
  <c r="H223" i="41" s="1"/>
  <c r="H224" i="41" s="1"/>
  <c r="H225" i="41" s="1"/>
  <c r="H226" i="41" s="1"/>
  <c r="H227" i="41" s="1"/>
  <c r="H228" i="41" s="1"/>
  <c r="H229" i="41" s="1"/>
  <c r="H230" i="41" s="1"/>
  <c r="H231" i="41" s="1"/>
  <c r="H232" i="41" s="1"/>
  <c r="H233" i="41" s="1"/>
  <c r="H234" i="41" s="1"/>
  <c r="H235" i="41" s="1"/>
  <c r="H236" i="41" s="1"/>
  <c r="H237" i="41" s="1"/>
  <c r="H238" i="41" s="1"/>
  <c r="H239" i="41" s="1"/>
  <c r="H240" i="41" s="1"/>
  <c r="H241" i="41" s="1"/>
  <c r="H242" i="41" s="1"/>
  <c r="H243" i="41" s="1"/>
  <c r="H244" i="41" s="1"/>
  <c r="H245" i="41" s="1"/>
  <c r="H246" i="41" s="1"/>
  <c r="H247" i="41" s="1"/>
  <c r="H248" i="41" s="1"/>
  <c r="H249" i="41" s="1"/>
  <c r="H250" i="41" s="1"/>
  <c r="H251" i="41" s="1"/>
  <c r="H252" i="41" s="1"/>
  <c r="H253" i="41" s="1"/>
  <c r="H254" i="41" s="1"/>
  <c r="H255" i="41" s="1"/>
  <c r="H256" i="41" s="1"/>
  <c r="H257" i="41" s="1"/>
  <c r="H258" i="41" s="1"/>
  <c r="H259" i="41" s="1"/>
  <c r="H260" i="41" s="1"/>
  <c r="H261" i="41" s="1"/>
  <c r="H262" i="41" s="1"/>
  <c r="H263" i="41" s="1"/>
  <c r="H264" i="41" s="1"/>
  <c r="H265" i="41" s="1"/>
  <c r="H266" i="41" s="1"/>
  <c r="H267" i="41" s="1"/>
  <c r="H268" i="41" s="1"/>
  <c r="H269" i="41" s="1"/>
  <c r="H270" i="41" s="1"/>
  <c r="H271" i="41" s="1"/>
  <c r="H272" i="41" s="1"/>
  <c r="H273" i="41" s="1"/>
  <c r="H274" i="41" s="1"/>
  <c r="H275" i="41" s="1"/>
  <c r="H276" i="41" s="1"/>
  <c r="H277" i="41" s="1"/>
  <c r="H278" i="41" s="1"/>
  <c r="H279" i="41" s="1"/>
  <c r="H280" i="41" s="1"/>
  <c r="H281" i="41" s="1"/>
  <c r="H282" i="41" s="1"/>
  <c r="H283" i="41" s="1"/>
  <c r="H284" i="41" s="1"/>
  <c r="H285" i="41" s="1"/>
  <c r="H286" i="41" s="1"/>
  <c r="H287" i="41" s="1"/>
  <c r="H288" i="41" s="1"/>
  <c r="H289" i="41" s="1"/>
  <c r="H290" i="41" s="1"/>
  <c r="H291" i="41" s="1"/>
  <c r="H292" i="41" s="1"/>
  <c r="H293" i="41" s="1"/>
  <c r="H294" i="41" s="1"/>
  <c r="H295" i="41" s="1"/>
  <c r="H296" i="41" s="1"/>
  <c r="H297" i="41" s="1"/>
  <c r="H298" i="41" s="1"/>
  <c r="H299" i="41" s="1"/>
  <c r="H300" i="41" s="1"/>
  <c r="H301" i="41" s="1"/>
  <c r="H302" i="41" s="1"/>
  <c r="H303" i="41" s="1"/>
  <c r="H304" i="41" s="1"/>
  <c r="H305" i="41" s="1"/>
  <c r="H306" i="41" s="1"/>
  <c r="H307" i="41" s="1"/>
  <c r="H308" i="41" s="1"/>
  <c r="H427" i="41" s="1"/>
  <c r="H428" i="41" s="1"/>
  <c r="H429" i="41" s="1"/>
  <c r="H430" i="41" s="1"/>
  <c r="H431" i="41" s="1"/>
  <c r="H432" i="41" s="1"/>
  <c r="H433" i="41" s="1"/>
  <c r="H434" i="41" s="1"/>
  <c r="H435" i="41" s="1"/>
  <c r="H436" i="41" s="1"/>
  <c r="H437" i="41" s="1"/>
  <c r="H438" i="41" s="1"/>
  <c r="H439" i="41" s="1"/>
  <c r="H440" i="41" s="1"/>
  <c r="H441" i="41" s="1"/>
  <c r="H442" i="41" s="1"/>
  <c r="H22" i="12"/>
  <c r="AC51" i="5" s="1"/>
  <c r="AH51" i="5"/>
  <c r="I38" i="2"/>
  <c r="G1102" i="41"/>
  <c r="AB41" i="5"/>
  <c r="H12" i="11"/>
  <c r="W41" i="5" s="1"/>
  <c r="U43" i="5"/>
  <c r="G14" i="10"/>
  <c r="J65" i="5"/>
  <c r="U40" i="5"/>
  <c r="G11" i="10"/>
  <c r="G9" i="10"/>
  <c r="U38" i="5"/>
  <c r="AG41" i="5"/>
  <c r="G12" i="12"/>
  <c r="I26" i="3"/>
  <c r="C20" i="4"/>
  <c r="D181" i="5"/>
  <c r="F60" i="5"/>
  <c r="B20" i="3"/>
  <c r="S25" i="5"/>
  <c r="S33" i="5"/>
  <c r="S30" i="5"/>
  <c r="S27" i="5"/>
  <c r="S28" i="5"/>
  <c r="S24" i="5"/>
  <c r="S34" i="5" s="1"/>
  <c r="P24" i="5"/>
  <c r="P34" i="5" s="1"/>
  <c r="P30" i="5"/>
  <c r="P27" i="5"/>
  <c r="P31" i="5"/>
  <c r="P32" i="5"/>
  <c r="AG47" i="5"/>
  <c r="G18" i="12"/>
  <c r="H16" i="12"/>
  <c r="AH45" i="5"/>
  <c r="H19" i="12"/>
  <c r="AH48" i="5"/>
  <c r="G16" i="10"/>
  <c r="F58" i="5"/>
  <c r="F67" i="5" s="1"/>
  <c r="H9" i="11"/>
  <c r="W38" i="5" s="1"/>
  <c r="AG51" i="5"/>
  <c r="H13" i="9"/>
  <c r="K42" i="5" s="1"/>
  <c r="AG45" i="5"/>
  <c r="B14" i="2"/>
  <c r="B191" i="5"/>
  <c r="P25" i="5"/>
  <c r="S32" i="5"/>
  <c r="J28" i="4"/>
  <c r="G98" i="41"/>
  <c r="J34" i="4"/>
  <c r="G308" i="41"/>
  <c r="G728" i="41"/>
  <c r="P77" i="5"/>
  <c r="I26" i="5"/>
  <c r="B184" i="5"/>
  <c r="I28" i="5"/>
  <c r="I30" i="5"/>
  <c r="I29" i="5"/>
  <c r="I24" i="5"/>
  <c r="I34" i="5" s="1"/>
  <c r="I25" i="5"/>
  <c r="G13" i="11"/>
  <c r="AA37" i="5"/>
  <c r="G8" i="11"/>
  <c r="O49" i="5"/>
  <c r="G20" i="9"/>
  <c r="H14" i="12"/>
  <c r="AH43" i="5"/>
  <c r="O48" i="5"/>
  <c r="G19" i="9"/>
  <c r="G14" i="9"/>
  <c r="O43" i="5"/>
  <c r="I118" i="5"/>
  <c r="I119" i="5"/>
  <c r="B10" i="6"/>
  <c r="E22" i="9"/>
  <c r="F22" i="9" s="1"/>
  <c r="O51" i="5" s="1"/>
  <c r="L51" i="5"/>
  <c r="R51" i="5"/>
  <c r="E22" i="10"/>
  <c r="F22" i="10" s="1"/>
  <c r="F22" i="11"/>
  <c r="O40" i="5"/>
  <c r="G11" i="9"/>
  <c r="G268" i="41"/>
  <c r="G688" i="41"/>
  <c r="G898" i="41"/>
  <c r="G58" i="41"/>
  <c r="I36" i="4"/>
  <c r="G511" i="41"/>
  <c r="P69" i="5"/>
  <c r="G934" i="41"/>
  <c r="R22" i="5"/>
  <c r="O42" i="5"/>
  <c r="AA43" i="5"/>
  <c r="J20" i="3"/>
  <c r="E61" i="5"/>
  <c r="D180" i="5"/>
  <c r="E58" i="5"/>
  <c r="E67" i="5" s="1"/>
  <c r="E65" i="5"/>
  <c r="E60" i="5"/>
  <c r="G928" i="41"/>
  <c r="AH39" i="5"/>
  <c r="H10" i="12"/>
  <c r="AC39" i="5" s="1"/>
  <c r="AG40" i="5"/>
  <c r="G11" i="12"/>
  <c r="N69" i="5"/>
  <c r="F916" i="41"/>
  <c r="M125" i="5"/>
  <c r="L125" i="5"/>
  <c r="G18" i="10"/>
  <c r="U47" i="5"/>
  <c r="F65" i="5"/>
  <c r="F63" i="5"/>
  <c r="F59" i="5"/>
  <c r="O118" i="5"/>
  <c r="I32" i="5"/>
  <c r="E59" i="5"/>
  <c r="I33" i="5"/>
  <c r="P28" i="5"/>
  <c r="P26" i="5"/>
  <c r="B194" i="5"/>
  <c r="T22" i="5"/>
  <c r="G930" i="41"/>
  <c r="C39" i="4"/>
  <c r="G478" i="41"/>
  <c r="AB49" i="5"/>
  <c r="H8" i="12"/>
  <c r="AH37" i="5"/>
  <c r="O119" i="5"/>
  <c r="AA40" i="5"/>
  <c r="G11" i="11"/>
  <c r="AG46" i="5"/>
  <c r="G17" i="12"/>
  <c r="L22" i="5"/>
  <c r="J18" i="4"/>
  <c r="P63" i="5"/>
  <c r="G726" i="41"/>
  <c r="P67" i="5"/>
  <c r="J23" i="4"/>
  <c r="D125" i="5"/>
  <c r="G484" i="41"/>
  <c r="C12" i="10"/>
  <c r="F12" i="10" s="1"/>
  <c r="C120" i="5"/>
  <c r="C119" i="5"/>
  <c r="C115" i="5"/>
  <c r="D115" i="5" s="1"/>
  <c r="C116" i="5"/>
  <c r="M14" i="3"/>
  <c r="J14" i="3"/>
  <c r="I42" i="4"/>
  <c r="G931" i="41"/>
  <c r="U66" i="1"/>
  <c r="R66" i="1"/>
  <c r="V65" i="1"/>
  <c r="T65" i="1"/>
  <c r="U65" i="1"/>
  <c r="R65" i="1"/>
  <c r="W64" i="1"/>
  <c r="R64" i="1"/>
  <c r="V64" i="1"/>
  <c r="S64" i="1"/>
  <c r="W63" i="1"/>
  <c r="AH61" i="1"/>
  <c r="AG62" i="1"/>
  <c r="AE63" i="1"/>
  <c r="AF63" i="1"/>
  <c r="AE61" i="1"/>
  <c r="AH59" i="1"/>
  <c r="AI58" i="1"/>
  <c r="M69" i="1"/>
  <c r="A124" i="5"/>
  <c r="B124" i="5" s="1"/>
  <c r="C124" i="5" s="1"/>
  <c r="L69" i="1"/>
  <c r="Q69" i="1"/>
  <c r="O69" i="1"/>
  <c r="N69" i="1"/>
  <c r="A102" i="1"/>
  <c r="C99" i="1"/>
  <c r="D99" i="1" s="1"/>
  <c r="H47" i="1"/>
  <c r="B82" i="1"/>
  <c r="C79" i="1"/>
  <c r="D79" i="1" s="1"/>
  <c r="H46" i="1"/>
  <c r="A42" i="1"/>
  <c r="H48" i="1"/>
  <c r="C98" i="1"/>
  <c r="D98" i="1" s="1"/>
  <c r="A70" i="1"/>
  <c r="B96" i="1"/>
  <c r="A68" i="1"/>
  <c r="B100" i="1"/>
  <c r="C63" i="1"/>
  <c r="D63" i="1" s="1"/>
  <c r="B63" i="1"/>
  <c r="C87" i="1"/>
  <c r="D87" i="1" s="1"/>
  <c r="B77" i="1"/>
  <c r="B50" i="1"/>
  <c r="A48" i="1"/>
  <c r="C69" i="1"/>
  <c r="D69" i="1" s="1"/>
  <c r="A50" i="1"/>
  <c r="B85" i="1"/>
  <c r="C101" i="1"/>
  <c r="D101" i="1" s="1"/>
  <c r="B42" i="1"/>
  <c r="H62" i="1"/>
  <c r="A88" i="1"/>
  <c r="A65" i="1"/>
  <c r="C85" i="1"/>
  <c r="D85" i="1" s="1"/>
  <c r="B105" i="1"/>
  <c r="C49" i="1"/>
  <c r="D49" i="1" s="1"/>
  <c r="A98" i="1"/>
  <c r="B52" i="1"/>
  <c r="B53" i="1" s="1"/>
  <c r="A104" i="1"/>
  <c r="B80" i="1"/>
  <c r="A47" i="1"/>
  <c r="B84" i="1"/>
  <c r="B48" i="1"/>
  <c r="A77" i="1"/>
  <c r="E43" i="1"/>
  <c r="F43" i="1" s="1"/>
  <c r="C77" i="1"/>
  <c r="D77" i="1" s="1"/>
  <c r="A106" i="1"/>
  <c r="A67" i="1"/>
  <c r="C60" i="1"/>
  <c r="D60" i="1" s="1"/>
  <c r="A97" i="1"/>
  <c r="E49" i="1"/>
  <c r="F49" i="1" s="1"/>
  <c r="H44" i="1"/>
  <c r="B66" i="1"/>
  <c r="H42" i="1"/>
  <c r="A46" i="1"/>
  <c r="G47" i="1"/>
  <c r="A43" i="1"/>
  <c r="E46" i="1"/>
  <c r="F46" i="1" s="1"/>
  <c r="G48" i="1"/>
  <c r="H60" i="1"/>
  <c r="A81" i="1"/>
  <c r="B98" i="1"/>
  <c r="B87" i="1"/>
  <c r="C100" i="1"/>
  <c r="D100" i="1" s="1"/>
  <c r="C64" i="1"/>
  <c r="D64" i="1" s="1"/>
  <c r="C103" i="1"/>
  <c r="D103" i="1" s="1"/>
  <c r="A40" i="1"/>
  <c r="B88" i="1"/>
  <c r="B89" i="1" s="1"/>
  <c r="B60" i="1"/>
  <c r="B94" i="1"/>
  <c r="C48" i="1"/>
  <c r="D48" i="1" s="1"/>
  <c r="B79" i="1"/>
  <c r="E45" i="1"/>
  <c r="F45" i="1" s="1"/>
  <c r="B97" i="1"/>
  <c r="A35" i="1"/>
  <c r="B35" i="1" s="1"/>
  <c r="A49" i="1"/>
  <c r="G41" i="1"/>
  <c r="H45" i="1"/>
  <c r="B102" i="1"/>
  <c r="A76" i="1"/>
  <c r="A82" i="1"/>
  <c r="G42" i="1"/>
  <c r="A96" i="1"/>
  <c r="C46" i="1"/>
  <c r="D46" i="1" s="1"/>
  <c r="C84" i="1"/>
  <c r="D84" i="1" s="1"/>
  <c r="C80" i="1"/>
  <c r="D80" i="1" s="1"/>
  <c r="A44" i="1"/>
  <c r="B78" i="1"/>
  <c r="C94" i="1"/>
  <c r="D94" i="1" s="1"/>
  <c r="C66" i="1"/>
  <c r="D66" i="1" s="1"/>
  <c r="B103" i="1"/>
  <c r="H40" i="1"/>
  <c r="C95" i="1"/>
  <c r="D95" i="1" s="1"/>
  <c r="A99" i="1"/>
  <c r="C58" i="1"/>
  <c r="D58" i="1" s="1"/>
  <c r="B44" i="1"/>
  <c r="A62" i="1"/>
  <c r="C96" i="1"/>
  <c r="D96" i="1" s="1"/>
  <c r="C43" i="1"/>
  <c r="D43" i="1" s="1"/>
  <c r="B43" i="1"/>
  <c r="E47" i="1"/>
  <c r="F47" i="1" s="1"/>
  <c r="C51" i="1"/>
  <c r="D51" i="1" s="1"/>
  <c r="B86" i="1"/>
  <c r="B58" i="1"/>
  <c r="B104" i="1"/>
  <c r="B61" i="1"/>
  <c r="H49" i="1"/>
  <c r="B46" i="1"/>
  <c r="H50" i="1"/>
  <c r="B83" i="1"/>
  <c r="A52" i="1"/>
  <c r="N33" i="5"/>
  <c r="N25" i="5"/>
  <c r="N28" i="5"/>
  <c r="AG48" i="5"/>
  <c r="H27" i="5"/>
  <c r="B183" i="5"/>
  <c r="H32" i="5"/>
  <c r="H26" i="5"/>
  <c r="M33" i="5"/>
  <c r="N66" i="5"/>
  <c r="F707" i="41"/>
  <c r="G514" i="41"/>
  <c r="G280" i="41"/>
  <c r="C17" i="9"/>
  <c r="F17" i="9" s="1"/>
  <c r="G70" i="41"/>
  <c r="I22" i="4"/>
  <c r="G719" i="41"/>
  <c r="AF66" i="1"/>
  <c r="AE66" i="1"/>
  <c r="AI65" i="1"/>
  <c r="AG66" i="1"/>
  <c r="S59" i="1"/>
  <c r="T59" i="1"/>
  <c r="U57" i="1"/>
  <c r="S60" i="1"/>
  <c r="S58" i="1"/>
  <c r="R58" i="1"/>
  <c r="V58" i="1"/>
  <c r="Q58" i="1"/>
  <c r="L62" i="1"/>
  <c r="J26" i="5"/>
  <c r="J33" i="5"/>
  <c r="F285" i="41"/>
  <c r="N56" i="5"/>
  <c r="F75" i="41"/>
  <c r="N68" i="5"/>
  <c r="F915" i="41"/>
  <c r="G482" i="41"/>
  <c r="C10" i="10"/>
  <c r="F10" i="10" s="1"/>
  <c r="T61" i="1"/>
  <c r="R62" i="1"/>
  <c r="V59" i="1"/>
  <c r="U60" i="1"/>
  <c r="I116" i="5"/>
  <c r="AI66" i="1"/>
  <c r="AG67" i="1"/>
  <c r="AF67" i="1"/>
  <c r="AG64" i="1"/>
  <c r="AI62" i="1"/>
  <c r="O59" i="1"/>
  <c r="P57" i="1"/>
  <c r="N58" i="1"/>
  <c r="M59" i="1"/>
  <c r="N57" i="1"/>
  <c r="L58" i="1"/>
  <c r="L117" i="5"/>
  <c r="Z68" i="1"/>
  <c r="AB68" i="1"/>
  <c r="X68" i="1"/>
  <c r="AC63" i="1"/>
  <c r="X64" i="1"/>
  <c r="AC62" i="1"/>
  <c r="AA64" i="1"/>
  <c r="L9" i="46"/>
  <c r="L9" i="48"/>
  <c r="F1279" i="41"/>
  <c r="F26" i="6"/>
  <c r="F653" i="41"/>
  <c r="B13" i="48"/>
  <c r="B13" i="46"/>
  <c r="F21" i="51"/>
  <c r="G995" i="41"/>
  <c r="J21" i="51"/>
  <c r="G1005" i="41"/>
  <c r="D21" i="51"/>
  <c r="G990" i="41"/>
  <c r="H21" i="51"/>
  <c r="G1000" i="41"/>
  <c r="L21" i="51"/>
  <c r="G1010" i="41"/>
  <c r="N21" i="51"/>
  <c r="G1015" i="41"/>
  <c r="P21" i="51"/>
  <c r="G1020" i="41"/>
  <c r="B21" i="51"/>
  <c r="G985" i="41"/>
  <c r="J21" i="50"/>
  <c r="G795" i="41"/>
  <c r="F21" i="50"/>
  <c r="G785" i="41"/>
  <c r="L21" i="50"/>
  <c r="G800" i="41"/>
  <c r="H21" i="50"/>
  <c r="G790" i="41"/>
  <c r="N21" i="50"/>
  <c r="G805" i="41"/>
  <c r="P21" i="50"/>
  <c r="G810" i="41"/>
  <c r="B21" i="50"/>
  <c r="G775" i="41"/>
  <c r="D21" i="50"/>
  <c r="G780" i="41"/>
  <c r="B21" i="49"/>
  <c r="P21" i="49"/>
  <c r="N21" i="49"/>
  <c r="H21" i="49"/>
  <c r="D21" i="49"/>
  <c r="J21" i="49"/>
  <c r="F21" i="49"/>
  <c r="L21" i="49"/>
  <c r="H123" i="41"/>
  <c r="H124" i="41" s="1"/>
  <c r="H125" i="41" s="1"/>
  <c r="H126" i="41" s="1"/>
  <c r="H127" i="41" s="1"/>
  <c r="H128" i="41" s="1"/>
  <c r="H129" i="41" s="1"/>
  <c r="H130" i="41" s="1"/>
  <c r="H131" i="41" s="1"/>
  <c r="H132" i="41" s="1"/>
  <c r="H133" i="41" s="1"/>
  <c r="H134" i="41" s="1"/>
  <c r="H135" i="41" s="1"/>
  <c r="H136" i="41" s="1"/>
  <c r="H137" i="41" s="1"/>
  <c r="H138" i="41" s="1"/>
  <c r="B1267" i="41"/>
  <c r="B1149" i="41"/>
  <c r="B1150" i="41" s="1"/>
  <c r="B1151" i="41" s="1"/>
  <c r="B1152" i="41" s="1"/>
  <c r="B1153" i="41" s="1"/>
  <c r="B1154" i="41" s="1"/>
  <c r="B1155" i="41" s="1"/>
  <c r="B1156" i="41" s="1"/>
  <c r="B1157" i="41" s="1"/>
  <c r="B1158" i="41" s="1"/>
  <c r="B1159" i="41" s="1"/>
  <c r="B1160" i="41" s="1"/>
  <c r="B1161" i="41" s="1"/>
  <c r="B1162" i="41" s="1"/>
  <c r="B1163" i="41" s="1"/>
  <c r="B1164" i="41" s="1"/>
  <c r="B1165" i="41" s="1"/>
  <c r="B1166" i="41" s="1"/>
  <c r="B1167" i="41" s="1"/>
  <c r="B1168" i="41" s="1"/>
  <c r="B1169" i="41" s="1"/>
  <c r="B1170" i="41" s="1"/>
  <c r="B1171" i="41" s="1"/>
  <c r="B1172" i="41" s="1"/>
  <c r="B1173" i="41" s="1"/>
  <c r="B1174" i="41" s="1"/>
  <c r="B1175" i="41" s="1"/>
  <c r="B1176" i="41" s="1"/>
  <c r="B1177" i="41" s="1"/>
  <c r="B1178" i="41" s="1"/>
  <c r="B1179" i="41" s="1"/>
  <c r="B1180" i="41" s="1"/>
  <c r="B1181" i="41" s="1"/>
  <c r="B1182" i="41" s="1"/>
  <c r="B1183" i="41" s="1"/>
  <c r="B1184" i="41" s="1"/>
  <c r="B1185" i="41" s="1"/>
  <c r="B1186" i="41" s="1"/>
  <c r="B1187" i="41" s="1"/>
  <c r="B1188" i="41" s="1"/>
  <c r="B1191" i="41" s="1"/>
  <c r="B1192" i="41" s="1"/>
  <c r="B1193" i="41" s="1"/>
  <c r="B1194" i="41" s="1"/>
  <c r="B1195" i="41" s="1"/>
  <c r="B1196" i="41" s="1"/>
  <c r="B1197" i="41" s="1"/>
  <c r="B1198" i="41" s="1"/>
  <c r="B1199" i="41" s="1"/>
  <c r="B1200" i="41" s="1"/>
  <c r="B1201" i="41" s="1"/>
  <c r="B1202" i="41" s="1"/>
  <c r="B1203" i="41" s="1"/>
  <c r="B1204" i="41" s="1"/>
  <c r="B1205" i="41" s="1"/>
  <c r="B1206" i="41" s="1"/>
  <c r="B1207" i="41" s="1"/>
  <c r="B1208" i="41" s="1"/>
  <c r="B1209" i="41" s="1"/>
  <c r="B1210" i="41" s="1"/>
  <c r="B1211" i="41" s="1"/>
  <c r="B1212" i="41" s="1"/>
  <c r="B1213" i="41" s="1"/>
  <c r="B1214" i="41" s="1"/>
  <c r="B1215" i="41" s="1"/>
  <c r="B1216" i="41" s="1"/>
  <c r="B1217" i="41" s="1"/>
  <c r="B1218" i="41" s="1"/>
  <c r="B1219" i="41" s="1"/>
  <c r="B1220" i="41" s="1"/>
  <c r="B1221" i="41" s="1"/>
  <c r="B1222" i="41" s="1"/>
  <c r="B1223" i="41" s="1"/>
  <c r="B1224" i="41" s="1"/>
  <c r="B1225" i="41" s="1"/>
  <c r="B1226" i="41" s="1"/>
  <c r="B1227" i="41" s="1"/>
  <c r="B1228" i="41" s="1"/>
  <c r="B1229" i="41" s="1"/>
  <c r="B1230" i="41" s="1"/>
  <c r="B1231" i="41" s="1"/>
  <c r="B1232" i="41" s="1"/>
  <c r="B1233" i="41" s="1"/>
  <c r="B1234" i="41" s="1"/>
  <c r="B1235" i="41" s="1"/>
  <c r="B1236" i="41" s="1"/>
  <c r="B1237" i="41" s="1"/>
  <c r="B1238" i="41" s="1"/>
  <c r="B1239" i="41" s="1"/>
  <c r="B1240" i="41" s="1"/>
  <c r="B1241" i="41" s="1"/>
  <c r="B1242" i="41" s="1"/>
  <c r="B1243" i="41" s="1"/>
  <c r="B1244" i="41" s="1"/>
  <c r="B1245" i="41" s="1"/>
  <c r="B1246" i="41" s="1"/>
  <c r="B1247" i="41" s="1"/>
  <c r="B1248" i="41" s="1"/>
  <c r="B1249" i="41" s="1"/>
  <c r="B1250" i="41" s="1"/>
  <c r="B1251" i="41" s="1"/>
  <c r="B1252" i="41" s="1"/>
  <c r="B1253" i="41" s="1"/>
  <c r="B1254" i="41" s="1"/>
  <c r="B1255" i="41" s="1"/>
  <c r="B1256" i="41" s="1"/>
  <c r="B1257" i="41" s="1"/>
  <c r="B1258" i="41" s="1"/>
  <c r="B1259" i="41" s="1"/>
  <c r="B1260" i="41" s="1"/>
  <c r="B1261" i="41" s="1"/>
  <c r="B1262" i="41" s="1"/>
  <c r="B1263" i="41" s="1"/>
  <c r="B1264" i="41" s="1"/>
  <c r="B1265" i="41" s="1"/>
  <c r="B1266" i="41" s="1"/>
  <c r="L11" i="46"/>
  <c r="L11" i="48"/>
  <c r="G4" i="4"/>
  <c r="G4" i="12"/>
  <c r="G4" i="11"/>
  <c r="G4" i="10"/>
  <c r="J9" i="47"/>
  <c r="J8" i="47"/>
  <c r="J7" i="47"/>
  <c r="F9" i="47"/>
  <c r="F8" i="47"/>
  <c r="F7" i="47"/>
  <c r="P9" i="47"/>
  <c r="P8" i="47"/>
  <c r="P7" i="47"/>
  <c r="D9" i="47"/>
  <c r="D8" i="47"/>
  <c r="D7" i="47"/>
  <c r="B8" i="47"/>
  <c r="B9" i="47"/>
  <c r="B7" i="47"/>
  <c r="N8" i="47"/>
  <c r="N9" i="47"/>
  <c r="N7" i="47"/>
  <c r="H9" i="47"/>
  <c r="H8" i="47"/>
  <c r="H7" i="47"/>
  <c r="L8" i="47"/>
  <c r="L7" i="47"/>
  <c r="L9" i="47"/>
  <c r="L10" i="47"/>
  <c r="P10" i="47"/>
  <c r="F10" i="47"/>
  <c r="D10" i="47"/>
  <c r="H10" i="47"/>
  <c r="B10" i="47"/>
  <c r="N10" i="47"/>
  <c r="J10" i="47"/>
  <c r="J59" i="5" l="1"/>
  <c r="J63" i="5"/>
  <c r="N31" i="5"/>
  <c r="N30" i="5"/>
  <c r="J61" i="5"/>
  <c r="N24" i="5"/>
  <c r="N34" i="5" s="1"/>
  <c r="B14" i="40"/>
  <c r="B14" i="38"/>
  <c r="B308" i="37"/>
  <c r="S14" i="35" s="1"/>
  <c r="B12" i="36"/>
  <c r="B208" i="37"/>
  <c r="S12" i="35" s="1"/>
  <c r="AL12" i="35"/>
  <c r="B14" i="3"/>
  <c r="P76" i="5"/>
  <c r="J64" i="5"/>
  <c r="G50" i="41"/>
  <c r="J11" i="4"/>
  <c r="F32" i="5"/>
  <c r="B12" i="40"/>
  <c r="B428" i="41"/>
  <c r="B429" i="41" s="1"/>
  <c r="B430" i="41" s="1"/>
  <c r="B431" i="41" s="1"/>
  <c r="B432" i="41" s="1"/>
  <c r="B433" i="41" s="1"/>
  <c r="B434" i="41" s="1"/>
  <c r="B435" i="41" s="1"/>
  <c r="B436" i="41" s="1"/>
  <c r="B437" i="41" s="1"/>
  <c r="B438" i="41" s="1"/>
  <c r="B439" i="41" s="1"/>
  <c r="B440" i="41" s="1"/>
  <c r="B441" i="41" s="1"/>
  <c r="B442" i="41" s="1"/>
  <c r="B443" i="41" s="1"/>
  <c r="B444" i="41" s="1"/>
  <c r="B445" i="41" s="1"/>
  <c r="B446" i="41" s="1"/>
  <c r="B447" i="41" s="1"/>
  <c r="B448" i="41" s="1"/>
  <c r="B449" i="41" s="1"/>
  <c r="B450" i="41" s="1"/>
  <c r="B451" i="41" s="1"/>
  <c r="B452" i="41" s="1"/>
  <c r="B453" i="41" s="1"/>
  <c r="B454" i="41" s="1"/>
  <c r="B455" i="41" s="1"/>
  <c r="B456" i="41" s="1"/>
  <c r="B457" i="41" s="1"/>
  <c r="B458" i="41" s="1"/>
  <c r="B459" i="41" s="1"/>
  <c r="B460" i="41" s="1"/>
  <c r="B461" i="41" s="1"/>
  <c r="B462" i="41" s="1"/>
  <c r="B463" i="41" s="1"/>
  <c r="B464" i="41" s="1"/>
  <c r="B465" i="41" s="1"/>
  <c r="B466" i="41" s="1"/>
  <c r="B467" i="41" s="1"/>
  <c r="B468" i="41" s="1"/>
  <c r="B469" i="41" s="1"/>
  <c r="B470" i="41" s="1"/>
  <c r="B471" i="41" s="1"/>
  <c r="B472" i="41" s="1"/>
  <c r="B473" i="41" s="1"/>
  <c r="B474" i="41" s="1"/>
  <c r="B475" i="41" s="1"/>
  <c r="B476" i="41" s="1"/>
  <c r="B477" i="41" s="1"/>
  <c r="B478" i="41" s="1"/>
  <c r="B479" i="41" s="1"/>
  <c r="B480" i="41" s="1"/>
  <c r="B481" i="41" s="1"/>
  <c r="B482" i="41" s="1"/>
  <c r="B483" i="41" s="1"/>
  <c r="B484" i="41" s="1"/>
  <c r="B485" i="41" s="1"/>
  <c r="B486" i="41" s="1"/>
  <c r="B487" i="41" s="1"/>
  <c r="B488" i="41" s="1"/>
  <c r="B489" i="41" s="1"/>
  <c r="B490" i="41" s="1"/>
  <c r="B491" i="41" s="1"/>
  <c r="B492" i="41" s="1"/>
  <c r="B493" i="41" s="1"/>
  <c r="B494" i="41" s="1"/>
  <c r="B495" i="41" s="1"/>
  <c r="B496" i="41" s="1"/>
  <c r="B497" i="41" s="1"/>
  <c r="B498" i="41" s="1"/>
  <c r="B499" i="41" s="1"/>
  <c r="B500" i="41" s="1"/>
  <c r="B501" i="41" s="1"/>
  <c r="B502" i="41" s="1"/>
  <c r="B503" i="41" s="1"/>
  <c r="B504" i="41" s="1"/>
  <c r="B505" i="41" s="1"/>
  <c r="B506" i="41" s="1"/>
  <c r="B507" i="41" s="1"/>
  <c r="B508" i="41" s="1"/>
  <c r="B509" i="41" s="1"/>
  <c r="B510" i="41" s="1"/>
  <c r="B511" i="41" s="1"/>
  <c r="B512" i="41" s="1"/>
  <c r="B513" i="41" s="1"/>
  <c r="B514" i="41" s="1"/>
  <c r="B515" i="41" s="1"/>
  <c r="B516" i="41" s="1"/>
  <c r="B517" i="41" s="1"/>
  <c r="B518" i="41" s="1"/>
  <c r="B10" i="38"/>
  <c r="B108" i="37"/>
  <c r="S10" i="35" s="1"/>
  <c r="J39" i="4"/>
  <c r="J41" i="4" s="1"/>
  <c r="J62" i="5"/>
  <c r="G94" i="41"/>
  <c r="F28" i="5"/>
  <c r="B12" i="38"/>
  <c r="I56" i="5"/>
  <c r="K22" i="5"/>
  <c r="K24" i="5" s="1"/>
  <c r="K34" i="5" s="1"/>
  <c r="F25" i="5"/>
  <c r="F26" i="5"/>
  <c r="G117" i="5"/>
  <c r="N32" i="3"/>
  <c r="G895" i="41" s="1"/>
  <c r="I16" i="2"/>
  <c r="J60" i="5"/>
  <c r="P57" i="5"/>
  <c r="F31" i="5"/>
  <c r="F27" i="5"/>
  <c r="B638" i="41"/>
  <c r="B639" i="41" s="1"/>
  <c r="B640" i="41" s="1"/>
  <c r="B641" i="41" s="1"/>
  <c r="B642" i="41" s="1"/>
  <c r="B643" i="41" s="1"/>
  <c r="B644" i="41" s="1"/>
  <c r="B645" i="41" s="1"/>
  <c r="B646" i="41" s="1"/>
  <c r="B647" i="41" s="1"/>
  <c r="B648" i="41" s="1"/>
  <c r="B649" i="41" s="1"/>
  <c r="B650" i="41" s="1"/>
  <c r="B651" i="41" s="1"/>
  <c r="B652" i="41" s="1"/>
  <c r="B653" i="41" s="1"/>
  <c r="B654" i="41" s="1"/>
  <c r="B655" i="41" s="1"/>
  <c r="B656" i="41" s="1"/>
  <c r="B657" i="41" s="1"/>
  <c r="B658" i="41" s="1"/>
  <c r="B659" i="41" s="1"/>
  <c r="B660" i="41" s="1"/>
  <c r="B661" i="41" s="1"/>
  <c r="B662" i="41" s="1"/>
  <c r="B663" i="41" s="1"/>
  <c r="B664" i="41" s="1"/>
  <c r="B665" i="41" s="1"/>
  <c r="B666" i="41" s="1"/>
  <c r="B667" i="41" s="1"/>
  <c r="B668" i="41" s="1"/>
  <c r="B669" i="41" s="1"/>
  <c r="B670" i="41" s="1"/>
  <c r="B671" i="41" s="1"/>
  <c r="B672" i="41" s="1"/>
  <c r="B673" i="41" s="1"/>
  <c r="B674" i="41" s="1"/>
  <c r="B675" i="41" s="1"/>
  <c r="B676" i="41" s="1"/>
  <c r="B677" i="41" s="1"/>
  <c r="B678" i="41" s="1"/>
  <c r="B679" i="41" s="1"/>
  <c r="B680" i="41" s="1"/>
  <c r="B681" i="41" s="1"/>
  <c r="B682" i="41" s="1"/>
  <c r="B683" i="41" s="1"/>
  <c r="B684" i="41" s="1"/>
  <c r="B685" i="41" s="1"/>
  <c r="B686" i="41" s="1"/>
  <c r="B687" i="41" s="1"/>
  <c r="B688" i="41" s="1"/>
  <c r="B689" i="41" s="1"/>
  <c r="B690" i="41" s="1"/>
  <c r="B691" i="41" s="1"/>
  <c r="B692" i="41" s="1"/>
  <c r="B693" i="41" s="1"/>
  <c r="B694" i="41" s="1"/>
  <c r="B695" i="41" s="1"/>
  <c r="B696" i="41" s="1"/>
  <c r="B697" i="41" s="1"/>
  <c r="B698" i="41" s="1"/>
  <c r="B699" i="41" s="1"/>
  <c r="B700" i="41" s="1"/>
  <c r="B701" i="41" s="1"/>
  <c r="B702" i="41" s="1"/>
  <c r="B703" i="41" s="1"/>
  <c r="B704" i="41" s="1"/>
  <c r="B705" i="41" s="1"/>
  <c r="B706" i="41" s="1"/>
  <c r="B707" i="41" s="1"/>
  <c r="B708" i="41" s="1"/>
  <c r="B709" i="41" s="1"/>
  <c r="B710" i="41" s="1"/>
  <c r="B711" i="41" s="1"/>
  <c r="B712" i="41" s="1"/>
  <c r="B713" i="41" s="1"/>
  <c r="B714" i="41" s="1"/>
  <c r="B715" i="41" s="1"/>
  <c r="B716" i="41" s="1"/>
  <c r="B717" i="41" s="1"/>
  <c r="B718" i="41" s="1"/>
  <c r="B719" i="41" s="1"/>
  <c r="B720" i="41" s="1"/>
  <c r="B721" i="41" s="1"/>
  <c r="B722" i="41" s="1"/>
  <c r="B723" i="41" s="1"/>
  <c r="B724" i="41" s="1"/>
  <c r="B725" i="41" s="1"/>
  <c r="B726" i="41" s="1"/>
  <c r="B727" i="41" s="1"/>
  <c r="B728" i="41" s="1"/>
  <c r="B847" i="41" s="1"/>
  <c r="B11" i="39"/>
  <c r="B99" i="41"/>
  <c r="B100" i="41" s="1"/>
  <c r="B101" i="41" s="1"/>
  <c r="B102" i="41" s="1"/>
  <c r="B103" i="41" s="1"/>
  <c r="B104" i="41" s="1"/>
  <c r="B105" i="41" s="1"/>
  <c r="B106" i="41" s="1"/>
  <c r="B107" i="41" s="1"/>
  <c r="B108" i="41" s="1"/>
  <c r="B109" i="41" s="1"/>
  <c r="B110" i="41" s="1"/>
  <c r="B111" i="41" s="1"/>
  <c r="B112" i="41" s="1"/>
  <c r="B113" i="41" s="1"/>
  <c r="B114" i="41" s="1"/>
  <c r="B115" i="41" s="1"/>
  <c r="B116" i="41" s="1"/>
  <c r="B117" i="41" s="1"/>
  <c r="B118" i="41" s="1"/>
  <c r="B119" i="41" s="1"/>
  <c r="B120" i="41" s="1"/>
  <c r="B121" i="41" s="1"/>
  <c r="B122" i="41" s="1"/>
  <c r="B123" i="41" s="1"/>
  <c r="B124" i="41" s="1"/>
  <c r="B125" i="41" s="1"/>
  <c r="B126" i="41" s="1"/>
  <c r="B127" i="41" s="1"/>
  <c r="B128" i="41" s="1"/>
  <c r="B129" i="41" s="1"/>
  <c r="B130" i="41" s="1"/>
  <c r="B131" i="41" s="1"/>
  <c r="B132" i="41" s="1"/>
  <c r="B133" i="41" s="1"/>
  <c r="B134" i="41" s="1"/>
  <c r="B135" i="41" s="1"/>
  <c r="B136" i="41" s="1"/>
  <c r="B137" i="41" s="1"/>
  <c r="B138" i="41" s="1"/>
  <c r="J116" i="5"/>
  <c r="J117" i="5" s="1"/>
  <c r="D185" i="5"/>
  <c r="G304" i="41"/>
  <c r="F33" i="5"/>
  <c r="F30" i="5"/>
  <c r="B158" i="37"/>
  <c r="S11" i="35" s="1"/>
  <c r="B11" i="36"/>
  <c r="AL11" i="35"/>
  <c r="B14" i="36"/>
  <c r="G9" i="9"/>
  <c r="J28" i="5"/>
  <c r="J27" i="5"/>
  <c r="J30" i="5"/>
  <c r="C21" i="9"/>
  <c r="F21" i="9" s="1"/>
  <c r="O50" i="5" s="1"/>
  <c r="B14" i="39"/>
  <c r="G8" i="9"/>
  <c r="O37" i="5"/>
  <c r="B939" i="41"/>
  <c r="B940" i="41" s="1"/>
  <c r="B941" i="41" s="1"/>
  <c r="B942" i="41" s="1"/>
  <c r="B943" i="41" s="1"/>
  <c r="B944" i="41" s="1"/>
  <c r="B945" i="41" s="1"/>
  <c r="B946" i="41" s="1"/>
  <c r="B947" i="41" s="1"/>
  <c r="B948" i="41" s="1"/>
  <c r="B949" i="41" s="1"/>
  <c r="B950" i="41" s="1"/>
  <c r="B951" i="41" s="1"/>
  <c r="B952" i="41" s="1"/>
  <c r="B953" i="41" s="1"/>
  <c r="B954" i="41" s="1"/>
  <c r="B955" i="41" s="1"/>
  <c r="B956" i="41" s="1"/>
  <c r="B957" i="41" s="1"/>
  <c r="B958" i="41" s="1"/>
  <c r="B959" i="41" s="1"/>
  <c r="B960" i="41" s="1"/>
  <c r="B961" i="41" s="1"/>
  <c r="B962" i="41" s="1"/>
  <c r="B963" i="41" s="1"/>
  <c r="B964" i="41" s="1"/>
  <c r="B965" i="41" s="1"/>
  <c r="B966" i="41" s="1"/>
  <c r="B967" i="41" s="1"/>
  <c r="B968" i="41" s="1"/>
  <c r="B969" i="41" s="1"/>
  <c r="B970" i="41" s="1"/>
  <c r="B971" i="41" s="1"/>
  <c r="B972" i="41" s="1"/>
  <c r="B973" i="41" s="1"/>
  <c r="B974" i="41" s="1"/>
  <c r="B975" i="41" s="1"/>
  <c r="B976" i="41" s="1"/>
  <c r="B977" i="41" s="1"/>
  <c r="B978" i="41" s="1"/>
  <c r="O125" i="5"/>
  <c r="P125" i="5" s="1"/>
  <c r="Q125" i="5" s="1"/>
  <c r="P47" i="5"/>
  <c r="V37" i="5"/>
  <c r="U49" i="5"/>
  <c r="AH38" i="5"/>
  <c r="G13" i="10"/>
  <c r="H15" i="11"/>
  <c r="W44" i="5" s="1"/>
  <c r="H15" i="12"/>
  <c r="Q116" i="5" s="1"/>
  <c r="B1359" i="41"/>
  <c r="B1360" i="41" s="1"/>
  <c r="B1361" i="41" s="1"/>
  <c r="B1362" i="41" s="1"/>
  <c r="B1363" i="41" s="1"/>
  <c r="B1364" i="41" s="1"/>
  <c r="B1365" i="41" s="1"/>
  <c r="B1366" i="41" s="1"/>
  <c r="B1367" i="41" s="1"/>
  <c r="B1368" i="41" s="1"/>
  <c r="B1369" i="41" s="1"/>
  <c r="B1370" i="41" s="1"/>
  <c r="B1371" i="41" s="1"/>
  <c r="B1372" i="41" s="1"/>
  <c r="B1373" i="41" s="1"/>
  <c r="B1374" i="41" s="1"/>
  <c r="B1375" i="41" s="1"/>
  <c r="B1376" i="41" s="1"/>
  <c r="B1377" i="41" s="1"/>
  <c r="B1378" i="41" s="1"/>
  <c r="B1379" i="41" s="1"/>
  <c r="B1380" i="41" s="1"/>
  <c r="B1381" i="41" s="1"/>
  <c r="B1382" i="41" s="1"/>
  <c r="B1383" i="41" s="1"/>
  <c r="B1384" i="41" s="1"/>
  <c r="B1385" i="41" s="1"/>
  <c r="B1386" i="41" s="1"/>
  <c r="B1387" i="41" s="1"/>
  <c r="B1388" i="41" s="1"/>
  <c r="B1389" i="41" s="1"/>
  <c r="B1390" i="41" s="1"/>
  <c r="B1391" i="41" s="1"/>
  <c r="B1392" i="41" s="1"/>
  <c r="B1393" i="41" s="1"/>
  <c r="B1394" i="41" s="1"/>
  <c r="B1395" i="41" s="1"/>
  <c r="B1396" i="41" s="1"/>
  <c r="B1397" i="41" s="1"/>
  <c r="B1398" i="41" s="1"/>
  <c r="B1401" i="41" s="1"/>
  <c r="B1402" i="41" s="1"/>
  <c r="B1403" i="41" s="1"/>
  <c r="B1404" i="41" s="1"/>
  <c r="B1405" i="41" s="1"/>
  <c r="B1406" i="41" s="1"/>
  <c r="B1407" i="41" s="1"/>
  <c r="B1408" i="41" s="1"/>
  <c r="B1409" i="41" s="1"/>
  <c r="B1410" i="41" s="1"/>
  <c r="B1411" i="41" s="1"/>
  <c r="B1412" i="41" s="1"/>
  <c r="B1413" i="41" s="1"/>
  <c r="B1414" i="41" s="1"/>
  <c r="B1415" i="41" s="1"/>
  <c r="B1416" i="41" s="1"/>
  <c r="B1417" i="41" s="1"/>
  <c r="B1418" i="41" s="1"/>
  <c r="B1419" i="41" s="1"/>
  <c r="B1420" i="41" s="1"/>
  <c r="B1421" i="41" s="1"/>
  <c r="B1422" i="41" s="1"/>
  <c r="B1423" i="41" s="1"/>
  <c r="B1424" i="41" s="1"/>
  <c r="B1425" i="41" s="1"/>
  <c r="B1426" i="41" s="1"/>
  <c r="B1427" i="41" s="1"/>
  <c r="B1428" i="41" s="1"/>
  <c r="B1429" i="41" s="1"/>
  <c r="B1430" i="41" s="1"/>
  <c r="B1431" i="41" s="1"/>
  <c r="B1432" i="41" s="1"/>
  <c r="B1433" i="41" s="1"/>
  <c r="B1434" i="41" s="1"/>
  <c r="B1435" i="41" s="1"/>
  <c r="B1436" i="41" s="1"/>
  <c r="B1437" i="41" s="1"/>
  <c r="B1438" i="41" s="1"/>
  <c r="B1439" i="41" s="1"/>
  <c r="B1440" i="41" s="1"/>
  <c r="B1441" i="41" s="1"/>
  <c r="B1442" i="41" s="1"/>
  <c r="B1443" i="41" s="1"/>
  <c r="B1444" i="41" s="1"/>
  <c r="B1445" i="41" s="1"/>
  <c r="B1446" i="41" s="1"/>
  <c r="B1447" i="41" s="1"/>
  <c r="B1448" i="41" s="1"/>
  <c r="B1449" i="41" s="1"/>
  <c r="B1450" i="41" s="1"/>
  <c r="B1451" i="41" s="1"/>
  <c r="B1452" i="41" s="1"/>
  <c r="B1453" i="41" s="1"/>
  <c r="B1454" i="41" s="1"/>
  <c r="B1455" i="41" s="1"/>
  <c r="B1456" i="41" s="1"/>
  <c r="B1457" i="41" s="1"/>
  <c r="B1458" i="41" s="1"/>
  <c r="B1459" i="41" s="1"/>
  <c r="B1460" i="41" s="1"/>
  <c r="B1461" i="41" s="1"/>
  <c r="B1462" i="41" s="1"/>
  <c r="B1463" i="41" s="1"/>
  <c r="B1464" i="41" s="1"/>
  <c r="B1465" i="41" s="1"/>
  <c r="B1466" i="41" s="1"/>
  <c r="B1467" i="41" s="1"/>
  <c r="B1468" i="41" s="1"/>
  <c r="B1469" i="41" s="1"/>
  <c r="B1470" i="41" s="1"/>
  <c r="B1471" i="41" s="1"/>
  <c r="B1472" i="41" s="1"/>
  <c r="B1473" i="41" s="1"/>
  <c r="B1474" i="41" s="1"/>
  <c r="B1475" i="41" s="1"/>
  <c r="B1476" i="41" s="1"/>
  <c r="W61" i="5"/>
  <c r="G10" i="9"/>
  <c r="H10" i="9" s="1"/>
  <c r="B188" i="5"/>
  <c r="M24" i="5"/>
  <c r="M34" i="5" s="1"/>
  <c r="H59" i="5"/>
  <c r="L126" i="5"/>
  <c r="M126" i="5"/>
  <c r="G1318" i="41"/>
  <c r="G1108" i="41"/>
  <c r="F710" i="41"/>
  <c r="N77" i="5"/>
  <c r="F706" i="41"/>
  <c r="N65" i="5"/>
  <c r="AB46" i="5"/>
  <c r="H17" i="11"/>
  <c r="W46" i="5" s="1"/>
  <c r="M26" i="5"/>
  <c r="M117" i="5"/>
  <c r="M118" i="5" s="1"/>
  <c r="M119" i="5" s="1"/>
  <c r="M120" i="5" s="1"/>
  <c r="O45" i="5"/>
  <c r="H64" i="5"/>
  <c r="U48" i="5"/>
  <c r="G471" i="41"/>
  <c r="B186" i="5"/>
  <c r="D183" i="5"/>
  <c r="H63" i="5"/>
  <c r="C13" i="2"/>
  <c r="D13" i="2"/>
  <c r="H61" i="5"/>
  <c r="AH42" i="5"/>
  <c r="P56" i="5"/>
  <c r="E22" i="5"/>
  <c r="G303" i="41"/>
  <c r="G93" i="41"/>
  <c r="J10" i="4"/>
  <c r="B32" i="3"/>
  <c r="C21" i="12"/>
  <c r="F21" i="12" s="1"/>
  <c r="AG50" i="5" s="1"/>
  <c r="U44" i="5"/>
  <c r="G15" i="10"/>
  <c r="K27" i="5"/>
  <c r="H58" i="5"/>
  <c r="H67" i="5" s="1"/>
  <c r="L5" i="5"/>
  <c r="H37" i="5"/>
  <c r="AM4" i="5" s="1"/>
  <c r="AN4" i="5" s="1"/>
  <c r="G118" i="5"/>
  <c r="G119" i="5" s="1"/>
  <c r="G120" i="5" s="1"/>
  <c r="B427" i="41"/>
  <c r="B309" i="41"/>
  <c r="B310" i="41" s="1"/>
  <c r="B311" i="41" s="1"/>
  <c r="B312" i="41" s="1"/>
  <c r="B313" i="41" s="1"/>
  <c r="B314" i="41" s="1"/>
  <c r="B315" i="41" s="1"/>
  <c r="B316" i="41" s="1"/>
  <c r="B317" i="41" s="1"/>
  <c r="B318" i="41" s="1"/>
  <c r="B319" i="41" s="1"/>
  <c r="B320" i="41" s="1"/>
  <c r="B321" i="41" s="1"/>
  <c r="B322" i="41" s="1"/>
  <c r="B323" i="41" s="1"/>
  <c r="B324" i="41" s="1"/>
  <c r="B325" i="41" s="1"/>
  <c r="B326" i="41" s="1"/>
  <c r="B327" i="41" s="1"/>
  <c r="B328" i="41" s="1"/>
  <c r="B329" i="41" s="1"/>
  <c r="B330" i="41" s="1"/>
  <c r="B331" i="41" s="1"/>
  <c r="B332" i="41" s="1"/>
  <c r="B333" i="41" s="1"/>
  <c r="B334" i="41" s="1"/>
  <c r="B335" i="41" s="1"/>
  <c r="B336" i="41" s="1"/>
  <c r="B337" i="41" s="1"/>
  <c r="B338" i="41" s="1"/>
  <c r="B339" i="41" s="1"/>
  <c r="B340" i="41" s="1"/>
  <c r="B341" i="41" s="1"/>
  <c r="B342" i="41" s="1"/>
  <c r="B343" i="41" s="1"/>
  <c r="B344" i="41" s="1"/>
  <c r="B345" i="41" s="1"/>
  <c r="B346" i="41" s="1"/>
  <c r="B347" i="41" s="1"/>
  <c r="B348" i="41" s="1"/>
  <c r="B351" i="41" s="1"/>
  <c r="B352" i="41" s="1"/>
  <c r="B353" i="41" s="1"/>
  <c r="B354" i="41" s="1"/>
  <c r="B355" i="41" s="1"/>
  <c r="B356" i="41" s="1"/>
  <c r="B357" i="41" s="1"/>
  <c r="B358" i="41" s="1"/>
  <c r="B359" i="41" s="1"/>
  <c r="B360" i="41" s="1"/>
  <c r="B361" i="41" s="1"/>
  <c r="B362" i="41" s="1"/>
  <c r="B363" i="41" s="1"/>
  <c r="B364" i="41" s="1"/>
  <c r="B365" i="41" s="1"/>
  <c r="B366" i="41" s="1"/>
  <c r="B367" i="41" s="1"/>
  <c r="B368" i="41" s="1"/>
  <c r="B369" i="41" s="1"/>
  <c r="B370" i="41" s="1"/>
  <c r="B371" i="41" s="1"/>
  <c r="B372" i="41" s="1"/>
  <c r="B373" i="41" s="1"/>
  <c r="B374" i="41" s="1"/>
  <c r="B375" i="41" s="1"/>
  <c r="B376" i="41" s="1"/>
  <c r="B377" i="41" s="1"/>
  <c r="B378" i="41" s="1"/>
  <c r="B379" i="41" s="1"/>
  <c r="B380" i="41" s="1"/>
  <c r="B381" i="41" s="1"/>
  <c r="B382" i="41" s="1"/>
  <c r="B383" i="41" s="1"/>
  <c r="B384" i="41" s="1"/>
  <c r="B385" i="41" s="1"/>
  <c r="B386" i="41" s="1"/>
  <c r="B387" i="41" s="1"/>
  <c r="B388" i="41" s="1"/>
  <c r="B389" i="41" s="1"/>
  <c r="B390" i="41" s="1"/>
  <c r="B391" i="41" s="1"/>
  <c r="B392" i="41" s="1"/>
  <c r="B393" i="41" s="1"/>
  <c r="B394" i="41" s="1"/>
  <c r="B395" i="41" s="1"/>
  <c r="B396" i="41" s="1"/>
  <c r="B397" i="41" s="1"/>
  <c r="B398" i="41" s="1"/>
  <c r="B399" i="41" s="1"/>
  <c r="B400" i="41" s="1"/>
  <c r="B401" i="41" s="1"/>
  <c r="B402" i="41" s="1"/>
  <c r="B403" i="41" s="1"/>
  <c r="B404" i="41" s="1"/>
  <c r="B405" i="41" s="1"/>
  <c r="B406" i="41" s="1"/>
  <c r="B407" i="41" s="1"/>
  <c r="B408" i="41" s="1"/>
  <c r="B409" i="41" s="1"/>
  <c r="B410" i="41" s="1"/>
  <c r="B411" i="41" s="1"/>
  <c r="B412" i="41" s="1"/>
  <c r="B413" i="41" s="1"/>
  <c r="B414" i="41" s="1"/>
  <c r="B415" i="41" s="1"/>
  <c r="B416" i="41" s="1"/>
  <c r="B417" i="41" s="1"/>
  <c r="B418" i="41" s="1"/>
  <c r="B419" i="41" s="1"/>
  <c r="B420" i="41" s="1"/>
  <c r="B421" i="41" s="1"/>
  <c r="B422" i="41" s="1"/>
  <c r="B423" i="41" s="1"/>
  <c r="B424" i="41" s="1"/>
  <c r="B425" i="41" s="1"/>
  <c r="B426" i="41" s="1"/>
  <c r="G22" i="9"/>
  <c r="H22" i="9" s="1"/>
  <c r="K51" i="5" s="1"/>
  <c r="M32" i="5"/>
  <c r="M29" i="5"/>
  <c r="M30" i="5"/>
  <c r="M27" i="5"/>
  <c r="M28" i="5"/>
  <c r="M31" i="5"/>
  <c r="J14" i="2"/>
  <c r="F47" i="5" s="1"/>
  <c r="J6" i="5"/>
  <c r="Q33" i="5"/>
  <c r="B192" i="5"/>
  <c r="Q30" i="5"/>
  <c r="Q26" i="5"/>
  <c r="Q24" i="5"/>
  <c r="Q34" i="5" s="1"/>
  <c r="Q32" i="5"/>
  <c r="Q29" i="5"/>
  <c r="Q27" i="5"/>
  <c r="Q28" i="5"/>
  <c r="Q31" i="5"/>
  <c r="Q25" i="5"/>
  <c r="G1312" i="41"/>
  <c r="I43" i="2"/>
  <c r="P116" i="5"/>
  <c r="P117" i="5" s="1"/>
  <c r="P118" i="5" s="1"/>
  <c r="P119" i="5" s="1"/>
  <c r="P120" i="5" s="1"/>
  <c r="AB39" i="5"/>
  <c r="H10" i="11"/>
  <c r="W39" i="5" s="1"/>
  <c r="H12" i="9"/>
  <c r="K41" i="5" s="1"/>
  <c r="P41" i="5"/>
  <c r="G938" i="41"/>
  <c r="L56" i="5"/>
  <c r="J43" i="4"/>
  <c r="P79" i="5"/>
  <c r="P33" i="5"/>
  <c r="P29" i="5"/>
  <c r="V42" i="5"/>
  <c r="H13" i="10"/>
  <c r="Q42" i="5" s="1"/>
  <c r="K32" i="5"/>
  <c r="K29" i="5"/>
  <c r="K28" i="5"/>
  <c r="K31" i="5"/>
  <c r="K25" i="5"/>
  <c r="K33" i="5"/>
  <c r="K30" i="5"/>
  <c r="K26" i="5"/>
  <c r="U50" i="5"/>
  <c r="G21" i="10"/>
  <c r="AH49" i="5"/>
  <c r="H20" i="12"/>
  <c r="AC49" i="5" s="1"/>
  <c r="H60" i="5"/>
  <c r="H62" i="5"/>
  <c r="G1104" i="41"/>
  <c r="I39" i="2"/>
  <c r="J39" i="2" s="1"/>
  <c r="M10" i="6"/>
  <c r="G1105" i="41" s="1"/>
  <c r="P45" i="5"/>
  <c r="H16" i="9"/>
  <c r="K45" i="5" s="1"/>
  <c r="J15" i="2"/>
  <c r="G47" i="5" s="1"/>
  <c r="K6" i="5"/>
  <c r="G776" i="41"/>
  <c r="G1021" i="41"/>
  <c r="G991" i="41"/>
  <c r="G801" i="41"/>
  <c r="G581" i="41"/>
  <c r="G811" i="41"/>
  <c r="G1006" i="41"/>
  <c r="G596" i="41"/>
  <c r="G786" i="41"/>
  <c r="G1016" i="41"/>
  <c r="G601" i="41"/>
  <c r="G571" i="41"/>
  <c r="G566" i="41"/>
  <c r="G806" i="41"/>
  <c r="G796" i="41"/>
  <c r="G1011" i="41"/>
  <c r="G996" i="41"/>
  <c r="G591" i="41"/>
  <c r="G781" i="41"/>
  <c r="G791" i="41"/>
  <c r="G986" i="41"/>
  <c r="G1001" i="41"/>
  <c r="G576" i="41"/>
  <c r="G586" i="41"/>
  <c r="G10" i="10"/>
  <c r="U39" i="5"/>
  <c r="G17" i="9"/>
  <c r="O46" i="5"/>
  <c r="G12" i="10"/>
  <c r="U41" i="5"/>
  <c r="H17" i="12"/>
  <c r="AH46" i="5"/>
  <c r="H18" i="10"/>
  <c r="Q47" i="5" s="1"/>
  <c r="V47" i="5"/>
  <c r="V49" i="5"/>
  <c r="H20" i="10"/>
  <c r="Q49" i="5" s="1"/>
  <c r="R30" i="5"/>
  <c r="R25" i="5"/>
  <c r="R27" i="5"/>
  <c r="R32" i="5"/>
  <c r="R31" i="5"/>
  <c r="B193" i="5"/>
  <c r="R29" i="5"/>
  <c r="R26" i="5"/>
  <c r="R28" i="5"/>
  <c r="R33" i="5"/>
  <c r="R24" i="5"/>
  <c r="R34" i="5" s="1"/>
  <c r="H14" i="9"/>
  <c r="K43" i="5" s="1"/>
  <c r="P43" i="5"/>
  <c r="H12" i="12"/>
  <c r="AC41" i="5" s="1"/>
  <c r="AH41" i="5"/>
  <c r="G262" i="41"/>
  <c r="G52" i="41"/>
  <c r="F13" i="2"/>
  <c r="L27" i="5"/>
  <c r="L33" i="5"/>
  <c r="L29" i="5"/>
  <c r="L25" i="5"/>
  <c r="L26" i="5"/>
  <c r="L28" i="5"/>
  <c r="L30" i="5"/>
  <c r="B187" i="5"/>
  <c r="L31" i="5"/>
  <c r="L24" i="5"/>
  <c r="L34" i="5" s="1"/>
  <c r="L32" i="5"/>
  <c r="H11" i="12"/>
  <c r="AC40" i="5" s="1"/>
  <c r="AH40" i="5"/>
  <c r="G21" i="9"/>
  <c r="C16" i="2"/>
  <c r="D16" i="2"/>
  <c r="G943" i="41" s="1"/>
  <c r="L4" i="5"/>
  <c r="J118" i="5"/>
  <c r="J119" i="5" s="1"/>
  <c r="J120" i="5" s="1"/>
  <c r="P48" i="5"/>
  <c r="H19" i="9"/>
  <c r="K48" i="5" s="1"/>
  <c r="H8" i="11"/>
  <c r="AB37" i="5"/>
  <c r="AB42" i="5"/>
  <c r="H13" i="11"/>
  <c r="W42" i="5" s="1"/>
  <c r="Q120" i="5"/>
  <c r="AC48" i="5"/>
  <c r="H9" i="10"/>
  <c r="V38" i="5"/>
  <c r="J38" i="2"/>
  <c r="P80" i="5"/>
  <c r="P78" i="5"/>
  <c r="J42" i="4"/>
  <c r="J44" i="4" s="1"/>
  <c r="G937" i="41"/>
  <c r="K56" i="5"/>
  <c r="AC37" i="5"/>
  <c r="J36" i="4"/>
  <c r="J38" i="4" s="1"/>
  <c r="P74" i="5"/>
  <c r="G517" i="41"/>
  <c r="G56" i="5"/>
  <c r="D14" i="2"/>
  <c r="J4" i="5"/>
  <c r="C14" i="2"/>
  <c r="H18" i="12"/>
  <c r="AH47" i="5"/>
  <c r="M28" i="6"/>
  <c r="M27" i="6" s="1"/>
  <c r="I17" i="6"/>
  <c r="G1311" i="41" s="1"/>
  <c r="O22" i="5"/>
  <c r="P66" i="5"/>
  <c r="G725" i="41"/>
  <c r="J22" i="4"/>
  <c r="G264" i="41"/>
  <c r="G54" i="41"/>
  <c r="I13" i="2"/>
  <c r="N14" i="3"/>
  <c r="AB40" i="5"/>
  <c r="H11" i="11"/>
  <c r="W40" i="5" s="1"/>
  <c r="G472" i="41"/>
  <c r="F14" i="2"/>
  <c r="V48" i="5"/>
  <c r="H19" i="10"/>
  <c r="Q48" i="5" s="1"/>
  <c r="G22" i="11"/>
  <c r="AA51" i="5"/>
  <c r="K10" i="6"/>
  <c r="G1099" i="41"/>
  <c r="I37" i="2"/>
  <c r="J37" i="2" s="1"/>
  <c r="Q115" i="5"/>
  <c r="AC43" i="5"/>
  <c r="S12" i="3"/>
  <c r="G469" i="41"/>
  <c r="L20" i="3"/>
  <c r="K20" i="3"/>
  <c r="J26" i="3"/>
  <c r="J34" i="7"/>
  <c r="J33" i="7" s="1"/>
  <c r="G681" i="41"/>
  <c r="H11" i="10"/>
  <c r="Q40" i="5" s="1"/>
  <c r="V40" i="5"/>
  <c r="D124" i="5"/>
  <c r="E124" i="5"/>
  <c r="D116" i="5"/>
  <c r="D117" i="5" s="1"/>
  <c r="D118" i="5" s="1"/>
  <c r="D119" i="5" s="1"/>
  <c r="D120" i="5" s="1"/>
  <c r="T30" i="5"/>
  <c r="T24" i="5"/>
  <c r="T34" i="5" s="1"/>
  <c r="T28" i="5"/>
  <c r="T29" i="5"/>
  <c r="T31" i="5"/>
  <c r="T26" i="5"/>
  <c r="T33" i="5"/>
  <c r="B195" i="5"/>
  <c r="T27" i="5"/>
  <c r="T25" i="5"/>
  <c r="T32" i="5"/>
  <c r="P40" i="5"/>
  <c r="H11" i="9"/>
  <c r="K40" i="5" s="1"/>
  <c r="L32" i="3"/>
  <c r="K32" i="3"/>
  <c r="G889" i="41"/>
  <c r="U12" i="3"/>
  <c r="U51" i="5"/>
  <c r="G22" i="10"/>
  <c r="P49" i="5"/>
  <c r="H20" i="9"/>
  <c r="K49" i="5" s="1"/>
  <c r="G259" i="41"/>
  <c r="K14" i="3"/>
  <c r="R12" i="3"/>
  <c r="L14" i="3"/>
  <c r="G49" i="41"/>
  <c r="H16" i="10"/>
  <c r="Q45" i="5" s="1"/>
  <c r="V45" i="5"/>
  <c r="Q117" i="5"/>
  <c r="AC45" i="5"/>
  <c r="D184" i="5"/>
  <c r="I64" i="5"/>
  <c r="I58" i="5"/>
  <c r="I67" i="5" s="1"/>
  <c r="I61" i="5"/>
  <c r="I59" i="5"/>
  <c r="I65" i="5"/>
  <c r="I62" i="5"/>
  <c r="I63" i="5"/>
  <c r="I60" i="5"/>
  <c r="AC44" i="5"/>
  <c r="V43" i="5"/>
  <c r="H14" i="10"/>
  <c r="Q43" i="5" s="1"/>
  <c r="B981" i="41"/>
  <c r="B982" i="41" s="1"/>
  <c r="B983" i="41" s="1"/>
  <c r="B984" i="41" s="1"/>
  <c r="B985" i="41" s="1"/>
  <c r="B986" i="41" s="1"/>
  <c r="B987" i="41" s="1"/>
  <c r="B988" i="41" s="1"/>
  <c r="B989" i="41" s="1"/>
  <c r="B990" i="41" s="1"/>
  <c r="B991" i="41" s="1"/>
  <c r="B992" i="41" s="1"/>
  <c r="B993" i="41" s="1"/>
  <c r="B994" i="41" s="1"/>
  <c r="B995" i="41" s="1"/>
  <c r="B996" i="41" s="1"/>
  <c r="B997" i="41" s="1"/>
  <c r="B998" i="41" s="1"/>
  <c r="B999" i="41" s="1"/>
  <c r="B1000" i="41" s="1"/>
  <c r="B1001" i="41" s="1"/>
  <c r="B1002" i="41" s="1"/>
  <c r="B1003" i="41" s="1"/>
  <c r="B1004" i="41" s="1"/>
  <c r="B1005" i="41" s="1"/>
  <c r="B1006" i="41" s="1"/>
  <c r="B1007" i="41" s="1"/>
  <c r="B1008" i="41" s="1"/>
  <c r="B1009" i="41" s="1"/>
  <c r="B1010" i="41" s="1"/>
  <c r="B1011" i="41" s="1"/>
  <c r="B1012" i="41" s="1"/>
  <c r="B1013" i="41" s="1"/>
  <c r="B1014" i="41" s="1"/>
  <c r="B1015" i="41" s="1"/>
  <c r="B1016" i="41" s="1"/>
  <c r="B1017" i="41" s="1"/>
  <c r="B1018" i="41" s="1"/>
  <c r="B1019" i="41" s="1"/>
  <c r="B1020" i="41" s="1"/>
  <c r="B1021" i="41" s="1"/>
  <c r="B1022" i="41" s="1"/>
  <c r="B1023" i="41" s="1"/>
  <c r="B1024" i="41" s="1"/>
  <c r="B1025" i="41" s="1"/>
  <c r="B1026" i="41" s="1"/>
  <c r="B1027" i="41" s="1"/>
  <c r="B1028" i="41" s="1"/>
  <c r="B1029" i="41" s="1"/>
  <c r="B1030" i="41" s="1"/>
  <c r="B1031" i="41" s="1"/>
  <c r="B1032" i="41" s="1"/>
  <c r="B1033" i="41" s="1"/>
  <c r="B1034" i="41" s="1"/>
  <c r="B1035" i="41" s="1"/>
  <c r="B1036" i="41" s="1"/>
  <c r="B1037" i="41" s="1"/>
  <c r="B1038" i="41" s="1"/>
  <c r="B1039" i="41" s="1"/>
  <c r="B1040" i="41" s="1"/>
  <c r="B1041" i="41" s="1"/>
  <c r="B1042" i="41" s="1"/>
  <c r="B1043" i="41" s="1"/>
  <c r="B1044" i="41" s="1"/>
  <c r="B1045" i="41" s="1"/>
  <c r="B1046" i="41" s="1"/>
  <c r="B1047" i="41" s="1"/>
  <c r="B1048" i="41" s="1"/>
  <c r="B1049" i="41" s="1"/>
  <c r="B1050" i="41" s="1"/>
  <c r="B1051" i="41" s="1"/>
  <c r="B1052" i="41" s="1"/>
  <c r="B1053" i="41" s="1"/>
  <c r="B1054" i="41" s="1"/>
  <c r="B1055" i="41" s="1"/>
  <c r="B1056" i="41" s="1"/>
  <c r="B979" i="41"/>
  <c r="B980" i="41" s="1"/>
  <c r="B141" i="41"/>
  <c r="B142" i="41" s="1"/>
  <c r="B143" i="41" s="1"/>
  <c r="B144" i="41" s="1"/>
  <c r="B145" i="41" s="1"/>
  <c r="B146" i="41" s="1"/>
  <c r="B147" i="41" s="1"/>
  <c r="B148" i="41" s="1"/>
  <c r="B149" i="41" s="1"/>
  <c r="B150" i="41" s="1"/>
  <c r="B151" i="41" s="1"/>
  <c r="B152" i="41" s="1"/>
  <c r="B153" i="41" s="1"/>
  <c r="B154" i="41" s="1"/>
  <c r="B155" i="41" s="1"/>
  <c r="B156" i="41" s="1"/>
  <c r="B157" i="41" s="1"/>
  <c r="B158" i="41" s="1"/>
  <c r="B159" i="41" s="1"/>
  <c r="B160" i="41" s="1"/>
  <c r="B161" i="41" s="1"/>
  <c r="B162" i="41" s="1"/>
  <c r="B163" i="41" s="1"/>
  <c r="B164" i="41" s="1"/>
  <c r="B165" i="41" s="1"/>
  <c r="B166" i="41" s="1"/>
  <c r="B167" i="41" s="1"/>
  <c r="B168" i="41" s="1"/>
  <c r="B169" i="41" s="1"/>
  <c r="B170" i="41" s="1"/>
  <c r="B171" i="41" s="1"/>
  <c r="B172" i="41" s="1"/>
  <c r="B173" i="41" s="1"/>
  <c r="B174" i="41" s="1"/>
  <c r="B175" i="41" s="1"/>
  <c r="B176" i="41" s="1"/>
  <c r="B177" i="41" s="1"/>
  <c r="B178" i="41" s="1"/>
  <c r="B179" i="41" s="1"/>
  <c r="B180" i="41" s="1"/>
  <c r="B181" i="41" s="1"/>
  <c r="B182" i="41" s="1"/>
  <c r="B183" i="41" s="1"/>
  <c r="B184" i="41" s="1"/>
  <c r="B185" i="41" s="1"/>
  <c r="B186" i="41" s="1"/>
  <c r="B187" i="41" s="1"/>
  <c r="B188" i="41" s="1"/>
  <c r="B189" i="41" s="1"/>
  <c r="B190" i="41" s="1"/>
  <c r="B191" i="41" s="1"/>
  <c r="B192" i="41" s="1"/>
  <c r="B193" i="41" s="1"/>
  <c r="B194" i="41" s="1"/>
  <c r="B195" i="41" s="1"/>
  <c r="B196" i="41" s="1"/>
  <c r="B197" i="41" s="1"/>
  <c r="B198" i="41" s="1"/>
  <c r="B199" i="41" s="1"/>
  <c r="B200" i="41" s="1"/>
  <c r="B201" i="41" s="1"/>
  <c r="B202" i="41" s="1"/>
  <c r="B203" i="41" s="1"/>
  <c r="B204" i="41" s="1"/>
  <c r="B205" i="41" s="1"/>
  <c r="B206" i="41" s="1"/>
  <c r="B207" i="41" s="1"/>
  <c r="B208" i="41" s="1"/>
  <c r="B209" i="41" s="1"/>
  <c r="B210" i="41" s="1"/>
  <c r="B211" i="41" s="1"/>
  <c r="B212" i="41" s="1"/>
  <c r="B213" i="41" s="1"/>
  <c r="B214" i="41" s="1"/>
  <c r="B215" i="41" s="1"/>
  <c r="B216" i="41" s="1"/>
  <c r="B139" i="41"/>
  <c r="B140" i="41" s="1"/>
  <c r="H141" i="41"/>
  <c r="H142" i="41" s="1"/>
  <c r="H143" i="41" s="1"/>
  <c r="H144" i="41" s="1"/>
  <c r="H145" i="41" s="1"/>
  <c r="H146" i="41" s="1"/>
  <c r="H147" i="41" s="1"/>
  <c r="H148" i="41" s="1"/>
  <c r="H149" i="41" s="1"/>
  <c r="H150" i="41" s="1"/>
  <c r="H151" i="41" s="1"/>
  <c r="H152" i="41" s="1"/>
  <c r="H153" i="41" s="1"/>
  <c r="H154" i="41" s="1"/>
  <c r="H155" i="41" s="1"/>
  <c r="H156" i="41" s="1"/>
  <c r="H157" i="41" s="1"/>
  <c r="H158" i="41" s="1"/>
  <c r="H159" i="41" s="1"/>
  <c r="H160" i="41" s="1"/>
  <c r="H161" i="41" s="1"/>
  <c r="H162" i="41" s="1"/>
  <c r="H163" i="41" s="1"/>
  <c r="H164" i="41" s="1"/>
  <c r="H165" i="41" s="1"/>
  <c r="H166" i="41" s="1"/>
  <c r="H167" i="41" s="1"/>
  <c r="H168" i="41" s="1"/>
  <c r="H169" i="41" s="1"/>
  <c r="H170" i="41" s="1"/>
  <c r="H171" i="41" s="1"/>
  <c r="H172" i="41" s="1"/>
  <c r="H173" i="41" s="1"/>
  <c r="H174" i="41" s="1"/>
  <c r="H175" i="41" s="1"/>
  <c r="H176" i="41" s="1"/>
  <c r="H177" i="41" s="1"/>
  <c r="H178" i="41" s="1"/>
  <c r="H179" i="41" s="1"/>
  <c r="H180" i="41" s="1"/>
  <c r="H181" i="41" s="1"/>
  <c r="H182" i="41" s="1"/>
  <c r="H183" i="41" s="1"/>
  <c r="H184" i="41" s="1"/>
  <c r="H185" i="41" s="1"/>
  <c r="H186" i="41" s="1"/>
  <c r="H187" i="41" s="1"/>
  <c r="H188" i="41" s="1"/>
  <c r="H189" i="41" s="1"/>
  <c r="H190" i="41" s="1"/>
  <c r="H191" i="41" s="1"/>
  <c r="H192" i="41" s="1"/>
  <c r="H193" i="41" s="1"/>
  <c r="H194" i="41" s="1"/>
  <c r="H195" i="41" s="1"/>
  <c r="H196" i="41" s="1"/>
  <c r="H197" i="41" s="1"/>
  <c r="H198" i="41" s="1"/>
  <c r="H199" i="41" s="1"/>
  <c r="H200" i="41" s="1"/>
  <c r="H201" i="41" s="1"/>
  <c r="H202" i="41" s="1"/>
  <c r="H203" i="41" s="1"/>
  <c r="H204" i="41" s="1"/>
  <c r="H205" i="41" s="1"/>
  <c r="H206" i="41" s="1"/>
  <c r="H207" i="41" s="1"/>
  <c r="H208" i="41" s="1"/>
  <c r="H209" i="41" s="1"/>
  <c r="H210" i="41" s="1"/>
  <c r="H211" i="41" s="1"/>
  <c r="H212" i="41" s="1"/>
  <c r="H213" i="41" s="1"/>
  <c r="H214" i="41" s="1"/>
  <c r="H215" i="41" s="1"/>
  <c r="H216" i="41" s="1"/>
  <c r="H139" i="41"/>
  <c r="H140" i="41" s="1"/>
  <c r="H309" i="41"/>
  <c r="H310" i="41" s="1"/>
  <c r="H311" i="41" s="1"/>
  <c r="H312" i="41" s="1"/>
  <c r="H313" i="41" s="1"/>
  <c r="H314" i="41" s="1"/>
  <c r="H315" i="41" s="1"/>
  <c r="H316" i="41" s="1"/>
  <c r="H317" i="41" s="1"/>
  <c r="H318" i="41" s="1"/>
  <c r="H319" i="41" s="1"/>
  <c r="H320" i="41" s="1"/>
  <c r="H321" i="41" s="1"/>
  <c r="H322" i="41" s="1"/>
  <c r="H323" i="41" s="1"/>
  <c r="H324" i="41" s="1"/>
  <c r="H325" i="41" s="1"/>
  <c r="H326" i="41" s="1"/>
  <c r="H327" i="41" s="1"/>
  <c r="H328" i="41" s="1"/>
  <c r="H329" i="41" s="1"/>
  <c r="H330" i="41" s="1"/>
  <c r="H331" i="41" s="1"/>
  <c r="H332" i="41" s="1"/>
  <c r="H333" i="41" s="1"/>
  <c r="H334" i="41" s="1"/>
  <c r="H335" i="41" s="1"/>
  <c r="H336" i="41" s="1"/>
  <c r="H337" i="41" s="1"/>
  <c r="H338" i="41" s="1"/>
  <c r="H339" i="41" s="1"/>
  <c r="H340" i="41" s="1"/>
  <c r="H341" i="41" s="1"/>
  <c r="H342" i="41" s="1"/>
  <c r="H343" i="41" s="1"/>
  <c r="H344" i="41" s="1"/>
  <c r="H345" i="41" s="1"/>
  <c r="H346" i="41" s="1"/>
  <c r="H347" i="41" s="1"/>
  <c r="H348" i="41" s="1"/>
  <c r="H443" i="41"/>
  <c r="H444" i="41" s="1"/>
  <c r="H445" i="41" s="1"/>
  <c r="H446" i="41" s="1"/>
  <c r="H447" i="41" s="1"/>
  <c r="H448" i="41" s="1"/>
  <c r="H449" i="41" s="1"/>
  <c r="H450" i="41" s="1"/>
  <c r="H451" i="41" s="1"/>
  <c r="H452" i="41" s="1"/>
  <c r="H453" i="41" s="1"/>
  <c r="H454" i="41" s="1"/>
  <c r="H455" i="41" s="1"/>
  <c r="H456" i="41" s="1"/>
  <c r="H457" i="41" s="1"/>
  <c r="H458" i="41" s="1"/>
  <c r="H459" i="41" s="1"/>
  <c r="H460" i="41" s="1"/>
  <c r="H461" i="41" s="1"/>
  <c r="H462" i="41" s="1"/>
  <c r="H463" i="41" s="1"/>
  <c r="H464" i="41" s="1"/>
  <c r="H465" i="41" s="1"/>
  <c r="H466" i="41" s="1"/>
  <c r="H467" i="41" s="1"/>
  <c r="H468" i="41" s="1"/>
  <c r="H469" i="41" s="1"/>
  <c r="H470" i="41" s="1"/>
  <c r="H471" i="41" s="1"/>
  <c r="H472" i="41" s="1"/>
  <c r="H473" i="41" s="1"/>
  <c r="H474" i="41" s="1"/>
  <c r="H475" i="41" s="1"/>
  <c r="H476" i="41" s="1"/>
  <c r="H477" i="41" s="1"/>
  <c r="H478" i="41" s="1"/>
  <c r="H479" i="41" s="1"/>
  <c r="H480" i="41" s="1"/>
  <c r="H481" i="41" s="1"/>
  <c r="H482" i="41" s="1"/>
  <c r="H483" i="41" s="1"/>
  <c r="H484" i="41" s="1"/>
  <c r="H485" i="41" s="1"/>
  <c r="H486" i="41" s="1"/>
  <c r="H487" i="41" s="1"/>
  <c r="H488" i="41" s="1"/>
  <c r="H489" i="41" s="1"/>
  <c r="H490" i="41" s="1"/>
  <c r="H491" i="41" s="1"/>
  <c r="H492" i="41" s="1"/>
  <c r="H493" i="41" s="1"/>
  <c r="H494" i="41" s="1"/>
  <c r="H495" i="41" s="1"/>
  <c r="H496" i="41" s="1"/>
  <c r="H497" i="41" s="1"/>
  <c r="H498" i="41" s="1"/>
  <c r="H499" i="41" s="1"/>
  <c r="H500" i="41" s="1"/>
  <c r="H501" i="41" s="1"/>
  <c r="H502" i="41" s="1"/>
  <c r="H503" i="41" s="1"/>
  <c r="H504" i="41" s="1"/>
  <c r="H505" i="41" s="1"/>
  <c r="H506" i="41" s="1"/>
  <c r="H507" i="41" s="1"/>
  <c r="H508" i="41" s="1"/>
  <c r="H509" i="41" s="1"/>
  <c r="H510" i="41" s="1"/>
  <c r="H511" i="41" s="1"/>
  <c r="H512" i="41" s="1"/>
  <c r="H513" i="41" s="1"/>
  <c r="H514" i="41" s="1"/>
  <c r="H515" i="41" s="1"/>
  <c r="H516" i="41" s="1"/>
  <c r="H517" i="41" s="1"/>
  <c r="H518" i="41" s="1"/>
  <c r="N12" i="47"/>
  <c r="B13" i="47"/>
  <c r="P13" i="47"/>
  <c r="H17" i="47"/>
  <c r="B11" i="47"/>
  <c r="H12" i="47"/>
  <c r="L12" i="47"/>
  <c r="B12" i="47"/>
  <c r="J17" i="47"/>
  <c r="B17" i="47"/>
  <c r="H13" i="47"/>
  <c r="D12" i="47"/>
  <c r="L13" i="47"/>
  <c r="P17" i="47"/>
  <c r="F13" i="47"/>
  <c r="H11" i="47"/>
  <c r="J11" i="47"/>
  <c r="N13" i="47"/>
  <c r="N11" i="47"/>
  <c r="P12" i="47"/>
  <c r="L17" i="47"/>
  <c r="D11" i="47"/>
  <c r="D17" i="47"/>
  <c r="N17" i="47"/>
  <c r="J12" i="47"/>
  <c r="D13" i="47"/>
  <c r="F12" i="47"/>
  <c r="F11" i="47"/>
  <c r="J13" i="47"/>
  <c r="L11" i="47"/>
  <c r="P11" i="47"/>
  <c r="F17" i="47"/>
  <c r="B637" i="41" l="1"/>
  <c r="B519" i="41"/>
  <c r="B520" i="41" s="1"/>
  <c r="B521" i="41" s="1"/>
  <c r="B522" i="41" s="1"/>
  <c r="B523" i="41" s="1"/>
  <c r="B524" i="41" s="1"/>
  <c r="B525" i="41" s="1"/>
  <c r="B526" i="41" s="1"/>
  <c r="B527" i="41" s="1"/>
  <c r="B528" i="41" s="1"/>
  <c r="B529" i="41" s="1"/>
  <c r="B530" i="41" s="1"/>
  <c r="B531" i="41" s="1"/>
  <c r="B532" i="41" s="1"/>
  <c r="B533" i="41" s="1"/>
  <c r="B534" i="41" s="1"/>
  <c r="B535" i="41" s="1"/>
  <c r="B536" i="41" s="1"/>
  <c r="B537" i="41" s="1"/>
  <c r="B538" i="41" s="1"/>
  <c r="B539" i="41" s="1"/>
  <c r="B540" i="41" s="1"/>
  <c r="B541" i="41" s="1"/>
  <c r="B542" i="41" s="1"/>
  <c r="B543" i="41" s="1"/>
  <c r="B544" i="41" s="1"/>
  <c r="B545" i="41" s="1"/>
  <c r="B546" i="41" s="1"/>
  <c r="B547" i="41" s="1"/>
  <c r="B548" i="41" s="1"/>
  <c r="B549" i="41" s="1"/>
  <c r="B550" i="41" s="1"/>
  <c r="B551" i="41" s="1"/>
  <c r="B552" i="41" s="1"/>
  <c r="B553" i="41" s="1"/>
  <c r="B554" i="41" s="1"/>
  <c r="B555" i="41" s="1"/>
  <c r="B556" i="41" s="1"/>
  <c r="B557" i="41" s="1"/>
  <c r="B558" i="41" s="1"/>
  <c r="AM3" i="5"/>
  <c r="AN3" i="5" s="1"/>
  <c r="AM5" i="5"/>
  <c r="AN5" i="5" s="1"/>
  <c r="H9" i="9"/>
  <c r="K38" i="5" s="1"/>
  <c r="P38" i="5"/>
  <c r="J16" i="2"/>
  <c r="H47" i="5" s="1"/>
  <c r="L6" i="5"/>
  <c r="H8" i="9"/>
  <c r="K37" i="5" s="1"/>
  <c r="P37" i="5"/>
  <c r="B729" i="41"/>
  <c r="B730" i="41" s="1"/>
  <c r="B731" i="41" s="1"/>
  <c r="B732" i="41" s="1"/>
  <c r="B733" i="41" s="1"/>
  <c r="B734" i="41" s="1"/>
  <c r="B735" i="41" s="1"/>
  <c r="B736" i="41" s="1"/>
  <c r="B737" i="41" s="1"/>
  <c r="B738" i="41" s="1"/>
  <c r="B739" i="41" s="1"/>
  <c r="B740" i="41" s="1"/>
  <c r="B741" i="41" s="1"/>
  <c r="B742" i="41" s="1"/>
  <c r="B743" i="41" s="1"/>
  <c r="B744" i="41" s="1"/>
  <c r="B745" i="41" s="1"/>
  <c r="B746" i="41" s="1"/>
  <c r="B747" i="41" s="1"/>
  <c r="B748" i="41" s="1"/>
  <c r="B749" i="41" s="1"/>
  <c r="B750" i="41" s="1"/>
  <c r="B751" i="41" s="1"/>
  <c r="B752" i="41" s="1"/>
  <c r="B753" i="41" s="1"/>
  <c r="B754" i="41" s="1"/>
  <c r="B755" i="41" s="1"/>
  <c r="B756" i="41" s="1"/>
  <c r="B757" i="41" s="1"/>
  <c r="B758" i="41" s="1"/>
  <c r="B759" i="41" s="1"/>
  <c r="B760" i="41" s="1"/>
  <c r="B761" i="41" s="1"/>
  <c r="B762" i="41" s="1"/>
  <c r="B763" i="41" s="1"/>
  <c r="B764" i="41" s="1"/>
  <c r="B765" i="41" s="1"/>
  <c r="B766" i="41" s="1"/>
  <c r="B767" i="41" s="1"/>
  <c r="B768" i="41" s="1"/>
  <c r="B771" i="41" s="1"/>
  <c r="B772" i="41" s="1"/>
  <c r="B773" i="41" s="1"/>
  <c r="B774" i="41" s="1"/>
  <c r="B775" i="41" s="1"/>
  <c r="B776" i="41" s="1"/>
  <c r="B777" i="41" s="1"/>
  <c r="B778" i="41" s="1"/>
  <c r="B779" i="41" s="1"/>
  <c r="B780" i="41" s="1"/>
  <c r="B781" i="41" s="1"/>
  <c r="B782" i="41" s="1"/>
  <c r="B783" i="41" s="1"/>
  <c r="B784" i="41" s="1"/>
  <c r="B785" i="41" s="1"/>
  <c r="B786" i="41" s="1"/>
  <c r="B787" i="41" s="1"/>
  <c r="B788" i="41" s="1"/>
  <c r="B789" i="41" s="1"/>
  <c r="B790" i="41" s="1"/>
  <c r="B791" i="41" s="1"/>
  <c r="B792" i="41" s="1"/>
  <c r="B793" i="41" s="1"/>
  <c r="B794" i="41" s="1"/>
  <c r="B795" i="41" s="1"/>
  <c r="B796" i="41" s="1"/>
  <c r="B797" i="41" s="1"/>
  <c r="B798" i="41" s="1"/>
  <c r="B799" i="41" s="1"/>
  <c r="B800" i="41" s="1"/>
  <c r="B801" i="41" s="1"/>
  <c r="B802" i="41" s="1"/>
  <c r="B803" i="41" s="1"/>
  <c r="B804" i="41" s="1"/>
  <c r="B805" i="41" s="1"/>
  <c r="B806" i="41" s="1"/>
  <c r="B807" i="41" s="1"/>
  <c r="B808" i="41" s="1"/>
  <c r="B809" i="41" s="1"/>
  <c r="B810" i="41" s="1"/>
  <c r="B811" i="41" s="1"/>
  <c r="B812" i="41" s="1"/>
  <c r="B813" i="41" s="1"/>
  <c r="B814" i="41" s="1"/>
  <c r="B815" i="41" s="1"/>
  <c r="B816" i="41" s="1"/>
  <c r="B817" i="41" s="1"/>
  <c r="B818" i="41" s="1"/>
  <c r="B819" i="41" s="1"/>
  <c r="B820" i="41" s="1"/>
  <c r="B821" i="41" s="1"/>
  <c r="B822" i="41" s="1"/>
  <c r="B823" i="41" s="1"/>
  <c r="B824" i="41" s="1"/>
  <c r="B825" i="41" s="1"/>
  <c r="B826" i="41" s="1"/>
  <c r="B827" i="41" s="1"/>
  <c r="B828" i="41" s="1"/>
  <c r="B829" i="41" s="1"/>
  <c r="B830" i="41" s="1"/>
  <c r="B831" i="41" s="1"/>
  <c r="B832" i="41" s="1"/>
  <c r="B833" i="41" s="1"/>
  <c r="B834" i="41" s="1"/>
  <c r="B835" i="41" s="1"/>
  <c r="B836" i="41" s="1"/>
  <c r="B837" i="41" s="1"/>
  <c r="B838" i="41" s="1"/>
  <c r="B839" i="41" s="1"/>
  <c r="B840" i="41" s="1"/>
  <c r="B841" i="41" s="1"/>
  <c r="B842" i="41" s="1"/>
  <c r="B843" i="41" s="1"/>
  <c r="B844" i="41" s="1"/>
  <c r="B845" i="41" s="1"/>
  <c r="B846" i="41" s="1"/>
  <c r="B1399" i="41"/>
  <c r="B1400" i="41" s="1"/>
  <c r="AM7" i="5"/>
  <c r="AN7" i="5" s="1"/>
  <c r="H41" i="5"/>
  <c r="K39" i="5"/>
  <c r="H42" i="5"/>
  <c r="AM8" i="5"/>
  <c r="AN8" i="5" s="1"/>
  <c r="H39" i="5"/>
  <c r="H44" i="5" s="1"/>
  <c r="AM6" i="5"/>
  <c r="AN6" i="5" s="1"/>
  <c r="H40" i="5"/>
  <c r="B349" i="41"/>
  <c r="B350" i="41" s="1"/>
  <c r="P39" i="5"/>
  <c r="H43" i="5"/>
  <c r="AM2" i="5"/>
  <c r="AN2" i="5" s="1"/>
  <c r="G21" i="12"/>
  <c r="AH50" i="5" s="1"/>
  <c r="P51" i="5"/>
  <c r="G103" i="41"/>
  <c r="G313" i="41"/>
  <c r="R117" i="5"/>
  <c r="V44" i="5"/>
  <c r="H15" i="10"/>
  <c r="Q44" i="5" s="1"/>
  <c r="E24" i="5"/>
  <c r="E34" i="5" s="1"/>
  <c r="E25" i="5"/>
  <c r="E30" i="5"/>
  <c r="E27" i="5"/>
  <c r="E31" i="5"/>
  <c r="E33" i="5"/>
  <c r="E29" i="5"/>
  <c r="B180" i="5"/>
  <c r="E32" i="5"/>
  <c r="E28" i="5"/>
  <c r="E26" i="5"/>
  <c r="L61" i="5"/>
  <c r="D187" i="5"/>
  <c r="L60" i="5"/>
  <c r="L63" i="5"/>
  <c r="L59" i="5"/>
  <c r="L62" i="5"/>
  <c r="L64" i="5"/>
  <c r="L58" i="5"/>
  <c r="L67" i="5" s="1"/>
  <c r="L65" i="5"/>
  <c r="G52" i="5"/>
  <c r="G53" i="5"/>
  <c r="G49" i="5"/>
  <c r="G51" i="5"/>
  <c r="G50" i="5"/>
  <c r="G54" i="5"/>
  <c r="K15" i="2" s="1"/>
  <c r="G737" i="41" s="1"/>
  <c r="F52" i="5"/>
  <c r="F53" i="5"/>
  <c r="F54" i="5"/>
  <c r="K14" i="2" s="1"/>
  <c r="G527" i="41" s="1"/>
  <c r="F50" i="5"/>
  <c r="F51" i="5"/>
  <c r="F49" i="5"/>
  <c r="H21" i="10"/>
  <c r="Q50" i="5" s="1"/>
  <c r="V50" i="5"/>
  <c r="J43" i="2"/>
  <c r="P81" i="5"/>
  <c r="P84" i="5" s="1"/>
  <c r="G427" i="41" s="1"/>
  <c r="B15" i="2"/>
  <c r="C21" i="11"/>
  <c r="F21" i="11" s="1"/>
  <c r="B26" i="3"/>
  <c r="AB51" i="5"/>
  <c r="H22" i="11"/>
  <c r="W51" i="5" s="1"/>
  <c r="G265" i="41"/>
  <c r="G55" i="41"/>
  <c r="Q38" i="5"/>
  <c r="G682" i="41"/>
  <c r="F15" i="2"/>
  <c r="J13" i="2"/>
  <c r="E47" i="5" s="1"/>
  <c r="I6" i="5"/>
  <c r="B17" i="6"/>
  <c r="E21" i="11"/>
  <c r="E21" i="10"/>
  <c r="E21" i="12"/>
  <c r="E21" i="9"/>
  <c r="K61" i="5"/>
  <c r="K64" i="5"/>
  <c r="K63" i="5"/>
  <c r="D186" i="5"/>
  <c r="K60" i="5"/>
  <c r="K59" i="5"/>
  <c r="K62" i="5"/>
  <c r="K58" i="5"/>
  <c r="K67" i="5" s="1"/>
  <c r="K65" i="5"/>
  <c r="H21" i="12"/>
  <c r="AC50" i="5" s="1"/>
  <c r="V41" i="5"/>
  <c r="H12" i="10"/>
  <c r="Q41" i="5" s="1"/>
  <c r="H10" i="10"/>
  <c r="Q39" i="5" s="1"/>
  <c r="V39" i="5"/>
  <c r="G263" i="41"/>
  <c r="G53" i="41"/>
  <c r="R13" i="3"/>
  <c r="CE5" i="5" s="1"/>
  <c r="O14" i="3"/>
  <c r="V51" i="5"/>
  <c r="H22" i="10"/>
  <c r="Q51" i="5" s="1"/>
  <c r="AT5" i="5"/>
  <c r="AT4" i="5"/>
  <c r="AT3" i="5"/>
  <c r="AT2" i="5"/>
  <c r="G1103" i="41"/>
  <c r="G523" i="41"/>
  <c r="W37" i="5"/>
  <c r="P50" i="5"/>
  <c r="H21" i="9"/>
  <c r="K50" i="5" s="1"/>
  <c r="AN9" i="5"/>
  <c r="U13" i="3"/>
  <c r="CE8" i="5" s="1"/>
  <c r="G893" i="41"/>
  <c r="O32" i="3"/>
  <c r="F896" i="41" s="1"/>
  <c r="S13" i="3"/>
  <c r="CE6" i="5" s="1"/>
  <c r="G473" i="41"/>
  <c r="O20" i="3"/>
  <c r="F476" i="41" s="1"/>
  <c r="R115" i="5"/>
  <c r="S115" i="5" s="1"/>
  <c r="R116" i="5"/>
  <c r="G14" i="2"/>
  <c r="G525" i="41" s="1"/>
  <c r="F37" i="5"/>
  <c r="J5" i="5"/>
  <c r="O31" i="5"/>
  <c r="O30" i="5"/>
  <c r="O29" i="5"/>
  <c r="O32" i="5"/>
  <c r="O24" i="5"/>
  <c r="O34" i="5" s="1"/>
  <c r="O33" i="5"/>
  <c r="O28" i="5"/>
  <c r="O25" i="5"/>
  <c r="O27" i="5"/>
  <c r="O26" i="5"/>
  <c r="B190" i="5"/>
  <c r="AC47" i="5"/>
  <c r="Q119" i="5"/>
  <c r="R120" i="5" s="1"/>
  <c r="G60" i="5"/>
  <c r="G62" i="5"/>
  <c r="G61" i="5"/>
  <c r="G63" i="5"/>
  <c r="G64" i="5"/>
  <c r="G58" i="5"/>
  <c r="G67" i="5" s="1"/>
  <c r="G59" i="5"/>
  <c r="G65" i="5"/>
  <c r="D182" i="5"/>
  <c r="G13" i="2"/>
  <c r="E37" i="5"/>
  <c r="I5" i="5"/>
  <c r="Q118" i="5"/>
  <c r="AC46" i="5"/>
  <c r="H17" i="9"/>
  <c r="K46" i="5" s="1"/>
  <c r="P46" i="5"/>
  <c r="H351" i="41"/>
  <c r="H352" i="41" s="1"/>
  <c r="H353" i="41" s="1"/>
  <c r="H354" i="41" s="1"/>
  <c r="H355" i="41" s="1"/>
  <c r="H356" i="41" s="1"/>
  <c r="H357" i="41" s="1"/>
  <c r="H358" i="41" s="1"/>
  <c r="H359" i="41" s="1"/>
  <c r="H360" i="41" s="1"/>
  <c r="H361" i="41" s="1"/>
  <c r="H362" i="41" s="1"/>
  <c r="H363" i="41" s="1"/>
  <c r="H364" i="41" s="1"/>
  <c r="H365" i="41" s="1"/>
  <c r="H366" i="41" s="1"/>
  <c r="H367" i="41" s="1"/>
  <c r="H368" i="41" s="1"/>
  <c r="H369" i="41" s="1"/>
  <c r="H370" i="41" s="1"/>
  <c r="H371" i="41" s="1"/>
  <c r="H372" i="41" s="1"/>
  <c r="H373" i="41" s="1"/>
  <c r="H374" i="41" s="1"/>
  <c r="H375" i="41" s="1"/>
  <c r="H376" i="41" s="1"/>
  <c r="H377" i="41" s="1"/>
  <c r="H378" i="41" s="1"/>
  <c r="H379" i="41" s="1"/>
  <c r="H380" i="41" s="1"/>
  <c r="H381" i="41" s="1"/>
  <c r="H382" i="41" s="1"/>
  <c r="H383" i="41" s="1"/>
  <c r="H384" i="41" s="1"/>
  <c r="H385" i="41" s="1"/>
  <c r="H386" i="41" s="1"/>
  <c r="H387" i="41" s="1"/>
  <c r="H388" i="41" s="1"/>
  <c r="H389" i="41" s="1"/>
  <c r="H390" i="41" s="1"/>
  <c r="H391" i="41" s="1"/>
  <c r="H392" i="41" s="1"/>
  <c r="H393" i="41" s="1"/>
  <c r="H394" i="41" s="1"/>
  <c r="H395" i="41" s="1"/>
  <c r="H396" i="41" s="1"/>
  <c r="H397" i="41" s="1"/>
  <c r="H398" i="41" s="1"/>
  <c r="H399" i="41" s="1"/>
  <c r="H400" i="41" s="1"/>
  <c r="H401" i="41" s="1"/>
  <c r="H402" i="41" s="1"/>
  <c r="H403" i="41" s="1"/>
  <c r="H404" i="41" s="1"/>
  <c r="H405" i="41" s="1"/>
  <c r="H406" i="41" s="1"/>
  <c r="H407" i="41" s="1"/>
  <c r="H408" i="41" s="1"/>
  <c r="H409" i="41" s="1"/>
  <c r="H410" i="41" s="1"/>
  <c r="H411" i="41" s="1"/>
  <c r="H412" i="41" s="1"/>
  <c r="H413" i="41" s="1"/>
  <c r="H414" i="41" s="1"/>
  <c r="H415" i="41" s="1"/>
  <c r="H416" i="41" s="1"/>
  <c r="H417" i="41" s="1"/>
  <c r="H418" i="41" s="1"/>
  <c r="H419" i="41" s="1"/>
  <c r="H420" i="41" s="1"/>
  <c r="H421" i="41" s="1"/>
  <c r="H422" i="41" s="1"/>
  <c r="H423" i="41" s="1"/>
  <c r="H424" i="41" s="1"/>
  <c r="H425" i="41" s="1"/>
  <c r="H426" i="41" s="1"/>
  <c r="H349" i="41"/>
  <c r="H350" i="41" s="1"/>
  <c r="H519" i="41"/>
  <c r="H520" i="41" s="1"/>
  <c r="H521" i="41" s="1"/>
  <c r="H522" i="41" s="1"/>
  <c r="H523" i="41" s="1"/>
  <c r="H524" i="41" s="1"/>
  <c r="H525" i="41" s="1"/>
  <c r="H526" i="41" s="1"/>
  <c r="H527" i="41" s="1"/>
  <c r="H528" i="41" s="1"/>
  <c r="H529" i="41" s="1"/>
  <c r="H530" i="41" s="1"/>
  <c r="H531" i="41" s="1"/>
  <c r="H532" i="41" s="1"/>
  <c r="H533" i="41" s="1"/>
  <c r="H534" i="41" s="1"/>
  <c r="H535" i="41" s="1"/>
  <c r="H536" i="41" s="1"/>
  <c r="H537" i="41" s="1"/>
  <c r="H538" i="41" s="1"/>
  <c r="H539" i="41" s="1"/>
  <c r="H540" i="41" s="1"/>
  <c r="H541" i="41" s="1"/>
  <c r="H542" i="41" s="1"/>
  <c r="H543" i="41" s="1"/>
  <c r="H544" i="41" s="1"/>
  <c r="H545" i="41" s="1"/>
  <c r="H546" i="41" s="1"/>
  <c r="H547" i="41" s="1"/>
  <c r="H548" i="41" s="1"/>
  <c r="H549" i="41" s="1"/>
  <c r="H550" i="41" s="1"/>
  <c r="H551" i="41" s="1"/>
  <c r="H552" i="41" s="1"/>
  <c r="H553" i="41" s="1"/>
  <c r="H554" i="41" s="1"/>
  <c r="H555" i="41" s="1"/>
  <c r="H556" i="41" s="1"/>
  <c r="H557" i="41" s="1"/>
  <c r="H558" i="41" s="1"/>
  <c r="H637" i="41"/>
  <c r="H638" i="41" s="1"/>
  <c r="H639" i="41" s="1"/>
  <c r="H640" i="41" s="1"/>
  <c r="H641" i="41" s="1"/>
  <c r="H642" i="41" s="1"/>
  <c r="H643" i="41" s="1"/>
  <c r="H644" i="41" s="1"/>
  <c r="H645" i="41" s="1"/>
  <c r="H646" i="41" s="1"/>
  <c r="H647" i="41" s="1"/>
  <c r="H648" i="41" s="1"/>
  <c r="H649" i="41" s="1"/>
  <c r="H650" i="41" s="1"/>
  <c r="H651" i="41" s="1"/>
  <c r="H652" i="41" s="1"/>
  <c r="H653" i="41" s="1"/>
  <c r="H654" i="41" s="1"/>
  <c r="H655" i="41" s="1"/>
  <c r="H656" i="41" s="1"/>
  <c r="H657" i="41" s="1"/>
  <c r="H658" i="41" s="1"/>
  <c r="H659" i="41" s="1"/>
  <c r="H660" i="41" s="1"/>
  <c r="H661" i="41" s="1"/>
  <c r="H662" i="41" s="1"/>
  <c r="H663" i="41" s="1"/>
  <c r="H664" i="41" s="1"/>
  <c r="H665" i="41" s="1"/>
  <c r="H666" i="41" s="1"/>
  <c r="H667" i="41" s="1"/>
  <c r="H668" i="41" s="1"/>
  <c r="H669" i="41" s="1"/>
  <c r="H670" i="41" s="1"/>
  <c r="H671" i="41" s="1"/>
  <c r="H672" i="41" s="1"/>
  <c r="H673" i="41" s="1"/>
  <c r="H674" i="41" s="1"/>
  <c r="H675" i="41" s="1"/>
  <c r="H676" i="41" s="1"/>
  <c r="H677" i="41" s="1"/>
  <c r="H678" i="41" s="1"/>
  <c r="H679" i="41" s="1"/>
  <c r="H680" i="41" s="1"/>
  <c r="H681" i="41" s="1"/>
  <c r="H682" i="41" s="1"/>
  <c r="H683" i="41" s="1"/>
  <c r="H684" i="41" s="1"/>
  <c r="H685" i="41" s="1"/>
  <c r="H686" i="41" s="1"/>
  <c r="H687" i="41" s="1"/>
  <c r="H688" i="41" s="1"/>
  <c r="H689" i="41" s="1"/>
  <c r="H690" i="41" s="1"/>
  <c r="H691" i="41" s="1"/>
  <c r="H692" i="41" s="1"/>
  <c r="H693" i="41" s="1"/>
  <c r="H694" i="41" s="1"/>
  <c r="H695" i="41" s="1"/>
  <c r="H696" i="41" s="1"/>
  <c r="H697" i="41" s="1"/>
  <c r="H698" i="41" s="1"/>
  <c r="H699" i="41" s="1"/>
  <c r="H700" i="41" s="1"/>
  <c r="H701" i="41" s="1"/>
  <c r="H702" i="41" s="1"/>
  <c r="H703" i="41" s="1"/>
  <c r="H704" i="41" s="1"/>
  <c r="H705" i="41" s="1"/>
  <c r="H706" i="41" s="1"/>
  <c r="H707" i="41" s="1"/>
  <c r="H708" i="41" s="1"/>
  <c r="H709" i="41" s="1"/>
  <c r="H710" i="41" s="1"/>
  <c r="H711" i="41" s="1"/>
  <c r="H712" i="41" s="1"/>
  <c r="H713" i="41" s="1"/>
  <c r="H714" i="41" s="1"/>
  <c r="H715" i="41" s="1"/>
  <c r="H716" i="41" s="1"/>
  <c r="H717" i="41" s="1"/>
  <c r="H718" i="41" s="1"/>
  <c r="H719" i="41" s="1"/>
  <c r="H720" i="41" s="1"/>
  <c r="H721" i="41" s="1"/>
  <c r="H722" i="41" s="1"/>
  <c r="H723" i="41" s="1"/>
  <c r="H724" i="41" s="1"/>
  <c r="H725" i="41" s="1"/>
  <c r="H726" i="41" s="1"/>
  <c r="H727" i="41" s="1"/>
  <c r="H728" i="41" s="1"/>
  <c r="L19" i="47"/>
  <c r="J14" i="47"/>
  <c r="F15" i="47"/>
  <c r="F18" i="47" s="1"/>
  <c r="N15" i="47"/>
  <c r="N18" i="47" s="1"/>
  <c r="D14" i="47"/>
  <c r="B19" i="47"/>
  <c r="B14" i="47"/>
  <c r="L15" i="47"/>
  <c r="L18" i="47" s="1"/>
  <c r="H19" i="47"/>
  <c r="H14" i="47"/>
  <c r="B15" i="47"/>
  <c r="B18" i="47" s="1"/>
  <c r="H15" i="47"/>
  <c r="H18" i="47" s="1"/>
  <c r="D19" i="47"/>
  <c r="P19" i="47"/>
  <c r="J15" i="47"/>
  <c r="J18" i="47" s="1"/>
  <c r="N19" i="47"/>
  <c r="J19" i="47"/>
  <c r="F19" i="47"/>
  <c r="N14" i="47"/>
  <c r="F14" i="47"/>
  <c r="P15" i="47"/>
  <c r="P18" i="47" s="1"/>
  <c r="L14" i="47"/>
  <c r="D15" i="47"/>
  <c r="D18" i="47" s="1"/>
  <c r="P14" i="47"/>
  <c r="B769" i="41" l="1"/>
  <c r="B770" i="41" s="1"/>
  <c r="H51" i="5"/>
  <c r="H53" i="5"/>
  <c r="H49" i="5"/>
  <c r="H54" i="5"/>
  <c r="K16" i="2" s="1"/>
  <c r="G947" i="41" s="1"/>
  <c r="H50" i="5"/>
  <c r="H52" i="5"/>
  <c r="B559" i="41"/>
  <c r="B560" i="41" s="1"/>
  <c r="B561" i="41"/>
  <c r="B562" i="41" s="1"/>
  <c r="B563" i="41" s="1"/>
  <c r="B564" i="41" s="1"/>
  <c r="B565" i="41" s="1"/>
  <c r="B566" i="41" s="1"/>
  <c r="B567" i="41" s="1"/>
  <c r="B568" i="41" s="1"/>
  <c r="B569" i="41" s="1"/>
  <c r="B570" i="41" s="1"/>
  <c r="B571" i="41" s="1"/>
  <c r="B572" i="41" s="1"/>
  <c r="B573" i="41" s="1"/>
  <c r="B574" i="41" s="1"/>
  <c r="B575" i="41" s="1"/>
  <c r="B576" i="41" s="1"/>
  <c r="B577" i="41" s="1"/>
  <c r="B578" i="41" s="1"/>
  <c r="B579" i="41" s="1"/>
  <c r="B580" i="41" s="1"/>
  <c r="B581" i="41" s="1"/>
  <c r="B582" i="41" s="1"/>
  <c r="B583" i="41" s="1"/>
  <c r="B584" i="41" s="1"/>
  <c r="B585" i="41" s="1"/>
  <c r="B586" i="41" s="1"/>
  <c r="B587" i="41" s="1"/>
  <c r="B588" i="41" s="1"/>
  <c r="B589" i="41" s="1"/>
  <c r="B590" i="41" s="1"/>
  <c r="B591" i="41" s="1"/>
  <c r="B592" i="41" s="1"/>
  <c r="B593" i="41" s="1"/>
  <c r="B594" i="41" s="1"/>
  <c r="B595" i="41" s="1"/>
  <c r="B596" i="41" s="1"/>
  <c r="B597" i="41" s="1"/>
  <c r="B598" i="41" s="1"/>
  <c r="B599" i="41" s="1"/>
  <c r="B600" i="41" s="1"/>
  <c r="B601" i="41" s="1"/>
  <c r="B602" i="41" s="1"/>
  <c r="B603" i="41" s="1"/>
  <c r="B604" i="41" s="1"/>
  <c r="B605" i="41" s="1"/>
  <c r="B606" i="41" s="1"/>
  <c r="B607" i="41" s="1"/>
  <c r="B608" i="41" s="1"/>
  <c r="B609" i="41" s="1"/>
  <c r="B610" i="41" s="1"/>
  <c r="B611" i="41" s="1"/>
  <c r="B612" i="41" s="1"/>
  <c r="B613" i="41" s="1"/>
  <c r="B614" i="41" s="1"/>
  <c r="B615" i="41" s="1"/>
  <c r="B616" i="41" s="1"/>
  <c r="B617" i="41" s="1"/>
  <c r="B618" i="41" s="1"/>
  <c r="B619" i="41" s="1"/>
  <c r="B620" i="41" s="1"/>
  <c r="B621" i="41" s="1"/>
  <c r="B622" i="41" s="1"/>
  <c r="B623" i="41" s="1"/>
  <c r="B624" i="41" s="1"/>
  <c r="B625" i="41" s="1"/>
  <c r="B626" i="41" s="1"/>
  <c r="B627" i="41" s="1"/>
  <c r="B628" i="41" s="1"/>
  <c r="B629" i="41" s="1"/>
  <c r="B630" i="41" s="1"/>
  <c r="B631" i="41" s="1"/>
  <c r="B632" i="41" s="1"/>
  <c r="B633" i="41" s="1"/>
  <c r="B634" i="41" s="1"/>
  <c r="B635" i="41" s="1"/>
  <c r="B636" i="41" s="1"/>
  <c r="E37" i="2"/>
  <c r="F266" i="41"/>
  <c r="F56" i="41"/>
  <c r="O33" i="3"/>
  <c r="E51" i="5"/>
  <c r="E54" i="5"/>
  <c r="K13" i="2" s="1"/>
  <c r="E52" i="5"/>
  <c r="E50" i="5"/>
  <c r="E49" i="5"/>
  <c r="E53" i="5"/>
  <c r="R119" i="5"/>
  <c r="E40" i="2"/>
  <c r="F40" i="5"/>
  <c r="AI4" i="5"/>
  <c r="AJ4" i="5" s="1"/>
  <c r="AI2" i="5"/>
  <c r="AJ2" i="5" s="1"/>
  <c r="AI7" i="5"/>
  <c r="AJ7" i="5" s="1"/>
  <c r="F43" i="5"/>
  <c r="AI8" i="5"/>
  <c r="AJ8" i="5" s="1"/>
  <c r="F41" i="5"/>
  <c r="AI5" i="5"/>
  <c r="AJ5" i="5" s="1"/>
  <c r="F39" i="5"/>
  <c r="F44" i="5" s="1"/>
  <c r="AI6" i="5"/>
  <c r="AJ6" i="5" s="1"/>
  <c r="AI3" i="5"/>
  <c r="AJ3" i="5" s="1"/>
  <c r="F42" i="5"/>
  <c r="O21" i="3"/>
  <c r="G15" i="2"/>
  <c r="G735" i="41" s="1"/>
  <c r="K5" i="5"/>
  <c r="G37" i="5"/>
  <c r="G679" i="41"/>
  <c r="T12" i="3"/>
  <c r="K26" i="3"/>
  <c r="L26" i="3"/>
  <c r="CP14" i="5"/>
  <c r="CP9" i="5"/>
  <c r="CP6" i="5"/>
  <c r="CP13" i="5"/>
  <c r="CP11" i="5"/>
  <c r="CP3" i="5"/>
  <c r="CP10" i="5"/>
  <c r="CP15" i="5"/>
  <c r="CP5" i="5"/>
  <c r="CP12" i="5"/>
  <c r="CP8" i="5"/>
  <c r="CP7" i="5"/>
  <c r="CP4" i="5"/>
  <c r="CP2" i="5"/>
  <c r="O15" i="3"/>
  <c r="R118" i="5"/>
  <c r="G1309" i="41"/>
  <c r="I42" i="2"/>
  <c r="J42" i="2" s="1"/>
  <c r="K17" i="6"/>
  <c r="AA50" i="5"/>
  <c r="G21" i="11"/>
  <c r="G105" i="41"/>
  <c r="G315" i="41"/>
  <c r="E39" i="5"/>
  <c r="E44" i="5" s="1"/>
  <c r="E43" i="5"/>
  <c r="AG4" i="5"/>
  <c r="AH4" i="5" s="1"/>
  <c r="AG2" i="5"/>
  <c r="AH2" i="5" s="1"/>
  <c r="E42" i="5"/>
  <c r="AG7" i="5"/>
  <c r="AH7" i="5" s="1"/>
  <c r="AG8" i="5"/>
  <c r="AH8" i="5" s="1"/>
  <c r="AG5" i="5"/>
  <c r="AH5" i="5" s="1"/>
  <c r="AG3" i="5"/>
  <c r="AH3" i="5" s="1"/>
  <c r="AG6" i="5"/>
  <c r="AH6" i="5" s="1"/>
  <c r="E41" i="5"/>
  <c r="E40" i="5"/>
  <c r="S116" i="5"/>
  <c r="S117" i="5" s="1"/>
  <c r="CN8" i="5"/>
  <c r="CN15" i="5"/>
  <c r="CN5" i="5"/>
  <c r="CN13" i="5"/>
  <c r="CN6" i="5"/>
  <c r="CN10" i="5"/>
  <c r="CN2" i="5"/>
  <c r="CN14" i="5"/>
  <c r="CN4" i="5"/>
  <c r="CN12" i="5"/>
  <c r="CN7" i="5"/>
  <c r="CN3" i="5"/>
  <c r="CN9" i="5"/>
  <c r="CN11" i="5"/>
  <c r="CM9" i="5"/>
  <c r="CM14" i="5"/>
  <c r="CM6" i="5"/>
  <c r="CM5" i="5"/>
  <c r="CM12" i="5"/>
  <c r="CM13" i="5"/>
  <c r="CM7" i="5"/>
  <c r="CM15" i="5"/>
  <c r="CM11" i="5"/>
  <c r="CM4" i="5"/>
  <c r="CM8" i="5"/>
  <c r="CM10" i="5"/>
  <c r="CM2" i="5"/>
  <c r="CM3" i="5"/>
  <c r="E38" i="2"/>
  <c r="D15" i="2"/>
  <c r="C15" i="2"/>
  <c r="K4" i="5"/>
  <c r="G362" i="41"/>
  <c r="G367" i="41"/>
  <c r="G372" i="41"/>
  <c r="G368" i="41"/>
  <c r="G364" i="41"/>
  <c r="G378" i="41"/>
  <c r="G363" i="41"/>
  <c r="G358" i="41"/>
  <c r="G373" i="41"/>
  <c r="G352" i="41"/>
  <c r="G353" i="41"/>
  <c r="G369" i="41"/>
  <c r="G384" i="41"/>
  <c r="G389" i="41"/>
  <c r="G354" i="41"/>
  <c r="G383" i="41"/>
  <c r="G382" i="41"/>
  <c r="G374" i="41"/>
  <c r="G379" i="41"/>
  <c r="G387" i="41"/>
  <c r="G377" i="41"/>
  <c r="G388" i="41"/>
  <c r="G359" i="41"/>
  <c r="G357" i="41"/>
  <c r="H561" i="41"/>
  <c r="H562" i="41" s="1"/>
  <c r="H563" i="41" s="1"/>
  <c r="H564" i="41" s="1"/>
  <c r="H565" i="41" s="1"/>
  <c r="H566" i="41" s="1"/>
  <c r="H567" i="41" s="1"/>
  <c r="H568" i="41" s="1"/>
  <c r="H569" i="41" s="1"/>
  <c r="H570" i="41" s="1"/>
  <c r="H571" i="41" s="1"/>
  <c r="H572" i="41" s="1"/>
  <c r="H573" i="41" s="1"/>
  <c r="H574" i="41" s="1"/>
  <c r="H575" i="41" s="1"/>
  <c r="H576" i="41" s="1"/>
  <c r="H577" i="41" s="1"/>
  <c r="H578" i="41" s="1"/>
  <c r="H579" i="41" s="1"/>
  <c r="H580" i="41" s="1"/>
  <c r="H581" i="41" s="1"/>
  <c r="H582" i="41" s="1"/>
  <c r="H583" i="41" s="1"/>
  <c r="H584" i="41" s="1"/>
  <c r="H585" i="41" s="1"/>
  <c r="H586" i="41" s="1"/>
  <c r="H587" i="41" s="1"/>
  <c r="H588" i="41" s="1"/>
  <c r="H589" i="41" s="1"/>
  <c r="H590" i="41" s="1"/>
  <c r="H591" i="41" s="1"/>
  <c r="H592" i="41" s="1"/>
  <c r="H593" i="41" s="1"/>
  <c r="H594" i="41" s="1"/>
  <c r="H595" i="41" s="1"/>
  <c r="H596" i="41" s="1"/>
  <c r="H597" i="41" s="1"/>
  <c r="H598" i="41" s="1"/>
  <c r="H599" i="41" s="1"/>
  <c r="H600" i="41" s="1"/>
  <c r="H601" i="41" s="1"/>
  <c r="H602" i="41" s="1"/>
  <c r="H603" i="41" s="1"/>
  <c r="H604" i="41" s="1"/>
  <c r="H605" i="41" s="1"/>
  <c r="H606" i="41" s="1"/>
  <c r="H607" i="41" s="1"/>
  <c r="H608" i="41" s="1"/>
  <c r="H609" i="41" s="1"/>
  <c r="H610" i="41" s="1"/>
  <c r="H611" i="41" s="1"/>
  <c r="H612" i="41" s="1"/>
  <c r="H613" i="41" s="1"/>
  <c r="H614" i="41" s="1"/>
  <c r="H615" i="41" s="1"/>
  <c r="H616" i="41" s="1"/>
  <c r="H617" i="41" s="1"/>
  <c r="H618" i="41" s="1"/>
  <c r="H619" i="41" s="1"/>
  <c r="H620" i="41" s="1"/>
  <c r="H621" i="41" s="1"/>
  <c r="H622" i="41" s="1"/>
  <c r="H623" i="41" s="1"/>
  <c r="H624" i="41" s="1"/>
  <c r="H625" i="41" s="1"/>
  <c r="H626" i="41" s="1"/>
  <c r="H627" i="41" s="1"/>
  <c r="H628" i="41" s="1"/>
  <c r="H629" i="41" s="1"/>
  <c r="H630" i="41" s="1"/>
  <c r="H631" i="41" s="1"/>
  <c r="H632" i="41" s="1"/>
  <c r="H633" i="41" s="1"/>
  <c r="H634" i="41" s="1"/>
  <c r="H635" i="41" s="1"/>
  <c r="H636" i="41" s="1"/>
  <c r="H559" i="41"/>
  <c r="H560" i="41" s="1"/>
  <c r="H20" i="47"/>
  <c r="P20" i="47"/>
  <c r="B20" i="47"/>
  <c r="D20" i="47"/>
  <c r="J20" i="47"/>
  <c r="L20" i="47"/>
  <c r="N20" i="47"/>
  <c r="F20" i="47"/>
  <c r="H729" i="41"/>
  <c r="H730" i="41" s="1"/>
  <c r="H731" i="41" s="1"/>
  <c r="H732" i="41" s="1"/>
  <c r="H733" i="41" s="1"/>
  <c r="H734" i="41" s="1"/>
  <c r="H735" i="41" s="1"/>
  <c r="H736" i="41" s="1"/>
  <c r="H737" i="41" s="1"/>
  <c r="H738" i="41" s="1"/>
  <c r="H739" i="41" s="1"/>
  <c r="H740" i="41" s="1"/>
  <c r="H741" i="41" s="1"/>
  <c r="H742" i="41" s="1"/>
  <c r="H743" i="41" s="1"/>
  <c r="H744" i="41" s="1"/>
  <c r="H745" i="41" s="1"/>
  <c r="H746" i="41" s="1"/>
  <c r="H747" i="41" s="1"/>
  <c r="H748" i="41" s="1"/>
  <c r="H749" i="41" s="1"/>
  <c r="H750" i="41" s="1"/>
  <c r="H751" i="41" s="1"/>
  <c r="H752" i="41" s="1"/>
  <c r="H753" i="41" s="1"/>
  <c r="H754" i="41" s="1"/>
  <c r="H755" i="41" s="1"/>
  <c r="H756" i="41" s="1"/>
  <c r="H757" i="41" s="1"/>
  <c r="H758" i="41" s="1"/>
  <c r="H759" i="41" s="1"/>
  <c r="H760" i="41" s="1"/>
  <c r="H761" i="41" s="1"/>
  <c r="H762" i="41" s="1"/>
  <c r="H763" i="41" s="1"/>
  <c r="H764" i="41" s="1"/>
  <c r="H765" i="41" s="1"/>
  <c r="H766" i="41" s="1"/>
  <c r="H767" i="41" s="1"/>
  <c r="H768" i="41" s="1"/>
  <c r="H847" i="41"/>
  <c r="H848" i="41" s="1"/>
  <c r="H849" i="41" s="1"/>
  <c r="H850" i="41" s="1"/>
  <c r="H851" i="41" s="1"/>
  <c r="H852" i="41" s="1"/>
  <c r="H853" i="41" s="1"/>
  <c r="H854" i="41" s="1"/>
  <c r="H855" i="41" s="1"/>
  <c r="H856" i="41" s="1"/>
  <c r="H857" i="41" s="1"/>
  <c r="H858" i="41" s="1"/>
  <c r="H859" i="41" s="1"/>
  <c r="H860" i="41" s="1"/>
  <c r="H861" i="41" s="1"/>
  <c r="H862" i="41" s="1"/>
  <c r="H863" i="41" s="1"/>
  <c r="H864" i="41" s="1"/>
  <c r="H865" i="41" s="1"/>
  <c r="H866" i="41" s="1"/>
  <c r="H867" i="41" s="1"/>
  <c r="H868" i="41" s="1"/>
  <c r="H869" i="41" s="1"/>
  <c r="H870" i="41" s="1"/>
  <c r="H871" i="41" s="1"/>
  <c r="H872" i="41" s="1"/>
  <c r="H873" i="41" s="1"/>
  <c r="H874" i="41" s="1"/>
  <c r="H875" i="41" s="1"/>
  <c r="H876" i="41" s="1"/>
  <c r="H877" i="41" s="1"/>
  <c r="H878" i="41" s="1"/>
  <c r="H879" i="41" s="1"/>
  <c r="H880" i="41" s="1"/>
  <c r="H881" i="41" s="1"/>
  <c r="H882" i="41" s="1"/>
  <c r="H883" i="41" s="1"/>
  <c r="H884" i="41" s="1"/>
  <c r="H885" i="41" s="1"/>
  <c r="H886" i="41" s="1"/>
  <c r="H887" i="41" s="1"/>
  <c r="H888" i="41" s="1"/>
  <c r="H889" i="41" s="1"/>
  <c r="H890" i="41" s="1"/>
  <c r="H891" i="41" s="1"/>
  <c r="H892" i="41" s="1"/>
  <c r="H893" i="41" s="1"/>
  <c r="H894" i="41" s="1"/>
  <c r="H895" i="41" s="1"/>
  <c r="H896" i="41" s="1"/>
  <c r="H897" i="41" s="1"/>
  <c r="H898" i="41" s="1"/>
  <c r="H899" i="41" s="1"/>
  <c r="H900" i="41" s="1"/>
  <c r="H901" i="41" s="1"/>
  <c r="H902" i="41" s="1"/>
  <c r="H903" i="41" s="1"/>
  <c r="H904" i="41" s="1"/>
  <c r="H905" i="41" s="1"/>
  <c r="H906" i="41" s="1"/>
  <c r="H907" i="41" s="1"/>
  <c r="H908" i="41" s="1"/>
  <c r="H909" i="41" s="1"/>
  <c r="H910" i="41" s="1"/>
  <c r="H911" i="41" s="1"/>
  <c r="H912" i="41" s="1"/>
  <c r="H913" i="41" s="1"/>
  <c r="H914" i="41" s="1"/>
  <c r="H915" i="41" s="1"/>
  <c r="H916" i="41" s="1"/>
  <c r="H917" i="41" s="1"/>
  <c r="H918" i="41" s="1"/>
  <c r="H919" i="41" s="1"/>
  <c r="H920" i="41" s="1"/>
  <c r="H921" i="41" s="1"/>
  <c r="H922" i="41" s="1"/>
  <c r="H923" i="41" s="1"/>
  <c r="H924" i="41" s="1"/>
  <c r="H925" i="41" s="1"/>
  <c r="H926" i="41" s="1"/>
  <c r="H927" i="41" s="1"/>
  <c r="H928" i="41" s="1"/>
  <c r="H929" i="41" s="1"/>
  <c r="H930" i="41" s="1"/>
  <c r="H931" i="41" s="1"/>
  <c r="H932" i="41" s="1"/>
  <c r="H933" i="41" s="1"/>
  <c r="H934" i="41" s="1"/>
  <c r="H935" i="41" s="1"/>
  <c r="H936" i="41" s="1"/>
  <c r="H937" i="41" s="1"/>
  <c r="H938" i="41" s="1"/>
  <c r="G17" i="2" l="1"/>
  <c r="C37" i="2"/>
  <c r="D37" i="2"/>
  <c r="G115" i="41"/>
  <c r="G325" i="41"/>
  <c r="B37" i="2"/>
  <c r="C38" i="2"/>
  <c r="F534" i="41" s="1"/>
  <c r="G535" i="41"/>
  <c r="B38" i="2"/>
  <c r="F533" i="41" s="1"/>
  <c r="D38" i="2"/>
  <c r="AH9" i="5"/>
  <c r="G683" i="41"/>
  <c r="T13" i="3"/>
  <c r="CE7" i="5" s="1"/>
  <c r="O26" i="3"/>
  <c r="F686" i="41" s="1"/>
  <c r="G40" i="5"/>
  <c r="AK4" i="5"/>
  <c r="AL4" i="5" s="1"/>
  <c r="AK6" i="5"/>
  <c r="AL6" i="5" s="1"/>
  <c r="AK8" i="5"/>
  <c r="AL8" i="5" s="1"/>
  <c r="G41" i="5"/>
  <c r="G42" i="5"/>
  <c r="AK5" i="5"/>
  <c r="AL5" i="5" s="1"/>
  <c r="AK7" i="5"/>
  <c r="AL7" i="5" s="1"/>
  <c r="AL9" i="5" s="1"/>
  <c r="G39" i="5"/>
  <c r="G44" i="5" s="1"/>
  <c r="AK2" i="5"/>
  <c r="AL2" i="5" s="1"/>
  <c r="G43" i="5"/>
  <c r="AK3" i="5"/>
  <c r="AL3" i="5" s="1"/>
  <c r="AU5" i="5"/>
  <c r="AU4" i="5"/>
  <c r="AU3" i="5"/>
  <c r="AU2" i="5"/>
  <c r="G1313" i="41"/>
  <c r="G107" i="41"/>
  <c r="G317" i="41"/>
  <c r="K17" i="2"/>
  <c r="CN16" i="5"/>
  <c r="CN17" i="5" s="1"/>
  <c r="S14" i="3" s="1"/>
  <c r="AB50" i="5"/>
  <c r="H21" i="11"/>
  <c r="AJ9" i="5"/>
  <c r="B40" i="2"/>
  <c r="F953" i="41" s="1"/>
  <c r="D40" i="2"/>
  <c r="C40" i="2"/>
  <c r="F954" i="41" s="1"/>
  <c r="G955" i="41"/>
  <c r="CM16" i="5"/>
  <c r="CM17" i="5" s="1"/>
  <c r="R14" i="3" s="1"/>
  <c r="G733" i="41"/>
  <c r="D17" i="2"/>
  <c r="S118" i="5"/>
  <c r="S119" i="5" s="1"/>
  <c r="S120" i="5" s="1"/>
  <c r="CP16" i="5"/>
  <c r="CP17" i="5" s="1"/>
  <c r="U14" i="3" s="1"/>
  <c r="G375" i="41"/>
  <c r="G355" i="41"/>
  <c r="G385" i="41"/>
  <c r="G390" i="41"/>
  <c r="G380" i="41"/>
  <c r="G360" i="41"/>
  <c r="G370" i="41"/>
  <c r="G365" i="41"/>
  <c r="H771" i="41"/>
  <c r="H772" i="41" s="1"/>
  <c r="H773" i="41" s="1"/>
  <c r="H774" i="41" s="1"/>
  <c r="H775" i="41" s="1"/>
  <c r="H776" i="41" s="1"/>
  <c r="H777" i="41" s="1"/>
  <c r="H778" i="41" s="1"/>
  <c r="H779" i="41" s="1"/>
  <c r="H780" i="41" s="1"/>
  <c r="H781" i="41" s="1"/>
  <c r="H782" i="41" s="1"/>
  <c r="H783" i="41" s="1"/>
  <c r="H784" i="41" s="1"/>
  <c r="H785" i="41" s="1"/>
  <c r="H786" i="41" s="1"/>
  <c r="H787" i="41" s="1"/>
  <c r="H788" i="41" s="1"/>
  <c r="H789" i="41" s="1"/>
  <c r="H790" i="41" s="1"/>
  <c r="H791" i="41" s="1"/>
  <c r="H792" i="41" s="1"/>
  <c r="H793" i="41" s="1"/>
  <c r="H794" i="41" s="1"/>
  <c r="H795" i="41" s="1"/>
  <c r="H796" i="41" s="1"/>
  <c r="H797" i="41" s="1"/>
  <c r="H798" i="41" s="1"/>
  <c r="H799" i="41" s="1"/>
  <c r="H800" i="41" s="1"/>
  <c r="H801" i="41" s="1"/>
  <c r="H802" i="41" s="1"/>
  <c r="H803" i="41" s="1"/>
  <c r="H804" i="41" s="1"/>
  <c r="H805" i="41" s="1"/>
  <c r="H806" i="41" s="1"/>
  <c r="H807" i="41" s="1"/>
  <c r="H808" i="41" s="1"/>
  <c r="H809" i="41" s="1"/>
  <c r="H810" i="41" s="1"/>
  <c r="H811" i="41" s="1"/>
  <c r="H812" i="41" s="1"/>
  <c r="H813" i="41" s="1"/>
  <c r="H814" i="41" s="1"/>
  <c r="H815" i="41" s="1"/>
  <c r="H816" i="41" s="1"/>
  <c r="H817" i="41" s="1"/>
  <c r="H818" i="41" s="1"/>
  <c r="H819" i="41" s="1"/>
  <c r="H820" i="41" s="1"/>
  <c r="H821" i="41" s="1"/>
  <c r="H822" i="41" s="1"/>
  <c r="H823" i="41" s="1"/>
  <c r="H824" i="41" s="1"/>
  <c r="H825" i="41" s="1"/>
  <c r="H826" i="41" s="1"/>
  <c r="H827" i="41" s="1"/>
  <c r="H828" i="41" s="1"/>
  <c r="H829" i="41" s="1"/>
  <c r="H830" i="41" s="1"/>
  <c r="H831" i="41" s="1"/>
  <c r="H832" i="41" s="1"/>
  <c r="H833" i="41" s="1"/>
  <c r="H834" i="41" s="1"/>
  <c r="H835" i="41" s="1"/>
  <c r="H836" i="41" s="1"/>
  <c r="H837" i="41" s="1"/>
  <c r="H838" i="41" s="1"/>
  <c r="H839" i="41" s="1"/>
  <c r="H840" i="41" s="1"/>
  <c r="H841" i="41" s="1"/>
  <c r="H842" i="41" s="1"/>
  <c r="H843" i="41" s="1"/>
  <c r="H844" i="41" s="1"/>
  <c r="H845" i="41" s="1"/>
  <c r="H846" i="41" s="1"/>
  <c r="H769" i="41"/>
  <c r="H770" i="41" s="1"/>
  <c r="B21" i="47"/>
  <c r="P21" i="47"/>
  <c r="F21" i="47"/>
  <c r="D21" i="47"/>
  <c r="N21" i="47"/>
  <c r="L21" i="47"/>
  <c r="J21" i="47"/>
  <c r="H21" i="47"/>
  <c r="H1057" i="41"/>
  <c r="H1058" i="41" s="1"/>
  <c r="H1059" i="41" s="1"/>
  <c r="H1060" i="41" s="1"/>
  <c r="H1061" i="41" s="1"/>
  <c r="H1062" i="41" s="1"/>
  <c r="H1063" i="41" s="1"/>
  <c r="H1064" i="41" s="1"/>
  <c r="H1065" i="41" s="1"/>
  <c r="H1066" i="41" s="1"/>
  <c r="H1067" i="41" s="1"/>
  <c r="H1068" i="41" s="1"/>
  <c r="H1069" i="41" s="1"/>
  <c r="H1070" i="41" s="1"/>
  <c r="H1071" i="41" s="1"/>
  <c r="H1072" i="41" s="1"/>
  <c r="H1073" i="41" s="1"/>
  <c r="H1074" i="41" s="1"/>
  <c r="H1075" i="41" s="1"/>
  <c r="H1076" i="41" s="1"/>
  <c r="H1077" i="41" s="1"/>
  <c r="H1078" i="41" s="1"/>
  <c r="H1079" i="41" s="1"/>
  <c r="H1080" i="41" s="1"/>
  <c r="H1081" i="41" s="1"/>
  <c r="H1082" i="41" s="1"/>
  <c r="H1083" i="41" s="1"/>
  <c r="H1084" i="41" s="1"/>
  <c r="H1085" i="41" s="1"/>
  <c r="H1086" i="41" s="1"/>
  <c r="H1087" i="41" s="1"/>
  <c r="H1088" i="41" s="1"/>
  <c r="H1089" i="41" s="1"/>
  <c r="H1090" i="41" s="1"/>
  <c r="H1091" i="41" s="1"/>
  <c r="H1092" i="41" s="1"/>
  <c r="H1093" i="41" s="1"/>
  <c r="H1094" i="41" s="1"/>
  <c r="H1095" i="41" s="1"/>
  <c r="H1096" i="41" s="1"/>
  <c r="H1097" i="41" s="1"/>
  <c r="H1098" i="41" s="1"/>
  <c r="H1099" i="41" s="1"/>
  <c r="H1100" i="41" s="1"/>
  <c r="H1101" i="41" s="1"/>
  <c r="H1102" i="41" s="1"/>
  <c r="H1103" i="41" s="1"/>
  <c r="H1104" i="41" s="1"/>
  <c r="H1105" i="41" s="1"/>
  <c r="H1106" i="41" s="1"/>
  <c r="H1107" i="41" s="1"/>
  <c r="H1108" i="41" s="1"/>
  <c r="H1109" i="41" s="1"/>
  <c r="H1110" i="41" s="1"/>
  <c r="H1111" i="41" s="1"/>
  <c r="H1112" i="41" s="1"/>
  <c r="H1113" i="41" s="1"/>
  <c r="H1114" i="41" s="1"/>
  <c r="H1115" i="41" s="1"/>
  <c r="H1116" i="41" s="1"/>
  <c r="H1117" i="41" s="1"/>
  <c r="H1118" i="41" s="1"/>
  <c r="H1119" i="41" s="1"/>
  <c r="H1120" i="41" s="1"/>
  <c r="H1121" i="41" s="1"/>
  <c r="H1122" i="41" s="1"/>
  <c r="H1123" i="41" s="1"/>
  <c r="H1124" i="41" s="1"/>
  <c r="H1125" i="41" s="1"/>
  <c r="H1126" i="41" s="1"/>
  <c r="H1127" i="41" s="1"/>
  <c r="H1128" i="41" s="1"/>
  <c r="H1129" i="41" s="1"/>
  <c r="H1130" i="41" s="1"/>
  <c r="H1131" i="41" s="1"/>
  <c r="H1132" i="41" s="1"/>
  <c r="H1133" i="41" s="1"/>
  <c r="H1134" i="41" s="1"/>
  <c r="H1135" i="41" s="1"/>
  <c r="H1136" i="41" s="1"/>
  <c r="H1137" i="41" s="1"/>
  <c r="H1138" i="41" s="1"/>
  <c r="H1139" i="41" s="1"/>
  <c r="H1140" i="41" s="1"/>
  <c r="H1141" i="41" s="1"/>
  <c r="H1142" i="41" s="1"/>
  <c r="H1143" i="41" s="1"/>
  <c r="H1144" i="41" s="1"/>
  <c r="H1145" i="41" s="1"/>
  <c r="H1146" i="41" s="1"/>
  <c r="H1147" i="41" s="1"/>
  <c r="H1148" i="41" s="1"/>
  <c r="H939" i="41"/>
  <c r="H940" i="41" s="1"/>
  <c r="H941" i="41" s="1"/>
  <c r="H942" i="41" s="1"/>
  <c r="H943" i="41" s="1"/>
  <c r="H944" i="41" s="1"/>
  <c r="H945" i="41" s="1"/>
  <c r="H946" i="41" s="1"/>
  <c r="H947" i="41" s="1"/>
  <c r="H948" i="41" s="1"/>
  <c r="H949" i="41" s="1"/>
  <c r="H950" i="41" s="1"/>
  <c r="H951" i="41" s="1"/>
  <c r="H952" i="41" s="1"/>
  <c r="H953" i="41" s="1"/>
  <c r="H954" i="41" s="1"/>
  <c r="H955" i="41" s="1"/>
  <c r="H956" i="41" s="1"/>
  <c r="H957" i="41" s="1"/>
  <c r="H958" i="41" s="1"/>
  <c r="H959" i="41" s="1"/>
  <c r="H960" i="41" s="1"/>
  <c r="H961" i="41" s="1"/>
  <c r="H962" i="41" s="1"/>
  <c r="H963" i="41" s="1"/>
  <c r="H964" i="41" s="1"/>
  <c r="H965" i="41" s="1"/>
  <c r="H966" i="41" s="1"/>
  <c r="H967" i="41" s="1"/>
  <c r="H968" i="41" s="1"/>
  <c r="H969" i="41" s="1"/>
  <c r="H970" i="41" s="1"/>
  <c r="H971" i="41" s="1"/>
  <c r="H972" i="41" s="1"/>
  <c r="H973" i="41" s="1"/>
  <c r="H974" i="41" s="1"/>
  <c r="H975" i="41" s="1"/>
  <c r="H976" i="41" s="1"/>
  <c r="H977" i="41" s="1"/>
  <c r="H978" i="41" s="1"/>
  <c r="F113" i="41" l="1"/>
  <c r="F323" i="41"/>
  <c r="F114" i="41"/>
  <c r="F324" i="41"/>
  <c r="CO14" i="5"/>
  <c r="CO13" i="5"/>
  <c r="CO9" i="5"/>
  <c r="CO15" i="5"/>
  <c r="CO5" i="5"/>
  <c r="CO7" i="5"/>
  <c r="CO2" i="5"/>
  <c r="CO12" i="5"/>
  <c r="CO8" i="5"/>
  <c r="CO6" i="5"/>
  <c r="CO11" i="5"/>
  <c r="CO3" i="5"/>
  <c r="CO4" i="5"/>
  <c r="CO10" i="5"/>
  <c r="W50" i="5"/>
  <c r="E39" i="2"/>
  <c r="O27" i="3"/>
  <c r="G366" i="41"/>
  <c r="G381" i="41"/>
  <c r="G361" i="41"/>
  <c r="G391" i="41"/>
  <c r="G356" i="41"/>
  <c r="G386" i="41"/>
  <c r="G371" i="41"/>
  <c r="G376" i="41"/>
  <c r="H981" i="41"/>
  <c r="H982" i="41" s="1"/>
  <c r="H983" i="41" s="1"/>
  <c r="H984" i="41" s="1"/>
  <c r="H985" i="41" s="1"/>
  <c r="H986" i="41" s="1"/>
  <c r="H987" i="41" s="1"/>
  <c r="H988" i="41" s="1"/>
  <c r="H989" i="41" s="1"/>
  <c r="H990" i="41" s="1"/>
  <c r="H991" i="41" s="1"/>
  <c r="H992" i="41" s="1"/>
  <c r="H993" i="41" s="1"/>
  <c r="H994" i="41" s="1"/>
  <c r="H995" i="41" s="1"/>
  <c r="H996" i="41" s="1"/>
  <c r="H997" i="41" s="1"/>
  <c r="H998" i="41" s="1"/>
  <c r="H999" i="41" s="1"/>
  <c r="H1000" i="41" s="1"/>
  <c r="H1001" i="41" s="1"/>
  <c r="H1002" i="41" s="1"/>
  <c r="H1003" i="41" s="1"/>
  <c r="H1004" i="41" s="1"/>
  <c r="H1005" i="41" s="1"/>
  <c r="H1006" i="41" s="1"/>
  <c r="H1007" i="41" s="1"/>
  <c r="H1008" i="41" s="1"/>
  <c r="H1009" i="41" s="1"/>
  <c r="H1010" i="41" s="1"/>
  <c r="H1011" i="41" s="1"/>
  <c r="H1012" i="41" s="1"/>
  <c r="H1013" i="41" s="1"/>
  <c r="H1014" i="41" s="1"/>
  <c r="H1015" i="41" s="1"/>
  <c r="H1016" i="41" s="1"/>
  <c r="H1017" i="41" s="1"/>
  <c r="H1018" i="41" s="1"/>
  <c r="H1019" i="41" s="1"/>
  <c r="H1020" i="41" s="1"/>
  <c r="H1021" i="41" s="1"/>
  <c r="H1022" i="41" s="1"/>
  <c r="H1023" i="41" s="1"/>
  <c r="H1024" i="41" s="1"/>
  <c r="H1025" i="41" s="1"/>
  <c r="H1026" i="41" s="1"/>
  <c r="H1027" i="41" s="1"/>
  <c r="H1028" i="41" s="1"/>
  <c r="H1029" i="41" s="1"/>
  <c r="H1030" i="41" s="1"/>
  <c r="H1031" i="41" s="1"/>
  <c r="H1032" i="41" s="1"/>
  <c r="H1033" i="41" s="1"/>
  <c r="H1034" i="41" s="1"/>
  <c r="H1035" i="41" s="1"/>
  <c r="H1036" i="41" s="1"/>
  <c r="H1037" i="41" s="1"/>
  <c r="H1038" i="41" s="1"/>
  <c r="H1039" i="41" s="1"/>
  <c r="H1040" i="41" s="1"/>
  <c r="H1041" i="41" s="1"/>
  <c r="H1042" i="41" s="1"/>
  <c r="H1043" i="41" s="1"/>
  <c r="H1044" i="41" s="1"/>
  <c r="H1045" i="41" s="1"/>
  <c r="H1046" i="41" s="1"/>
  <c r="H1047" i="41" s="1"/>
  <c r="H1048" i="41" s="1"/>
  <c r="H1049" i="41" s="1"/>
  <c r="H1050" i="41" s="1"/>
  <c r="H1051" i="41" s="1"/>
  <c r="H1052" i="41" s="1"/>
  <c r="H1053" i="41" s="1"/>
  <c r="H1054" i="41" s="1"/>
  <c r="H1055" i="41" s="1"/>
  <c r="H1056" i="41" s="1"/>
  <c r="H979" i="41"/>
  <c r="H980" i="41" s="1"/>
  <c r="H1267" i="41"/>
  <c r="H1268" i="41" s="1"/>
  <c r="H1269" i="41" s="1"/>
  <c r="H1270" i="41" s="1"/>
  <c r="H1271" i="41" s="1"/>
  <c r="H1272" i="41" s="1"/>
  <c r="H1273" i="41" s="1"/>
  <c r="H1274" i="41" s="1"/>
  <c r="H1275" i="41" s="1"/>
  <c r="H1276" i="41" s="1"/>
  <c r="H1277" i="41" s="1"/>
  <c r="H1278" i="41" s="1"/>
  <c r="H1279" i="41" s="1"/>
  <c r="H1280" i="41" s="1"/>
  <c r="H1281" i="41" s="1"/>
  <c r="H1282" i="41" s="1"/>
  <c r="H1283" i="41" s="1"/>
  <c r="H1284" i="41" s="1"/>
  <c r="H1285" i="41" s="1"/>
  <c r="H1286" i="41" s="1"/>
  <c r="H1287" i="41" s="1"/>
  <c r="H1288" i="41" s="1"/>
  <c r="H1289" i="41" s="1"/>
  <c r="H1290" i="41" s="1"/>
  <c r="H1291" i="41" s="1"/>
  <c r="H1292" i="41" s="1"/>
  <c r="H1293" i="41" s="1"/>
  <c r="H1294" i="41" s="1"/>
  <c r="H1295" i="41" s="1"/>
  <c r="H1296" i="41" s="1"/>
  <c r="H1297" i="41" s="1"/>
  <c r="H1298" i="41" s="1"/>
  <c r="H1299" i="41" s="1"/>
  <c r="H1300" i="41" s="1"/>
  <c r="H1301" i="41" s="1"/>
  <c r="H1302" i="41" s="1"/>
  <c r="H1303" i="41" s="1"/>
  <c r="H1304" i="41" s="1"/>
  <c r="H1305" i="41" s="1"/>
  <c r="H1306" i="41" s="1"/>
  <c r="H1307" i="41" s="1"/>
  <c r="H1308" i="41" s="1"/>
  <c r="H1309" i="41" s="1"/>
  <c r="H1310" i="41" s="1"/>
  <c r="H1311" i="41" s="1"/>
  <c r="H1312" i="41" s="1"/>
  <c r="H1313" i="41" s="1"/>
  <c r="H1314" i="41" s="1"/>
  <c r="H1315" i="41" s="1"/>
  <c r="H1316" i="41" s="1"/>
  <c r="H1317" i="41" s="1"/>
  <c r="H1318" i="41" s="1"/>
  <c r="H1319" i="41" s="1"/>
  <c r="H1320" i="41" s="1"/>
  <c r="H1321" i="41" s="1"/>
  <c r="H1322" i="41" s="1"/>
  <c r="H1323" i="41" s="1"/>
  <c r="H1324" i="41" s="1"/>
  <c r="H1325" i="41" s="1"/>
  <c r="H1326" i="41" s="1"/>
  <c r="H1327" i="41" s="1"/>
  <c r="H1328" i="41" s="1"/>
  <c r="H1329" i="41" s="1"/>
  <c r="H1330" i="41" s="1"/>
  <c r="H1331" i="41" s="1"/>
  <c r="H1332" i="41" s="1"/>
  <c r="H1333" i="41" s="1"/>
  <c r="H1334" i="41" s="1"/>
  <c r="H1335" i="41" s="1"/>
  <c r="H1336" i="41" s="1"/>
  <c r="H1337" i="41" s="1"/>
  <c r="H1338" i="41" s="1"/>
  <c r="H1339" i="41" s="1"/>
  <c r="H1340" i="41" s="1"/>
  <c r="H1341" i="41" s="1"/>
  <c r="H1342" i="41" s="1"/>
  <c r="H1343" i="41" s="1"/>
  <c r="H1344" i="41" s="1"/>
  <c r="H1345" i="41" s="1"/>
  <c r="H1346" i="41" s="1"/>
  <c r="H1347" i="41" s="1"/>
  <c r="H1348" i="41" s="1"/>
  <c r="H1349" i="41" s="1"/>
  <c r="H1350" i="41" s="1"/>
  <c r="H1351" i="41" s="1"/>
  <c r="H1352" i="41" s="1"/>
  <c r="H1353" i="41" s="1"/>
  <c r="H1354" i="41" s="1"/>
  <c r="H1355" i="41" s="1"/>
  <c r="H1356" i="41" s="1"/>
  <c r="H1357" i="41" s="1"/>
  <c r="H1358" i="41" s="1"/>
  <c r="H1149" i="41"/>
  <c r="H1150" i="41" s="1"/>
  <c r="H1151" i="41" s="1"/>
  <c r="H1152" i="41" s="1"/>
  <c r="H1153" i="41" s="1"/>
  <c r="H1154" i="41" s="1"/>
  <c r="H1155" i="41" s="1"/>
  <c r="H1156" i="41" s="1"/>
  <c r="H1157" i="41" s="1"/>
  <c r="H1158" i="41" s="1"/>
  <c r="H1159" i="41" s="1"/>
  <c r="H1160" i="41" s="1"/>
  <c r="H1161" i="41" s="1"/>
  <c r="H1162" i="41" s="1"/>
  <c r="H1163" i="41" s="1"/>
  <c r="H1164" i="41" s="1"/>
  <c r="H1165" i="41" s="1"/>
  <c r="H1166" i="41" s="1"/>
  <c r="H1167" i="41" s="1"/>
  <c r="H1168" i="41" s="1"/>
  <c r="H1169" i="41" s="1"/>
  <c r="H1170" i="41" s="1"/>
  <c r="H1171" i="41" s="1"/>
  <c r="H1172" i="41" s="1"/>
  <c r="H1173" i="41" s="1"/>
  <c r="H1174" i="41" s="1"/>
  <c r="H1175" i="41" s="1"/>
  <c r="H1176" i="41" s="1"/>
  <c r="H1177" i="41" s="1"/>
  <c r="H1178" i="41" s="1"/>
  <c r="H1179" i="41" s="1"/>
  <c r="H1180" i="41" s="1"/>
  <c r="H1181" i="41" s="1"/>
  <c r="H1182" i="41" s="1"/>
  <c r="H1183" i="41" s="1"/>
  <c r="H1184" i="41" s="1"/>
  <c r="H1185" i="41" s="1"/>
  <c r="H1186" i="41" s="1"/>
  <c r="H1187" i="41" s="1"/>
  <c r="H1188" i="41" s="1"/>
  <c r="H1191" i="41" s="1"/>
  <c r="H1192" i="41" s="1"/>
  <c r="H1193" i="41" s="1"/>
  <c r="H1194" i="41" s="1"/>
  <c r="H1195" i="41" s="1"/>
  <c r="H1196" i="41" s="1"/>
  <c r="H1197" i="41" s="1"/>
  <c r="H1198" i="41" s="1"/>
  <c r="H1199" i="41" s="1"/>
  <c r="H1200" i="41" s="1"/>
  <c r="H1201" i="41" s="1"/>
  <c r="H1202" i="41" s="1"/>
  <c r="H1203" i="41" s="1"/>
  <c r="H1204" i="41" s="1"/>
  <c r="H1205" i="41" s="1"/>
  <c r="H1206" i="41" s="1"/>
  <c r="H1207" i="41" s="1"/>
  <c r="H1208" i="41" s="1"/>
  <c r="H1209" i="41" s="1"/>
  <c r="H1210" i="41" s="1"/>
  <c r="H1211" i="41" s="1"/>
  <c r="H1212" i="41" s="1"/>
  <c r="H1213" i="41" s="1"/>
  <c r="H1214" i="41" s="1"/>
  <c r="H1215" i="41" s="1"/>
  <c r="H1216" i="41" s="1"/>
  <c r="H1217" i="41" s="1"/>
  <c r="H1218" i="41" s="1"/>
  <c r="H1219" i="41" s="1"/>
  <c r="H1220" i="41" s="1"/>
  <c r="H1221" i="41" s="1"/>
  <c r="H1222" i="41" s="1"/>
  <c r="H1223" i="41" s="1"/>
  <c r="H1224" i="41" s="1"/>
  <c r="H1225" i="41" s="1"/>
  <c r="H1226" i="41" s="1"/>
  <c r="H1227" i="41" s="1"/>
  <c r="H1228" i="41" s="1"/>
  <c r="H1229" i="41" s="1"/>
  <c r="H1230" i="41" s="1"/>
  <c r="H1231" i="41" s="1"/>
  <c r="H1232" i="41" s="1"/>
  <c r="H1233" i="41" s="1"/>
  <c r="H1234" i="41" s="1"/>
  <c r="H1235" i="41" s="1"/>
  <c r="H1236" i="41" s="1"/>
  <c r="H1237" i="41" s="1"/>
  <c r="H1238" i="41" s="1"/>
  <c r="H1239" i="41" s="1"/>
  <c r="H1240" i="41" s="1"/>
  <c r="H1241" i="41" s="1"/>
  <c r="H1242" i="41" s="1"/>
  <c r="H1243" i="41" s="1"/>
  <c r="H1244" i="41" s="1"/>
  <c r="H1245" i="41" s="1"/>
  <c r="H1246" i="41" s="1"/>
  <c r="H1247" i="41" s="1"/>
  <c r="H1248" i="41" s="1"/>
  <c r="H1249" i="41" s="1"/>
  <c r="H1250" i="41" s="1"/>
  <c r="H1251" i="41" s="1"/>
  <c r="H1252" i="41" s="1"/>
  <c r="H1253" i="41" s="1"/>
  <c r="H1254" i="41" s="1"/>
  <c r="H1255" i="41" s="1"/>
  <c r="H1256" i="41" s="1"/>
  <c r="H1257" i="41" s="1"/>
  <c r="H1258" i="41" s="1"/>
  <c r="H1259" i="41" s="1"/>
  <c r="H1260" i="41" s="1"/>
  <c r="H1261" i="41" s="1"/>
  <c r="H1262" i="41" s="1"/>
  <c r="H1263" i="41" s="1"/>
  <c r="H1264" i="41" s="1"/>
  <c r="H1265" i="41" s="1"/>
  <c r="H1266" i="41" s="1"/>
  <c r="CO16" i="5" l="1"/>
  <c r="CO17" i="5" s="1"/>
  <c r="T14" i="3" s="1"/>
  <c r="R15" i="3" s="1"/>
  <c r="C39" i="2"/>
  <c r="F744" i="41" s="1"/>
  <c r="D39" i="2"/>
  <c r="G745" i="41"/>
  <c r="B39" i="2"/>
  <c r="F743" i="41" s="1"/>
  <c r="E41" i="2"/>
  <c r="A71" i="5" s="1"/>
  <c r="H1477" i="41"/>
  <c r="H1359" i="41"/>
  <c r="H1360" i="41" s="1"/>
  <c r="H1361" i="41" s="1"/>
  <c r="H1362" i="41" s="1"/>
  <c r="H1363" i="41" s="1"/>
  <c r="H1364" i="41" s="1"/>
  <c r="H1365" i="41" s="1"/>
  <c r="H1366" i="41" s="1"/>
  <c r="H1367" i="41" s="1"/>
  <c r="H1368" i="41" s="1"/>
  <c r="H1369" i="41" s="1"/>
  <c r="H1370" i="41" s="1"/>
  <c r="H1371" i="41" s="1"/>
  <c r="H1372" i="41" s="1"/>
  <c r="H1373" i="41" s="1"/>
  <c r="H1374" i="41" s="1"/>
  <c r="H1375" i="41" s="1"/>
  <c r="H1376" i="41" s="1"/>
  <c r="H1377" i="41" s="1"/>
  <c r="H1378" i="41" s="1"/>
  <c r="H1379" i="41" s="1"/>
  <c r="H1380" i="41" s="1"/>
  <c r="H1381" i="41" s="1"/>
  <c r="H1382" i="41" s="1"/>
  <c r="H1383" i="41" s="1"/>
  <c r="H1384" i="41" s="1"/>
  <c r="H1385" i="41" s="1"/>
  <c r="H1386" i="41" s="1"/>
  <c r="H1387" i="41" s="1"/>
  <c r="H1388" i="41" s="1"/>
  <c r="H1389" i="41" s="1"/>
  <c r="H1390" i="41" s="1"/>
  <c r="H1391" i="41" s="1"/>
  <c r="H1392" i="41" s="1"/>
  <c r="H1393" i="41" s="1"/>
  <c r="H1394" i="41" s="1"/>
  <c r="H1395" i="41" s="1"/>
  <c r="H1396" i="41" s="1"/>
  <c r="H1397" i="41" s="1"/>
  <c r="H1398" i="41" s="1"/>
  <c r="A72" i="5" l="1"/>
  <c r="J21" i="2"/>
  <c r="H1401" i="41"/>
  <c r="H1402" i="41" s="1"/>
  <c r="H1403" i="41" s="1"/>
  <c r="H1404" i="41" s="1"/>
  <c r="H1405" i="41" s="1"/>
  <c r="H1406" i="41" s="1"/>
  <c r="H1407" i="41" s="1"/>
  <c r="H1408" i="41" s="1"/>
  <c r="H1409" i="41" s="1"/>
  <c r="H1410" i="41" s="1"/>
  <c r="H1411" i="41" s="1"/>
  <c r="H1412" i="41" s="1"/>
  <c r="H1413" i="41" s="1"/>
  <c r="H1414" i="41" s="1"/>
  <c r="H1415" i="41" s="1"/>
  <c r="H1416" i="41" s="1"/>
  <c r="H1417" i="41" s="1"/>
  <c r="H1418" i="41" s="1"/>
  <c r="H1419" i="41" s="1"/>
  <c r="H1420" i="41" s="1"/>
  <c r="H1421" i="41" s="1"/>
  <c r="H1422" i="41" s="1"/>
  <c r="H1423" i="41" s="1"/>
  <c r="H1424" i="41" s="1"/>
  <c r="H1425" i="41" s="1"/>
  <c r="H1426" i="41" s="1"/>
  <c r="H1427" i="41" s="1"/>
  <c r="H1428" i="41" s="1"/>
  <c r="H1429" i="41" s="1"/>
  <c r="H1430" i="41" s="1"/>
  <c r="H1431" i="41" s="1"/>
  <c r="H1432" i="41" s="1"/>
  <c r="H1433" i="41" s="1"/>
  <c r="H1434" i="41" s="1"/>
  <c r="H1435" i="41" s="1"/>
  <c r="H1436" i="41" s="1"/>
  <c r="H1437" i="41" s="1"/>
  <c r="H1438" i="41" s="1"/>
  <c r="H1439" i="41" s="1"/>
  <c r="H1440" i="41" s="1"/>
  <c r="H1441" i="41" s="1"/>
  <c r="H1442" i="41" s="1"/>
  <c r="H1443" i="41" s="1"/>
  <c r="H1444" i="41" s="1"/>
  <c r="H1445" i="41" s="1"/>
  <c r="H1446" i="41" s="1"/>
  <c r="H1447" i="41" s="1"/>
  <c r="H1448" i="41" s="1"/>
  <c r="H1449" i="41" s="1"/>
  <c r="H1450" i="41" s="1"/>
  <c r="H1451" i="41" s="1"/>
  <c r="H1452" i="41" s="1"/>
  <c r="H1453" i="41" s="1"/>
  <c r="H1454" i="41" s="1"/>
  <c r="H1455" i="41" s="1"/>
  <c r="H1456" i="41" s="1"/>
  <c r="H1457" i="41" s="1"/>
  <c r="H1458" i="41" s="1"/>
  <c r="H1459" i="41" s="1"/>
  <c r="H1460" i="41" s="1"/>
  <c r="H1461" i="41" s="1"/>
  <c r="H1462" i="41" s="1"/>
  <c r="H1463" i="41" s="1"/>
  <c r="H1464" i="41" s="1"/>
  <c r="H1465" i="41" s="1"/>
  <c r="H1466" i="41" s="1"/>
  <c r="H1467" i="41" s="1"/>
  <c r="H1468" i="41" s="1"/>
  <c r="H1469" i="41" s="1"/>
  <c r="H1470" i="41" s="1"/>
  <c r="H1471" i="41" s="1"/>
  <c r="H1472" i="41" s="1"/>
  <c r="H1473" i="41" s="1"/>
  <c r="H1474" i="41" s="1"/>
  <c r="H1475" i="41" s="1"/>
  <c r="H1476" i="41" s="1"/>
  <c r="H1399" i="41"/>
  <c r="H1400" i="41" s="1"/>
  <c r="G111" i="41" l="1"/>
  <c r="G951" i="41"/>
  <c r="G741" i="41"/>
  <c r="G531" i="41"/>
  <c r="J23" i="2"/>
  <c r="J24" i="2"/>
  <c r="G321" i="41"/>
  <c r="G742" i="41" l="1"/>
  <c r="G1162" i="41"/>
  <c r="G952" i="41"/>
  <c r="G322" i="41"/>
  <c r="G532" i="41"/>
  <c r="G1372" i="41"/>
  <c r="G112" i="41"/>
  <c r="C20" i="48" l="1"/>
  <c r="E20" i="48" s="1"/>
  <c r="G184" i="41" s="1"/>
  <c r="C21" i="48"/>
  <c r="E21" i="48" s="1"/>
  <c r="G185" i="41" s="1"/>
  <c r="C22" i="48"/>
  <c r="E22" i="48" s="1"/>
  <c r="G186" i="41" s="1"/>
  <c r="C23" i="48"/>
  <c r="E23" i="48" s="1"/>
  <c r="G187" i="41" s="1"/>
  <c r="H29" i="48"/>
  <c r="C24" i="48"/>
  <c r="E24" i="48" s="1"/>
  <c r="G188" i="41" s="1"/>
  <c r="K19" i="48"/>
  <c r="M19" i="48" s="1"/>
  <c r="G189" i="41" s="1"/>
  <c r="K20" i="48"/>
  <c r="M20" i="48" s="1"/>
  <c r="G190" i="41" s="1"/>
  <c r="K21" i="48"/>
  <c r="M21" i="48" s="1"/>
  <c r="G191" i="41" s="1"/>
  <c r="K22" i="48"/>
  <c r="M22" i="48" s="1"/>
  <c r="G192" i="41" s="1"/>
  <c r="K23" i="48"/>
  <c r="M23" i="48" s="1"/>
  <c r="G193" i="41" s="1"/>
  <c r="K24" i="48"/>
  <c r="M24" i="48" s="1"/>
  <c r="G194" i="41" s="1"/>
  <c r="O29"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bradp</author>
  </authors>
  <commentList>
    <comment ref="D1" authorId="0" shapeId="0" xr:uid="{00000000-0006-0000-0100-000001000000}">
      <text>
        <r>
          <rPr>
            <b/>
            <sz val="8"/>
            <color indexed="81"/>
            <rFont val="Tahoma"/>
            <family val="2"/>
          </rPr>
          <t>bradp:</t>
        </r>
        <r>
          <rPr>
            <sz val="8"/>
            <color indexed="81"/>
            <rFont val="Tahoma"/>
            <family val="2"/>
          </rPr>
          <t xml:space="preserve">
This is just for visual verification;  this will not load into SM.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 Kaltenbaugh</author>
  </authors>
  <commentList>
    <comment ref="B22" authorId="0" shapeId="0" xr:uid="{00000000-0006-0000-1200-000001000000}">
      <text>
        <r>
          <rPr>
            <b/>
            <sz val="9"/>
            <color indexed="81"/>
            <rFont val="Tahoma"/>
            <family val="2"/>
          </rPr>
          <t xml:space="preserve">The input filename will normally be used to label the data on the chart and the report. If you wish to customize the name shown on the chart and report, enter any text here.
</t>
        </r>
      </text>
    </comment>
    <comment ref="B23" authorId="0" shapeId="0" xr:uid="{00000000-0006-0000-1200-000002000000}">
      <text>
        <r>
          <rPr>
            <b/>
            <sz val="9"/>
            <color indexed="81"/>
            <rFont val="Tahoma"/>
            <family val="2"/>
          </rPr>
          <t>Optional Information - Not required for calculations.</t>
        </r>
      </text>
    </comment>
    <comment ref="B24" authorId="0" shapeId="0" xr:uid="{00000000-0006-0000-1200-000003000000}">
      <text>
        <r>
          <rPr>
            <b/>
            <sz val="9"/>
            <color indexed="81"/>
            <rFont val="Tahoma"/>
            <family val="2"/>
          </rPr>
          <t>Optional Information - Not required for calculations.</t>
        </r>
      </text>
    </comment>
    <comment ref="B25" authorId="0" shapeId="0" xr:uid="{00000000-0006-0000-1200-000004000000}">
      <text>
        <r>
          <rPr>
            <b/>
            <sz val="9"/>
            <color indexed="81"/>
            <rFont val="Tahoma"/>
            <family val="2"/>
          </rPr>
          <t>Specimen Diameter - automatically input from .ITD File.</t>
        </r>
      </text>
    </comment>
    <comment ref="B26" authorId="0" shapeId="0" xr:uid="{00000000-0006-0000-1200-000005000000}">
      <text>
        <r>
          <rPr>
            <b/>
            <sz val="9"/>
            <color indexed="81"/>
            <rFont val="Tahoma"/>
            <family val="2"/>
          </rPr>
          <t>Specimen Thickness - automatically input from .ITD File.</t>
        </r>
      </text>
    </comment>
    <comment ref="A28" authorId="0" shapeId="0" xr:uid="{00000000-0006-0000-1200-000006000000}">
      <text>
        <r>
          <rPr>
            <b/>
            <sz val="9"/>
            <color indexed="81"/>
            <rFont val="Tahoma"/>
            <family val="2"/>
          </rPr>
          <t>FILENAME - automatically input from .ITD File.</t>
        </r>
      </text>
    </comment>
    <comment ref="A29" authorId="0" shapeId="0" xr:uid="{00000000-0006-0000-1200-000007000000}">
      <text>
        <r>
          <rPr>
            <b/>
            <sz val="11"/>
            <color indexed="81"/>
            <rFont val="Tahoma"/>
            <family val="2"/>
          </rPr>
          <t>Displacement at Peak Load</t>
        </r>
      </text>
    </comment>
    <comment ref="B29" authorId="0" shapeId="0" xr:uid="{00000000-0006-0000-1200-000008000000}">
      <text>
        <r>
          <rPr>
            <b/>
            <sz val="11"/>
            <color indexed="81"/>
            <rFont val="Tahoma"/>
            <family val="2"/>
          </rPr>
          <t>Peak Load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 Kaltenbaugh</author>
  </authors>
  <commentList>
    <comment ref="B22" authorId="0" shapeId="0" xr:uid="{00000000-0006-0000-1300-000001000000}">
      <text>
        <r>
          <rPr>
            <b/>
            <sz val="9"/>
            <color indexed="81"/>
            <rFont val="Tahoma"/>
            <family val="2"/>
          </rPr>
          <t xml:space="preserve">The input filename will normally be used to label the data on the chart and the report. If you wish to customize the name shown on the chart and report, enter any text here.
</t>
        </r>
      </text>
    </comment>
    <comment ref="B23" authorId="0" shapeId="0" xr:uid="{00000000-0006-0000-1300-000002000000}">
      <text>
        <r>
          <rPr>
            <b/>
            <sz val="9"/>
            <color indexed="81"/>
            <rFont val="Tahoma"/>
            <family val="2"/>
          </rPr>
          <t>Optional Information - Not required for calculations.</t>
        </r>
      </text>
    </comment>
    <comment ref="B24" authorId="0" shapeId="0" xr:uid="{00000000-0006-0000-1300-000003000000}">
      <text>
        <r>
          <rPr>
            <b/>
            <sz val="9"/>
            <color indexed="81"/>
            <rFont val="Tahoma"/>
            <family val="2"/>
          </rPr>
          <t>Optional Information - Not required for calculations.</t>
        </r>
      </text>
    </comment>
    <comment ref="B25" authorId="0" shapeId="0" xr:uid="{00000000-0006-0000-1300-000004000000}">
      <text>
        <r>
          <rPr>
            <b/>
            <sz val="9"/>
            <color indexed="81"/>
            <rFont val="Tahoma"/>
            <family val="2"/>
          </rPr>
          <t>Specimen Diameter - automatically input from .ITD File.</t>
        </r>
      </text>
    </comment>
    <comment ref="B26" authorId="0" shapeId="0" xr:uid="{00000000-0006-0000-1300-000005000000}">
      <text>
        <r>
          <rPr>
            <b/>
            <sz val="9"/>
            <color indexed="81"/>
            <rFont val="Tahoma"/>
            <family val="2"/>
          </rPr>
          <t>Specimen Thickness - automatically input from .ITD File.</t>
        </r>
      </text>
    </comment>
    <comment ref="A28" authorId="0" shapeId="0" xr:uid="{00000000-0006-0000-1300-000006000000}">
      <text>
        <r>
          <rPr>
            <b/>
            <sz val="9"/>
            <color indexed="81"/>
            <rFont val="Tahoma"/>
            <family val="2"/>
          </rPr>
          <t>FILENAME - automatically input from .ITD File.</t>
        </r>
      </text>
    </comment>
    <comment ref="A29" authorId="0" shapeId="0" xr:uid="{00000000-0006-0000-1300-000007000000}">
      <text>
        <r>
          <rPr>
            <b/>
            <sz val="11"/>
            <color indexed="81"/>
            <rFont val="Tahoma"/>
            <family val="2"/>
          </rPr>
          <t>Displacement at Peak Load</t>
        </r>
      </text>
    </comment>
    <comment ref="B29" authorId="0" shapeId="0" xr:uid="{00000000-0006-0000-1300-000008000000}">
      <text>
        <r>
          <rPr>
            <b/>
            <sz val="11"/>
            <color indexed="81"/>
            <rFont val="Tahoma"/>
            <family val="2"/>
          </rPr>
          <t>Peak Load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Ed Kaltenbaugh</author>
  </authors>
  <commentList>
    <comment ref="B22" authorId="0" shapeId="0" xr:uid="{00000000-0006-0000-1400-000001000000}">
      <text>
        <r>
          <rPr>
            <b/>
            <sz val="9"/>
            <color indexed="81"/>
            <rFont val="Tahoma"/>
            <family val="2"/>
          </rPr>
          <t xml:space="preserve">The input filename will normally be used to label the data on the chart and the report. If you wish to customize the name shown on the chart and report, enter any text here.
</t>
        </r>
      </text>
    </comment>
    <comment ref="B23" authorId="0" shapeId="0" xr:uid="{00000000-0006-0000-1400-000002000000}">
      <text>
        <r>
          <rPr>
            <b/>
            <sz val="9"/>
            <color indexed="81"/>
            <rFont val="Tahoma"/>
            <family val="2"/>
          </rPr>
          <t>Optional Information - Not required for calculations.</t>
        </r>
      </text>
    </comment>
    <comment ref="B24" authorId="0" shapeId="0" xr:uid="{00000000-0006-0000-1400-000003000000}">
      <text>
        <r>
          <rPr>
            <b/>
            <sz val="9"/>
            <color indexed="81"/>
            <rFont val="Tahoma"/>
            <family val="2"/>
          </rPr>
          <t>Optional Information - Not required for calculations.</t>
        </r>
      </text>
    </comment>
    <comment ref="B25" authorId="0" shapeId="0" xr:uid="{00000000-0006-0000-1400-000004000000}">
      <text>
        <r>
          <rPr>
            <b/>
            <sz val="9"/>
            <color indexed="81"/>
            <rFont val="Tahoma"/>
            <family val="2"/>
          </rPr>
          <t>Specimen Diameter - automatically input from .ITD File.</t>
        </r>
      </text>
    </comment>
    <comment ref="B26" authorId="0" shapeId="0" xr:uid="{00000000-0006-0000-1400-000005000000}">
      <text>
        <r>
          <rPr>
            <b/>
            <sz val="9"/>
            <color indexed="81"/>
            <rFont val="Tahoma"/>
            <family val="2"/>
          </rPr>
          <t>Specimen Thickness - automatically input from .ITD File.</t>
        </r>
      </text>
    </comment>
    <comment ref="A28" authorId="0" shapeId="0" xr:uid="{00000000-0006-0000-1400-000006000000}">
      <text>
        <r>
          <rPr>
            <b/>
            <sz val="9"/>
            <color indexed="81"/>
            <rFont val="Tahoma"/>
            <family val="2"/>
          </rPr>
          <t>FILENAME - automatically input from .ITD File.</t>
        </r>
      </text>
    </comment>
    <comment ref="A29" authorId="0" shapeId="0" xr:uid="{00000000-0006-0000-1400-000007000000}">
      <text>
        <r>
          <rPr>
            <b/>
            <sz val="11"/>
            <color indexed="81"/>
            <rFont val="Tahoma"/>
            <family val="2"/>
          </rPr>
          <t>Displacement at Peak Load</t>
        </r>
      </text>
    </comment>
    <comment ref="B29" authorId="0" shapeId="0" xr:uid="{00000000-0006-0000-1400-000008000000}">
      <text>
        <r>
          <rPr>
            <b/>
            <sz val="11"/>
            <color indexed="81"/>
            <rFont val="Tahoma"/>
            <family val="2"/>
          </rPr>
          <t>Peak Load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Ed Kaltenbaugh</author>
  </authors>
  <commentList>
    <comment ref="B22" authorId="0" shapeId="0" xr:uid="{00000000-0006-0000-1500-000001000000}">
      <text>
        <r>
          <rPr>
            <b/>
            <sz val="9"/>
            <color indexed="81"/>
            <rFont val="Tahoma"/>
            <family val="2"/>
          </rPr>
          <t xml:space="preserve">The input filename will normally be used to label the data on the chart and the report. If you wish to customize the name shown on the chart and report, enter any text here.
</t>
        </r>
      </text>
    </comment>
    <comment ref="B23" authorId="0" shapeId="0" xr:uid="{00000000-0006-0000-1500-000002000000}">
      <text>
        <r>
          <rPr>
            <b/>
            <sz val="9"/>
            <color indexed="81"/>
            <rFont val="Tahoma"/>
            <family val="2"/>
          </rPr>
          <t>Optional Information - Not required for calculations.</t>
        </r>
      </text>
    </comment>
    <comment ref="B24" authorId="0" shapeId="0" xr:uid="{00000000-0006-0000-1500-000003000000}">
      <text>
        <r>
          <rPr>
            <b/>
            <sz val="9"/>
            <color indexed="81"/>
            <rFont val="Tahoma"/>
            <family val="2"/>
          </rPr>
          <t>Optional Information - Not required for calculations.</t>
        </r>
      </text>
    </comment>
    <comment ref="B25" authorId="0" shapeId="0" xr:uid="{00000000-0006-0000-1500-000004000000}">
      <text>
        <r>
          <rPr>
            <b/>
            <sz val="9"/>
            <color indexed="81"/>
            <rFont val="Tahoma"/>
            <family val="2"/>
          </rPr>
          <t>Specimen Diameter - automatically input from .ITD File.</t>
        </r>
      </text>
    </comment>
    <comment ref="B26" authorId="0" shapeId="0" xr:uid="{00000000-0006-0000-1500-000005000000}">
      <text>
        <r>
          <rPr>
            <b/>
            <sz val="9"/>
            <color indexed="81"/>
            <rFont val="Tahoma"/>
            <family val="2"/>
          </rPr>
          <t>Specimen Thickness - automatically input from .ITD File.</t>
        </r>
      </text>
    </comment>
    <comment ref="A28" authorId="0" shapeId="0" xr:uid="{00000000-0006-0000-1500-000006000000}">
      <text>
        <r>
          <rPr>
            <b/>
            <sz val="9"/>
            <color indexed="81"/>
            <rFont val="Tahoma"/>
            <family val="2"/>
          </rPr>
          <t>FILENAME - automatically input from .ITD File.</t>
        </r>
      </text>
    </comment>
    <comment ref="A29" authorId="0" shapeId="0" xr:uid="{00000000-0006-0000-1500-000007000000}">
      <text>
        <r>
          <rPr>
            <b/>
            <sz val="11"/>
            <color indexed="81"/>
            <rFont val="Tahoma"/>
            <family val="2"/>
          </rPr>
          <t>Displacement at Peak Load</t>
        </r>
      </text>
    </comment>
    <comment ref="B29" authorId="0" shapeId="0" xr:uid="{00000000-0006-0000-1500-000008000000}">
      <text>
        <r>
          <rPr>
            <b/>
            <sz val="11"/>
            <color indexed="81"/>
            <rFont val="Tahoma"/>
            <family val="2"/>
          </rPr>
          <t>Peak 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Brad Parks</author>
  </authors>
  <commentList>
    <comment ref="A1" authorId="0" shapeId="0" xr:uid="{00000000-0006-0000-1B00-000001000000}">
      <text>
        <r>
          <rPr>
            <b/>
            <sz val="10"/>
            <color indexed="81"/>
            <rFont val="Tahoma"/>
            <family val="2"/>
          </rPr>
          <t>Brad Parks:</t>
        </r>
        <r>
          <rPr>
            <sz val="10"/>
            <color indexed="81"/>
            <rFont val="Tahoma"/>
            <family val="2"/>
          </rPr>
          <t xml:space="preserve">
c = comment row
d = current system date row</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Brad Parks</author>
  </authors>
  <commentList>
    <comment ref="A1" authorId="0" shapeId="0" xr:uid="{00000000-0006-0000-1C00-000001000000}">
      <text>
        <r>
          <rPr>
            <b/>
            <sz val="10"/>
            <color indexed="81"/>
            <rFont val="Tahoma"/>
            <family val="2"/>
          </rPr>
          <t>Brad Parks:</t>
        </r>
        <r>
          <rPr>
            <sz val="10"/>
            <color indexed="81"/>
            <rFont val="Tahoma"/>
            <family val="2"/>
          </rPr>
          <t xml:space="preserve">
c = comment row
d = current system date row</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Brad Parks</author>
  </authors>
  <commentList>
    <comment ref="A1" authorId="0" shapeId="0" xr:uid="{00000000-0006-0000-1D00-000001000000}">
      <text>
        <r>
          <rPr>
            <b/>
            <sz val="10"/>
            <color indexed="81"/>
            <rFont val="Tahoma"/>
            <family val="2"/>
          </rPr>
          <t>Brad Parks:</t>
        </r>
        <r>
          <rPr>
            <sz val="10"/>
            <color indexed="81"/>
            <rFont val="Tahoma"/>
            <family val="2"/>
          </rPr>
          <t xml:space="preserve">
c = comment row
d = current system date row</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Brad Parks</author>
  </authors>
  <commentList>
    <comment ref="A1" authorId="0" shapeId="0" xr:uid="{00000000-0006-0000-1E00-000001000000}">
      <text>
        <r>
          <rPr>
            <b/>
            <sz val="10"/>
            <color indexed="81"/>
            <rFont val="Tahoma"/>
            <family val="2"/>
          </rPr>
          <t>Brad Parks:</t>
        </r>
        <r>
          <rPr>
            <sz val="10"/>
            <color indexed="81"/>
            <rFont val="Tahoma"/>
            <family val="2"/>
          </rPr>
          <t xml:space="preserve">
c = comment row
d = current system date row</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Brad Parks</author>
  </authors>
  <commentList>
    <comment ref="A1" authorId="0" shapeId="0" xr:uid="{00000000-0006-0000-1F00-000001000000}">
      <text>
        <r>
          <rPr>
            <b/>
            <sz val="10"/>
            <color indexed="81"/>
            <rFont val="Tahoma"/>
            <family val="2"/>
          </rPr>
          <t>Brad Parks:</t>
        </r>
        <r>
          <rPr>
            <sz val="10"/>
            <color indexed="81"/>
            <rFont val="Tahoma"/>
            <family val="2"/>
          </rPr>
          <t xml:space="preserve">
c = comment row
d = current system date row</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Brad Parks</author>
  </authors>
  <commentList>
    <comment ref="A1" authorId="0" shapeId="0" xr:uid="{00000000-0006-0000-2000-000001000000}">
      <text>
        <r>
          <rPr>
            <b/>
            <sz val="10"/>
            <color indexed="81"/>
            <rFont val="Tahoma"/>
            <family val="2"/>
          </rPr>
          <t>Brad Parks:</t>
        </r>
        <r>
          <rPr>
            <sz val="10"/>
            <color indexed="81"/>
            <rFont val="Tahoma"/>
            <family val="2"/>
          </rPr>
          <t xml:space="preserve">
c = comment row
d = current system date row</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Brad Parks</author>
  </authors>
  <commentList>
    <comment ref="A1" authorId="0" shapeId="0" xr:uid="{00000000-0006-0000-2100-000001000000}">
      <text>
        <r>
          <rPr>
            <b/>
            <sz val="10"/>
            <color indexed="81"/>
            <rFont val="Tahoma"/>
            <family val="2"/>
          </rPr>
          <t>Brad Parks:</t>
        </r>
        <r>
          <rPr>
            <sz val="10"/>
            <color indexed="81"/>
            <rFont val="Tahoma"/>
            <family val="2"/>
          </rPr>
          <t xml:space="preserve">
c = comment row
d = current system date row</t>
        </r>
      </text>
    </comment>
  </commentList>
</comments>
</file>

<file path=xl/sharedStrings.xml><?xml version="1.0" encoding="utf-8"?>
<sst xmlns="http://schemas.openxmlformats.org/spreadsheetml/2006/main" count="8979" uniqueCount="3488">
  <si>
    <t>Sublot Sample</t>
  </si>
  <si>
    <t>Station</t>
  </si>
  <si>
    <t>Offset</t>
  </si>
  <si>
    <t>discipline_id</t>
  </si>
  <si>
    <t>discipline_version</t>
  </si>
  <si>
    <t>replace_allowed_indicator</t>
  </si>
  <si>
    <t>district</t>
  </si>
  <si>
    <t>Special Processing</t>
  </si>
  <si>
    <t>Contract ID:</t>
  </si>
  <si>
    <t>No duplicates of key (highlighted in yellow);
IF Sample ID "blank", THEN skip to next record</t>
  </si>
  <si>
    <t>Existing on t_cd_tbl_dtl (cd_id)
AND t_cd_tbl_dtl.tbl_id='UNITS'</t>
  </si>
  <si>
    <t>SM User ID from Header</t>
  </si>
  <si>
    <t>Dol. #10's Unwashed</t>
  </si>
  <si>
    <t>10293</t>
  </si>
  <si>
    <t>Dol. #10's Washed</t>
  </si>
  <si>
    <t>10290</t>
  </si>
  <si>
    <t>Dol. #11's Unwashed</t>
  </si>
  <si>
    <t>10297</t>
  </si>
  <si>
    <t>Dol. #11's Washed</t>
  </si>
  <si>
    <t>10295</t>
  </si>
  <si>
    <t>Plant ID</t>
  </si>
  <si>
    <t>Producer / Supplier</t>
  </si>
  <si>
    <t>Related Sample ID</t>
  </si>
  <si>
    <t>Remarks ID</t>
  </si>
  <si>
    <t>Mix Design Type</t>
  </si>
  <si>
    <t xml:space="preserve">Sampling KYTC Witness SM User ID </t>
  </si>
  <si>
    <t>Product Name</t>
  </si>
  <si>
    <t>Plant Type</t>
  </si>
  <si>
    <t>Revised Sample ID</t>
  </si>
  <si>
    <t>ATS @ Lexington (Old Frankfort Pike)-Batch (#14)</t>
  </si>
  <si>
    <t>ATS @ Lexington (Old Frankfort Pike)-Drum (#16)</t>
  </si>
  <si>
    <t>ATS @ Lexington (Old Richmond Road) (#15)</t>
  </si>
  <si>
    <t>E &amp; B Paving @ Chandler Indiana</t>
  </si>
  <si>
    <t>Gaddie Shamrock, LLC @ Columbia Plant 2 (Drum)</t>
  </si>
  <si>
    <t xml:space="preserve">AMP080304      </t>
  </si>
  <si>
    <t>Hinkle Contracting @ Somerset (Drum)</t>
  </si>
  <si>
    <t xml:space="preserve">J H Rudolph @ Evansville Indiana </t>
  </si>
  <si>
    <t xml:space="preserve">AMP020304      </t>
  </si>
  <si>
    <t>J H Rudolph @ St Croix Indiana</t>
  </si>
  <si>
    <t>Jim Smith Contracting @ Graves County (Hickory)</t>
  </si>
  <si>
    <t>Scottys Contracting @ Bowling Green (South)</t>
  </si>
  <si>
    <t>Scottys Contracting @ Glasgow ("Rambo")</t>
  </si>
  <si>
    <t>Scottys Contracting @ Hartford</t>
  </si>
  <si>
    <t>Scottys Contracting @ Russellville</t>
  </si>
  <si>
    <t>Scottys Contracting @ Woodburn ("Boll Weevil")</t>
  </si>
  <si>
    <t>The Allen Company Lexington Quarry @ Nicholasville</t>
  </si>
  <si>
    <t xml:space="preserve">AMP070309      </t>
  </si>
  <si>
    <t>ATS @ Lexington (Old Richmond Road) (#17)</t>
  </si>
  <si>
    <t>Long Description</t>
  </si>
  <si>
    <t xml:space="preserve">SiteManager 
Sample ID </t>
  </si>
  <si>
    <t>Authorizer SM User ID</t>
  </si>
  <si>
    <t>Authorization Date</t>
  </si>
  <si>
    <t>Sample "Creator" 
SM User ID</t>
  </si>
  <si>
    <t>Geographic Area</t>
  </si>
  <si>
    <t>Intended Use (of material sampled)</t>
  </si>
  <si>
    <t>Last Modified Date</t>
  </si>
  <si>
    <t>D40</t>
  </si>
  <si>
    <t>C40</t>
  </si>
  <si>
    <t>B41</t>
  </si>
  <si>
    <t>C41</t>
  </si>
  <si>
    <t>D41</t>
  </si>
  <si>
    <t>E41</t>
  </si>
  <si>
    <t>E42</t>
  </si>
  <si>
    <t>D42</t>
  </si>
  <si>
    <t>C42</t>
  </si>
  <si>
    <t>B43</t>
  </si>
  <si>
    <t>C43</t>
  </si>
  <si>
    <t>D43</t>
  </si>
  <si>
    <t>E43</t>
  </si>
  <si>
    <t>B44</t>
  </si>
  <si>
    <t>C44</t>
  </si>
  <si>
    <t>D44</t>
  </si>
  <si>
    <t>E44</t>
  </si>
  <si>
    <t>Type</t>
  </si>
  <si>
    <t>Length</t>
  </si>
  <si>
    <t>English unit</t>
  </si>
  <si>
    <t>N/A</t>
  </si>
  <si>
    <t>C8</t>
  </si>
  <si>
    <t>H8</t>
  </si>
  <si>
    <t>H23</t>
  </si>
  <si>
    <t>P/S Lab ID:</t>
  </si>
  <si>
    <t>KYTC Lab ID:</t>
  </si>
  <si>
    <t xml:space="preserve">Site Manager Test Charges </t>
  </si>
  <si>
    <t>Dev. % AV</t>
  </si>
  <si>
    <t>Grad. Ver. 1 Charge</t>
  </si>
  <si>
    <t>Grad. Ver. 2 Charge</t>
  </si>
  <si>
    <t>Matl. Code:</t>
  </si>
  <si>
    <t>County</t>
  </si>
  <si>
    <t>Aggr. Pro. Codes #2</t>
  </si>
  <si>
    <t>Aggr. Pro. Codes #3</t>
  </si>
  <si>
    <t>Aggr. Pro. Codes #4</t>
  </si>
  <si>
    <t>Aggr. Pro. Codes #5</t>
  </si>
  <si>
    <t>Aggr. Pro. Codes #6</t>
  </si>
  <si>
    <t>Type &amp; Size #2</t>
  </si>
  <si>
    <t>Type &amp; Size #3</t>
  </si>
  <si>
    <t>Type &amp; Size #4</t>
  </si>
  <si>
    <t>Type &amp; Size #5</t>
  </si>
  <si>
    <t>Type &amp; Size #6</t>
  </si>
  <si>
    <t>% #2</t>
  </si>
  <si>
    <t>% #3</t>
  </si>
  <si>
    <t>% #4</t>
  </si>
  <si>
    <t>% #5</t>
  </si>
  <si>
    <t>% #6</t>
  </si>
  <si>
    <t>B.O.D. Sp. Gravity #2</t>
  </si>
  <si>
    <t>B.O.D. Sp. Gravity #3</t>
  </si>
  <si>
    <t>B.O.D. Sp. Gravity #4</t>
  </si>
  <si>
    <t>B.O.D. Sp. Gravity #5</t>
  </si>
  <si>
    <t>B.O.D. Sp. Gravity #6</t>
  </si>
  <si>
    <t>Core #2</t>
  </si>
  <si>
    <t>Core #3</t>
  </si>
  <si>
    <t>Core #4</t>
  </si>
  <si>
    <t>Core #5</t>
  </si>
  <si>
    <t>Core #6</t>
  </si>
  <si>
    <t>Sta,# / Offset #2</t>
  </si>
  <si>
    <t>Sta,# / Offset #3</t>
  </si>
  <si>
    <t>Sta,# / Offset #4</t>
  </si>
  <si>
    <t>Sta,# / Offset #5</t>
  </si>
  <si>
    <t>Sta,# / Offset #6</t>
  </si>
  <si>
    <t>Core Density #2</t>
  </si>
  <si>
    <t>Core Density #3</t>
  </si>
  <si>
    <t>Core Density #4</t>
  </si>
  <si>
    <t>Core Density #5</t>
  </si>
  <si>
    <t>Core Density #6</t>
  </si>
  <si>
    <t>% Sol. Den. #2</t>
  </si>
  <si>
    <t>% Sol. Den. #3</t>
  </si>
  <si>
    <t>% Sol. Den. #4</t>
  </si>
  <si>
    <t>% Sol. Den. #5</t>
  </si>
  <si>
    <t>% Sol. Den. #6</t>
  </si>
  <si>
    <t>Test Charges</t>
  </si>
  <si>
    <t>H42</t>
  </si>
  <si>
    <t>PCF</t>
  </si>
  <si>
    <t>$</t>
  </si>
  <si>
    <t>Bid Item</t>
  </si>
  <si>
    <t>Mat. Code</t>
  </si>
  <si>
    <t>00018 DRAINAGE BLANKET-TYPE II-ASPH</t>
  </si>
  <si>
    <t>QC01</t>
  </si>
  <si>
    <t>QC02</t>
  </si>
  <si>
    <t>QC03</t>
  </si>
  <si>
    <t>QC04</t>
  </si>
  <si>
    <t>00190 LEVELING &amp; WEDGING (0.38-IN.) PG64-22</t>
  </si>
  <si>
    <t>00190 LEVELING &amp; WEDGING (0.50-IN.) PG64-22</t>
  </si>
  <si>
    <t>00190 LEVELING &amp; WEDGING (0.75-IN.) PG64-22</t>
  </si>
  <si>
    <t>00190 LEVELING &amp; WEDGING (1.00-IN.) PG64-22</t>
  </si>
  <si>
    <t>00190 LEVELING &amp; WEDGING (1.50-IN.) PG64-22</t>
  </si>
  <si>
    <t>00191 ASPHALT SCRATCH COURSE (0.38-IN.) PG64-22</t>
  </si>
  <si>
    <t>VI01 - Sta,# / Offset #2</t>
  </si>
  <si>
    <t>VI01 - Sta,# / Offset #3</t>
  </si>
  <si>
    <t>VI01 - Sta,# / Offset #4</t>
  </si>
  <si>
    <t>00191 ASPHALT SCRATCH COURSE (1.50-IN.) PG64-22</t>
  </si>
  <si>
    <t>Site Manager User I.D.</t>
  </si>
  <si>
    <t>f12</t>
  </si>
  <si>
    <t>f13</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</si>
  <si>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</si>
  <si>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</si>
  <si>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</si>
  <si>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</si>
  <si>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</si>
  <si>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</si>
  <si>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</si>
  <si>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</si>
  <si>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</si>
  <si>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</si>
  <si>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</si>
  <si>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</si>
  <si>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</si>
  <si>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</si>
  <si>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</si>
  <si>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</si>
  <si>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</si>
  <si>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</si>
  <si>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</si>
  <si>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</si>
  <si>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</si>
  <si>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</si>
  <si>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</si>
  <si>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</si>
  <si>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</si>
  <si>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</si>
  <si>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</si>
  <si>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</si>
  <si>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</si>
  <si>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</si>
  <si>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</si>
  <si>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</si>
  <si>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</si>
  <si>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</si>
  <si>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</si>
  <si>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f49</t>
  </si>
  <si>
    <t>f50</t>
  </si>
  <si>
    <t>f51</t>
  </si>
  <si>
    <t>f52</t>
  </si>
  <si>
    <t>f53</t>
  </si>
  <si>
    <t>f54</t>
  </si>
  <si>
    <t>f55</t>
  </si>
  <si>
    <t>f56</t>
  </si>
  <si>
    <t>f57</t>
  </si>
  <si>
    <t>f58</t>
  </si>
  <si>
    <t>f59</t>
  </si>
  <si>
    <t>f60</t>
  </si>
  <si>
    <t>f61</t>
  </si>
  <si>
    <t>f62</t>
  </si>
  <si>
    <t>f63</t>
  </si>
  <si>
    <t>f64</t>
  </si>
  <si>
    <t>f65</t>
  </si>
  <si>
    <t>f66</t>
  </si>
  <si>
    <t>f67</t>
  </si>
  <si>
    <t>f68</t>
  </si>
  <si>
    <t>f69</t>
  </si>
  <si>
    <t>f70</t>
  </si>
  <si>
    <t>f71</t>
  </si>
  <si>
    <t>f72</t>
  </si>
  <si>
    <t>f73</t>
  </si>
  <si>
    <t>f74</t>
  </si>
  <si>
    <t>f75</t>
  </si>
  <si>
    <t>f76</t>
  </si>
  <si>
    <t>f77</t>
  </si>
  <si>
    <t>f78</t>
  </si>
  <si>
    <t>f79</t>
  </si>
  <si>
    <t>f80</t>
  </si>
  <si>
    <t>f81</t>
  </si>
  <si>
    <t>f82</t>
  </si>
  <si>
    <t>f83</t>
  </si>
  <si>
    <t>f84</t>
  </si>
  <si>
    <t>f85</t>
  </si>
  <si>
    <t>f86</t>
  </si>
  <si>
    <t>f87</t>
  </si>
  <si>
    <t>f88</t>
  </si>
  <si>
    <t>f89</t>
  </si>
  <si>
    <t>f90</t>
  </si>
  <si>
    <t>f91</t>
  </si>
  <si>
    <t>f92</t>
  </si>
  <si>
    <t>VI01 - County</t>
  </si>
  <si>
    <t>VI01 - Gsb =</t>
  </si>
  <si>
    <t>VI01 - Aggr. Pro. Codes</t>
  </si>
  <si>
    <t>VI01 - Aggr. Pro. Codes #2</t>
  </si>
  <si>
    <t>VI01 - Aggr. Pro. Codes #3</t>
  </si>
  <si>
    <t>VI01 - Aggr. Pro. Codes #4</t>
  </si>
  <si>
    <t>VI01 - Aggr. Pro. Codes #5</t>
  </si>
  <si>
    <t>VI01 - Aggr. Pro. Codes #6</t>
  </si>
  <si>
    <t>VI01 - Type &amp; Size</t>
  </si>
  <si>
    <t>VI01 - Type &amp; Size #2</t>
  </si>
  <si>
    <t>VI01 - Type &amp; Size #3</t>
  </si>
  <si>
    <t>VI01 - Type &amp; Size #4</t>
  </si>
  <si>
    <t>VI01 - Type &amp; Size #5</t>
  </si>
  <si>
    <t>VI01 - Type &amp; Size #6</t>
  </si>
  <si>
    <t>VI01 - %</t>
  </si>
  <si>
    <t>VI01 - % #2</t>
  </si>
  <si>
    <t>VI01 - % #3</t>
  </si>
  <si>
    <t>VI01 - % #4</t>
  </si>
  <si>
    <t>VI01 - % #5</t>
  </si>
  <si>
    <t>VI01 - % #6</t>
  </si>
  <si>
    <t>VI01 - B.O.D. Sp. Gravity</t>
  </si>
  <si>
    <t>VI01 - B.O.D. Sp. Gravity #2</t>
  </si>
  <si>
    <t>VI01 - B.O.D. Sp. Gravity #3</t>
  </si>
  <si>
    <t>VI01 - B.O.D. Sp. Gravity #4</t>
  </si>
  <si>
    <t>VI01 - B.O.D. Sp. Gravity #5</t>
  </si>
  <si>
    <t>VI01 - B.O.D. Sp. Gravity #6</t>
  </si>
  <si>
    <t>VI01 - Date</t>
  </si>
  <si>
    <t xml:space="preserve">VI01 - Time </t>
  </si>
  <si>
    <t>VI01 - Truck #</t>
  </si>
  <si>
    <t>VI01 - Tons</t>
  </si>
  <si>
    <t>VI01 - Acceptance Method</t>
  </si>
  <si>
    <t>VI01 - % Binder in Mix</t>
  </si>
  <si>
    <t>VI01 - Unit Weight</t>
  </si>
  <si>
    <t>VI01 - Max. Sp. Gravity</t>
  </si>
  <si>
    <t>VI01 - Air Voids</t>
  </si>
  <si>
    <t>VI01 - % Eff. Binder</t>
  </si>
  <si>
    <t>VI01 - VMA</t>
  </si>
  <si>
    <t>VI01 - VFA</t>
  </si>
  <si>
    <t>VI01 - D/A Ratio</t>
  </si>
  <si>
    <t xml:space="preserve">VI01 - Hand Mixed % Binder </t>
  </si>
  <si>
    <t>VI01 - H. M. Max. Sp. Gravity</t>
  </si>
  <si>
    <t>VI01 - 2 "</t>
  </si>
  <si>
    <t>VI01 - 1 1/2 "</t>
  </si>
  <si>
    <t>VI01 - 1 "</t>
  </si>
  <si>
    <t>VI01 - 3/4 "</t>
  </si>
  <si>
    <t>VI01 - 1/2 "</t>
  </si>
  <si>
    <t>VI01 - 3/8 "</t>
  </si>
  <si>
    <t>VI01 - 1/4 "</t>
  </si>
  <si>
    <t>VI01 - # 4</t>
  </si>
  <si>
    <t>VI01 - # 8</t>
  </si>
  <si>
    <t>VI01 - # 16</t>
  </si>
  <si>
    <t>VI01 - # 30</t>
  </si>
  <si>
    <t>VI01 - # 50</t>
  </si>
  <si>
    <t>VI01 - # 100</t>
  </si>
  <si>
    <t>VI01 - # 200</t>
  </si>
  <si>
    <t>VI01 - Core #</t>
  </si>
  <si>
    <t>VI01 - Core #2</t>
  </si>
  <si>
    <t>VI01 - Core #3</t>
  </si>
  <si>
    <t>VI01 - Core #4</t>
  </si>
  <si>
    <t>00193 ASPHALT SCRATCH COURSE (0.38-IN.) PG76-22</t>
  </si>
  <si>
    <t>00193 ASPHALT SCRATCH COURSE (0.50-IN.) PG76-22</t>
  </si>
  <si>
    <t>00193 ASPHALT SCRATCH COURSE (0.75-IN.) PG76-22</t>
  </si>
  <si>
    <t>00193 ASPHALT SCRATCH COURSE (1.00-IN.) PG76-22</t>
  </si>
  <si>
    <t>00193 ASPHALT SCRATCH COURSE (1.50-IN.) PG76-22</t>
  </si>
  <si>
    <t>SUP</t>
  </si>
  <si>
    <t>00194 LEVELING &amp; WEDGING (0.38-IN.) PG76-22</t>
  </si>
  <si>
    <t>00194 LEVELING &amp; WEDGING (0.50-IN.) PG76-22</t>
  </si>
  <si>
    <t>00194 LEVELING &amp; WEDGING (0.75-IN.) PG76-22</t>
  </si>
  <si>
    <t>00194 LEVELING &amp; WEDGING (1.00-IN.) PG76-22</t>
  </si>
  <si>
    <t>00194 LEVELING &amp; WEDGING (1.50-IN.) PG76-22</t>
  </si>
  <si>
    <t>00203 CL2 ASPH BASE 1.50D PG64-22</t>
  </si>
  <si>
    <t>V1</t>
  </si>
  <si>
    <t>V2</t>
  </si>
  <si>
    <t>% BC</t>
  </si>
  <si>
    <t>1 vs. 1</t>
  </si>
  <si>
    <t>1 vs. 3</t>
  </si>
  <si>
    <t xml:space="preserve">QC01 - Hand Mixed % Binder </t>
  </si>
  <si>
    <t>QC01 - H. M. Max. Sp. Gravity</t>
  </si>
  <si>
    <t>QC01 - LABEL: Gradation Test Results % Passing</t>
  </si>
  <si>
    <t>QC01 - 2 "</t>
  </si>
  <si>
    <t>QC01 - 1 1/2 "</t>
  </si>
  <si>
    <t>QC01 - 1 "</t>
  </si>
  <si>
    <t>QC01 - 3/4 "</t>
  </si>
  <si>
    <t>QC01 - 1/2 "</t>
  </si>
  <si>
    <t>QC01 - 3/8 "</t>
  </si>
  <si>
    <t>QC01 - 1/4 "</t>
  </si>
  <si>
    <t>QC01 - # 4</t>
  </si>
  <si>
    <t>QC01 - # 8</t>
  </si>
  <si>
    <t>QC01 - # 16</t>
  </si>
  <si>
    <t>QC01 - # 30</t>
  </si>
  <si>
    <t>QC01 - # 50</t>
  </si>
  <si>
    <t>QC01 - # 100</t>
  </si>
  <si>
    <t>QC01 - # 200</t>
  </si>
  <si>
    <t>QC01 - LABEL: Core Data</t>
  </si>
  <si>
    <t>QC01 - Core #</t>
  </si>
  <si>
    <t>QC01 - Core #2</t>
  </si>
  <si>
    <t>QC01 - Core #3</t>
  </si>
  <si>
    <t>QC01 - Core #4</t>
  </si>
  <si>
    <t>QC01 - Core #5</t>
  </si>
  <si>
    <t>QC01 - Core #6</t>
  </si>
  <si>
    <t>QC01 - Sta,# / Offset</t>
  </si>
  <si>
    <t>QC01 - Sta,# / Offset #2</t>
  </si>
  <si>
    <t>QC01 - Sta,# / Offset #3</t>
  </si>
  <si>
    <t>QC01 - Sta,# / Offset #4</t>
  </si>
  <si>
    <t>QC01 - Sta,# / Offset #5</t>
  </si>
  <si>
    <t>QC01 - Sta,# / Offset #6</t>
  </si>
  <si>
    <t>QC01 - Core Density</t>
  </si>
  <si>
    <t>Prefixed Lab ID with 'C' or 'T' to designate Contractor or KYTC lab.</t>
  </si>
  <si>
    <r>
      <t xml:space="preserve">Type &amp; Size   </t>
    </r>
    <r>
      <rPr>
        <b/>
        <sz val="10"/>
        <rFont val="Arial"/>
        <family val="2"/>
      </rPr>
      <t>AND</t>
    </r>
    <r>
      <rPr>
        <sz val="10"/>
        <rFont val="Arial"/>
        <family val="2"/>
      </rPr>
      <t xml:space="preserve">
CHOOSE CASE tst_fld_sn
      CASE </t>
    </r>
    <r>
      <rPr>
        <b/>
        <sz val="10"/>
        <color indexed="10"/>
        <rFont val="Arial"/>
        <family val="2"/>
      </rPr>
      <t>36 (DATE)</t>
    </r>
    <r>
      <rPr>
        <sz val="10"/>
        <rFont val="Arial"/>
        <family val="2"/>
      </rPr>
      <t xml:space="preserve">
            Format on SM as MMDDYYYY
      ENDCASE
      CASE </t>
    </r>
    <r>
      <rPr>
        <b/>
        <sz val="10"/>
        <color indexed="10"/>
        <rFont val="Arial"/>
        <family val="2"/>
      </rPr>
      <t>37 (TIME)</t>
    </r>
    <r>
      <rPr>
        <sz val="10"/>
        <rFont val="Arial"/>
        <family val="2"/>
      </rPr>
      <t xml:space="preserve">
            Format on SM as HHMM (24-Hr)
      ENDCASE</t>
    </r>
  </si>
  <si>
    <t>Removed from Applet 3/26/07; Will now using the Related Sample ID instead to link to the Mix ID.</t>
  </si>
  <si>
    <t>253</t>
  </si>
  <si>
    <t>Re-applied changes mentioned in 04/05/07 update (as Gary/Mark had applied some changes to the spreadsheet while BGP had applied the changes on 4/5/07 version.  Mark fixed "SaveAs" issue.  Gary did some GUI changes.</t>
  </si>
  <si>
    <t>#100</t>
  </si>
  <si>
    <t>QC02 - LABEL: Sublot Aggregate Data</t>
  </si>
  <si>
    <t>QC02 - Gsb =</t>
  </si>
  <si>
    <t>QC02 - Aggr. Pro. Codes</t>
  </si>
  <si>
    <t>QC02 - Aggr. Pro. Codes #2</t>
  </si>
  <si>
    <t>QC02 - Aggr. Pro. Codes #3</t>
  </si>
  <si>
    <t>Temp</t>
  </si>
  <si>
    <t>QA01 - Template Status (TEMPSTAT)</t>
  </si>
  <si>
    <t>IQ01 - Template Status (TEMPSTAT)</t>
  </si>
  <si>
    <t>Assigned new "Template Status" code table value in t_tst_rslt_dtl.F2 based on the value in t_smpl.smpl_stat (Global Template Change).</t>
  </si>
  <si>
    <t>QC03 - Sta,# / Offset #6</t>
  </si>
  <si>
    <t>QC03 - Core Density</t>
  </si>
  <si>
    <t>QC03 - Core Density #2</t>
  </si>
  <si>
    <t>QC03 - Core Density #3</t>
  </si>
  <si>
    <t>QC03 - Core Density #4</t>
  </si>
  <si>
    <t>QC03 - Core Density #5</t>
  </si>
  <si>
    <t>QC03 - Core Density #6</t>
  </si>
  <si>
    <t>QC03 - % Sol. Den.</t>
  </si>
  <si>
    <t>QC03 - % Sol. Den. #2</t>
  </si>
  <si>
    <t>QC03 - % Sol. Den. #3</t>
  </si>
  <si>
    <t>QC03 - % Sol. Den. #4</t>
  </si>
  <si>
    <t>QC03 - % Sol. Den. #5</t>
  </si>
  <si>
    <t>QC03 - % Sol. Den. #6</t>
  </si>
  <si>
    <t>QC03 - Test Charges</t>
  </si>
  <si>
    <t>QC04 - Comment  (NOT CURRENTLY USED)</t>
  </si>
  <si>
    <t>QC04 - GenericString2  (NOT CURRENTLY USED)</t>
  </si>
  <si>
    <t>QC04 - GenericNum1  (NOT CURRENTLY USED)</t>
  </si>
  <si>
    <t>QC04 - GenericNum2  (NOT CURRENTLY USED)</t>
  </si>
  <si>
    <t>QC04 - GenericNum3  (NOT CURRENTLY USED)</t>
  </si>
  <si>
    <t>QC04 - GenericNum4  (NOT CURRENTLY USED)</t>
  </si>
  <si>
    <t>QC04 - County</t>
  </si>
  <si>
    <t>QC04 - LABEL: Sublot Aggregate Data</t>
  </si>
  <si>
    <t>QC04 - Gsb =</t>
  </si>
  <si>
    <t>QC04 - Aggr. Pro. Codes</t>
  </si>
  <si>
    <t>QC04 - Aggr. Pro. Codes #2</t>
  </si>
  <si>
    <t>QC04 - Aggr. Pro. Codes #3</t>
  </si>
  <si>
    <t>QC04 - Aggr. Pro. Codes #4</t>
  </si>
  <si>
    <t>QC04 - Aggr. Pro. Codes #5</t>
  </si>
  <si>
    <t>QC04 - Aggr. Pro. Codes #6</t>
  </si>
  <si>
    <t>QC04 - Type &amp; Size</t>
  </si>
  <si>
    <t>QC04 - Type &amp; Size #2</t>
  </si>
  <si>
    <t>QC04 - Type &amp; Size #3</t>
  </si>
  <si>
    <t>QC04 - Type &amp; Size #4</t>
  </si>
  <si>
    <t>QC04 - Type &amp; Size #5</t>
  </si>
  <si>
    <t>QC04 - Type &amp; Size #6</t>
  </si>
  <si>
    <t>QC04 - %</t>
  </si>
  <si>
    <t>QC04 - % #2</t>
  </si>
  <si>
    <t>QC04 - % #3</t>
  </si>
  <si>
    <t>QC04 - % #4</t>
  </si>
  <si>
    <t>QC04 - % #5</t>
  </si>
  <si>
    <t>QC04 - % #6</t>
  </si>
  <si>
    <t>QC04 - B.O.D. Sp. Gravity</t>
  </si>
  <si>
    <t>QC04 - B.O.D. Sp. Gravity #2</t>
  </si>
  <si>
    <t>QC04 - B.O.D. Sp. Gravity #3</t>
  </si>
  <si>
    <t>QC04 - B.O.D. Sp. Gravity #4</t>
  </si>
  <si>
    <t>QC04 - B.O.D. Sp. Gravity #5</t>
  </si>
  <si>
    <t>QC04 - B.O.D. Sp. Gravity #6</t>
  </si>
  <si>
    <t>QC04 - LABEL: Sample Info</t>
  </si>
  <si>
    <t>QC04 - Date</t>
  </si>
  <si>
    <t xml:space="preserve">QC04 - Time </t>
  </si>
  <si>
    <t>25025</t>
  </si>
  <si>
    <t>27100</t>
  </si>
  <si>
    <t>00101 SAMI (STRESS-ABSORB MEMBRANE INTERLAYER)</t>
  </si>
  <si>
    <t>25240</t>
  </si>
  <si>
    <t>00190 LEVELING &amp; WEDGING (NO. 4) PG64-22</t>
  </si>
  <si>
    <t>25250</t>
  </si>
  <si>
    <t>25275</t>
  </si>
  <si>
    <t>25300</t>
  </si>
  <si>
    <t>25325</t>
  </si>
  <si>
    <t>25350</t>
  </si>
  <si>
    <t>25490</t>
  </si>
  <si>
    <t>00190 LEVELING &amp; WEDGING (NO. 4) ASPHALT SURFACE PG64-22</t>
  </si>
  <si>
    <t>25500</t>
  </si>
  <si>
    <t>00190 LEVELING &amp; WEDGING (0.38-IN) ASPHALT SURFACE PG64-22</t>
  </si>
  <si>
    <t>25525</t>
  </si>
  <si>
    <t>00190 LEVELING &amp; WEDGING ( 0.50-IN) ASPHALT SURFACE PG64-22</t>
  </si>
  <si>
    <t>25550</t>
  </si>
  <si>
    <t>00190 LEVELING &amp; WEDGING (0.50-IN) ASPHALT BINDER PG64-22</t>
  </si>
  <si>
    <t>25575</t>
  </si>
  <si>
    <t>00190 LEVELING &amp; WEDGING ( 0.75-IN) ASPHALT BASE PG64-22</t>
  </si>
  <si>
    <t>25600</t>
  </si>
  <si>
    <t>00190 LEVELING &amp; WEDGING (1.00-IN) ASPHALT BASE PG64-22</t>
  </si>
  <si>
    <t>25625</t>
  </si>
  <si>
    <t>00190 LEVELING &amp; WEDGING (1.50-IN) ASPHALT BASE PG64-22</t>
  </si>
  <si>
    <t>25365</t>
  </si>
  <si>
    <t xml:space="preserve">00191 ASPHALT SCRATCH COURSE (NO. 4) PG64-22 </t>
  </si>
  <si>
    <t>25375</t>
  </si>
  <si>
    <t>25400</t>
  </si>
  <si>
    <t>25425</t>
  </si>
  <si>
    <t>25450</t>
  </si>
  <si>
    <t>25475</t>
  </si>
  <si>
    <t>00191 ASPHALT SCRATCH COURSE (NO. 4) ASPHALT SURFACE PG64-22</t>
  </si>
  <si>
    <t>00191 ASPHALT SCRATCH COURSE (0.38-IN.) ASPHALT SURFACE PG64-22</t>
  </si>
  <si>
    <t>00191 ASPHALT SCRATCH COURSE (0.50-IN.) ASPHALT SURFACE PG64-22</t>
  </si>
  <si>
    <t>00191 ASPHALT SCRATCH COURSE (0.50-IN) ASPHALT BINDER PG64-22</t>
  </si>
  <si>
    <t>00191 ASPHALT SCRATCH COURSE (0.75-IN) ASPHALT BASE PG64-22</t>
  </si>
  <si>
    <t>00191 ASPHALT SCRATCH COURSE (1.00-IN) ASPHALT BASEPG64-22</t>
  </si>
  <si>
    <t>00191 ASPHALT SCRATCH COURSE (1.50) ASPHALT BASE PG64-22</t>
  </si>
  <si>
    <t>00193 ASPHALT SCRATCH COURSE (NO. 4) PG76-22</t>
  </si>
  <si>
    <t>00193 ASPHALT SCRATCH COURSE (NO. 4) ASPHALT SURFACE PG76-22</t>
  </si>
  <si>
    <t>00193 ASPHALT SCRATCH COURSE (0.38-IN) ASPHALT SURFACE PG76-22</t>
  </si>
  <si>
    <t>00193 ASPHALT SCRATCH COURSE (0.50-IN) ASPHALT SURFACE PG76-22</t>
  </si>
  <si>
    <t>00193 ASPHALT SCRATCH COURSE (0.50-IN) ASPHALT BINDER PG76-22</t>
  </si>
  <si>
    <t>00193 ASPHALT SCRATCH COURSE (0.75-IN) ASPHALT BASE PG76-22</t>
  </si>
  <si>
    <t>00193 ASPHALT SCRATCH COURSE (1.00-IN) ASPHALT BASE PG76-22</t>
  </si>
  <si>
    <t>00193 ASPHALT SCRATCH COURSE (1.50-IN) ASPHALT BASE PG76-22</t>
  </si>
  <si>
    <t>00194 LEVELING &amp; WEDGING (NO. 4) PG76-22</t>
  </si>
  <si>
    <t>00194 LEVELING &amp; WEDGING (NO. 4) ASPHALT SURFACE PG76-22</t>
  </si>
  <si>
    <t>00194 LEVELING &amp; WEDGING (0.38-IN) ASPHALT SURFACE PG76-22</t>
  </si>
  <si>
    <t>00194 LEVELING &amp; WEDGING (0.50-IN) ASPHALT SURFACE PG76-22</t>
  </si>
  <si>
    <t>00194 LEVELING &amp; WEDGING (0.50-IN) ASPHALT BINDER PG76-22</t>
  </si>
  <si>
    <t>00194 LEVELING &amp; WEDGING (0.75-IN) ASPHALT BASE PG76-22</t>
  </si>
  <si>
    <t>00194 LEVELING &amp; WEDGING (1.00-IN) ASPHALT BASE PG76-22</t>
  </si>
  <si>
    <t>00194 LEVELING &amp; WEDGING (1.50-IN) ASPHALT BASEPG76-22</t>
  </si>
  <si>
    <t>25225</t>
  </si>
  <si>
    <t>00263 ASPHALT MIX FOR PAVEMENT WEDGE</t>
  </si>
  <si>
    <t>00263 ASPHALT MIX FOR PAVEMENT WEDGE (NO. 4) ASPHALT SURFACE</t>
  </si>
  <si>
    <t>00263 ASPHALT MIX FOR PAVEMENT WEDGE (0.38-IN) ASPHALT SURFACE</t>
  </si>
  <si>
    <t>00263 ASPHALT MIX FOR PAVEMENT WEDGE (0.50-IN) ASPHALT SURFACE</t>
  </si>
  <si>
    <t>00263 ASPHALT MIX FOR PAVEMENT WEDGE (0.50-IN) ASPHALT BINDER</t>
  </si>
  <si>
    <t>00263 ASPHALT MIX FOR PAVEMENT WEDGE (0.75-IN) ASPHALT BASE</t>
  </si>
  <si>
    <t>25050</t>
  </si>
  <si>
    <t>00267 ASPHALT SURF OPEN-GRADED PG64-22</t>
  </si>
  <si>
    <t>00268 ASPHALT SURF OPEN-GRADED PG76-22</t>
  </si>
  <si>
    <t>25075</t>
  </si>
  <si>
    <t>00269 MOD OPEN-GRADED DRAINAGE COURSE</t>
  </si>
  <si>
    <t>00311 CL2 ASPH SURF 0.38B PG76-22</t>
  </si>
  <si>
    <t>25125</t>
  </si>
  <si>
    <t>00374 ASPHALT SURF SAND TY II PG 64-22</t>
  </si>
  <si>
    <t>00387 CL3 ASPH SURF 0.38B PG76-22</t>
  </si>
  <si>
    <t>00388 CL3 ASPH SURF 0.38B PG64-22</t>
  </si>
  <si>
    <t>00389 CL3 ASPH SURF 0.38D PG76-22</t>
  </si>
  <si>
    <t>03240 BASE FAILURE REPAIR (0.75-IN) ASPHALT BASE</t>
  </si>
  <si>
    <t>03240 BASE FAILURE REPAIR (1.00-IN) ASPHALT BASE</t>
  </si>
  <si>
    <t>03240 BASE FAILURE REPAIR (1.50-IN) ASPHALT BASE</t>
  </si>
  <si>
    <t>03247 REPAIR BLOWUP (0.75-IN) ASPHALT BASE</t>
  </si>
  <si>
    <t>03247 REPAIR BLOWUP (1.00-IN) ASPHALT BASE</t>
  </si>
  <si>
    <t>03247 REPAIR BLOWUP (1.50-IN) ASPHALT BASE</t>
  </si>
  <si>
    <t>03304 BRIDGE OVERLAY APPROACH PAVEMENT (NO. 4) ASPHALT SURFACE</t>
  </si>
  <si>
    <t>03304 BRIDGE OVERLAY APPROACH PAVEMENT (0.38-IN) ASPHALT SURFACE</t>
  </si>
  <si>
    <t>03304 BRIDGE OVERLAY APPROACH PAVEMENT (0.50-IN) ASPHALT SURFACE</t>
  </si>
  <si>
    <t>20757ED PAVEMENT REPAIR (0.75-IN) ASPHALT BASE</t>
  </si>
  <si>
    <t>20757ED PAVEMENT REPAIR (1.00-IN) ASPHALT BASE</t>
  </si>
  <si>
    <t>20757ED PAVEMENT REPAIR (1.50-IN) ASPHALT BASE</t>
  </si>
  <si>
    <t>27075</t>
  </si>
  <si>
    <t>20814EC MICRO SURFACING-SURFACE COURSE</t>
  </si>
  <si>
    <t>21652EN MICRO SURFACING-LEVELING COURSE</t>
  </si>
  <si>
    <t>22906ES403 CL3 ASPH SURF 0.38A PG64-22</t>
  </si>
  <si>
    <t>23001EN ASPHALT RESURFACING-1 1/2 IN (0.50-IN) ASPHALT SURFACE</t>
  </si>
  <si>
    <t>23039ND TEMP MEDIAN CROSSOVER #1 LEVELING &amp; WEDGING (0.50-IN.)</t>
  </si>
  <si>
    <t>23039ND TEMP MEDIAN CROSSOVER #1 LEVELING &amp; WEDGING (0.75-IN.)</t>
  </si>
  <si>
    <t>23039ND TEMP MEDIAN CROSSOVER #1 LEVELING &amp; WEDGING (1.00-IN.)</t>
  </si>
  <si>
    <t>23039ND TEMP MEDIAN CROSSOVER #1 LEVELING &amp; WEDGING (1.50-IN.)</t>
  </si>
  <si>
    <t>23039ND TEMP MEDIAN CROSSOVER #1 (NO. 4) ASPHALT SURFACE</t>
  </si>
  <si>
    <t>23039ND TEMP MEDIAN CROSSOVER #1 (0.38-IN) ASPHALT SURFACE</t>
  </si>
  <si>
    <t>23039ND TEMP MEDIAN CROSSOVER #1 (0.50-IN) ASPHALT SURFACE</t>
  </si>
  <si>
    <t>23039ND TEMP MEDIAN CROSSOVER #1 (0.50-IN) ASPHALT BINDER</t>
  </si>
  <si>
    <t>23039ND TEMP MEDIAN CROSSOVER #1 (0.75-IN) ASPHALT BASE</t>
  </si>
  <si>
    <t>23039ND TEMP MEDIAN CROSSOVER #1 (1.00-IN) ASPHALT BASE</t>
  </si>
  <si>
    <t>23039ND TEMP MEDIAN CROSSOVER #1 (1.50-IN) ASPHALT BASE</t>
  </si>
  <si>
    <t>23040ND TEMP MEDIAN CROSSOVER #2 LEVELING &amp; WEDGING (0.50-IN.)</t>
  </si>
  <si>
    <t>23040ND TEMP MEDIAN CROSSOVER #2 LEVELING &amp; WEDGING (0.75-IN.)</t>
  </si>
  <si>
    <t>23040ND TEMP MEDIAN CROSSOVER #2 LEVELING &amp; WEDGING (1.00-IN.)</t>
  </si>
  <si>
    <t>23040ND TEMP MEDIAN CROSSOVER #2 LEVELING &amp; WEDGING (1.50-IN.)</t>
  </si>
  <si>
    <t>23040ND TEMP MEDIAN CROSSOVER #2 (NO. 4) ASPHALT SURFACE</t>
  </si>
  <si>
    <t>23040ND TEMP MEDIAN CROSSOVER #2 (0.38-IN) ASPHALT SURFACE</t>
  </si>
  <si>
    <t>23040ND TEMP MEDIAN CROSSOVER #2 (0.50-IN) ASPHALT SURFACE</t>
  </si>
  <si>
    <t>23040ND TEMP MEDIAN CROSSOVER #2 (0.50-IN) ASPHALT BINDER</t>
  </si>
  <si>
    <t>23040ND TEMP MEDIAN CROSSOVER #2 (0.75-IN) ASPHALT BASE</t>
  </si>
  <si>
    <t>23040ND TEMP MEDIAN CROSSOVER #2 (1.50-IN) ASPHALT BASE</t>
  </si>
  <si>
    <t>23041ND TEMP MEDIAN CROSSOVER #3 LEVELING &amp; WEDGING (0.50-IN.)</t>
  </si>
  <si>
    <t>23041ND TEMP MEDIAN CROSSOVER #3 LEVELING &amp; WEDGING (0.75-IN.)</t>
  </si>
  <si>
    <t>23041ND TEMP MEDIAN CROSSOVER #3 LEVELING &amp; WEDGING (1.00-IN.)</t>
  </si>
  <si>
    <t>23041ND TEMP MEDIAN CROSSOVER #3 LEVELING &amp; WEDGING (1.50-IN.)</t>
  </si>
  <si>
    <t>23041ND TEMP MEDIAN CROSSOVER #3 (NO. 4) ASPHALT SURFACE</t>
  </si>
  <si>
    <t>23041ND TEMP MEDIAN CROSSOVER #3 (0.38-IN) ASPHALT SURFACE</t>
  </si>
  <si>
    <t>23041ND TEMP MEDIAN CROSSOVER #3 (0.50-IN) ASPHALT SURFACE</t>
  </si>
  <si>
    <t>23041ND TEMP MEDIAN CROSSOVER #3 (0.50-IN) ASPHALT BINDER</t>
  </si>
  <si>
    <t>23041ND TEMP MEDIAN CROSSOVER #3 (0.75-IN) ASPHALT BASE</t>
  </si>
  <si>
    <t>23041ND TEMP MEDIAN CROSSOVER #3 (1.00-IN) ASPHALT BASE</t>
  </si>
  <si>
    <t>23041ND TEMP MEDIAN CROSSOVER #3 (1.50-IN) ASPHALT BASE</t>
  </si>
  <si>
    <t>23128ES403 CL4 ASPH SURF 0.38A PG64-22</t>
  </si>
  <si>
    <t>Marathon @ Ashland</t>
  </si>
  <si>
    <t>Marathon @ Big Sandy</t>
  </si>
  <si>
    <t>Marathon @ Cincinnati, OH</t>
  </si>
  <si>
    <t>Marathon @ Knoxville, TN</t>
  </si>
  <si>
    <t>Marathon @ Kuttawa</t>
  </si>
  <si>
    <t>Marathon @ Mt. Vernon, IN</t>
  </si>
  <si>
    <t>Marathon @ Nashville, TN</t>
  </si>
  <si>
    <t>Marathon @ North Bend, OH</t>
  </si>
  <si>
    <t>LAP100802</t>
  </si>
  <si>
    <t>Hinkle @ Sommerset</t>
  </si>
  <si>
    <r>
      <t>Existing on t_matl_user 
AND  t_matl_user.tstr_ind='Y"
AND  active tester qualification of "</t>
    </r>
    <r>
      <rPr>
        <b/>
        <sz val="10"/>
        <color indexed="10"/>
        <rFont val="Arial"/>
        <family val="2"/>
      </rPr>
      <t>Superpave Plant Tech</t>
    </r>
    <r>
      <rPr>
        <sz val="10"/>
        <rFont val="Arial"/>
        <family val="2"/>
      </rPr>
      <t>" 
or "</t>
    </r>
    <r>
      <rPr>
        <b/>
        <sz val="10"/>
        <rFont val="Arial"/>
        <family val="2"/>
      </rPr>
      <t>Superpave Mix Design Tech</t>
    </r>
    <r>
      <rPr>
        <sz val="10"/>
        <rFont val="Arial"/>
        <family val="2"/>
      </rPr>
      <t>" 
           (  I.e., At least one row returned from:
            SELECT * FROM t_tst_prsnl_qualfn
            WHERE tst_id = tst_id
            AND      tst_prsnlqualfn_t = "</t>
    </r>
    <r>
      <rPr>
        <b/>
        <sz val="10"/>
        <color indexed="10"/>
        <rFont val="Arial"/>
        <family val="2"/>
      </rPr>
      <t>ASPM</t>
    </r>
    <r>
      <rPr>
        <sz val="10"/>
        <rFont val="Arial"/>
        <family val="2"/>
      </rPr>
      <t>"
            AND      qualfn_lev_t = "</t>
    </r>
    <r>
      <rPr>
        <b/>
        <sz val="10"/>
        <color indexed="10"/>
        <rFont val="Arial"/>
        <family val="2"/>
      </rPr>
      <t>SPLT</t>
    </r>
    <r>
      <rPr>
        <sz val="10"/>
        <rFont val="Arial"/>
        <family val="2"/>
      </rPr>
      <t>"
            AND      exp</t>
    </r>
    <r>
      <rPr>
        <sz val="10"/>
        <rFont val="Arial"/>
        <family val="2"/>
      </rPr>
      <t>_dt &gt;</t>
    </r>
    <r>
      <rPr>
        <sz val="10"/>
        <rFont val="Arial"/>
        <family val="2"/>
      </rPr>
      <t xml:space="preserve">= t_smpl_tst.strt_dt (same keys as current row)
            AND      effdt     </t>
    </r>
    <r>
      <rPr>
        <sz val="10"/>
        <rFont val="Arial"/>
        <family val="2"/>
      </rPr>
      <t>&lt;= t_smpl_tst.strt_dt (same keys as current row)
          For any row above, retu</t>
    </r>
    <r>
      <rPr>
        <sz val="10"/>
        <rFont val="Arial"/>
        <family val="2"/>
      </rPr>
      <t xml:space="preserve">rn at least one row:
            SELECT * FROM t_tst_prsnqualftst
            WHERE tst_id = tst_id
            AND      tst_prsnlqualfn_t = t_tst_prsnl_qualfn.tst_prsnlqualfn_t
            AND      qualfn_lev_t = t_tst_prsnl_qualfn.qualfn_lev_t
            AND     </t>
    </r>
    <r>
      <rPr>
        <sz val="10"/>
        <rFont val="Arial"/>
        <family val="2"/>
      </rPr>
      <t xml:space="preserve"> effdt = </t>
    </r>
    <r>
      <rPr>
        <sz val="10"/>
        <rFont val="Arial"/>
        <family val="2"/>
      </rPr>
      <t>t_tst_prsnl_qualfn.effdt
            AND      tst_meth = t_smpl_tst.tst_meth   )
-- OR --
           (  I.e., At least one row returned from:
            SELECT * FROM t_tst_prsnl_qualfn
            WHERE tst_id = tst_id
            AND      tst_prsnlqualfn_t = "</t>
    </r>
    <r>
      <rPr>
        <b/>
        <sz val="10"/>
        <rFont val="Arial"/>
        <family val="2"/>
      </rPr>
      <t>ASMD</t>
    </r>
    <r>
      <rPr>
        <sz val="10"/>
        <rFont val="Arial"/>
        <family val="2"/>
      </rPr>
      <t>"
            AND      q</t>
    </r>
    <r>
      <rPr>
        <sz val="10"/>
        <rFont val="Arial"/>
        <family val="2"/>
      </rPr>
      <t>ualfn_lev_t = "</t>
    </r>
    <r>
      <rPr>
        <b/>
        <sz val="10"/>
        <rFont val="Arial"/>
        <family val="2"/>
      </rPr>
      <t>SMDT</t>
    </r>
    <r>
      <rPr>
        <sz val="10"/>
        <rFont val="Arial"/>
        <family val="2"/>
      </rPr>
      <t xml:space="preserve">"
            AND      exp_dt &lt;= t_smpl_tst.strt_dt (same keys as current row)
            AND      effdt     &gt;= t_smpl_tst.strt_dt (same keys as current row)
          For any row above, return </t>
    </r>
    <r>
      <rPr>
        <sz val="10"/>
        <rFont val="Arial"/>
        <family val="2"/>
      </rPr>
      <t xml:space="preserve">at least one row:
            SELECT * FROM t_tst_prsnqualftst
            WHERE tst_id = tst_id
            AND      tst_prsnlqualfn_t = t_tst_prsnl_qualfn.tst_prsnlqualfn_t
            AND      qualfn_lev_t = t_tst_prsnl_qualfn.qualfn_lev_t
            AND     </t>
    </r>
    <r>
      <rPr>
        <sz val="10"/>
        <rFont val="Arial"/>
        <family val="2"/>
      </rPr>
      <t xml:space="preserve"> effdt = </t>
    </r>
    <r>
      <rPr>
        <sz val="10"/>
        <rFont val="Arial"/>
        <family val="2"/>
      </rPr>
      <t>t_tst_prsnl_qualfn.effdt
            AND      tst_meth = t_smpl_tst.tst_meth   )
        ENDCASE</t>
    </r>
  </si>
  <si>
    <t>QC02 - GenericString2  (NOT CURRENTLY USED)</t>
  </si>
  <si>
    <t>QC02 - GenericNum1  (NOT CURRENTLY USED)</t>
  </si>
  <si>
    <t>QC02 - GenericNum2  (NOT CURRENTLY USED)</t>
  </si>
  <si>
    <t>QC02 - GenericNum3  (NOT CURRENTLY USED)</t>
  </si>
  <si>
    <t>QC02 - GenericNum4  (NOT CURRENTLY USED)</t>
  </si>
  <si>
    <t>QC02 - County</t>
  </si>
  <si>
    <t>QC02 - # 100</t>
  </si>
  <si>
    <t>QC02 - # 200</t>
  </si>
  <si>
    <t>00339 CL3 ASPH SURF 0.38D PG64-22</t>
  </si>
  <si>
    <t>00342 CL4 ASPH SURF 0.38A PG76-22</t>
  </si>
  <si>
    <t>QA01 - LABEL: Gradation Test Results % Passing</t>
  </si>
  <si>
    <t>QA01 - 2 "</t>
  </si>
  <si>
    <t>QA01 - 1 1/2 "</t>
  </si>
  <si>
    <t>QA01 - 1 "</t>
  </si>
  <si>
    <t>QA01 - 3/4 "</t>
  </si>
  <si>
    <t>QA01 - 1/2 "</t>
  </si>
  <si>
    <t>QA01 - 3/8 "</t>
  </si>
  <si>
    <t>QA01 - 1/4 "</t>
  </si>
  <si>
    <t>QA01 - # 4</t>
  </si>
  <si>
    <t>QA01 - # 8</t>
  </si>
  <si>
    <t>QA01 - # 16</t>
  </si>
  <si>
    <t>QA01 - # 30</t>
  </si>
  <si>
    <t>QA01 - # 50</t>
  </si>
  <si>
    <t>QA01 - # 100</t>
  </si>
  <si>
    <t>QA01 - # 200</t>
  </si>
  <si>
    <t>QA01 - LABEL: Core Data</t>
  </si>
  <si>
    <t>QA01 - Core #</t>
  </si>
  <si>
    <t>QA01 - Core #2</t>
  </si>
  <si>
    <t>QA01 - Core #3</t>
  </si>
  <si>
    <t>QA01 - Core #4</t>
  </si>
  <si>
    <t>QA01 - Core #5</t>
  </si>
  <si>
    <t>QA01 - Core #6</t>
  </si>
  <si>
    <t>QA01 - Sta,# / Offset</t>
  </si>
  <si>
    <t>QA01 - Sta,# / Offset #2</t>
  </si>
  <si>
    <t>QA01 - Sta,# / Offset #3</t>
  </si>
  <si>
    <t>QA01 - Sta,# / Offset #4</t>
  </si>
  <si>
    <t>QA01 - Sta,# / Offset #5</t>
  </si>
  <si>
    <t>QA01 - Sta,# / Offset #6</t>
  </si>
  <si>
    <t>QA01 - Core Density</t>
  </si>
  <si>
    <t>QA01 - Core Density #2</t>
  </si>
  <si>
    <t>QA01 - Core Density #3</t>
  </si>
  <si>
    <t>QA01 - Core Density #4</t>
  </si>
  <si>
    <t>QA01 - Core Density #5</t>
  </si>
  <si>
    <t>QA01 - Core Density #6</t>
  </si>
  <si>
    <t>QA01 - % Sol. Den.</t>
  </si>
  <si>
    <t>QA01 - % Sol. Den. #2</t>
  </si>
  <si>
    <t>QA01 - % Sol. Den. #3</t>
  </si>
  <si>
    <t>QA01 - % Sol. Den. #4</t>
  </si>
  <si>
    <t>QA01 - % Sol. Den. #5</t>
  </si>
  <si>
    <t>QA01 - % Sol. Den. #6</t>
  </si>
  <si>
    <t>QA01 - Test Charges</t>
  </si>
  <si>
    <t>in</t>
  </si>
  <si>
    <t>4x8</t>
  </si>
  <si>
    <t>DAY</t>
  </si>
  <si>
    <t>lbs</t>
  </si>
  <si>
    <t>psi</t>
  </si>
  <si>
    <t>TYP1</t>
  </si>
  <si>
    <t>TYP2</t>
  </si>
  <si>
    <t>TYP3</t>
  </si>
  <si>
    <t>HOUR</t>
  </si>
  <si>
    <t>P</t>
  </si>
  <si>
    <t>AMOD</t>
  </si>
  <si>
    <t>AA</t>
  </si>
  <si>
    <t>AAHPC</t>
  </si>
  <si>
    <t>AAA</t>
  </si>
  <si>
    <t>AAAHPC</t>
  </si>
  <si>
    <t>DMOD</t>
  </si>
  <si>
    <t>M1</t>
  </si>
  <si>
    <t>M2</t>
  </si>
  <si>
    <t>JPCP 24</t>
  </si>
  <si>
    <t>JPCP 48</t>
  </si>
  <si>
    <t>JPCP 72</t>
  </si>
  <si>
    <t>CUYD</t>
  </si>
  <si>
    <t>CU M</t>
  </si>
  <si>
    <t>YES</t>
  </si>
  <si>
    <t>no longer used</t>
  </si>
  <si>
    <t>NO</t>
  </si>
  <si>
    <t>TYP4</t>
  </si>
  <si>
    <t>TYP5</t>
  </si>
  <si>
    <t>TYP6</t>
  </si>
  <si>
    <t>mm</t>
  </si>
  <si>
    <t>N</t>
  </si>
  <si>
    <t>Mpa</t>
  </si>
  <si>
    <t>FAIL</t>
  </si>
  <si>
    <t>FAILED</t>
  </si>
  <si>
    <t>FRFP</t>
  </si>
  <si>
    <t>FAILED AND REMOVED FROM PROJECT</t>
  </si>
  <si>
    <t>57, 67, 68</t>
  </si>
  <si>
    <t>8, 78, 9m</t>
  </si>
  <si>
    <t>Concrete Payment Spreadsheet</t>
  </si>
  <si>
    <t>Structural Concrete Spreadsheet</t>
  </si>
  <si>
    <t>4x8 Cylinders</t>
  </si>
  <si>
    <t>QC02 - Test Charges</t>
  </si>
  <si>
    <t>QC03 - Comment  (NOT CURRENTLY USED)</t>
  </si>
  <si>
    <t>QC03 - GenericString2  (NOT CURRENTLY USED)</t>
  </si>
  <si>
    <t>QC03 - GenericNum1  (NOT CURRENTLY USED)</t>
  </si>
  <si>
    <t>QC03 - GenericNum2  (NOT CURRENTLY USED)</t>
  </si>
  <si>
    <t>QC03 - GenericNum3  (NOT CURRENTLY USED)</t>
  </si>
  <si>
    <t>QC03 - GenericNum4  (NOT CURRENTLY USED)</t>
  </si>
  <si>
    <t>QC03 - County</t>
  </si>
  <si>
    <t>QC03 - LABEL: Sublot Aggregate Data</t>
  </si>
  <si>
    <t>QC03 - Gsb =</t>
  </si>
  <si>
    <t>QC03 - Aggr. Pro. Codes</t>
  </si>
  <si>
    <t>QC03 - Aggr. Pro. Codes #2</t>
  </si>
  <si>
    <t>QC03 - Aggr. Pro. Codes #3</t>
  </si>
  <si>
    <t>QC03 - Aggr. Pro. Codes #4</t>
  </si>
  <si>
    <t>QC03 - Aggr. Pro. Codes #5</t>
  </si>
  <si>
    <t>QC03 - Aggr. Pro. Codes #6</t>
  </si>
  <si>
    <t>QC03 - Type &amp; Size</t>
  </si>
  <si>
    <t>QC03 - Type &amp; Size #2</t>
  </si>
  <si>
    <t>QC03 - Type &amp; Size #3</t>
  </si>
  <si>
    <t>QC03 - Type &amp; Size #4</t>
  </si>
  <si>
    <t>QC03 - Type &amp; Size #5</t>
  </si>
  <si>
    <t>QC03 - Type &amp; Size #6</t>
  </si>
  <si>
    <t>QC03 - %</t>
  </si>
  <si>
    <t>QC03 - % #2</t>
  </si>
  <si>
    <t>QC03 - % #3</t>
  </si>
  <si>
    <t>QC03 - % #4</t>
  </si>
  <si>
    <t>QC03 - % #5</t>
  </si>
  <si>
    <t>QC03 - % #6</t>
  </si>
  <si>
    <t>QC03 - B.O.D. Sp. Gravity</t>
  </si>
  <si>
    <t>QC03 - B.O.D. Sp. Gravity #2</t>
  </si>
  <si>
    <t>QC03 - B.O.D. Sp. Gravity #3</t>
  </si>
  <si>
    <t>QC03 - B.O.D. Sp. Gravity #4</t>
  </si>
  <si>
    <t>QC03 - B.O.D. Sp. Gravity #5</t>
  </si>
  <si>
    <t>QC03 - B.O.D. Sp. Gravity #6</t>
  </si>
  <si>
    <t>QC03 - LABEL: Sample Info</t>
  </si>
  <si>
    <t>QC03 - Date</t>
  </si>
  <si>
    <t xml:space="preserve">QC03 - Time </t>
  </si>
  <si>
    <t>QC03 - Truck #</t>
  </si>
  <si>
    <t>QC03 - Tons</t>
  </si>
  <si>
    <t>QC03 - LABEL: Volumetric Results</t>
  </si>
  <si>
    <t>QC03 - Acceptance Method</t>
  </si>
  <si>
    <t>QC03 - % Binder in Mix</t>
  </si>
  <si>
    <t>QC03 - Unit Weight</t>
  </si>
  <si>
    <t>QC03 - Max. Sp. Gravity</t>
  </si>
  <si>
    <t>QC03 - Air Voids</t>
  </si>
  <si>
    <t>QC03 - % Eff. Binder</t>
  </si>
  <si>
    <t>QC03 - VMA</t>
  </si>
  <si>
    <t>QC03 - VFA</t>
  </si>
  <si>
    <t>QC03 - D/A Ratio</t>
  </si>
  <si>
    <t xml:space="preserve">QC03 - Hand Mixed % Binder </t>
  </si>
  <si>
    <t>QC03 - H. M. Max. Sp. Gravity</t>
  </si>
  <si>
    <t>QC03 - LABEL: Gradation Test Results % Passing</t>
  </si>
  <si>
    <t>QC03 - 2 "</t>
  </si>
  <si>
    <t>QC03 - 1 1/2 "</t>
  </si>
  <si>
    <t>QC03 - 1 "</t>
  </si>
  <si>
    <t>QC03 - 3/4 "</t>
  </si>
  <si>
    <t>QC03 - 1/2 "</t>
  </si>
  <si>
    <t>QC03 - 3/8 "</t>
  </si>
  <si>
    <t>QC03 - 1/4 "</t>
  </si>
  <si>
    <t>QC03 - # 4</t>
  </si>
  <si>
    <t>QC03 - # 8</t>
  </si>
  <si>
    <t>QC03 - # 16</t>
  </si>
  <si>
    <t>QC03 - # 30</t>
  </si>
  <si>
    <t>QC03 - # 50</t>
  </si>
  <si>
    <t>QC03 - # 100</t>
  </si>
  <si>
    <t>QC03 - # 200</t>
  </si>
  <si>
    <t>QC03 - LABEL: Core Data</t>
  </si>
  <si>
    <t>QC03 - Core #</t>
  </si>
  <si>
    <t>QC03 - Core #2</t>
  </si>
  <si>
    <t>QC03 - Core #3</t>
  </si>
  <si>
    <t>QC03 - Core #4</t>
  </si>
  <si>
    <t>QC03 - Core #5</t>
  </si>
  <si>
    <t>QC03 - Core #6</t>
  </si>
  <si>
    <t>QC03 - Sta,# / Offset</t>
  </si>
  <si>
    <t>QC03 - Sta,# / Offset #2</t>
  </si>
  <si>
    <t>QC03 - Sta,# / Offset #3</t>
  </si>
  <si>
    <t>QC03 - Sta,# / Offset #4</t>
  </si>
  <si>
    <t>QC03 - Sta,# / Offset #5</t>
  </si>
  <si>
    <t>QC04 - Truck #</t>
  </si>
  <si>
    <t>QC04 - Tons</t>
  </si>
  <si>
    <t>QC04 - LABEL: Volumetric Results</t>
  </si>
  <si>
    <t>IQ01 - GenericNum1  (NOT CURRENTLY USED)</t>
  </si>
  <si>
    <t>IQ01 - GenericNum2  (NOT CURRENTLY USED)</t>
  </si>
  <si>
    <t>IQ01 - GenericNum3  (NOT CURRENTLY USED)</t>
  </si>
  <si>
    <t>IQ01 - GenericNum4  (NOT CURRENTLY USED)</t>
  </si>
  <si>
    <t>IQ01 - County</t>
  </si>
  <si>
    <t>IQ01 - LABEL: Sublot Aggregate Data</t>
  </si>
  <si>
    <t>IQ01 - Gsb =</t>
  </si>
  <si>
    <t>IQ01 - Aggr. Pro. Codes</t>
  </si>
  <si>
    <t>PAY VALUE (%) PER LOT</t>
  </si>
  <si>
    <r>
      <t>G</t>
    </r>
    <r>
      <rPr>
        <vertAlign val="subscript"/>
        <sz val="12"/>
        <rFont val="Arial"/>
        <family val="2"/>
      </rPr>
      <t>se</t>
    </r>
  </si>
  <si>
    <t>IQ01 - Aggr. Pro. Codes #2</t>
  </si>
  <si>
    <t>IQ01 - Aggr. Pro. Codes #3</t>
  </si>
  <si>
    <t>IQ01 - Aggr. Pro. Codes #4</t>
  </si>
  <si>
    <t>IQ01 - Aggr. Pro. Codes #5</t>
  </si>
  <si>
    <t>IQ01 - Aggr. Pro. Codes #6</t>
  </si>
  <si>
    <t>IQ01 - Type &amp; Size</t>
  </si>
  <si>
    <t>IQ01 - Type &amp; Size #2</t>
  </si>
  <si>
    <t>Logical Validation</t>
  </si>
  <si>
    <t>Comment</t>
  </si>
  <si>
    <t>x</t>
  </si>
  <si>
    <t>t_rmrks_dtl</t>
  </si>
  <si>
    <t>rmrks_id</t>
  </si>
  <si>
    <t>rmrks_t</t>
  </si>
  <si>
    <t>rmrks_sn</t>
  </si>
  <si>
    <t>rmrks_txt_fld</t>
  </si>
  <si>
    <t>last_modfd_uid</t>
  </si>
  <si>
    <t>D17</t>
  </si>
  <si>
    <t>last_modfd_dt</t>
  </si>
  <si>
    <t>Current system date</t>
  </si>
  <si>
    <t>t_smpl</t>
  </si>
  <si>
    <t>smpl_id</t>
  </si>
  <si>
    <t>smpld_by</t>
  </si>
  <si>
    <t>matl_cd</t>
  </si>
  <si>
    <t>Existing on t_matl
AND t.matl_actvty_stat_t = "A"</t>
  </si>
  <si>
    <t>prod_nm</t>
  </si>
  <si>
    <t>prodr_supp_cd</t>
  </si>
  <si>
    <t>Existing on t_prodr_supp
AND t_prodr_supp.actvty_stat_t = "A"
AND smpl_dt (below) is between 
            t_prodr_supp_matl.effdt &amp; exp_dt
            (for the matl_cd above)</t>
  </si>
  <si>
    <t>plant_id</t>
  </si>
  <si>
    <t>plant_t</t>
  </si>
  <si>
    <t>cms_uid</t>
  </si>
  <si>
    <t>Existing on t_matl_user 
AND t_matl_user.sm_user_ind='Y'</t>
  </si>
  <si>
    <t>witnes_by_cms_uid</t>
  </si>
  <si>
    <t>B40</t>
  </si>
  <si>
    <t>auth_by_cms_uid</t>
  </si>
  <si>
    <t>rel_smpl_id</t>
  </si>
  <si>
    <t>revise_smpl_id</t>
  </si>
  <si>
    <t>smpl_origin</t>
  </si>
  <si>
    <t>smpl_t</t>
  </si>
  <si>
    <t>Existing on t_cd_tbl_dtl (cd_id)
AND t_cd_tbl_dtl.tbl_id='SMPLTYPE'</t>
  </si>
  <si>
    <t>Embed code table in spreadsheet</t>
  </si>
  <si>
    <t>smpld_fr_txt</t>
  </si>
  <si>
    <t>unt_t</t>
  </si>
  <si>
    <t>mnfctr_cd</t>
  </si>
  <si>
    <t>twn</t>
  </si>
  <si>
    <t>intd_use_txt</t>
  </si>
  <si>
    <t>buy_usa_ind</t>
  </si>
  <si>
    <t>buy_usa_rqrdmt_t</t>
  </si>
  <si>
    <t>repr_qty</t>
  </si>
  <si>
    <t>cntrl_t</t>
  </si>
  <si>
    <t>Existing on t_cd_tbl_dtl (cd_id)
AND t_cd_tbl_dtl.tbl_id='CNTRLTYP'</t>
  </si>
  <si>
    <t>cntrl_nbr</t>
  </si>
  <si>
    <t>smpl_dt</t>
  </si>
  <si>
    <t>log_dt</t>
  </si>
  <si>
    <t>geog_area_t</t>
  </si>
  <si>
    <t>Existing on t_cd_tbl_dtl (cd_id)
AND t_cd_tbl_dtl.tbl_id='GEOGAREA'</t>
  </si>
  <si>
    <t>Derived from first two characters of Sample ID</t>
  </si>
  <si>
    <t>stat_t</t>
  </si>
  <si>
    <t>B42</t>
  </si>
  <si>
    <t>Existing on t_cd_tbl_dtl (cd_id)
AND t_cd_tbl_dtl.tbl_id='SMPLSTAT'</t>
  </si>
  <si>
    <t>auth_dt</t>
  </si>
  <si>
    <t>ref</t>
  </si>
  <si>
    <t>sta</t>
  </si>
  <si>
    <t>offst</t>
  </si>
  <si>
    <t>smpl_sz</t>
  </si>
  <si>
    <t>acpt_meth_t</t>
  </si>
  <si>
    <t>Existing on t_cd_tbl_dtl (cd_id)
AND t_cd_tbl_dtl.tbl_id='ACPTMETH'</t>
  </si>
  <si>
    <t>IQ01 - Type &amp; Size #3</t>
  </si>
  <si>
    <t>IQ01 - Type &amp; Size #4</t>
  </si>
  <si>
    <t>IQ01 - Type &amp; Size #5</t>
  </si>
  <si>
    <t>QC04 - Core #4</t>
  </si>
  <si>
    <t>QC04 - Core #5</t>
  </si>
  <si>
    <t>QC04 - Core #6</t>
  </si>
  <si>
    <t>QC04 - Sta,# / Offset</t>
  </si>
  <si>
    <t>QC04 - Sta,# / Offset #2</t>
  </si>
  <si>
    <t>QC04 - Sta,# / Offset #3</t>
  </si>
  <si>
    <t>QC04 - Sta,# / Offset #4</t>
  </si>
  <si>
    <t>QC04 - Sta,# / Offset #5</t>
  </si>
  <si>
    <t>QC04 - Sta,# / Offset #6</t>
  </si>
  <si>
    <t>QC04 - Core Density</t>
  </si>
  <si>
    <t>QC04 - Core Density #2</t>
  </si>
  <si>
    <t>QC04 - Core Density #3</t>
  </si>
  <si>
    <t>QC04 - Core Density #4</t>
  </si>
  <si>
    <t>QC04 - Core Density #5</t>
  </si>
  <si>
    <t>QC04 - Core Density #6</t>
  </si>
  <si>
    <t>QC04 - % Sol. Den.</t>
  </si>
  <si>
    <t>QC04 - % Sol. Den. #2</t>
  </si>
  <si>
    <t>QC04 - % Sol. Den. #3</t>
  </si>
  <si>
    <t>QC04 - % Sol. Den. #4</t>
  </si>
  <si>
    <t>QC04 - % Sol. Den. #5</t>
  </si>
  <si>
    <t>QC04 - % Sol. Den. #6</t>
  </si>
  <si>
    <t>QC04 - Test Charges</t>
  </si>
  <si>
    <t>Flynn Brothers Brooks Plant @ Shepherdsville</t>
  </si>
  <si>
    <t>QA01 - Comment  (NOT CURRENTLY USED)</t>
  </si>
  <si>
    <t>QA01 - GenericString2  (NOT CURRENTLY USED)</t>
  </si>
  <si>
    <t>QA01 - GenericNum1  (NOT CURRENTLY USED)</t>
  </si>
  <si>
    <t>QA01 - GenericNum2  (NOT CURRENTLY USED)</t>
  </si>
  <si>
    <t>QA01 - GenericNum3  (NOT CURRENTLY USED)</t>
  </si>
  <si>
    <t>QA01 - GenericNum4  (NOT CURRENTLY USED)</t>
  </si>
  <si>
    <t>QA01 - County</t>
  </si>
  <si>
    <t>QA01 - LABEL: Sublot Aggregate Data</t>
  </si>
  <si>
    <t>QA01 - Gsb =</t>
  </si>
  <si>
    <t>QA01 - Aggr. Pro. Codes</t>
  </si>
  <si>
    <t>QA01 - Aggr. Pro. Codes #2</t>
  </si>
  <si>
    <t>QA01 - Aggr. Pro. Codes #3</t>
  </si>
  <si>
    <t>QA01 - Aggr. Pro. Codes #4</t>
  </si>
  <si>
    <t>QA01 - Aggr. Pro. Codes #5</t>
  </si>
  <si>
    <t>QA01 - Aggr. Pro. Codes #6</t>
  </si>
  <si>
    <t>QA01 - Type &amp; Size</t>
  </si>
  <si>
    <t>QA01 - Type &amp; Size #2</t>
  </si>
  <si>
    <t>QA01 - Type &amp; Size #3</t>
  </si>
  <si>
    <t>QA01 - Type &amp; Size #4</t>
  </si>
  <si>
    <t>QA01 - Type &amp; Size #5</t>
  </si>
  <si>
    <t>QA01 - Type &amp; Size #6</t>
  </si>
  <si>
    <t>QA01 - %</t>
  </si>
  <si>
    <t>QA01 - % #2</t>
  </si>
  <si>
    <t>QA01 - % #3</t>
  </si>
  <si>
    <t>QA01 - % #4</t>
  </si>
  <si>
    <t>QA01 - % #5</t>
  </si>
  <si>
    <t>QA01 - % #6</t>
  </si>
  <si>
    <t>QA01 - B.O.D. Sp. Gravity</t>
  </si>
  <si>
    <t>QA01 - B.O.D. Sp. Gravity #2</t>
  </si>
  <si>
    <t>QA01 - B.O.D. Sp. Gravity #3</t>
  </si>
  <si>
    <t>QA01 - B.O.D. Sp. Gravity #4</t>
  </si>
  <si>
    <t>QA01 - B.O.D. Sp. Gravity #5</t>
  </si>
  <si>
    <t>QA01 - B.O.D. Sp. Gravity #6</t>
  </si>
  <si>
    <t>QA01 - LABEL: Sample Info</t>
  </si>
  <si>
    <t>QA01 - Date</t>
  </si>
  <si>
    <t xml:space="preserve">QA01 - Time </t>
  </si>
  <si>
    <t>QA01 - Truck #</t>
  </si>
  <si>
    <t>QA01 - Tons</t>
  </si>
  <si>
    <t>QA01 - LABEL: Volumetric Results</t>
  </si>
  <si>
    <t>QA01 - Acceptance Method</t>
  </si>
  <si>
    <t>QA01 - % Binder in Mix</t>
  </si>
  <si>
    <t>QA01 - Unit Weight</t>
  </si>
  <si>
    <t>QA01 - Max. Sp. Gravity</t>
  </si>
  <si>
    <t>QA01 - Air Voids</t>
  </si>
  <si>
    <t>QA01 - % Eff. Binder</t>
  </si>
  <si>
    <t>QA01 - VMA</t>
  </si>
  <si>
    <t>QA01 - VFA</t>
  </si>
  <si>
    <t>QA01 - D/A Ratio</t>
  </si>
  <si>
    <t xml:space="preserve">QA01 - Hand Mixed % Binder </t>
  </si>
  <si>
    <t>QA01 - H. M. Max. Sp. Gravity</t>
  </si>
  <si>
    <t>6x12</t>
  </si>
  <si>
    <t>6x12 Cylinders</t>
  </si>
  <si>
    <t># 200</t>
  </si>
  <si>
    <t>Extraction</t>
  </si>
  <si>
    <t>Back-Calculation of MSG</t>
  </si>
  <si>
    <t>Super Verify # 1</t>
  </si>
  <si>
    <t>Super Verify # 2</t>
  </si>
  <si>
    <t>Ignition Furnace</t>
  </si>
  <si>
    <t>Gradation # 1</t>
  </si>
  <si>
    <t>Pay Factors for Gradation Calculations</t>
  </si>
  <si>
    <t>NACG</t>
  </si>
  <si>
    <t>Gradation # 2</t>
  </si>
  <si>
    <t>Printed Ticket</t>
  </si>
  <si>
    <t>Gradation # 3</t>
  </si>
  <si>
    <t>Gradation # 4</t>
  </si>
  <si>
    <t>Wt. of Bowl:</t>
  </si>
  <si>
    <t>Accept. Grad. # 1</t>
  </si>
  <si>
    <t>Sample ID #:</t>
  </si>
  <si>
    <t>Wt. of Bowl &amp; Sample:</t>
  </si>
  <si>
    <t>Accept. Grad. # 2</t>
  </si>
  <si>
    <t>Pad Gain:</t>
  </si>
  <si>
    <t>Accept. Grad. # 3</t>
  </si>
  <si>
    <t>Wt. of Dry Agg.:</t>
  </si>
  <si>
    <t>Accept. Grad. # 4</t>
  </si>
  <si>
    <t>J1=15 for OGFC</t>
  </si>
  <si>
    <t>JMF Tol.</t>
  </si>
  <si>
    <t>a</t>
  </si>
  <si>
    <t>LAP100201</t>
  </si>
  <si>
    <t>LAP100301</t>
  </si>
  <si>
    <t>LAP100401</t>
  </si>
  <si>
    <t>Mountain Enterprises @ Ashland</t>
  </si>
  <si>
    <t>Mountain Enterprises @ Cumberland</t>
  </si>
  <si>
    <t>Mountain Enterprises @ Grassy Creek</t>
  </si>
  <si>
    <t>Mountain Enterprises @ Harlan</t>
  </si>
  <si>
    <t>Mountain Enterprises @ Hazard</t>
  </si>
  <si>
    <t>Mountain Enterprises @ Inez</t>
  </si>
  <si>
    <t>Mountain Enterprises @ Jenkins</t>
  </si>
  <si>
    <t>Mountain Enterprises @ Louisa</t>
  </si>
  <si>
    <t>Mountain Enterprises @ Martin</t>
  </si>
  <si>
    <t>Mountain Enterprises @ Shelbiana</t>
  </si>
  <si>
    <t>Ohio Valley Asphalt @ Carrollton</t>
  </si>
  <si>
    <t>Owensboro Paving @ Owensboro (Drum)</t>
  </si>
  <si>
    <t>Rogers Group @ Henderson</t>
  </si>
  <si>
    <t>Shelbyville Asphalt @ Shelbyville</t>
  </si>
  <si>
    <t>The Allen Company @ Berea</t>
  </si>
  <si>
    <t>The Allen Company @ Boonesborough</t>
  </si>
  <si>
    <t>The Walker Company @ Frenchburg</t>
  </si>
  <si>
    <t>The Walker Company @ Mount Sterling</t>
  </si>
  <si>
    <t>OTHER?</t>
  </si>
  <si>
    <t>QA01</t>
  </si>
  <si>
    <t>IQ01</t>
  </si>
  <si>
    <t>Agg. Prod. Code</t>
  </si>
  <si>
    <t xml:space="preserve">Matl. Type &amp; Size </t>
  </si>
  <si>
    <t>Contract I.D.</t>
  </si>
  <si>
    <t>Item Code:</t>
  </si>
  <si>
    <t>Time</t>
  </si>
  <si>
    <t>Sublot # 3 Tested by</t>
  </si>
  <si>
    <t>Sublot # 1 Tested by</t>
  </si>
  <si>
    <t>Sublot # 2 Tested by</t>
  </si>
  <si>
    <t>Sublot # 4 Tested by</t>
  </si>
  <si>
    <t>LAP100501</t>
  </si>
  <si>
    <t>LAP100601</t>
  </si>
  <si>
    <t>LAP100801</t>
  </si>
  <si>
    <t>LAP101001</t>
  </si>
  <si>
    <t>LAP101002</t>
  </si>
  <si>
    <t>LAP101004</t>
  </si>
  <si>
    <t>LAP101008</t>
  </si>
  <si>
    <r>
      <t xml:space="preserve">IF t_smpl.smpl_t = "QC" THEN
   t_cont_smpl.repr_qty = 
            User Entered "Represent Quantity" </t>
    </r>
    <r>
      <rPr>
        <b/>
        <sz val="10"/>
        <rFont val="Arial"/>
        <family val="2"/>
      </rPr>
      <t>/ J4</t>
    </r>
    <r>
      <rPr>
        <sz val="10"/>
        <rFont val="Arial"/>
        <family val="2"/>
      </rPr>
      <t xml:space="preserve">
ELSE
   just use User Entered "Represented Quantity"
ENDIF
     </t>
    </r>
  </si>
  <si>
    <t>Updated P/S and Materials Codes to valid codes.</t>
  </si>
  <si>
    <r>
      <t xml:space="preserve">THESE THREE FIELDS COME FROM THE FIRST THREE COLUMNS ON THE "Project Item" TAB 
</t>
    </r>
    <r>
      <rPr>
        <b/>
        <sz val="10"/>
        <color indexed="10"/>
        <rFont val="Arial"/>
        <family val="2"/>
      </rPr>
      <t>(AND EACH ROW ON THAT TAB REPEATS FOR EVERY ROW ON THIS TAB HAVING A "Sample ID")</t>
    </r>
  </si>
  <si>
    <r>
      <t xml:space="preserve">Not Used
</t>
    </r>
    <r>
      <rPr>
        <sz val="9"/>
        <color indexed="10"/>
        <rFont val="Arial"/>
        <family val="2"/>
      </rPr>
      <t>Initialized to 0</t>
    </r>
  </si>
  <si>
    <r>
      <t xml:space="preserve">Test Specification Date (Not used in this discipline)
</t>
    </r>
    <r>
      <rPr>
        <sz val="10"/>
        <color indexed="10"/>
        <rFont val="Arial"/>
        <family val="2"/>
      </rPr>
      <t>Initialized to null (0 on SM DB)</t>
    </r>
  </si>
  <si>
    <t>AMAW</t>
  </si>
  <si>
    <t>Initial release of workbook with SM data mappings.</t>
  </si>
  <si>
    <t>VI01</t>
  </si>
  <si>
    <r>
      <t>Fiixed reference to KMIMS on Cores tab; Fixed Inspector ID on top of Gradation tab; Fixed all Remark IDs on t_rmks_dtl tab; Fixed "TON" in code table (was "TON</t>
    </r>
    <r>
      <rPr>
        <b/>
        <sz val="10"/>
        <rFont val="Arial"/>
        <family val="2"/>
      </rPr>
      <t>S</t>
    </r>
    <r>
      <rPr>
        <sz val="10"/>
        <rFont val="Arial"/>
        <family val="2"/>
      </rPr>
      <t>").</t>
    </r>
  </si>
  <si>
    <t>MCL</t>
  </si>
  <si>
    <t>Final Pay Values And Adjustments</t>
  </si>
  <si>
    <r>
      <t>Pavement Wedge Tons</t>
    </r>
    <r>
      <rPr>
        <b/>
        <sz val="10"/>
        <color indexed="10"/>
        <rFont val="Arial"/>
        <family val="2"/>
      </rPr>
      <t>**</t>
    </r>
  </si>
  <si>
    <t>Corrected Air Voids Pay Values</t>
  </si>
  <si>
    <t>M</t>
  </si>
  <si>
    <t>STRCONC</t>
  </si>
  <si>
    <t>Sample ID</t>
  </si>
  <si>
    <t>Sample Date</t>
  </si>
  <si>
    <t>Material Code</t>
  </si>
  <si>
    <t>Mix ID</t>
  </si>
  <si>
    <t>Remarks</t>
  </si>
  <si>
    <t>Sample Status</t>
  </si>
  <si>
    <t>various (Sample Pass/Fail on Details)</t>
  </si>
  <si>
    <t>Sample Type</t>
  </si>
  <si>
    <t>various (see below)</t>
  </si>
  <si>
    <t>Acceptance Method</t>
  </si>
  <si>
    <t>Test Method</t>
  </si>
  <si>
    <t>Overwrite Capable</t>
  </si>
  <si>
    <t>Y</t>
  </si>
  <si>
    <t>Contract Spec Year</t>
  </si>
  <si>
    <t>Sample Design Type</t>
  </si>
  <si>
    <t>PCC</t>
  </si>
  <si>
    <t>Control Type</t>
  </si>
  <si>
    <t>Control Number</t>
  </si>
  <si>
    <t>Seal Number</t>
  </si>
  <si>
    <t>Remark ID</t>
  </si>
  <si>
    <t>Remark Type</t>
  </si>
  <si>
    <t>GEN</t>
  </si>
  <si>
    <t>Remark SN</t>
  </si>
  <si>
    <t>SMPLTYPE</t>
  </si>
  <si>
    <t>SMPLSTAT</t>
  </si>
  <si>
    <t>QA</t>
  </si>
  <si>
    <t>COMPLETE</t>
  </si>
  <si>
    <t>COMP</t>
  </si>
  <si>
    <t>QC</t>
  </si>
  <si>
    <t>INFORMATIONAL</t>
  </si>
  <si>
    <t>INFO</t>
  </si>
  <si>
    <t>TST_METH</t>
  </si>
  <si>
    <t>PROJECT ACCEPTANCE</t>
  </si>
  <si>
    <t>PACP</t>
  </si>
  <si>
    <t>Conc Plastic Tests</t>
  </si>
  <si>
    <t xml:space="preserve">COCONCPLAS </t>
  </si>
  <si>
    <t>MIX DESIGN APPROVAL</t>
  </si>
  <si>
    <t>MDA</t>
  </si>
  <si>
    <t>Conc Comp Strength</t>
  </si>
  <si>
    <t xml:space="preserve">COCONCCOMP </t>
  </si>
  <si>
    <t>ACPTMETH</t>
  </si>
  <si>
    <t>CNTRLTYP</t>
  </si>
  <si>
    <t>TEST RESULTS</t>
  </si>
  <si>
    <t>TR</t>
  </si>
  <si>
    <t>LOT NUMBER</t>
  </si>
  <si>
    <t>LNBR</t>
  </si>
  <si>
    <t>BATCH NUMBER</t>
  </si>
  <si>
    <t>BNBR</t>
  </si>
  <si>
    <t>HEAT NUMBER</t>
  </si>
  <si>
    <t>HNBR</t>
  </si>
  <si>
    <t>SM Field "Defaults"</t>
  </si>
  <si>
    <t>CYLINDER NUMBER</t>
  </si>
  <si>
    <t>CNBR</t>
  </si>
  <si>
    <t>BLANK</t>
  </si>
  <si>
    <t>ZERO</t>
  </si>
  <si>
    <t>MATLCATG</t>
  </si>
  <si>
    <t>QUALEV</t>
  </si>
  <si>
    <t>CONCRETE MIX DESIGN</t>
  </si>
  <si>
    <t>CMXD</t>
  </si>
  <si>
    <t>ACI LEVEL I</t>
  </si>
  <si>
    <t>ACI1</t>
  </si>
  <si>
    <t>KRMCA TECHNICIAN LEVEL II</t>
  </si>
  <si>
    <t>KRT2</t>
  </si>
  <si>
    <t>Contractor Entries</t>
  </si>
  <si>
    <t>Read-Only</t>
  </si>
  <si>
    <t>SM Table</t>
  </si>
  <si>
    <t>SM Column</t>
  </si>
  <si>
    <t>v2.0</t>
  </si>
  <si>
    <t xml:space="preserve">AMP070302      </t>
  </si>
  <si>
    <t xml:space="preserve">AMP100302      </t>
  </si>
  <si>
    <t xml:space="preserve">AMP070308      </t>
  </si>
  <si>
    <t>Barrett Paving @ Wilder</t>
  </si>
  <si>
    <t>Bluegrass Paving @ Florence</t>
  </si>
  <si>
    <t>24025</t>
  </si>
  <si>
    <t>ROM</t>
  </si>
  <si>
    <t>Shingles</t>
  </si>
  <si>
    <t>Slag #57's</t>
  </si>
  <si>
    <t>Slag #68's</t>
  </si>
  <si>
    <t>Slag #78's</t>
  </si>
  <si>
    <t>Slag #8's</t>
  </si>
  <si>
    <t>Slag #9M's</t>
  </si>
  <si>
    <t>Slag Sand</t>
  </si>
  <si>
    <t>Asph Agg-#10 Unwashed</t>
  </si>
  <si>
    <t>Asph Agg-#10 Washed</t>
  </si>
  <si>
    <t>Asph Agg-#11 Unwashed</t>
  </si>
  <si>
    <t>Asph Agg-#11 Washed</t>
  </si>
  <si>
    <t>Asph Agg-Comb.-NSG</t>
  </si>
  <si>
    <t>Asph Agg-Cr. Gravel Sand</t>
  </si>
  <si>
    <t>Asph Agg-Fine Unwashed</t>
  </si>
  <si>
    <t>Asph Agg-Fine Washed</t>
  </si>
  <si>
    <t>Asph Agg-Mineral Filler</t>
  </si>
  <si>
    <t>Asph Agg-NSG-Fine Unwashed</t>
  </si>
  <si>
    <t>Asph Agg-NSG-Fine Washed</t>
  </si>
  <si>
    <t>Asph Agg #357</t>
  </si>
  <si>
    <t>Asph Agg #4</t>
  </si>
  <si>
    <t>Asph Agg #467</t>
  </si>
  <si>
    <t>Asph Agg #5</t>
  </si>
  <si>
    <t>Asph Agg #57</t>
  </si>
  <si>
    <t>Asph Agg #67</t>
  </si>
  <si>
    <t>Asph Agg #67 Class A</t>
  </si>
  <si>
    <t>Asph Agg #67 Class B</t>
  </si>
  <si>
    <t>Asph Agg #68</t>
  </si>
  <si>
    <t>Asph Agg #68 Class A</t>
  </si>
  <si>
    <t>Asph Agg #68 Class B</t>
  </si>
  <si>
    <t>Asph Agg #78</t>
  </si>
  <si>
    <t>Asph Agg #78 Class A</t>
  </si>
  <si>
    <t>Asph Agg #78 Class B</t>
  </si>
  <si>
    <t>Asph Agg #8</t>
  </si>
  <si>
    <t>Asph Agg #8 Class A</t>
  </si>
  <si>
    <t>Asph Agg #8 Class B</t>
  </si>
  <si>
    <t>Asph Agg #9M</t>
  </si>
  <si>
    <t>Asph Agg #9M Class A</t>
  </si>
  <si>
    <t>Asph Agg #9M Class B</t>
  </si>
  <si>
    <t>Asph Agg DGA</t>
  </si>
  <si>
    <t>Asph Agg NSG Class A</t>
  </si>
  <si>
    <t>Asph Agg NSG Class B</t>
  </si>
  <si>
    <t>Asph Agg NSG-Coarse</t>
  </si>
  <si>
    <t>Asph Agg Fine Class A</t>
  </si>
  <si>
    <t>Asph Agg Fine Class B</t>
  </si>
  <si>
    <t>Attached new map which includes the root sample id (filename).  The new map also ensures all dates from excel are in the same formate (serial date).  Conversion to normal date and format is handled in the applet.  All dates are tested for validity and that they don't exceed the current system date.</t>
  </si>
  <si>
    <t>TDS</t>
  </si>
  <si>
    <t>Comes from t_rmks_dtl tab
(Only QC &amp; QA have active remarks - not active for INFO Samples currently)</t>
  </si>
  <si>
    <t>Hamilton &amp; Hinkle @ Georgetown (Drum #1)</t>
  </si>
  <si>
    <t>AMP090303</t>
  </si>
  <si>
    <t>b</t>
  </si>
  <si>
    <t>c</t>
  </si>
  <si>
    <t>d</t>
  </si>
  <si>
    <t>e</t>
  </si>
  <si>
    <t>f</t>
  </si>
  <si>
    <t>g</t>
  </si>
  <si>
    <t>h</t>
  </si>
  <si>
    <t>t_tst_rslt_dtl</t>
  </si>
  <si>
    <t>tst_fld_sn</t>
  </si>
  <si>
    <t>tst_strg_fld_val</t>
  </si>
  <si>
    <t>tst_numrc_fld_val</t>
  </si>
  <si>
    <t>Type &amp; Size</t>
  </si>
  <si>
    <t>B23</t>
  </si>
  <si>
    <t>B37</t>
  </si>
  <si>
    <r>
      <t xml:space="preserve">Up to 254 char Sample Remark </t>
    </r>
    <r>
      <rPr>
        <b/>
        <sz val="10"/>
        <rFont val="Arial"/>
        <family val="2"/>
      </rPr>
      <t xml:space="preserve"> 
(NOTE: COULD HAVE REMARK FOR EACH TEST.)</t>
    </r>
  </si>
  <si>
    <t>Cell</t>
  </si>
  <si>
    <t>Label</t>
  </si>
  <si>
    <t>Alphanumeric</t>
  </si>
  <si>
    <t>Numeric</t>
  </si>
  <si>
    <t>Sample ID:</t>
  </si>
  <si>
    <t>Producer/Supplier Code:</t>
  </si>
  <si>
    <t>Approval Authorized By</t>
  </si>
  <si>
    <t>Represented</t>
  </si>
  <si>
    <t>Item</t>
  </si>
  <si>
    <t>Project</t>
  </si>
  <si>
    <t>Line Item Number</t>
  </si>
  <si>
    <t>Quantity</t>
  </si>
  <si>
    <t>Code</t>
  </si>
  <si>
    <t>(in item code unit)</t>
  </si>
  <si>
    <t xml:space="preserve">   (Add as many rows as required)</t>
  </si>
  <si>
    <t xml:space="preserve">ESAL Class:  </t>
  </si>
  <si>
    <t>Eaton Asphalt Paving @ Richwood</t>
  </si>
  <si>
    <t>Eaton Asphalt Paving @ Sanfordtown</t>
  </si>
  <si>
    <t>Flemingsburg Materials @ Flemingsburg</t>
  </si>
  <si>
    <t>Flynn Brothers Contracting @ Louisville</t>
  </si>
  <si>
    <t>Frankfort Materials @ Frankfort</t>
  </si>
  <si>
    <t>Gaddie Shamrock @ Albany</t>
  </si>
  <si>
    <t>Hinkle Contracting @ Bowen</t>
  </si>
  <si>
    <t>Hinkle Contracting @ Jackson</t>
  </si>
  <si>
    <t>Hinkle Contracting @ Morehead (Batch)</t>
  </si>
  <si>
    <t>Hinkle Contracting @ Paris</t>
  </si>
  <si>
    <t>Hinkle Contracting @ Pomp</t>
  </si>
  <si>
    <t>Hinkle Contracting @ Ravenna</t>
  </si>
  <si>
    <t>Hinkle Contracting @ Tateville</t>
  </si>
  <si>
    <t>Jim Smith Contracting @ Lake City (Batch)</t>
  </si>
  <si>
    <t>Jim Smith Contracting @ Lake City (Drum)</t>
  </si>
  <si>
    <t>Jim Smith Contracting @ Paducah</t>
  </si>
  <si>
    <t>Mago Construction @ Butler</t>
  </si>
  <si>
    <t>Mago Construction @ Hardinsburg</t>
  </si>
  <si>
    <t>Mago Construction @ Harrodsburg</t>
  </si>
  <si>
    <t>Mago Construction @ Irvington</t>
  </si>
  <si>
    <t>Mago Construction @ Lockport</t>
  </si>
  <si>
    <t>Mago Construction @ Monticello</t>
  </si>
  <si>
    <t>Mago Construction @ Shepherdsville</t>
  </si>
  <si>
    <t>Mago Construction @ Tyrone</t>
  </si>
  <si>
    <t>Maysville Materials @ Maysville</t>
  </si>
  <si>
    <t>Sublot Aggregate Data</t>
  </si>
  <si>
    <t>Sample Origin</t>
  </si>
  <si>
    <t>Sample From</t>
  </si>
  <si>
    <t>Town (where sampled)</t>
  </si>
  <si>
    <t>Buy USA Indicator</t>
  </si>
  <si>
    <t>Buy USA Requirement Type</t>
  </si>
  <si>
    <t>Reference</t>
  </si>
  <si>
    <t>Sample Size</t>
  </si>
  <si>
    <t>Name of Sample Requester</t>
  </si>
  <si>
    <t>Standard Remarks Included Indicator</t>
  </si>
  <si>
    <t>Sample Locked Indicator</t>
  </si>
  <si>
    <t>Distance From Finished Grade</t>
  </si>
  <si>
    <t>Distance From Finished Grade Unit</t>
  </si>
  <si>
    <t>Reference Document</t>
  </si>
  <si>
    <t>Sample Size Unit</t>
  </si>
  <si>
    <t>Sample Lock Type</t>
  </si>
  <si>
    <t>Sample Locked By (SM User ID)</t>
  </si>
  <si>
    <t>Sample Lock Date</t>
  </si>
  <si>
    <t>Sample Lock Level 1 Office</t>
  </si>
  <si>
    <t>Sample Lock Level 2 Office</t>
  </si>
  <si>
    <t>Sample Lock Level 3 Office</t>
  </si>
  <si>
    <t>Sample Lock Level 4 Office</t>
  </si>
  <si>
    <t>These three keys (and matl_cd from Header tab) must exist on t_cont_streq_matl.</t>
  </si>
  <si>
    <t>NUMBER OF QC SAMPLES</t>
  </si>
  <si>
    <t>Contract ID</t>
  </si>
  <si>
    <t>Project Number</t>
  </si>
  <si>
    <t>Represented Quantity</t>
  </si>
  <si>
    <t>Remark Sequence Number</t>
  </si>
  <si>
    <t>Existing on t_tst_fee_schd</t>
  </si>
  <si>
    <t>Test Number</t>
  </si>
  <si>
    <t>Charge Amount</t>
  </si>
  <si>
    <t>Received Date</t>
  </si>
  <si>
    <t>Actual Start Date</t>
  </si>
  <si>
    <t>Actual Completion Date</t>
  </si>
  <si>
    <t>SiteManager 
Sample ID</t>
  </si>
  <si>
    <t>Tester ID</t>
  </si>
  <si>
    <t>Effective Date</t>
  </si>
  <si>
    <t xml:space="preserve">An active “SUPERPAVE PLANT TECHNOLOGIST” Sampler qualification for a Material Category of “'ASPHALT-PLANT MIX”.
---OR---
An active “SUPERPAVE MIX DESIGN TECHNOLOGIST” Sampler qualification (and therefore have a SM User ID) for a Material Category of “ASPHALT-MIX DESIGN”.
</t>
  </si>
  <si>
    <t>IF Not Used,
Initialize to " " 
(i.e., space)</t>
  </si>
  <si>
    <t>IF Not Used
Initialize to 0</t>
  </si>
  <si>
    <t>Test Field Sequence Number</t>
  </si>
  <si>
    <t>Test Field String Value</t>
  </si>
  <si>
    <t>Test Field Numeric Value</t>
  </si>
  <si>
    <t>For QC samples, this is the Sublot Date recorded for each sublot.  
For QA samples, this is the Sublot Date for the corresponding QC sublot.</t>
  </si>
  <si>
    <t>VI01 - Comment  (NOT CURRENTLY USED)</t>
  </si>
  <si>
    <t>VI01 - GenericString2  (NOT CURRENTLY USED)</t>
  </si>
  <si>
    <t>VI01 - GenericNum1  (NOT CURRENTLY USED)</t>
  </si>
  <si>
    <t>VI01 - GenericNum2  (NOT CURRENTLY USED)</t>
  </si>
  <si>
    <t>VI01 - GenericNum3  (NOT CURRENTLY USED)</t>
  </si>
  <si>
    <t>VI01 - GenericNum4  (NOT CURRENTLY USED)</t>
  </si>
  <si>
    <t>Mapping</t>
  </si>
  <si>
    <t>f8</t>
  </si>
  <si>
    <t>f9</t>
  </si>
  <si>
    <t>f10</t>
  </si>
  <si>
    <t>f11</t>
  </si>
  <si>
    <t>D31</t>
  </si>
  <si>
    <t>D32</t>
  </si>
  <si>
    <t>D33</t>
  </si>
  <si>
    <t>D34</t>
  </si>
  <si>
    <t>I25</t>
  </si>
  <si>
    <t>I26</t>
  </si>
  <si>
    <t>I27</t>
  </si>
  <si>
    <t>I28</t>
  </si>
  <si>
    <t>I29</t>
  </si>
  <si>
    <t>I30</t>
  </si>
  <si>
    <t>I31</t>
  </si>
  <si>
    <t>I32</t>
  </si>
  <si>
    <t>I33</t>
  </si>
  <si>
    <t>I34</t>
  </si>
  <si>
    <t>I35</t>
  </si>
  <si>
    <t>I36</t>
  </si>
  <si>
    <t>I37</t>
  </si>
  <si>
    <t>I38</t>
  </si>
  <si>
    <t>B39</t>
  </si>
  <si>
    <t>C39</t>
  </si>
  <si>
    <t>D39</t>
  </si>
  <si>
    <t>E39</t>
  </si>
  <si>
    <t>E40</t>
  </si>
  <si>
    <t>Dolomite #67's Class A</t>
  </si>
  <si>
    <t>10355</t>
  </si>
  <si>
    <t>Dolomite #67's Class B</t>
  </si>
  <si>
    <t>10360</t>
  </si>
  <si>
    <t>Dolomite #68's</t>
  </si>
  <si>
    <t>10365</t>
  </si>
  <si>
    <t>Dolomite #68's Class A</t>
  </si>
  <si>
    <t>10370</t>
  </si>
  <si>
    <t>Dolomite #68's Class B</t>
  </si>
  <si>
    <t>10375</t>
  </si>
  <si>
    <t>Dolomite #78's</t>
  </si>
  <si>
    <t>10380</t>
  </si>
  <si>
    <t>Dolomite #78's Class A</t>
  </si>
  <si>
    <t>10385</t>
  </si>
  <si>
    <t>Dolomite #78's Class B</t>
  </si>
  <si>
    <t>10390</t>
  </si>
  <si>
    <t>Dolomite #8's</t>
  </si>
  <si>
    <t>10395</t>
  </si>
  <si>
    <t>Dolomite #8's Class A</t>
  </si>
  <si>
    <t>10400</t>
  </si>
  <si>
    <t>Dolomite #8's Class B</t>
  </si>
  <si>
    <t>10405</t>
  </si>
  <si>
    <t>Dolomite #9M's</t>
  </si>
  <si>
    <t>10410</t>
  </si>
  <si>
    <t>Dolomite #9M's Class A</t>
  </si>
  <si>
    <t>10415</t>
  </si>
  <si>
    <t>Dolomite #9M's Class B</t>
  </si>
  <si>
    <t>10420</t>
  </si>
  <si>
    <t>Dolomite Comb.-NSG</t>
  </si>
  <si>
    <t>10300</t>
  </si>
  <si>
    <t>Dolomite NSG Class A</t>
  </si>
  <si>
    <t>10430</t>
  </si>
  <si>
    <t>Dolomite NSG Class B</t>
  </si>
  <si>
    <t>10435</t>
  </si>
  <si>
    <t>Dol. NSG Fine (Unwashed)</t>
  </si>
  <si>
    <t>10323</t>
  </si>
  <si>
    <t>Dol. NSG Fine (Washed)</t>
  </si>
  <si>
    <t>10320</t>
  </si>
  <si>
    <t>Dolomite NSG-Coarse</t>
  </si>
  <si>
    <t>10440</t>
  </si>
  <si>
    <t>Dol. Sand (Unwashed)</t>
  </si>
  <si>
    <t>10313</t>
  </si>
  <si>
    <t>Dol. Sand (Washed)</t>
  </si>
  <si>
    <t>10310</t>
  </si>
  <si>
    <t>Dolomite Sand Class A</t>
  </si>
  <si>
    <t>10436</t>
  </si>
  <si>
    <t>Dolomite Sand Class B</t>
  </si>
  <si>
    <t>10437</t>
  </si>
  <si>
    <t>Granite #67's</t>
  </si>
  <si>
    <t>Granite #78's</t>
  </si>
  <si>
    <t>Granite #8's</t>
  </si>
  <si>
    <t>Granite #9M's</t>
  </si>
  <si>
    <t>Granite Sand</t>
  </si>
  <si>
    <t>Gravel #57's</t>
  </si>
  <si>
    <t>10345</t>
  </si>
  <si>
    <t>Gravel #67's</t>
  </si>
  <si>
    <t>Gravel #78's</t>
  </si>
  <si>
    <t>Gravel #8's</t>
  </si>
  <si>
    <t>Gravel #9M's</t>
  </si>
  <si>
    <t>Gravel Sand-Crushed</t>
  </si>
  <si>
    <t>10305</t>
  </si>
  <si>
    <t>LS #10's (Unwashed)</t>
  </si>
  <si>
    <t>LS #10's (Washed)</t>
  </si>
  <si>
    <t>LS #11's (Unwashed)</t>
  </si>
  <si>
    <t>LS #11's (Washed)</t>
  </si>
  <si>
    <t>Limestone #357's</t>
  </si>
  <si>
    <t>10325</t>
  </si>
  <si>
    <t>Limestone #467's</t>
  </si>
  <si>
    <t>10335</t>
  </si>
  <si>
    <t>Limestone #4's</t>
  </si>
  <si>
    <t>10330</t>
  </si>
  <si>
    <t>Limestone #57's</t>
  </si>
  <si>
    <t>Limestone #5's</t>
  </si>
  <si>
    <t>10340</t>
  </si>
  <si>
    <t>Limestone #67's</t>
  </si>
  <si>
    <t>LS #67's Class A</t>
  </si>
  <si>
    <t>LS #67's Class B</t>
  </si>
  <si>
    <t>Limestone #68's</t>
  </si>
  <si>
    <t>LS #68's Class A</t>
  </si>
  <si>
    <t>LS #68's Class B</t>
  </si>
  <si>
    <t>Limestone #78's</t>
  </si>
  <si>
    <t>LS #78's Class A</t>
  </si>
  <si>
    <t>LS #78's Class B</t>
  </si>
  <si>
    <t>Limestone #8's</t>
  </si>
  <si>
    <t>LS #8's Class A</t>
  </si>
  <si>
    <t>LS #8's Class B</t>
  </si>
  <si>
    <t>Limestone #9M's</t>
  </si>
  <si>
    <t>LS #9M's Class A</t>
  </si>
  <si>
    <t>LS #9M's Class B</t>
  </si>
  <si>
    <t>LS Combined-NSG</t>
  </si>
  <si>
    <t>Limestone DGA</t>
  </si>
  <si>
    <t>10425</t>
  </si>
  <si>
    <t>LS NSG Class A</t>
  </si>
  <si>
    <t>LS NSG Class B</t>
  </si>
  <si>
    <t>LS NSG-Coarse</t>
  </si>
  <si>
    <t>LS NSG-Fine (Unwashed)</t>
  </si>
  <si>
    <t>LS NSG-Fine (Washed)</t>
  </si>
  <si>
    <t>LSS (Unwashed)</t>
  </si>
  <si>
    <t>LSS (Washed)</t>
  </si>
  <si>
    <t>LSS Anti-Skid A</t>
  </si>
  <si>
    <t>LSS Anti-Skid B</t>
  </si>
  <si>
    <t>Mineral Filler</t>
  </si>
  <si>
    <t>10315</t>
  </si>
  <si>
    <t>Natural Sand</t>
  </si>
  <si>
    <t>H10</t>
  </si>
  <si>
    <t>H11</t>
  </si>
  <si>
    <t>H12</t>
  </si>
  <si>
    <t>H13</t>
  </si>
  <si>
    <t>H14</t>
  </si>
  <si>
    <t>H15</t>
  </si>
  <si>
    <t>D19</t>
  </si>
  <si>
    <t>E19</t>
  </si>
  <si>
    <t>F19</t>
  </si>
  <si>
    <t>G19</t>
  </si>
  <si>
    <t>D24</t>
  </si>
  <si>
    <t>D25</t>
  </si>
  <si>
    <t>D26</t>
  </si>
  <si>
    <t>D27</t>
  </si>
  <si>
    <t>D28</t>
  </si>
  <si>
    <t>D29</t>
  </si>
  <si>
    <t>D30</t>
  </si>
  <si>
    <t>VI01 - Sta,# / Offset #5</t>
  </si>
  <si>
    <t>VI01 - Sta,# / Offset #6</t>
  </si>
  <si>
    <t>VI01 - Core Density</t>
  </si>
  <si>
    <t>VI01 - Core Density #2</t>
  </si>
  <si>
    <t>VI01 - Core Density #3</t>
  </si>
  <si>
    <t>VI01 - Core Density #4</t>
  </si>
  <si>
    <t>VI01 - Core Density #5</t>
  </si>
  <si>
    <t>VI01 - Core Density #6</t>
  </si>
  <si>
    <t>VI01 - % Sol. Den.</t>
  </si>
  <si>
    <t>VI01 - % Sol. Den. #2</t>
  </si>
  <si>
    <t>VI01 - % Sol. Den. #3</t>
  </si>
  <si>
    <t>VI01 - % Sol. Den. #4</t>
  </si>
  <si>
    <t>VI01 - % Sol. Den. #5</t>
  </si>
  <si>
    <t>VI01 - % Sol. Den. #6</t>
  </si>
  <si>
    <t>VI01 - LABEL: Sample Info</t>
  </si>
  <si>
    <t>VI01 - LABEL: Sublot Aggregate Data</t>
  </si>
  <si>
    <t>VI01 - LABEL: Volumetric Results</t>
  </si>
  <si>
    <t>VI01 - LABEL: Gradation Test Results % Passing</t>
  </si>
  <si>
    <t>VI01 - LABEL: Core Data</t>
  </si>
  <si>
    <t>Only used on QC01</t>
  </si>
  <si>
    <t>QC01 - Comment  (NOT CURRENTLY USED)</t>
  </si>
  <si>
    <t>QC01 - GenericString2  (NOT CURRENTLY USED)</t>
  </si>
  <si>
    <t>QC01 - GenericNum1  (NOT CURRENTLY USED)</t>
  </si>
  <si>
    <t>QC01 - GenericNum2  (NOT CURRENTLY USED)</t>
  </si>
  <si>
    <t>QC01 - GenericNum3  (NOT CURRENTLY USED)</t>
  </si>
  <si>
    <t>QC01 - GenericNum4  (NOT CURRENTLY USED)</t>
  </si>
  <si>
    <t>QC01 - County</t>
  </si>
  <si>
    <t>QC01 - LABEL: Sublot Aggregate Data</t>
  </si>
  <si>
    <t>QC01 - Gsb =</t>
  </si>
  <si>
    <t>QC01 - Aggr. Pro. Codes</t>
  </si>
  <si>
    <t>QC01 - Aggr. Pro. Codes #2</t>
  </si>
  <si>
    <t>QC01 - Aggr. Pro. Codes #3</t>
  </si>
  <si>
    <t>1 1/2"</t>
  </si>
  <si>
    <t>QC01 - Aggr. Pro. Codes #4</t>
  </si>
  <si>
    <t>QC01 - Aggr. Pro. Codes #5</t>
  </si>
  <si>
    <t>QC01 - Aggr. Pro. Codes #6</t>
  </si>
  <si>
    <t>QC01 - Type &amp; Size</t>
  </si>
  <si>
    <t>QC01 - Type &amp; Size #2</t>
  </si>
  <si>
    <t>QC01 - Type &amp; Size #3</t>
  </si>
  <si>
    <t>QC01 - Type &amp; Size #4</t>
  </si>
  <si>
    <t>QC01 - Type &amp; Size #5</t>
  </si>
  <si>
    <t>QC01 - Type &amp; Size #6</t>
  </si>
  <si>
    <t>QC01 - %</t>
  </si>
  <si>
    <t>QC01 - % #2</t>
  </si>
  <si>
    <t>QC01 - % #3</t>
  </si>
  <si>
    <t>QC01 - % #4</t>
  </si>
  <si>
    <t>QC01 - % #5</t>
  </si>
  <si>
    <t>QC01 - % #6</t>
  </si>
  <si>
    <t>QC01 - B.O.D. Sp. Gravity</t>
  </si>
  <si>
    <t>QC01 - B.O.D. Sp. Gravity #2</t>
  </si>
  <si>
    <t>QC01 - B.O.D. Sp. Gravity #3</t>
  </si>
  <si>
    <t>QC01 - B.O.D. Sp. Gravity #4</t>
  </si>
  <si>
    <t>QC01 - B.O.D. Sp. Gravity #5</t>
  </si>
  <si>
    <t>QC01 - B.O.D. Sp. Gravity #6</t>
  </si>
  <si>
    <t>QC01 - LABEL: Sample Info</t>
  </si>
  <si>
    <t>QC01 - Date</t>
  </si>
  <si>
    <t xml:space="preserve">QC01 - Time </t>
  </si>
  <si>
    <t>QC01 - Truck #</t>
  </si>
  <si>
    <t>QC01 - Tons</t>
  </si>
  <si>
    <t>QC01 - LABEL: Volumetric Results</t>
  </si>
  <si>
    <t>QC01 - Acceptance Method</t>
  </si>
  <si>
    <t>QC01 - % Binder in Mix</t>
  </si>
  <si>
    <t>QC01 - Unit Weight</t>
  </si>
  <si>
    <t>QC01 - Max. Sp. Gravity</t>
  </si>
  <si>
    <t>QC01 - Air Voids</t>
  </si>
  <si>
    <t>QC01 - % Eff. Binder</t>
  </si>
  <si>
    <t>QC01 - VMA</t>
  </si>
  <si>
    <t>QC01 - VFA</t>
  </si>
  <si>
    <t>QC01 - D/A Ratio</t>
  </si>
  <si>
    <t>* Value</t>
  </si>
  <si>
    <t>Last Modified User ID</t>
  </si>
  <si>
    <t>Sample Logged Date</t>
  </si>
  <si>
    <t>00191 ASPHALT SCRATCH COURSE (0.50-IN.) PG64-22</t>
  </si>
  <si>
    <t>21653ES403 CL2 ASPH SURF NO.4D PG64-22</t>
  </si>
  <si>
    <t>20469ES403 CL3 ASPH SURF 0.38B PG76-22</t>
  </si>
  <si>
    <t>20907ES403 CL4 ASPH SURF 0.38D PG76-22</t>
  </si>
  <si>
    <t>Superpave No.4</t>
  </si>
  <si>
    <t>00191 ASPHALT SCRATCH COURSE (0.75-IN.) PG64-22</t>
  </si>
  <si>
    <t>00191 ASPHALT SCRATCH COURSE (1.00-IN.) PG64-22</t>
  </si>
  <si>
    <t>QC01 - Core Density #2</t>
  </si>
  <si>
    <t>QC01 - Core Density #3</t>
  </si>
  <si>
    <t>QC01 - Core Density #4</t>
  </si>
  <si>
    <t>QC01 - Core Density #5</t>
  </si>
  <si>
    <t>QC01 - Core Density #6</t>
  </si>
  <si>
    <t>QC01 - % Sol. Den.</t>
  </si>
  <si>
    <t>QC01 - % Sol. Den. #2</t>
  </si>
  <si>
    <t>QC01 - % Sol. Den. #3</t>
  </si>
  <si>
    <t>QC01 - % Sol. Den. #4</t>
  </si>
  <si>
    <t>QC01 - % Sol. Den. #5</t>
  </si>
  <si>
    <t>QC01 - % Sol. Den. #6</t>
  </si>
  <si>
    <t>Gravity Lot # 1</t>
  </si>
  <si>
    <t>Lot # 2</t>
  </si>
  <si>
    <t>Lot # 3</t>
  </si>
  <si>
    <t>Lot # 4</t>
  </si>
  <si>
    <t>QC01 - Test Charges</t>
  </si>
  <si>
    <t>QC02 - Comment  (NOT CURRENTLY USED)</t>
  </si>
  <si>
    <t>Updated the edit on t_smpl_tstr tab for the t_smpl_tstr column.  (It was prevously written as if it was checking against the sampler qualifications rather than the tester qualifications).</t>
  </si>
  <si>
    <t>REALLY finish the field number change for Test Charges on t_tst_rst_dtl tab.</t>
  </si>
  <si>
    <t>00223 CL3 ASPH BASE 0.75D PG64-22</t>
  </si>
  <si>
    <t>00225 CL3 ASPH BASE 0.75D PG76-22</t>
  </si>
  <si>
    <t>00226 CL4 ASPH BASE 0.75D PG64-22</t>
  </si>
  <si>
    <t>Fixed edit on t_smpl.smpl_mix_id (SUPERPAVE not PCC).</t>
  </si>
  <si>
    <t>00228 CL4 ASPH BASE 0.75D PG76-22</t>
  </si>
  <si>
    <t>Rather than using the "Mix ID" (on the Additional Sample Data tab)  to link to link the project samples to the Mix, use the "Link To" field on the Basic Sample Data tab and link to the MDA Sample corresponding to the Mix (t_smpl);  Also, changing the Field Number (on t_tst_rslt_dtl) to report test charge amount so that it is the same number on whenever this value is coming from a test template for the TCI.</t>
  </si>
  <si>
    <t>Existing on t_smpl</t>
  </si>
  <si>
    <t>For Asphalt and Concrete QC/QA samples, this should reference the Sample ID corresponding to the original Mix Design Approval Sample (i.e., the link back to the original Mix definition)</t>
  </si>
  <si>
    <t>VI01 - Core #5</t>
  </si>
  <si>
    <t>VI01 - Core #6</t>
  </si>
  <si>
    <t>VI01 - Sta,# / Offset</t>
  </si>
  <si>
    <t>00205 CL3 ASPH BASE 1.50D PG64-22</t>
  </si>
  <si>
    <t>00207 CL3 ASPH BASE 1.50D PG76-22</t>
  </si>
  <si>
    <t>Must be &gt;= Received Date (for the same row)</t>
  </si>
  <si>
    <t>Must be &gt;= Received Date AND Actual Start Date (for the same row)</t>
  </si>
  <si>
    <t>Corrected data in spreadsheet - details showed 4 sublots, but the Superpave tab Random Tons matrix only showed a single sublot, so I added the other 3 sublots;  also updated the edits for the est_cmpl_dt and actl_cmpl_dt on the t_smpl_tst tab to be consistent with all other spreadsheets.</t>
  </si>
  <si>
    <t>Fixed "out-of-range edits on all the "Percentage" calculations on the Gradations tab;  worked on the Unit Weight fields on the Super Verify tab.</t>
  </si>
  <si>
    <t>00208 CL4 ASPH BASE 1.50D PG64-22</t>
  </si>
  <si>
    <t>Technicians Name</t>
  </si>
  <si>
    <t>00210 CL4 ASPH BASE 1.50D PG76-22</t>
  </si>
  <si>
    <t>00212 CL2 ASPH BASE 1.00D PG64-22</t>
  </si>
  <si>
    <t>00214 CL3 ASPH BASE 1.00D PG64-22</t>
  </si>
  <si>
    <t>00216 CL3 ASPH BASE 1.00D PG76-22</t>
  </si>
  <si>
    <t>00217 CL4 ASPH BASE 1.00D PG64-22</t>
  </si>
  <si>
    <t>00219 CL4 ASPH BASE 1.00D PG76-22</t>
  </si>
  <si>
    <t>00221 CL2 ASPH BASE 0.75D PG64-22</t>
  </si>
  <si>
    <t>QC02 - Aggr. Pro. Codes #4</t>
  </si>
  <si>
    <t>Replaced Lab, Sampler, and Tester data with valid KQTL data.</t>
  </si>
  <si>
    <t>QC02 - Aggr. Pro. Codes #5</t>
  </si>
  <si>
    <t>QC02 - Aggr. Pro. Codes #6</t>
  </si>
  <si>
    <t>QC02 - Type &amp; Size</t>
  </si>
  <si>
    <t>QC02 - Type &amp; Size #2</t>
  </si>
  <si>
    <t>QC02 - Type &amp; Size #3</t>
  </si>
  <si>
    <t>QC02 - Type &amp; Size #4</t>
  </si>
  <si>
    <t>QC02 - Type &amp; Size #5</t>
  </si>
  <si>
    <t>QC02 - Type &amp; Size #6</t>
  </si>
  <si>
    <t>QC02 - %</t>
  </si>
  <si>
    <t>QC02 - % #2</t>
  </si>
  <si>
    <t>QC02 - % #3</t>
  </si>
  <si>
    <t>QC02 - % #4</t>
  </si>
  <si>
    <t>QC02 - % #5</t>
  </si>
  <si>
    <t>QC02 - % #6</t>
  </si>
  <si>
    <t>QC02 - B.O.D. Sp. Gravity</t>
  </si>
  <si>
    <t>QC02 - B.O.D. Sp. Gravity #2</t>
  </si>
  <si>
    <t>QC02 - B.O.D. Sp. Gravity #3</t>
  </si>
  <si>
    <t>QC02 - B.O.D. Sp. Gravity #4</t>
  </si>
  <si>
    <t>QC02 - B.O.D. Sp. Gravity #5</t>
  </si>
  <si>
    <t>QC02 - B.O.D. Sp. Gravity #6</t>
  </si>
  <si>
    <t>QC02 - LABEL: Sample Info</t>
  </si>
  <si>
    <t>QC02 - Date</t>
  </si>
  <si>
    <t xml:space="preserve">QC02 - Time </t>
  </si>
  <si>
    <t>QC02 - Truck #</t>
  </si>
  <si>
    <t>QC02 - Tons</t>
  </si>
  <si>
    <t>QC02 - LABEL: Volumetric Results</t>
  </si>
  <si>
    <t>QC02 - Acceptance Method</t>
  </si>
  <si>
    <t>QC02 - % Binder in Mix</t>
  </si>
  <si>
    <t>QC02 - Unit Weight</t>
  </si>
  <si>
    <t>QC02 - Max. Sp. Gravity</t>
  </si>
  <si>
    <t>QC02 - Air Voids</t>
  </si>
  <si>
    <t>QC02 - % Eff. Binder</t>
  </si>
  <si>
    <t>QC02 - VMA</t>
  </si>
  <si>
    <t>QC02 - VFA</t>
  </si>
  <si>
    <t>QC02 - D/A Ratio</t>
  </si>
  <si>
    <t xml:space="preserve">QC02 - Hand Mixed % Binder </t>
  </si>
  <si>
    <t>QC02 - H. M. Max. Sp. Gravity</t>
  </si>
  <si>
    <t>QC02 - LABEL: Gradation Test Results % Passing</t>
  </si>
  <si>
    <t>QC02 - 2 "</t>
  </si>
  <si>
    <t>QC02 - 1 1/2 "</t>
  </si>
  <si>
    <t>QC02 - 1 "</t>
  </si>
  <si>
    <t>QC02 - 3/4 "</t>
  </si>
  <si>
    <t>QC02 - 1/2 "</t>
  </si>
  <si>
    <t>QC02 - 3/8 "</t>
  </si>
  <si>
    <t>QC02 - 1/4 "</t>
  </si>
  <si>
    <t>QC02 - # 4</t>
  </si>
  <si>
    <t>QC02 - # 8</t>
  </si>
  <si>
    <t>QC02 - # 16</t>
  </si>
  <si>
    <t>QC02 - # 30</t>
  </si>
  <si>
    <t>QC02 - # 50</t>
  </si>
  <si>
    <t>QC02 - Template Status (TEMPSTAT)</t>
  </si>
  <si>
    <t>QC03 - Template Status (TEMPSTAT)</t>
  </si>
  <si>
    <t>QC04 - Template Status (TEMPSTAT)</t>
  </si>
  <si>
    <t>QC02 - LABEL: Core Data</t>
  </si>
  <si>
    <t>QC02 - Core #</t>
  </si>
  <si>
    <t>QC02 - Core #2</t>
  </si>
  <si>
    <t>QC02 - Core #3</t>
  </si>
  <si>
    <t>QC02 - Core #4</t>
  </si>
  <si>
    <t>QC02 - Core #5</t>
  </si>
  <si>
    <t>QC02 - Core #6</t>
  </si>
  <si>
    <t>QC02 - Sta,# / Offset</t>
  </si>
  <si>
    <t>QC02 - Sta,# / Offset #2</t>
  </si>
  <si>
    <t>QC02 - Sta,# / Offset #3</t>
  </si>
  <si>
    <t>QC02 - Sta,# / Offset #4</t>
  </si>
  <si>
    <t>QC02 - Sta,# / Offset #5</t>
  </si>
  <si>
    <t>QC02 - Sta,# / Offset #6</t>
  </si>
  <si>
    <t>QC02 - Core Density</t>
  </si>
  <si>
    <t>QC02 - Core Density #2</t>
  </si>
  <si>
    <t>TON</t>
  </si>
  <si>
    <t>00309 CL2 ASPH SURF 0.50D PG64-22</t>
  </si>
  <si>
    <t>00312 CL3 ASPH SURF 0.50D PG64-22</t>
  </si>
  <si>
    <t>00324 CL3 ASPH SURF 0.50B PG64-22</t>
  </si>
  <si>
    <t>00327 CL4 ASPH SURF 0.50B PG64-22</t>
  </si>
  <si>
    <t>00329 CL4 ASPH SURF 0.50B PG76-22</t>
  </si>
  <si>
    <t>00330 CL3 ASPH SURF 0.50A PG64-22</t>
  </si>
  <si>
    <t>00333 CL4 ASPH SURF 0.50A PG64-22</t>
  </si>
  <si>
    <t>00335 CL4 ASPH SURF 0.50A PG76-22</t>
  </si>
  <si>
    <t xml:space="preserve">00337 CL4 ASPH SURF 0.38B PG76-22 </t>
  </si>
  <si>
    <t>00385 CL3 ASPH SURF 0.38A PG64-22</t>
  </si>
  <si>
    <t>23040ND TEMP MEDIAN CROSSOVER #2 (1.00-IN) NOMINAL ASPHALT BASE</t>
  </si>
  <si>
    <t>23142ES403 CL4 ASPH SURF 0.38B PG64-22</t>
  </si>
  <si>
    <t>QC02 - Core Density #3</t>
  </si>
  <si>
    <t>QC02 - Core Density #4</t>
  </si>
  <si>
    <t>QC02 - Core Density #5</t>
  </si>
  <si>
    <t>QC02 - Core Density #6</t>
  </si>
  <si>
    <t>QC02 - % Sol. Den.</t>
  </si>
  <si>
    <t>QC02 - % Sol. Den. #2</t>
  </si>
  <si>
    <t>QC02 - % Sol. Den. #3</t>
  </si>
  <si>
    <t>QC02 - % Sol. Den. #4</t>
  </si>
  <si>
    <t>00272 CL2 ASPH BIND 0.50D PG64-22</t>
  </si>
  <si>
    <t>00274 CL3 ASPH BIND 0.50D PG64-22</t>
  </si>
  <si>
    <t>Performance tuning (started using ScreenUpdating Property in background macros to help speed up processing); Added "Filename" (SampleIDRoot) to the discipline tab.</t>
  </si>
  <si>
    <t>Filename</t>
  </si>
  <si>
    <t>00276 CL3 ASPH BIND 0.50D PG76-22</t>
  </si>
  <si>
    <t>00277 CL4 ASPH BIND 0.50D PG64-22</t>
  </si>
  <si>
    <t>00279 CL4 ASPH BIND 0.50D PG76-22</t>
  </si>
  <si>
    <t>00301 CL2 ASPH SURF 0.38D PG64-22</t>
  </si>
  <si>
    <t>VI01 - Template Status (TEMPSTAT)</t>
  </si>
  <si>
    <r>
      <t xml:space="preserve">Type &amp; Size   </t>
    </r>
    <r>
      <rPr>
        <b/>
        <sz val="10"/>
        <rFont val="Arial"/>
        <family val="2"/>
      </rPr>
      <t>AND</t>
    </r>
    <r>
      <rPr>
        <sz val="10"/>
        <rFont val="Arial"/>
        <family val="2"/>
      </rPr>
      <t xml:space="preserve">
CHOOSE CASE tst_fld_sn
</t>
    </r>
    <r>
      <rPr>
        <sz val="10"/>
        <color indexed="10"/>
        <rFont val="Arial"/>
        <family val="2"/>
      </rPr>
      <t xml:space="preserve">      CASE</t>
    </r>
    <r>
      <rPr>
        <b/>
        <sz val="10"/>
        <color indexed="10"/>
        <rFont val="Arial"/>
        <family val="2"/>
      </rPr>
      <t xml:space="preserve"> 2 [Code Table check]</t>
    </r>
    <r>
      <rPr>
        <sz val="10"/>
        <color indexed="10"/>
        <rFont val="Arial"/>
        <family val="2"/>
      </rPr>
      <t xml:space="preserve">
            Existing on t_cd_tbl_dtl (cd_id)
            AND t_cd_tbl_dtl.tbl_id='TEMPSTAT'
      ENDCASE
</t>
    </r>
    <r>
      <rPr>
        <sz val="10"/>
        <rFont val="Arial"/>
        <family val="2"/>
      </rPr>
      <t xml:space="preserve">      CASE </t>
    </r>
    <r>
      <rPr>
        <b/>
        <sz val="10"/>
        <color indexed="10"/>
        <rFont val="Arial"/>
        <family val="2"/>
      </rPr>
      <t>11,12,13,14,15,16 (P/S Code)</t>
    </r>
    <r>
      <rPr>
        <sz val="10"/>
        <rFont val="Arial"/>
        <family val="2"/>
      </rPr>
      <t xml:space="preserve">
            Exists on t_prod_supp
      ENDCASE
      CASE </t>
    </r>
    <r>
      <rPr>
        <b/>
        <sz val="10"/>
        <color indexed="10"/>
        <rFont val="Arial"/>
        <family val="2"/>
      </rPr>
      <t>17,18,19,20,21,22 (P/S Material)</t>
    </r>
    <r>
      <rPr>
        <sz val="10"/>
        <rFont val="Arial"/>
        <family val="2"/>
      </rPr>
      <t xml:space="preserve">
           </t>
    </r>
    <r>
      <rPr>
        <b/>
        <sz val="10"/>
        <color indexed="12"/>
        <rFont val="Arial"/>
        <family val="2"/>
      </rPr>
      <t xml:space="preserve"> NOTE: Cannot do edit since no Matl Code</t>
    </r>
    <r>
      <rPr>
        <sz val="10"/>
        <rFont val="Arial"/>
        <family val="2"/>
      </rPr>
      <t xml:space="preserve">
      ENDCASE</t>
    </r>
  </si>
  <si>
    <t>QC01 - Template Status (TEMPSTAT)</t>
  </si>
  <si>
    <t>QC02 - % Sol. Den. #5</t>
  </si>
  <si>
    <t>QC02 - % Sol. Den. #6</t>
  </si>
  <si>
    <t xml:space="preserve">AMP080305      </t>
  </si>
  <si>
    <t>00307 CL2 ASPH SURF 0.38B PG64-22</t>
  </si>
  <si>
    <t>MTON</t>
  </si>
  <si>
    <t>AMAMAW</t>
  </si>
  <si>
    <t>Sample ID#:</t>
  </si>
  <si>
    <t>No duplicates of key (highlighted in yellow);
IF Remark ID "blank", THEN skip to next record</t>
  </si>
  <si>
    <r>
      <t xml:space="preserve">Existing on t_matl_user 
AND  t_matl_user.smplr_ind='Y"
AND  active sampler qualification of </t>
    </r>
    <r>
      <rPr>
        <b/>
        <sz val="10"/>
        <rFont val="Arial"/>
        <family val="2"/>
      </rPr>
      <t>"</t>
    </r>
    <r>
      <rPr>
        <b/>
        <sz val="10"/>
        <color indexed="10"/>
        <rFont val="Arial"/>
        <family val="2"/>
      </rPr>
      <t>Superpave Plant Tech</t>
    </r>
    <r>
      <rPr>
        <b/>
        <sz val="10"/>
        <rFont val="Arial"/>
        <family val="2"/>
      </rPr>
      <t>" or "Superpave Mix Design Tech"</t>
    </r>
    <r>
      <rPr>
        <sz val="10"/>
        <rFont val="Arial"/>
        <family val="2"/>
      </rPr>
      <t xml:space="preserve"> 
        (  I.e., At least one row returned from:
         SELECT * FROM t_insp_qualfn
         WHERE smpld_by = smpld_by
         AND      insp_qualfn_t = "</t>
    </r>
    <r>
      <rPr>
        <b/>
        <sz val="10"/>
        <color indexed="10"/>
        <rFont val="Arial"/>
        <family val="2"/>
      </rPr>
      <t>ASPM</t>
    </r>
    <r>
      <rPr>
        <sz val="10"/>
        <rFont val="Arial"/>
        <family val="2"/>
      </rPr>
      <t>"
         AND      qualfn_lev_t = "</t>
    </r>
    <r>
      <rPr>
        <b/>
        <sz val="10"/>
        <color indexed="10"/>
        <rFont val="Arial"/>
        <family val="2"/>
      </rPr>
      <t>SPLT</t>
    </r>
    <r>
      <rPr>
        <sz val="10"/>
        <rFont val="Arial"/>
        <family val="2"/>
      </rPr>
      <t xml:space="preserve">"
         AND      exp_dt </t>
    </r>
    <r>
      <rPr>
        <sz val="10"/>
        <color indexed="10"/>
        <rFont val="Arial"/>
        <family val="2"/>
      </rPr>
      <t>&gt;</t>
    </r>
    <r>
      <rPr>
        <sz val="10"/>
        <rFont val="Arial"/>
        <family val="2"/>
      </rPr>
      <t xml:space="preserve">= t_smpl.smpl_dt (same keys as current row)
         AND      effdt     </t>
    </r>
    <r>
      <rPr>
        <sz val="10"/>
        <color indexed="10"/>
        <rFont val="Arial"/>
        <family val="2"/>
      </rPr>
      <t>&lt;</t>
    </r>
    <r>
      <rPr>
        <sz val="10"/>
        <rFont val="Arial"/>
        <family val="2"/>
      </rPr>
      <t>= t_smpl.smpl_dt (same keys as current row)   )
-- OR --
         SELECT * FROM t_insp_qualfn
         WHERE smpld_by = smpld_by
         AND      insp_qualfn_t = "</t>
    </r>
    <r>
      <rPr>
        <b/>
        <sz val="10"/>
        <rFont val="Arial"/>
        <family val="2"/>
      </rPr>
      <t>ASMD</t>
    </r>
    <r>
      <rPr>
        <sz val="10"/>
        <rFont val="Arial"/>
        <family val="2"/>
      </rPr>
      <t>"
         AND      qualfn_lev_t = "</t>
    </r>
    <r>
      <rPr>
        <b/>
        <sz val="10"/>
        <rFont val="Arial"/>
        <family val="2"/>
      </rPr>
      <t>SMDT</t>
    </r>
    <r>
      <rPr>
        <sz val="10"/>
        <rFont val="Arial"/>
        <family val="2"/>
      </rPr>
      <t>"
         AND      exp_dt &gt;= t_smpl.smpl_dt (same keys as current row)
         AND      effdt     &lt;= t_smpl.smpl_dt (same keys as current row)   )</t>
    </r>
  </si>
  <si>
    <t>Set Only for QC Samples
Initialized to "N" otherwise</t>
  </si>
  <si>
    <t>Gradation</t>
  </si>
  <si>
    <t>Volumetrics</t>
  </si>
  <si>
    <t>00336 CL3 ASPH SURF 0.38A PG76-22</t>
  </si>
  <si>
    <t>QC04 - Acceptance Method</t>
  </si>
  <si>
    <t>QC04 - % Binder in Mix</t>
  </si>
  <si>
    <t>QC04 - Unit Weight</t>
  </si>
  <si>
    <t>QC04 - Max. Sp. Gravity</t>
  </si>
  <si>
    <t>QC04 - Air Voids</t>
  </si>
  <si>
    <t>QC04 - % Eff. Binder</t>
  </si>
  <si>
    <t>QC04 - VMA</t>
  </si>
  <si>
    <t>QC04 - VFA</t>
  </si>
  <si>
    <t>QC04 - D/A Ratio</t>
  </si>
  <si>
    <t xml:space="preserve">QC04 - Hand Mixed % Binder </t>
  </si>
  <si>
    <t>QC04 - H. M. Max. Sp. Gravity</t>
  </si>
  <si>
    <t>QC04 - LABEL: Gradation Test Results % Passing</t>
  </si>
  <si>
    <t>QC04 - 2 "</t>
  </si>
  <si>
    <t>QC04 - 1 1/2 "</t>
  </si>
  <si>
    <t>QC04 - 1 "</t>
  </si>
  <si>
    <t>QC04 - 3/4 "</t>
  </si>
  <si>
    <t>QC04 - 1/2 "</t>
  </si>
  <si>
    <t>QC04 - 3/8 "</t>
  </si>
  <si>
    <t>QC04 - 1/4 "</t>
  </si>
  <si>
    <t>QC04 - # 4</t>
  </si>
  <si>
    <t>QC04 - # 8</t>
  </si>
  <si>
    <t>QC04 - # 16</t>
  </si>
  <si>
    <t>QC04 - # 30</t>
  </si>
  <si>
    <t>QC04 - # 50</t>
  </si>
  <si>
    <t>QC04 - # 100</t>
  </si>
  <si>
    <t>QC04 - # 200</t>
  </si>
  <si>
    <t>Visual</t>
  </si>
  <si>
    <t>Acceptance Method:</t>
  </si>
  <si>
    <t>3</t>
  </si>
  <si>
    <t>Fixed problem with spreadsheet displaying incorrect material code.  Updated spreadsheet to include correct material codes.</t>
  </si>
  <si>
    <t>QC04 - LABEL: Core Data</t>
  </si>
  <si>
    <t>QC04 - Core #</t>
  </si>
  <si>
    <t>QC04 - Core #2</t>
  </si>
  <si>
    <t>QC04 - Core #3</t>
  </si>
  <si>
    <t>Gradation Control Points (Chart Data )</t>
  </si>
  <si>
    <t>Mix Type</t>
  </si>
  <si>
    <t xml:space="preserve">Maximum Density Line </t>
  </si>
  <si>
    <t>SUBLOT # 1</t>
  </si>
  <si>
    <t>Sieve Sizes</t>
  </si>
  <si>
    <t>SIEVE SIZES</t>
  </si>
  <si>
    <t>Sieve</t>
  </si>
  <si>
    <t>TEST JMF</t>
  </si>
  <si>
    <t>Opening</t>
  </si>
  <si>
    <t>Opening^0.45</t>
  </si>
  <si>
    <t>Control Points</t>
  </si>
  <si>
    <t>X-Plot</t>
  </si>
  <si>
    <t>Y-Plot</t>
  </si>
  <si>
    <t>2 "</t>
  </si>
  <si>
    <t>1 1/2 "</t>
  </si>
  <si>
    <t>1 "</t>
  </si>
  <si>
    <t>3/4 "</t>
  </si>
  <si>
    <t>AMP040308</t>
  </si>
  <si>
    <t>Scottys Contracting @ Leitchfield (Drum #3)</t>
  </si>
  <si>
    <t>1/2 "</t>
  </si>
  <si>
    <t>3/8 "</t>
  </si>
  <si>
    <t>#4</t>
  </si>
  <si>
    <t>#8</t>
  </si>
  <si>
    <t>#16</t>
  </si>
  <si>
    <t>#30</t>
  </si>
  <si>
    <t>#50</t>
  </si>
  <si>
    <t>#200</t>
  </si>
  <si>
    <t>Gradation Lot #1</t>
  </si>
  <si>
    <t>Gradation Lot #2</t>
  </si>
  <si>
    <t>Gradation Lot #3</t>
  </si>
  <si>
    <t>Gradation Lot #4</t>
  </si>
  <si>
    <t>SUBLOT # 2</t>
  </si>
  <si>
    <t>SUBLOT # 3</t>
  </si>
  <si>
    <t>SUBLOT # 4</t>
  </si>
  <si>
    <t xml:space="preserve"> CONTROL AND ACCEPTANCE OF ASPHALT MIXTURES </t>
  </si>
  <si>
    <t>Lot #:</t>
  </si>
  <si>
    <t>County:</t>
  </si>
  <si>
    <t>PIN #:</t>
  </si>
  <si>
    <t>Type Mix:</t>
  </si>
  <si>
    <t>Unit Price ($):</t>
  </si>
  <si>
    <t>Producer &amp; Location:</t>
  </si>
  <si>
    <t>Approved Mix Design:</t>
  </si>
  <si>
    <t xml:space="preserve"> </t>
  </si>
  <si>
    <t>Name:</t>
  </si>
  <si>
    <t>Mix used for:</t>
  </si>
  <si>
    <t>ID:</t>
  </si>
  <si>
    <t>Binder Content</t>
  </si>
  <si>
    <t>Air Voids</t>
  </si>
  <si>
    <t>VMA</t>
  </si>
  <si>
    <t>JMF</t>
  </si>
  <si>
    <t>Sublot</t>
  </si>
  <si>
    <t>Deviation</t>
  </si>
  <si>
    <t>Pay</t>
  </si>
  <si>
    <t>Target</t>
  </si>
  <si>
    <t>Min.</t>
  </si>
  <si>
    <t>% AC</t>
  </si>
  <si>
    <t>from JMF</t>
  </si>
  <si>
    <t>Value (%)</t>
  </si>
  <si>
    <t>(%)</t>
  </si>
  <si>
    <t>% AV</t>
  </si>
  <si>
    <t>% VMA</t>
  </si>
  <si>
    <t>from Min.</t>
  </si>
  <si>
    <t>Lot Average</t>
  </si>
  <si>
    <t>Density</t>
  </si>
  <si>
    <t>Property</t>
  </si>
  <si>
    <t>% Pay</t>
  </si>
  <si>
    <t>Sublot Avg.</t>
  </si>
  <si>
    <t>Pay Value (%)</t>
  </si>
  <si>
    <t>Joint Density</t>
  </si>
  <si>
    <t>IQ01 - Comment  (NOT CURRENTLY USED)</t>
  </si>
  <si>
    <t>IQ01 - GenericString2  (NOT CURRENTLY USED)</t>
  </si>
  <si>
    <r>
      <t xml:space="preserve">Existing on t_matl_user 
AND t_matl_user.sm_user_ind='Y'
</t>
    </r>
    <r>
      <rPr>
        <b/>
        <sz val="9"/>
        <color indexed="10"/>
        <rFont val="Arial"/>
        <family val="2"/>
      </rPr>
      <t>QUESTION: SHOULD WE CHECK GROUP SECURITY FOR "AUTHORIZATION"?</t>
    </r>
  </si>
  <si>
    <r>
      <t xml:space="preserve">IF </t>
    </r>
    <r>
      <rPr>
        <b/>
        <sz val="10"/>
        <color indexed="10"/>
        <rFont val="Arial"/>
        <family val="2"/>
      </rPr>
      <t>No Sample ID</t>
    </r>
    <r>
      <rPr>
        <sz val="10"/>
        <color indexed="10"/>
        <rFont val="Arial"/>
        <family val="2"/>
      </rPr>
      <t>, Ignore Row.</t>
    </r>
  </si>
  <si>
    <r>
      <t xml:space="preserve">Not Used
</t>
    </r>
    <r>
      <rPr>
        <sz val="9"/>
        <color indexed="10"/>
        <rFont val="Arial"/>
        <family val="2"/>
      </rPr>
      <t>Initialized to " " (i.e., space)</t>
    </r>
  </si>
  <si>
    <r>
      <t xml:space="preserve">Not Used
</t>
    </r>
    <r>
      <rPr>
        <b/>
        <sz val="9"/>
        <color indexed="10"/>
        <rFont val="Arial"/>
        <family val="2"/>
      </rPr>
      <t>Initialized to "" (i.e., NULL)</t>
    </r>
  </si>
  <si>
    <r>
      <t>User Entry</t>
    </r>
    <r>
      <rPr>
        <b/>
        <sz val="10"/>
        <rFont val="Arial"/>
        <family val="2"/>
      </rPr>
      <t xml:space="preserve">                                     XML Schema 
</t>
    </r>
    <r>
      <rPr>
        <b/>
        <sz val="10"/>
        <color indexed="12"/>
        <rFont val="Arial"/>
        <family val="2"/>
      </rPr>
      <t xml:space="preserve">Sheet Map   </t>
    </r>
    <r>
      <rPr>
        <b/>
        <sz val="10"/>
        <rFont val="Arial"/>
        <family val="2"/>
      </rPr>
      <t xml:space="preserve">                                Column Name</t>
    </r>
  </si>
  <si>
    <t>Eaton Ashpalt Paving @ Maysville</t>
  </si>
  <si>
    <t>Lane Density</t>
  </si>
  <si>
    <t>LaneDensity</t>
  </si>
  <si>
    <t>For Lot #</t>
  </si>
  <si>
    <t>Lot Tonnage Adjustment</t>
  </si>
  <si>
    <t>Lot Pay Adjustment ($)</t>
  </si>
  <si>
    <t>Aggregate Information</t>
  </si>
  <si>
    <t>Aggr. Prod. Name</t>
  </si>
  <si>
    <t xml:space="preserve">Aggr. Code #  </t>
  </si>
  <si>
    <t xml:space="preserve">Matl. Type &amp; Size     </t>
  </si>
  <si>
    <t>Matl. Code  #</t>
  </si>
  <si>
    <t>%</t>
  </si>
  <si>
    <t>Pay Values for Acceptance by Gradation and Asphalt Binder Content</t>
  </si>
  <si>
    <t>Sublot Verified</t>
  </si>
  <si>
    <t>Verification Results</t>
  </si>
  <si>
    <t>Target JMF or FM</t>
  </si>
  <si>
    <t>Test Result</t>
  </si>
  <si>
    <t>Pay Value</t>
  </si>
  <si>
    <t>Test</t>
  </si>
  <si>
    <t>Results</t>
  </si>
  <si>
    <t xml:space="preserve">Lot Average </t>
  </si>
  <si>
    <t>PG-Binder Info.</t>
  </si>
  <si>
    <t>Sublot # 1</t>
  </si>
  <si>
    <t>Sublot # 2</t>
  </si>
  <si>
    <t>Sublot # 3</t>
  </si>
  <si>
    <t>Sublot # 4</t>
  </si>
  <si>
    <t>PG-Binder Lot #'s</t>
  </si>
  <si>
    <t>Tack Oil Lot #'s</t>
  </si>
  <si>
    <t>PG-Grade</t>
  </si>
  <si>
    <t>Manufacturer</t>
  </si>
  <si>
    <t>% &amp; Type Additive (if used)</t>
  </si>
  <si>
    <t>Sublot Verified By</t>
  </si>
  <si>
    <t>Name</t>
  </si>
  <si>
    <t>ID #</t>
  </si>
  <si>
    <t>RANDOM TONS FOR EACH SUBLOT</t>
  </si>
  <si>
    <t>AGGREGATE:</t>
  </si>
  <si>
    <t>Truck #</t>
  </si>
  <si>
    <t>Tons</t>
  </si>
  <si>
    <t>Size</t>
  </si>
  <si>
    <t>Sp. Grav.</t>
  </si>
  <si>
    <r>
      <t>Sublot G</t>
    </r>
    <r>
      <rPr>
        <vertAlign val="subscript"/>
        <sz val="9"/>
        <rFont val="Arial"/>
        <family val="2"/>
      </rPr>
      <t>sb</t>
    </r>
  </si>
  <si>
    <t>Weight (g)</t>
  </si>
  <si>
    <t>Bulk</t>
  </si>
  <si>
    <t>BSG</t>
  </si>
  <si>
    <t>Unit</t>
  </si>
  <si>
    <t>Max Spec</t>
  </si>
  <si>
    <t xml:space="preserve">% </t>
  </si>
  <si>
    <t>% Abs. AC</t>
  </si>
  <si>
    <t>D/A</t>
  </si>
  <si>
    <t>Sample #</t>
  </si>
  <si>
    <t>(Mix)</t>
  </si>
  <si>
    <t>(Air)</t>
  </si>
  <si>
    <t>(Water)</t>
  </si>
  <si>
    <t>(SSD)</t>
  </si>
  <si>
    <t xml:space="preserve"> Vol.</t>
  </si>
  <si>
    <t xml:space="preserve"> Wt.</t>
  </si>
  <si>
    <t>Gravity</t>
  </si>
  <si>
    <t>Voids</t>
  </si>
  <si>
    <t>Eff. AC</t>
  </si>
  <si>
    <t xml:space="preserve"> VMA</t>
  </si>
  <si>
    <t>VFA</t>
  </si>
  <si>
    <t>Ratio</t>
  </si>
  <si>
    <t>Average</t>
  </si>
  <si>
    <t>POLISH RESISTANT DATA</t>
  </si>
  <si>
    <t>Date</t>
  </si>
  <si>
    <t>% Coarse</t>
  </si>
  <si>
    <t>% Fine</t>
  </si>
  <si>
    <t>Gyrations</t>
  </si>
  <si>
    <r>
      <t>@ N</t>
    </r>
    <r>
      <rPr>
        <vertAlign val="subscript"/>
        <sz val="9"/>
        <rFont val="Arial"/>
        <family val="2"/>
      </rPr>
      <t>des</t>
    </r>
  </si>
  <si>
    <t>Maximum Specific Gravity</t>
  </si>
  <si>
    <t>Hand-Mixed</t>
  </si>
  <si>
    <t>Sublot #1a</t>
  </si>
  <si>
    <t>Sublot #1b</t>
  </si>
  <si>
    <t>Sublot #2a</t>
  </si>
  <si>
    <t>Sublot #2b</t>
  </si>
  <si>
    <t>Sublot #3a</t>
  </si>
  <si>
    <t>Sublot #3b</t>
  </si>
  <si>
    <t>Sublot #4a</t>
  </si>
  <si>
    <t>Sublot #4b</t>
  </si>
  <si>
    <t>Maximum Specific Gravities</t>
  </si>
  <si>
    <t>Wt. of Mix</t>
  </si>
  <si>
    <r>
      <t xml:space="preserve">Not Used for Visual
</t>
    </r>
    <r>
      <rPr>
        <sz val="9"/>
        <color indexed="10"/>
        <rFont val="Arial"/>
        <family val="2"/>
      </rPr>
      <t xml:space="preserve">Initialized to " " (i.e., space)
</t>
    </r>
    <r>
      <rPr>
        <sz val="9"/>
        <rFont val="Arial"/>
        <family val="2"/>
      </rPr>
      <t>Used for remaining.</t>
    </r>
  </si>
  <si>
    <t>VI</t>
  </si>
  <si>
    <t>Gradation Test Results % Passing</t>
  </si>
  <si>
    <t>IQ01 - Type &amp; Size #6</t>
  </si>
  <si>
    <t>IQ01 - %</t>
  </si>
  <si>
    <t>IQ01 - % #2</t>
  </si>
  <si>
    <t>IQ01 - % #3</t>
  </si>
  <si>
    <t>IQ01 - % #4</t>
  </si>
  <si>
    <t>IQ01 - % #5</t>
  </si>
  <si>
    <t>IQ01 - % #6</t>
  </si>
  <si>
    <t>IQ01 - B.O.D. Sp. Gravity</t>
  </si>
  <si>
    <t>IQ01 - B.O.D. Sp. Gravity #2</t>
  </si>
  <si>
    <t>IQ01 - B.O.D. Sp. Gravity #3</t>
  </si>
  <si>
    <t>IQ01 - B.O.D. Sp. Gravity #4</t>
  </si>
  <si>
    <t>IQ01 - B.O.D. Sp. Gravity #5</t>
  </si>
  <si>
    <t>IQ01 - B.O.D. Sp. Gravity #6</t>
  </si>
  <si>
    <t>IQ01 - LABEL: Sample Info</t>
  </si>
  <si>
    <t>IQ01 - Date</t>
  </si>
  <si>
    <t xml:space="preserve">IQ01 - Time </t>
  </si>
  <si>
    <t>IQ01 - Truck #</t>
  </si>
  <si>
    <t>IQ01 - Tons</t>
  </si>
  <si>
    <t>IQ01 - LABEL: Volumetric Results</t>
  </si>
  <si>
    <t>IQ01 - Acceptance Method</t>
  </si>
  <si>
    <t>IQ01 - % Binder in Mix</t>
  </si>
  <si>
    <t>IQ01 - Unit Weight</t>
  </si>
  <si>
    <t>IQ01 - Max. Sp. Gravity</t>
  </si>
  <si>
    <t>IQ01 - Air Voids</t>
  </si>
  <si>
    <t>IQ01 - % Eff. Binder</t>
  </si>
  <si>
    <t>IQ01 - VMA</t>
  </si>
  <si>
    <t>IQ01 - VFA</t>
  </si>
  <si>
    <t>IQ01 - D/A Ratio</t>
  </si>
  <si>
    <t xml:space="preserve">IQ01 - Hand Mixed % Binder </t>
  </si>
  <si>
    <t>IQ01 - H. M. Max. Sp. Gravity</t>
  </si>
  <si>
    <t>IQ01 - LABEL: Gradation Test Results % Passing</t>
  </si>
  <si>
    <t>IQ01 - 2 "</t>
  </si>
  <si>
    <t>IQ01 - 1 1/2 "</t>
  </si>
  <si>
    <t>IQ01 - 1 "</t>
  </si>
  <si>
    <t>IQ01 - 3/4 "</t>
  </si>
  <si>
    <t>IQ01 - 1/2 "</t>
  </si>
  <si>
    <t>IQ01 - 3/8 "</t>
  </si>
  <si>
    <t>IQ01 - 1/4 "</t>
  </si>
  <si>
    <t>IQ01 - # 4</t>
  </si>
  <si>
    <t>IQ01 - # 8</t>
  </si>
  <si>
    <t>IQ01 - # 16</t>
  </si>
  <si>
    <t>IQ01 - # 30</t>
  </si>
  <si>
    <t>IQ01 - # 50</t>
  </si>
  <si>
    <t>IQ01 - # 100</t>
  </si>
  <si>
    <t>IQ01 - # 200</t>
  </si>
  <si>
    <t>IQ01 - LABEL: Core Data</t>
  </si>
  <si>
    <t>IQ01 - Core #</t>
  </si>
  <si>
    <t>IQ01 - Core #2</t>
  </si>
  <si>
    <t>IQ01 - Core #3</t>
  </si>
  <si>
    <t>IQ01 - Core #4</t>
  </si>
  <si>
    <t>IQ01 - Core #5</t>
  </si>
  <si>
    <t>IQ01 - Core #6</t>
  </si>
  <si>
    <t>IQ01 - Sta,# / Offset</t>
  </si>
  <si>
    <t>IQ01 - Sta,# / Offset #2</t>
  </si>
  <si>
    <t>IQ01 - Sta,# / Offset #3</t>
  </si>
  <si>
    <t>IQ01 - Sta,# / Offset #4</t>
  </si>
  <si>
    <t>Final Pay Value</t>
  </si>
  <si>
    <t>IQ01 - Sta,# / Offset #5</t>
  </si>
  <si>
    <t>IQ01 - Sta,# / Offset #6</t>
  </si>
  <si>
    <t>IQ01 - Core Density</t>
  </si>
  <si>
    <t>IQ01 - Core Density #2</t>
  </si>
  <si>
    <t>IQ01 - Core Density #3</t>
  </si>
  <si>
    <t>IQ01 - Core Density #4</t>
  </si>
  <si>
    <t>IQ01 - Core Density #5</t>
  </si>
  <si>
    <t>IQ01 - Core Density #6</t>
  </si>
  <si>
    <t>IQ01 - % Sol. Den.</t>
  </si>
  <si>
    <t>IQ01 - % Sol. Den. #2</t>
  </si>
  <si>
    <t>IQ01 - % Sol. Den. #3</t>
  </si>
  <si>
    <t>IQ01 - % Sol. Den. #4</t>
  </si>
  <si>
    <t>IQ01 - % Sol. Den. #5</t>
  </si>
  <si>
    <t>IQ01 - % Sol. Den. #6</t>
  </si>
  <si>
    <t>IQ01 - Test Charges</t>
  </si>
  <si>
    <t>MAP TO ASSOC. QC SAMPLE</t>
  </si>
  <si>
    <t>NO MAP; LEAVE BLANK.</t>
  </si>
  <si>
    <t>MTON in Lot</t>
  </si>
  <si>
    <t>TONS in Lot</t>
  </si>
  <si>
    <t>Use KYTC Std; MMDDYYYY</t>
  </si>
  <si>
    <r>
      <t xml:space="preserve">Use KYTC Std; HHMM </t>
    </r>
    <r>
      <rPr>
        <b/>
        <sz val="10"/>
        <color indexed="10"/>
        <rFont val="Helv"/>
      </rPr>
      <t>(24-HR format)</t>
    </r>
  </si>
  <si>
    <t>COMMENT COLUMN
|
|
V</t>
  </si>
  <si>
    <t>Max is currently 23; but leaving a little extra room.</t>
  </si>
  <si>
    <t>Combined previous two labels</t>
  </si>
  <si>
    <t>P/S Code is 15 on SM (not 7)</t>
  </si>
  <si>
    <t>Type Mix</t>
  </si>
  <si>
    <t>Min</t>
  </si>
  <si>
    <t>Max</t>
  </si>
  <si>
    <t>Factor</t>
  </si>
  <si>
    <t># 8</t>
  </si>
  <si>
    <t># 16</t>
  </si>
  <si>
    <t># 30</t>
  </si>
  <si>
    <t># 50</t>
  </si>
  <si>
    <t># 100</t>
  </si>
  <si>
    <t>reqst_by_nm</t>
  </si>
  <si>
    <t>std_rmrks_ind</t>
  </si>
  <si>
    <t>smpl_mix_id</t>
  </si>
  <si>
    <t>smpl_dsn_t</t>
  </si>
  <si>
    <t>Existing on t_cd_tbl_dtl (cd_id)
AND t_cd_tbl_dtl.tbl_id='SMPLDSN'</t>
  </si>
  <si>
    <t>smpl_lock_ind</t>
  </si>
  <si>
    <t>dstnc_fnsh_grd</t>
  </si>
  <si>
    <t>dstnc_fnsh_grd_unt</t>
  </si>
  <si>
    <t>seal_nbr</t>
  </si>
  <si>
    <t>ref_doc</t>
  </si>
  <si>
    <t>sz_unt_t</t>
  </si>
  <si>
    <t>lock_type</t>
  </si>
  <si>
    <t>locked_by</t>
  </si>
  <si>
    <t>lock_dt</t>
  </si>
  <si>
    <t>lev1_office_ind</t>
  </si>
  <si>
    <t>lev2_office_nbr</t>
  </si>
  <si>
    <t>lev3_office_nbr</t>
  </si>
  <si>
    <t>lev4_office_nbr</t>
  </si>
  <si>
    <t>t_cont_smpl</t>
  </si>
  <si>
    <t>cont_id</t>
  </si>
  <si>
    <t>prj_nbr</t>
  </si>
  <si>
    <t>ln_itm_nbr</t>
  </si>
  <si>
    <t>Site Manager Info</t>
  </si>
  <si>
    <t>t_smpl_tst</t>
  </si>
  <si>
    <t>tst_meth</t>
  </si>
  <si>
    <t>smpl_tst_nbr</t>
  </si>
  <si>
    <t>C14</t>
  </si>
  <si>
    <t>lab_id</t>
  </si>
  <si>
    <t>Existing on t_qualf_lab</t>
  </si>
  <si>
    <t>Lab ID</t>
  </si>
  <si>
    <t>chrg_amt</t>
  </si>
  <si>
    <t>strt_dt</t>
  </si>
  <si>
    <t>est_cmpl_dt</t>
  </si>
  <si>
    <t>actl_cmpl_dt</t>
  </si>
  <si>
    <t>t_smpl_tstr</t>
  </si>
  <si>
    <t>tst_id</t>
  </si>
  <si>
    <t xml:space="preserve">          D24</t>
  </si>
  <si>
    <t>Cailbration</t>
  </si>
  <si>
    <t>Wt. of Mix + Calibrat.</t>
  </si>
  <si>
    <t>Final Wt.</t>
  </si>
  <si>
    <t xml:space="preserve"> Absorbed Water</t>
  </si>
  <si>
    <t>MSG</t>
  </si>
  <si>
    <t>Avg. =</t>
  </si>
  <si>
    <t>% AC =</t>
  </si>
  <si>
    <t>Weight of Pan and Mixture before Drying</t>
  </si>
  <si>
    <t>Moisture Content</t>
  </si>
  <si>
    <t>Weight of Pan and Mixture after Drying</t>
  </si>
  <si>
    <t>of Mixture</t>
  </si>
  <si>
    <t>Weight of Pan</t>
  </si>
  <si>
    <t>% Moisture in Mix</t>
  </si>
  <si>
    <t>Inspectors ID # :</t>
  </si>
  <si>
    <t>Inspectors Name:</t>
  </si>
  <si>
    <t>Type Mixture:</t>
  </si>
  <si>
    <t>CORE DENSITIES</t>
  </si>
  <si>
    <t>Core</t>
  </si>
  <si>
    <t>Station #/</t>
  </si>
  <si>
    <t>MSG of</t>
  </si>
  <si>
    <t>Core Wt.</t>
  </si>
  <si>
    <t>Bulk Sp.</t>
  </si>
  <si>
    <t>% Solid</t>
  </si>
  <si>
    <t>Number</t>
  </si>
  <si>
    <t>Offset/</t>
  </si>
  <si>
    <t>In Air</t>
  </si>
  <si>
    <t>In Water</t>
  </si>
  <si>
    <t>SSD</t>
  </si>
  <si>
    <t>Value</t>
  </si>
  <si>
    <t>Coarse #</t>
  </si>
  <si>
    <t>(g)</t>
  </si>
  <si>
    <r>
      <t>(kg/m</t>
    </r>
    <r>
      <rPr>
        <vertAlign val="superscript"/>
        <sz val="9"/>
        <rFont val="Arial"/>
        <family val="2"/>
      </rPr>
      <t>3</t>
    </r>
    <r>
      <rPr>
        <sz val="9"/>
        <rFont val="Arial"/>
        <family val="2"/>
      </rPr>
      <t>)</t>
    </r>
  </si>
  <si>
    <t/>
  </si>
  <si>
    <t>Sublot Average</t>
  </si>
  <si>
    <t>Joint Cores</t>
  </si>
  <si>
    <t>Date Tested</t>
  </si>
  <si>
    <t xml:space="preserve">Superpave 1.5 </t>
  </si>
  <si>
    <t>A</t>
  </si>
  <si>
    <t>Mainline</t>
  </si>
  <si>
    <t>Superpave 1.0</t>
  </si>
  <si>
    <t>B</t>
  </si>
  <si>
    <t>Shoulders</t>
  </si>
  <si>
    <t>C</t>
  </si>
  <si>
    <t>Dev.</t>
  </si>
  <si>
    <t>Medians</t>
  </si>
  <si>
    <t>Superpave 0.50</t>
  </si>
  <si>
    <t>D</t>
  </si>
  <si>
    <t>AC</t>
  </si>
  <si>
    <t>Base Failures</t>
  </si>
  <si>
    <t>Superpave 0.38</t>
  </si>
  <si>
    <t>E</t>
  </si>
  <si>
    <t>AV</t>
  </si>
  <si>
    <t xml:space="preserve">Leveling </t>
  </si>
  <si>
    <t>ATDB</t>
  </si>
  <si>
    <t>F</t>
  </si>
  <si>
    <t>Incidental</t>
  </si>
  <si>
    <t>Sand Asphalt Type I</t>
  </si>
  <si>
    <t>G</t>
  </si>
  <si>
    <t>Temporary</t>
  </si>
  <si>
    <t>Sand Asphalt Type II</t>
  </si>
  <si>
    <t>H</t>
  </si>
  <si>
    <t>BC</t>
  </si>
  <si>
    <t>AV &amp; VMA (Same)</t>
  </si>
  <si>
    <t>AV &amp; VMA (Diff.)</t>
  </si>
  <si>
    <t>Trenching</t>
  </si>
  <si>
    <t>Asphalt Wedge</t>
  </si>
  <si>
    <t>I</t>
  </si>
  <si>
    <t>Interstate</t>
  </si>
  <si>
    <t>Slurry Seal</t>
  </si>
  <si>
    <t>J</t>
  </si>
  <si>
    <t>Shoulder Wedge</t>
  </si>
  <si>
    <t>Curb/Median Mix</t>
  </si>
  <si>
    <t>K</t>
  </si>
  <si>
    <t>Open Graded Friction Course</t>
  </si>
  <si>
    <t>L</t>
  </si>
  <si>
    <t>Density Option</t>
  </si>
  <si>
    <t>1=A, 2=B</t>
  </si>
  <si>
    <t>Sand Seal</t>
  </si>
  <si>
    <t>Acceptance Option</t>
  </si>
  <si>
    <t>1=Grad., 2=Vol., 3=Vis.</t>
  </si>
  <si>
    <t>SAT  I</t>
  </si>
  <si>
    <t>SAT  II</t>
  </si>
  <si>
    <t>Wedge</t>
  </si>
  <si>
    <t>Slurry</t>
  </si>
  <si>
    <t>Curb</t>
  </si>
  <si>
    <t>OGFC</t>
  </si>
  <si>
    <t>ESAL CLASS</t>
  </si>
  <si>
    <t>Master</t>
  </si>
  <si>
    <t>Mixture Type</t>
  </si>
  <si>
    <t>Type Aggregate</t>
  </si>
  <si>
    <t>Max.</t>
  </si>
  <si>
    <t xml:space="preserve">1/2 " </t>
  </si>
  <si>
    <t>Core Calculations</t>
  </si>
  <si>
    <t>1/4 "</t>
  </si>
  <si>
    <t># 4</t>
  </si>
  <si>
    <t>LAP101007</t>
  </si>
  <si>
    <t>LAP101005</t>
  </si>
  <si>
    <t>LAP101009</t>
  </si>
  <si>
    <t>LAP101006</t>
  </si>
  <si>
    <t>LAP101003</t>
  </si>
  <si>
    <t>LAP101101</t>
  </si>
  <si>
    <t>LAP100902</t>
  </si>
  <si>
    <t>LAP101801</t>
  </si>
  <si>
    <t>LAP101201</t>
  </si>
  <si>
    <t>LAP101401</t>
  </si>
  <si>
    <t>LAP101501</t>
  </si>
  <si>
    <t>LAP101301</t>
  </si>
  <si>
    <t>ATS Asphalt Terminal @ Lexington</t>
  </si>
  <si>
    <t>BP Amoco @ Whiting, IN</t>
  </si>
  <si>
    <t>Buckeye Asphalt @ Cincinnati, OH</t>
  </si>
  <si>
    <t>Citgo Asphalt @ Bristol, VA</t>
  </si>
  <si>
    <t>Ergon @ Nashville, TN</t>
  </si>
  <si>
    <t>Hinkle Asphalt @ Avon</t>
  </si>
  <si>
    <t>Midwest Terminal @ Paducah</t>
  </si>
  <si>
    <t>Semgroup @ Memphis, TN</t>
  </si>
  <si>
    <t>Seneca Petroleum @ Lemont, IL</t>
  </si>
  <si>
    <t>Shelbyville Asphalt Terminal @ Shelbyville</t>
  </si>
  <si>
    <t>Terry Asphalt @ Hamilton, OH</t>
  </si>
  <si>
    <t xml:space="preserve">AMP070101      </t>
  </si>
  <si>
    <t xml:space="preserve">AMP070303      </t>
  </si>
  <si>
    <t xml:space="preserve">AMP070201      </t>
  </si>
  <si>
    <t xml:space="preserve">AMP060402      </t>
  </si>
  <si>
    <t xml:space="preserve">AMP060301      </t>
  </si>
  <si>
    <t xml:space="preserve">AMP080301      </t>
  </si>
  <si>
    <t xml:space="preserve">AMP050301      </t>
  </si>
  <si>
    <t xml:space="preserve">AMP050401      </t>
  </si>
  <si>
    <t xml:space="preserve">AMP040301      </t>
  </si>
  <si>
    <t xml:space="preserve">AMP020301      </t>
  </si>
  <si>
    <t xml:space="preserve">AMP110501      </t>
  </si>
  <si>
    <t xml:space="preserve">AMP110502      </t>
  </si>
  <si>
    <t xml:space="preserve">AMP110201      </t>
  </si>
  <si>
    <t xml:space="preserve">AMP110202      </t>
  </si>
  <si>
    <t xml:space="preserve">AMP110203      </t>
  </si>
  <si>
    <t xml:space="preserve">AMP110204      </t>
  </si>
  <si>
    <t xml:space="preserve">AMP080302      </t>
  </si>
  <si>
    <t xml:space="preserve">AMP110302      </t>
  </si>
  <si>
    <t xml:space="preserve">AMP090102      </t>
  </si>
  <si>
    <t xml:space="preserve">AMP050302      </t>
  </si>
  <si>
    <t xml:space="preserve">AMP050303      </t>
  </si>
  <si>
    <t xml:space="preserve">AMP080101      </t>
  </si>
  <si>
    <t xml:space="preserve">AMP030301      </t>
  </si>
  <si>
    <t xml:space="preserve">AMP020101      </t>
  </si>
  <si>
    <t xml:space="preserve">AMP070305      </t>
  </si>
  <si>
    <t xml:space="preserve">AMP100201      </t>
  </si>
  <si>
    <t xml:space="preserve">AMP100401      </t>
  </si>
  <si>
    <t xml:space="preserve">AMP090103      </t>
  </si>
  <si>
    <t xml:space="preserve">AMP070306      </t>
  </si>
  <si>
    <t xml:space="preserve">AMP100101      </t>
  </si>
  <si>
    <t xml:space="preserve">AMP100402      </t>
  </si>
  <si>
    <t xml:space="preserve">AMP080303      </t>
  </si>
  <si>
    <t xml:space="preserve">AMP020302      </t>
  </si>
  <si>
    <t xml:space="preserve">AMP010301      </t>
  </si>
  <si>
    <t>t_tst_rslt_hdr</t>
  </si>
  <si>
    <t>effdt</t>
  </si>
  <si>
    <t xml:space="preserve">AMP050304      </t>
  </si>
  <si>
    <t xml:space="preserve">AMP050102      </t>
  </si>
  <si>
    <t xml:space="preserve">AMP070301      </t>
  </si>
  <si>
    <t>Aggr. Pro. Codes</t>
  </si>
  <si>
    <t>B.O.D. Sp. Gravity</t>
  </si>
  <si>
    <r>
      <t>G</t>
    </r>
    <r>
      <rPr>
        <vertAlign val="subscript"/>
        <sz val="10"/>
        <rFont val="Helv"/>
      </rPr>
      <t>s</t>
    </r>
    <r>
      <rPr>
        <sz val="10"/>
        <rFont val="Helv"/>
      </rPr>
      <t>b =</t>
    </r>
  </si>
  <si>
    <t>Sample Info</t>
  </si>
  <si>
    <t xml:space="preserve">Time </t>
  </si>
  <si>
    <t>Volumetric Results</t>
  </si>
  <si>
    <t>Max. Sp. Gravity</t>
  </si>
  <si>
    <t>Unit Weight</t>
  </si>
  <si>
    <t>D/A Ratio</t>
  </si>
  <si>
    <t>% Eff. Binder</t>
  </si>
  <si>
    <t>% Binder in Mix</t>
  </si>
  <si>
    <t xml:space="preserve">Hand Mixed % Binder </t>
  </si>
  <si>
    <t>H. M. Max. Sp. Gravity</t>
  </si>
  <si>
    <t>% Passing</t>
  </si>
  <si>
    <r>
      <t xml:space="preserve">1 </t>
    </r>
    <r>
      <rPr>
        <vertAlign val="superscript"/>
        <sz val="10"/>
        <rFont val="Helv"/>
      </rPr>
      <t>1/</t>
    </r>
    <r>
      <rPr>
        <vertAlign val="subscript"/>
        <sz val="10"/>
        <rFont val="Helv"/>
      </rPr>
      <t xml:space="preserve">2 </t>
    </r>
    <r>
      <rPr>
        <vertAlign val="superscript"/>
        <sz val="10"/>
        <rFont val="Helv"/>
      </rPr>
      <t>"</t>
    </r>
  </si>
  <si>
    <r>
      <t>3</t>
    </r>
    <r>
      <rPr>
        <sz val="10"/>
        <rFont val="Helv"/>
      </rPr>
      <t>/</t>
    </r>
    <r>
      <rPr>
        <vertAlign val="subscript"/>
        <sz val="10"/>
        <rFont val="Helv"/>
      </rPr>
      <t xml:space="preserve">4 </t>
    </r>
    <r>
      <rPr>
        <vertAlign val="superscript"/>
        <sz val="10"/>
        <rFont val="Helv"/>
      </rPr>
      <t>"</t>
    </r>
  </si>
  <si>
    <r>
      <t>1</t>
    </r>
    <r>
      <rPr>
        <sz val="10"/>
        <rFont val="Helv"/>
      </rPr>
      <t>/</t>
    </r>
    <r>
      <rPr>
        <vertAlign val="subscript"/>
        <sz val="10"/>
        <rFont val="Helv"/>
      </rPr>
      <t xml:space="preserve">2 </t>
    </r>
    <r>
      <rPr>
        <vertAlign val="superscript"/>
        <sz val="10"/>
        <rFont val="Helv"/>
      </rPr>
      <t>"</t>
    </r>
  </si>
  <si>
    <r>
      <t>3</t>
    </r>
    <r>
      <rPr>
        <sz val="10"/>
        <rFont val="Helv"/>
      </rPr>
      <t>/</t>
    </r>
    <r>
      <rPr>
        <vertAlign val="subscript"/>
        <sz val="10"/>
        <rFont val="Helv"/>
      </rPr>
      <t xml:space="preserve">8 </t>
    </r>
    <r>
      <rPr>
        <vertAlign val="superscript"/>
        <sz val="10"/>
        <rFont val="Helv"/>
      </rPr>
      <t>"</t>
    </r>
  </si>
  <si>
    <r>
      <t xml:space="preserve">1 </t>
    </r>
    <r>
      <rPr>
        <vertAlign val="superscript"/>
        <sz val="10"/>
        <rFont val="Helv"/>
      </rPr>
      <t>"</t>
    </r>
  </si>
  <si>
    <r>
      <t xml:space="preserve">2 </t>
    </r>
    <r>
      <rPr>
        <vertAlign val="superscript"/>
        <sz val="10"/>
        <rFont val="Helv"/>
      </rPr>
      <t>"</t>
    </r>
  </si>
  <si>
    <r>
      <t>1</t>
    </r>
    <r>
      <rPr>
        <sz val="10"/>
        <rFont val="Helv"/>
      </rPr>
      <t>/</t>
    </r>
    <r>
      <rPr>
        <vertAlign val="subscript"/>
        <sz val="10"/>
        <rFont val="Helv"/>
      </rPr>
      <t xml:space="preserve">4 </t>
    </r>
    <r>
      <rPr>
        <vertAlign val="superscript"/>
        <sz val="10"/>
        <rFont val="Helv"/>
      </rPr>
      <t>"</t>
    </r>
  </si>
  <si>
    <t>Core Data</t>
  </si>
  <si>
    <t>Sta,# / Offset</t>
  </si>
  <si>
    <t>Core Density</t>
  </si>
  <si>
    <t>% Sol. Den.</t>
  </si>
  <si>
    <t>Core #</t>
  </si>
  <si>
    <t>Gradation Test Results</t>
  </si>
  <si>
    <t>E5</t>
  </si>
  <si>
    <t>C10</t>
  </si>
  <si>
    <t>C11</t>
  </si>
  <si>
    <t>C12</t>
  </si>
  <si>
    <t>C13</t>
  </si>
  <si>
    <t>C15</t>
  </si>
  <si>
    <t>E10</t>
  </si>
  <si>
    <t>E11</t>
  </si>
  <si>
    <t>E12</t>
  </si>
  <si>
    <t>E13</t>
  </si>
  <si>
    <t>E14</t>
  </si>
  <si>
    <t>E15</t>
  </si>
  <si>
    <t>G10</t>
  </si>
  <si>
    <t>G11</t>
  </si>
  <si>
    <t>G12</t>
  </si>
  <si>
    <t>G13</t>
  </si>
  <si>
    <t>G14</t>
  </si>
  <si>
    <t>G15</t>
  </si>
  <si>
    <t xml:space="preserve">AMP010101      </t>
  </si>
  <si>
    <t xml:space="preserve">AMP010302      </t>
  </si>
  <si>
    <t xml:space="preserve">AMP010303      </t>
  </si>
  <si>
    <t xml:space="preserve">AMP070307      </t>
  </si>
  <si>
    <t xml:space="preserve">AMP050101      </t>
  </si>
  <si>
    <t xml:space="preserve">AMP060303      </t>
  </si>
  <si>
    <t xml:space="preserve">AMP040102      </t>
  </si>
  <si>
    <t xml:space="preserve">AMP070102      </t>
  </si>
  <si>
    <t xml:space="preserve">AMP040103      </t>
  </si>
  <si>
    <t xml:space="preserve">AMP050306      </t>
  </si>
  <si>
    <t xml:space="preserve">AMP080103      </t>
  </si>
  <si>
    <t xml:space="preserve">AMP050307      </t>
  </si>
  <si>
    <t xml:space="preserve">AMP070103      </t>
  </si>
  <si>
    <t xml:space="preserve">AMP090104      </t>
  </si>
  <si>
    <t xml:space="preserve">AMP090302      </t>
  </si>
  <si>
    <t>1,2,3,4,5,14</t>
  </si>
  <si>
    <t>LAP100701</t>
  </si>
  <si>
    <t>LAP100702</t>
  </si>
  <si>
    <t>LAP101901</t>
  </si>
  <si>
    <t>LAP100903</t>
  </si>
  <si>
    <t>Greater Cin. Asphalt Term @ Cin., OH</t>
  </si>
  <si>
    <t>Greater Cin. Asphalt Term II @ Cin., OH</t>
  </si>
  <si>
    <t>Middleport Terminal @ Gallipolis, OH</t>
  </si>
  <si>
    <t xml:space="preserve">AMP090105      </t>
  </si>
  <si>
    <t xml:space="preserve">AMP110101      </t>
  </si>
  <si>
    <t xml:space="preserve">AMP120102      </t>
  </si>
  <si>
    <t xml:space="preserve">AMP120301      </t>
  </si>
  <si>
    <t xml:space="preserve">AMP120302      </t>
  </si>
  <si>
    <t xml:space="preserve">AMP120304      </t>
  </si>
  <si>
    <t xml:space="preserve">AMP010102      </t>
  </si>
  <si>
    <t xml:space="preserve">AMP040302      </t>
  </si>
  <si>
    <t xml:space="preserve">AMP040303      </t>
  </si>
  <si>
    <t xml:space="preserve">AMP050308      </t>
  </si>
  <si>
    <t xml:space="preserve">AMP060304      </t>
  </si>
  <si>
    <t xml:space="preserve">AMP020303      </t>
  </si>
  <si>
    <t xml:space="preserve">AMP020105      </t>
  </si>
  <si>
    <t xml:space="preserve">AMP030303      </t>
  </si>
  <si>
    <t xml:space="preserve">AMP030304      </t>
  </si>
  <si>
    <t xml:space="preserve">AMP030305      </t>
  </si>
  <si>
    <t xml:space="preserve">AMP030306      </t>
  </si>
  <si>
    <t xml:space="preserve">AMP030307      </t>
  </si>
  <si>
    <t>Dolomite #67's</t>
  </si>
  <si>
    <t>10350</t>
  </si>
  <si>
    <t>j</t>
  </si>
  <si>
    <t>k</t>
  </si>
  <si>
    <t>l</t>
  </si>
  <si>
    <t>m</t>
  </si>
  <si>
    <t>n</t>
  </si>
  <si>
    <t>o</t>
  </si>
  <si>
    <t>Sublot # :</t>
  </si>
  <si>
    <t>Bulk Vol.</t>
  </si>
  <si>
    <t>Unit Wt.</t>
  </si>
  <si>
    <t>% Voids</t>
  </si>
  <si>
    <t>% Eff. AC</t>
  </si>
  <si>
    <t>% VFA</t>
  </si>
  <si>
    <t>As Tested % AC:</t>
  </si>
  <si>
    <t>Act. % AC for Verif.:</t>
  </si>
  <si>
    <t>% AC by Back-Calc. =</t>
  </si>
  <si>
    <t>Verification Gradation</t>
  </si>
  <si>
    <t>Grams</t>
  </si>
  <si>
    <t>Percent</t>
  </si>
  <si>
    <t>Retained</t>
  </si>
  <si>
    <t>Passing</t>
  </si>
  <si>
    <r>
      <t>1</t>
    </r>
    <r>
      <rPr>
        <vertAlign val="superscript"/>
        <sz val="9"/>
        <rFont val="Arial"/>
        <family val="2"/>
      </rPr>
      <t xml:space="preserve"> 1</t>
    </r>
    <r>
      <rPr>
        <sz val="9"/>
        <rFont val="Arial"/>
        <family val="2"/>
      </rPr>
      <t>/</t>
    </r>
    <r>
      <rPr>
        <vertAlign val="subscript"/>
        <sz val="9"/>
        <rFont val="Arial"/>
        <family val="2"/>
      </rPr>
      <t>2</t>
    </r>
    <r>
      <rPr>
        <sz val="9"/>
        <rFont val="Arial"/>
        <family val="2"/>
      </rPr>
      <t xml:space="preserve"> "</t>
    </r>
  </si>
  <si>
    <t>PAN</t>
  </si>
  <si>
    <t>Total</t>
  </si>
  <si>
    <t>Type of Mixture:</t>
  </si>
  <si>
    <t>Date Tested:</t>
  </si>
  <si>
    <t>Pan</t>
  </si>
  <si>
    <t>Act. % AC for Accept.:</t>
  </si>
  <si>
    <t>Acceptance</t>
  </si>
  <si>
    <t>Check Test</t>
  </si>
  <si>
    <t xml:space="preserve">Sublot # 1 </t>
  </si>
  <si>
    <t>Test Sublot # 1</t>
  </si>
  <si>
    <t>Verification</t>
  </si>
  <si>
    <t>Test Value</t>
  </si>
  <si>
    <t>F.M.</t>
  </si>
  <si>
    <t>Check Test Gradation</t>
  </si>
  <si>
    <t xml:space="preserve">Binder Content </t>
  </si>
  <si>
    <t>Test #1</t>
  </si>
  <si>
    <t>Test #2</t>
  </si>
  <si>
    <t>Test Sublot # 2</t>
  </si>
  <si>
    <t xml:space="preserve">Sublot # 3 </t>
  </si>
  <si>
    <t xml:space="preserve">Test Sublot # 3 </t>
  </si>
  <si>
    <t>Test Sublot # 4</t>
  </si>
  <si>
    <t>COMMENTS</t>
  </si>
  <si>
    <t>Please include any comments concerning Volumetric Properties or Densities for the subject mixture.</t>
  </si>
  <si>
    <t>Tracks Pre-Production Workbook Changes</t>
  </si>
  <si>
    <t>MDH</t>
  </si>
  <si>
    <t>Fixed formulas on 'Super Verify' tab for Unit Weight.  Currently calculating in English units instead of Metric units.  This was causing a validation problem due to the value containing four numbers to the left of the decimal point instead of three.</t>
  </si>
  <si>
    <t>Initials</t>
  </si>
  <si>
    <t>Description</t>
  </si>
  <si>
    <t>BGP</t>
  </si>
  <si>
    <t>CONCPVMT</t>
  </si>
  <si>
    <t>Line Item</t>
  </si>
  <si>
    <t>Not Stored on the SM database</t>
  </si>
  <si>
    <t>Sampling Technician (SM User ID)</t>
  </si>
  <si>
    <t>Represented Material Quantity</t>
  </si>
  <si>
    <t>Repr Material Quantity Units</t>
  </si>
  <si>
    <t>SM Laboratory ID</t>
  </si>
  <si>
    <t>20696ES403 CL2 ASPH BASE 1.00D PG76-22</t>
  </si>
  <si>
    <t>20761ES403 CL2 ASPH SURF 0.38D PG64-22 (SLAG)</t>
  </si>
  <si>
    <t>21138ED ASPHALT WATERPROOFING MIX</t>
  </si>
  <si>
    <t>23165ES403 CL3 ASPH SURF 0.50B PG64-22</t>
  </si>
  <si>
    <t>23176ES403 CL4 ASPH SURF 0.50A PG76-22</t>
  </si>
  <si>
    <t>23307EC CL3 ASPH SURF NO.4B PG64-22</t>
  </si>
  <si>
    <t>23362ES403 CL2 ASPH SURF 0.50B PG64-22</t>
  </si>
  <si>
    <t>23647ES400 CL2 ASPH SURF 0.50A PG64-22</t>
  </si>
  <si>
    <t>Hinkle Contracting @ Flat Lick</t>
  </si>
  <si>
    <t>Hinkle Contracting @ Middlesboro</t>
  </si>
  <si>
    <t xml:space="preserve">AMP110305      </t>
  </si>
  <si>
    <t xml:space="preserve">AMP060308      </t>
  </si>
  <si>
    <t xml:space="preserve">AMP060307      </t>
  </si>
  <si>
    <t xml:space="preserve">AMP120306      </t>
  </si>
  <si>
    <t>LAP101102</t>
  </si>
  <si>
    <t>S &amp; Y Terminal @ Owensboro</t>
  </si>
  <si>
    <t>LAP100803</t>
  </si>
  <si>
    <t>Carrollton River Terminal @ Carrollton</t>
  </si>
  <si>
    <t>Coarse Rap</t>
  </si>
  <si>
    <t>Intermediate Rap</t>
  </si>
  <si>
    <t>Fine Rap</t>
  </si>
  <si>
    <t>Natural Rock Asphalt</t>
  </si>
  <si>
    <t>Siltstone #67's</t>
  </si>
  <si>
    <t>Siltstone #78's</t>
  </si>
  <si>
    <t>Siltstone # 8's</t>
  </si>
  <si>
    <t>Siltstone # 9M's</t>
  </si>
  <si>
    <t>Siltstone Sand</t>
  </si>
  <si>
    <t>Scottys Contracting @ Glasgow</t>
  </si>
  <si>
    <t xml:space="preserve">AMP040309      </t>
  </si>
  <si>
    <t>Scottys Contracting @ Upton ("Rolling Thunder")</t>
  </si>
  <si>
    <t>Scottys Contracting @ Tompkinsville ("Top Gun")</t>
  </si>
  <si>
    <t xml:space="preserve">Scottys Contracting @ Scottsville </t>
  </si>
  <si>
    <t xml:space="preserve">AMP030309      </t>
  </si>
  <si>
    <t>00332 CL3 ASPH SURF 0.50A PG76-22</t>
  </si>
  <si>
    <t>00340 CL2 ASPH SURF 0.38D PG76-22</t>
  </si>
  <si>
    <t>21001ES400 CL4 ASPH SURF 0.38D PG64-22</t>
  </si>
  <si>
    <t>Warm-Mix Asphalt</t>
  </si>
  <si>
    <t xml:space="preserve">AMP040310      </t>
  </si>
  <si>
    <t>Mago Construction @ Bardstown (Drum)</t>
  </si>
  <si>
    <t>Rogers Group @ Hopkinsville (Drum)</t>
  </si>
  <si>
    <t>01897 ASPHALT WEDGE CURB</t>
  </si>
  <si>
    <t>00326 CL3 ASPH SURF 0.50B PG76-22</t>
  </si>
  <si>
    <t>21234ED ASPHALT PAVING REPLACEMENT (0.75)</t>
  </si>
  <si>
    <t>21333ED ASPHALT PAVING REPLACEMENT (0.38)</t>
  </si>
  <si>
    <t>24177ES400 CL2 ASPH BASE 0.75D PG76-22 (SLAG)</t>
  </si>
  <si>
    <t>23967EC ASPH DRIVEWAY/PARKING LOT REPLACEMENT</t>
  </si>
  <si>
    <t>Louisville Paving @ Middletown</t>
  </si>
  <si>
    <t>Louisville Paving @ Shepherdsville</t>
  </si>
  <si>
    <t>Riverside Paving @ Louisville</t>
  </si>
  <si>
    <t>00386 CL3 ASPH SURF 0.38B PG64-22(SLAG)</t>
  </si>
  <si>
    <t>20763ES403 CL2 ASPH SURF 0.38B PG64-22 (SLAG)</t>
  </si>
  <si>
    <t>00390 CL3 ASPH SURF 0.38B PG76-22 (SLAG)</t>
  </si>
  <si>
    <t>20990ES400 CL2 ASPH BASE 1.0D PG64-22 (SLAG)</t>
  </si>
  <si>
    <t>ESAL Class</t>
  </si>
  <si>
    <t>AC Pay Value</t>
  </si>
  <si>
    <t>Target %AV</t>
  </si>
  <si>
    <t>JMF %AC</t>
  </si>
  <si>
    <t>AV Pay Value</t>
  </si>
  <si>
    <t>VMA Pay Value</t>
  </si>
  <si>
    <t>JD Pay Value</t>
  </si>
  <si>
    <t>LD Pay Value</t>
  </si>
  <si>
    <t>Pavement Wedge Tons</t>
  </si>
  <si>
    <t>Final Pay Value Mainline</t>
  </si>
  <si>
    <t>Lot Pay Adjustment</t>
  </si>
  <si>
    <t>Gradation Target JMF</t>
  </si>
  <si>
    <t>Gradation Test Result</t>
  </si>
  <si>
    <t>Gradation Pay Value</t>
  </si>
  <si>
    <t>PG Binder Lot Number</t>
  </si>
  <si>
    <t>Tack Oil Lot Number</t>
  </si>
  <si>
    <t>PG Binder Grade</t>
  </si>
  <si>
    <t>PG Binder Producer</t>
  </si>
  <si>
    <t>% and Type of Additive</t>
  </si>
  <si>
    <t>f94</t>
  </si>
  <si>
    <t>f95</t>
  </si>
  <si>
    <t>f96</t>
  </si>
  <si>
    <t>f97</t>
  </si>
  <si>
    <t>f98</t>
  </si>
  <si>
    <t>f99</t>
  </si>
  <si>
    <t>f100</t>
  </si>
  <si>
    <t>f101</t>
  </si>
  <si>
    <t>f102</t>
  </si>
  <si>
    <t>f103</t>
  </si>
  <si>
    <t>f104</t>
  </si>
  <si>
    <t>f105</t>
  </si>
  <si>
    <t>f106</t>
  </si>
  <si>
    <t>f107</t>
  </si>
  <si>
    <t>f108</t>
  </si>
  <si>
    <t>f109</t>
  </si>
  <si>
    <t>f110</t>
  </si>
  <si>
    <t>f111</t>
  </si>
  <si>
    <t>f112</t>
  </si>
  <si>
    <t>f113</t>
  </si>
  <si>
    <t>f114</t>
  </si>
  <si>
    <t>f115</t>
  </si>
  <si>
    <t>Min. %VMA</t>
  </si>
  <si>
    <t>f93</t>
  </si>
  <si>
    <t>VI01 - ESAL Class</t>
  </si>
  <si>
    <t>VI01 - Density Option</t>
  </si>
  <si>
    <t>VI01 - JMF %AC</t>
  </si>
  <si>
    <t>VI01 - AC Pay Value</t>
  </si>
  <si>
    <t>VI01 - Target %AV</t>
  </si>
  <si>
    <t>VI01 - AV Pay Value</t>
  </si>
  <si>
    <t>VI01 - Min. %VMA</t>
  </si>
  <si>
    <t>VI01 - VMA Pay Value</t>
  </si>
  <si>
    <t>VI01 - JD Pay Value</t>
  </si>
  <si>
    <t>VI01 - LD Pay Value</t>
  </si>
  <si>
    <t>VI01 - Pavement Wedge Tons</t>
  </si>
  <si>
    <t>VI01 - Final Pay Value Mainline</t>
  </si>
  <si>
    <t>VI01 - Lot Pay Adjustment</t>
  </si>
  <si>
    <t>VI01 - Gradation Target JMF</t>
  </si>
  <si>
    <t>VI01 - Gradation Test Result</t>
  </si>
  <si>
    <t>VI01 - Gradation Pay Value</t>
  </si>
  <si>
    <t>VI01 - PG Binder Lot Number</t>
  </si>
  <si>
    <t>VI01 - Tack Oil Lot Number</t>
  </si>
  <si>
    <t>VI01 - PG Binder Grade</t>
  </si>
  <si>
    <t>VI01 - PG Binder Producer</t>
  </si>
  <si>
    <t>VI01 - % and Type of Additive</t>
  </si>
  <si>
    <t>VI01 - First Sublot Verified Same Equipment</t>
  </si>
  <si>
    <t>VI01 - Second Sublot Verified Same Equipment</t>
  </si>
  <si>
    <t>92</t>
  </si>
  <si>
    <t>93</t>
  </si>
  <si>
    <t>f253</t>
  </si>
  <si>
    <t>94</t>
  </si>
  <si>
    <t>95</t>
  </si>
  <si>
    <t>96</t>
  </si>
  <si>
    <t>97</t>
  </si>
  <si>
    <t>98</t>
  </si>
  <si>
    <t>99</t>
  </si>
  <si>
    <t>100</t>
  </si>
  <si>
    <t>101</t>
  </si>
  <si>
    <t>102</t>
  </si>
  <si>
    <t>103</t>
  </si>
  <si>
    <t>104</t>
  </si>
  <si>
    <t>105</t>
  </si>
  <si>
    <t>106</t>
  </si>
  <si>
    <t>107</t>
  </si>
  <si>
    <t>108</t>
  </si>
  <si>
    <t>109</t>
  </si>
  <si>
    <t>110</t>
  </si>
  <si>
    <t>111</t>
  </si>
  <si>
    <t>112</t>
  </si>
  <si>
    <t>113</t>
  </si>
  <si>
    <t>114</t>
  </si>
  <si>
    <t>115</t>
  </si>
  <si>
    <t>QC01 - ESAL Class</t>
  </si>
  <si>
    <t>QC01 - Density Option</t>
  </si>
  <si>
    <t>QC01 - JMF %AC</t>
  </si>
  <si>
    <t>QC01 - AC Pay Value</t>
  </si>
  <si>
    <t>QC01 - Target %AV</t>
  </si>
  <si>
    <t>QC01 - AV Pay Value</t>
  </si>
  <si>
    <t>QC01 - Min. %VMA</t>
  </si>
  <si>
    <t>QC01 - VMA Pay Value</t>
  </si>
  <si>
    <t>QC01 - JD Pay Value</t>
  </si>
  <si>
    <t>QC01 - LD Pay Value</t>
  </si>
  <si>
    <t>QC01 - Pavement Wedge Tons</t>
  </si>
  <si>
    <t>QC01 - Final Pay Value Mainline</t>
  </si>
  <si>
    <t>QC01 - Lot Pay Adjustment</t>
  </si>
  <si>
    <t>QC01 - Gradation Target JMF</t>
  </si>
  <si>
    <t>QC01 - Gradation Test Result</t>
  </si>
  <si>
    <t>QC01 - Gradation Pay Value</t>
  </si>
  <si>
    <t>QC01 - PG Binder Lot Number</t>
  </si>
  <si>
    <t>QC01 - Tack Oil Lot Number</t>
  </si>
  <si>
    <t>QC01 - PG Binder Grade</t>
  </si>
  <si>
    <t>QC01 - PG Binder Producer</t>
  </si>
  <si>
    <t>QC01 - % and Type of Additive</t>
  </si>
  <si>
    <t>QC01 - First Sublot Verified Same Equipment</t>
  </si>
  <si>
    <t>QC01 - Second Sublot Verified Same Equipment</t>
  </si>
  <si>
    <t>QC02 - ESAL Class</t>
  </si>
  <si>
    <t>QC02 - Density Option</t>
  </si>
  <si>
    <t>QC02 - JMF %AC</t>
  </si>
  <si>
    <t>QC02 - AC Pay Value</t>
  </si>
  <si>
    <t>QC02 - Target %AV</t>
  </si>
  <si>
    <t>QC02 - AV Pay Value</t>
  </si>
  <si>
    <t>QC02 - Min. %VMA</t>
  </si>
  <si>
    <t>QC02 - VMA Pay Value</t>
  </si>
  <si>
    <t>QC02 - JD Pay Value</t>
  </si>
  <si>
    <t>QC02 - LD Pay Value</t>
  </si>
  <si>
    <t>QC02 - Pavement Wedge Tons</t>
  </si>
  <si>
    <t>QC02 - Final Pay Value Mainline</t>
  </si>
  <si>
    <t>QC02 - Lot Pay Adjustment</t>
  </si>
  <si>
    <t>QC02 - Gradation Target JMF</t>
  </si>
  <si>
    <t>QC02 - Gradation Test Result</t>
  </si>
  <si>
    <t>QC02 - Gradation Pay Value</t>
  </si>
  <si>
    <t>QC02 - PG Binder Lot Number</t>
  </si>
  <si>
    <t>QC02 - Tack Oil Lot Number</t>
  </si>
  <si>
    <t>QC02 - PG Binder Grade</t>
  </si>
  <si>
    <t>QC02 - PG Binder Producer</t>
  </si>
  <si>
    <t>QC02 - % and Type of Additive</t>
  </si>
  <si>
    <t>QC02 - First Sublot Verified Same Equipment</t>
  </si>
  <si>
    <t>QC02 - Second Sublot Verified Same Equipment</t>
  </si>
  <si>
    <t>QC03 - ESAL Class</t>
  </si>
  <si>
    <t>QC03 - Density Option</t>
  </si>
  <si>
    <t>QC03 - JMF %AC</t>
  </si>
  <si>
    <t>QC03 - AC Pay Value</t>
  </si>
  <si>
    <t>QC03 - Target %AV</t>
  </si>
  <si>
    <t>QC03 - AV Pay Value</t>
  </si>
  <si>
    <t>QC03 - Min. %VMA</t>
  </si>
  <si>
    <t>QC03 - VMA Pay Value</t>
  </si>
  <si>
    <t>QC03 - JD Pay Value</t>
  </si>
  <si>
    <t>QC03 - LD Pay Value</t>
  </si>
  <si>
    <t>QC03 - Pavement Wedge Tons</t>
  </si>
  <si>
    <t>QC03 - Final Pay Value Mainline</t>
  </si>
  <si>
    <t>QC03 - Lot Pay Adjustment</t>
  </si>
  <si>
    <t>QC03 - Gradation Target JMF</t>
  </si>
  <si>
    <t>QC03 - Gradation Test Result</t>
  </si>
  <si>
    <t>QC03 - Gradation Pay Value</t>
  </si>
  <si>
    <t>QC03 - PG Binder Lot Number</t>
  </si>
  <si>
    <t>QC03 - Tack Oil Lot Number</t>
  </si>
  <si>
    <t>QC03 - PG Binder Grade</t>
  </si>
  <si>
    <t>QC03 - PG Binder Producer</t>
  </si>
  <si>
    <t>QC03 - % and Type of Additive</t>
  </si>
  <si>
    <t>QC03 - First Sublot Verified Same Equipment</t>
  </si>
  <si>
    <t>QC03 - Second Sublot Verified Same Equipment</t>
  </si>
  <si>
    <t>QC04 - ESAL Class</t>
  </si>
  <si>
    <t>QC04 - Density Option</t>
  </si>
  <si>
    <t>QC04 - JMF %AC</t>
  </si>
  <si>
    <t>QC04 - AC Pay Value</t>
  </si>
  <si>
    <t>QC04 - Target %AV</t>
  </si>
  <si>
    <t>QC04 - AV Pay Value</t>
  </si>
  <si>
    <t>QC04 - Min. %VMA</t>
  </si>
  <si>
    <t>QC04 - VMA Pay Value</t>
  </si>
  <si>
    <t>QC04 - JD Pay Value</t>
  </si>
  <si>
    <t>QC04 - LD Pay Value</t>
  </si>
  <si>
    <t>QC04 - Pavement Wedge Tons</t>
  </si>
  <si>
    <t>QC04 - Final Pay Value Mainline</t>
  </si>
  <si>
    <t>QC04 - Lot Pay Adjustment</t>
  </si>
  <si>
    <t>QC04 - Gradation Target JMF</t>
  </si>
  <si>
    <t>QC04 - Gradation Test Result</t>
  </si>
  <si>
    <t>QC04 - Gradation Pay Value</t>
  </si>
  <si>
    <t>QC04 - PG Binder Lot Number</t>
  </si>
  <si>
    <t>QC04 - Tack Oil Lot Number</t>
  </si>
  <si>
    <t>QC04 - PG Binder Grade</t>
  </si>
  <si>
    <t>QC04 - PG Binder Producer</t>
  </si>
  <si>
    <t>QC04 - % and Type of Additive</t>
  </si>
  <si>
    <t>QC04 - First Sublot Verified Same Equipment</t>
  </si>
  <si>
    <t>QC04 - Second Sublot Verified Same Equipment</t>
  </si>
  <si>
    <t>QA01 - ESAL Class</t>
  </si>
  <si>
    <t>QA01 - Density Option</t>
  </si>
  <si>
    <t>QA01 - JMF %AC</t>
  </si>
  <si>
    <t>QA01 - AC Pay Value</t>
  </si>
  <si>
    <t>QA01 - Target %AV</t>
  </si>
  <si>
    <t>QA01 - AV Pay Value</t>
  </si>
  <si>
    <t>QA01 - Min. %VMA</t>
  </si>
  <si>
    <t>QA01 - VMA Pay Value</t>
  </si>
  <si>
    <t>QA01 - JD Pay Value</t>
  </si>
  <si>
    <t>QA01 - LD Pay Value</t>
  </si>
  <si>
    <t>QA01 - Pavement Wedge Tons</t>
  </si>
  <si>
    <t>QA01 - Final Pay Value Mainline</t>
  </si>
  <si>
    <t>QA01 - Lot Pay Adjustment</t>
  </si>
  <si>
    <t>QA01 - Gradation Target JMF</t>
  </si>
  <si>
    <t>QA01 - Gradation Test Result</t>
  </si>
  <si>
    <t>QA01 - Gradation Pay Value</t>
  </si>
  <si>
    <t>QA01 - PG Binder Lot Number</t>
  </si>
  <si>
    <t>QA01 - Tack Oil Lot Number</t>
  </si>
  <si>
    <t>QA01 - PG Binder Grade</t>
  </si>
  <si>
    <t>QA01 - PG Binder Producer</t>
  </si>
  <si>
    <t>QA01 - % and Type of Additive</t>
  </si>
  <si>
    <t>QA01 - First Sublot Verified Same Equipment</t>
  </si>
  <si>
    <t>QA01 - Second Sublot Verified Same Equipment</t>
  </si>
  <si>
    <t>IQ01 - ESAL Class</t>
  </si>
  <si>
    <t>IQ01 - Density Option</t>
  </si>
  <si>
    <t>IQ01 - JMF %AC</t>
  </si>
  <si>
    <t>IQ01 - AC Pay Value</t>
  </si>
  <si>
    <t>IQ01 - Target %AV</t>
  </si>
  <si>
    <t>IQ01 - AV Pay Value</t>
  </si>
  <si>
    <t>IQ01 - Min. %VMA</t>
  </si>
  <si>
    <t>IQ01 - VMA Pay Value</t>
  </si>
  <si>
    <t>IQ01 - JD Pay Value</t>
  </si>
  <si>
    <t>IQ01 - LD Pay Value</t>
  </si>
  <si>
    <t>IQ01 - Pavement Wedge Tons</t>
  </si>
  <si>
    <t>IQ01 - Final Pay Value Mainline</t>
  </si>
  <si>
    <t>IQ01 - Lot Pay Adjustment</t>
  </si>
  <si>
    <t>IQ01 - Gradation Target JMF</t>
  </si>
  <si>
    <t>IQ01 - Gradation Test Result</t>
  </si>
  <si>
    <t>IQ01 - Gradation Pay Value</t>
  </si>
  <si>
    <t>IQ01 - PG Binder Lot Number</t>
  </si>
  <si>
    <t>IQ01 - Tack Oil Lot Number</t>
  </si>
  <si>
    <t>IQ01 - PG Binder Grade</t>
  </si>
  <si>
    <t>IQ01 - PG Binder Producer</t>
  </si>
  <si>
    <t>IQ01 - % and Type of Additive</t>
  </si>
  <si>
    <t>IQ01 - First Sublot Verified Same Equipment</t>
  </si>
  <si>
    <t>IQ01 - Second Sublot Verified Same Equipment</t>
  </si>
  <si>
    <t>Second Sublot Ver. Same Equip.</t>
  </si>
  <si>
    <t>First Sublot Ver. Same Equip.</t>
  </si>
  <si>
    <t>** Only when placed Monolithically with Mainline</t>
  </si>
  <si>
    <r>
      <t>Final Pay Value Mainline (%)</t>
    </r>
    <r>
      <rPr>
        <sz val="10"/>
        <color indexed="10"/>
        <rFont val="Arial"/>
        <family val="2"/>
      </rPr>
      <t>***</t>
    </r>
  </si>
  <si>
    <t>***Final Pay should be made at 100% Maximum</t>
  </si>
  <si>
    <r>
      <t xml:space="preserve">2 </t>
    </r>
    <r>
      <rPr>
        <sz val="10"/>
        <rFont val="Helv"/>
      </rPr>
      <t>"</t>
    </r>
  </si>
  <si>
    <r>
      <t>3</t>
    </r>
    <r>
      <rPr>
        <sz val="10"/>
        <rFont val="Helv"/>
      </rPr>
      <t>/</t>
    </r>
    <r>
      <rPr>
        <vertAlign val="subscript"/>
        <sz val="10"/>
        <rFont val="Helv"/>
      </rPr>
      <t xml:space="preserve">4 </t>
    </r>
    <r>
      <rPr>
        <sz val="10"/>
        <rFont val="Helv"/>
      </rPr>
      <t>"</t>
    </r>
  </si>
  <si>
    <r>
      <t>1</t>
    </r>
    <r>
      <rPr>
        <sz val="10"/>
        <rFont val="Helv"/>
      </rPr>
      <t>/</t>
    </r>
    <r>
      <rPr>
        <vertAlign val="subscript"/>
        <sz val="10"/>
        <rFont val="Helv"/>
      </rPr>
      <t xml:space="preserve">2 </t>
    </r>
    <r>
      <rPr>
        <sz val="10"/>
        <rFont val="Helv"/>
      </rPr>
      <t>"</t>
    </r>
  </si>
  <si>
    <r>
      <t>3</t>
    </r>
    <r>
      <rPr>
        <sz val="10"/>
        <rFont val="Helv"/>
      </rPr>
      <t>/</t>
    </r>
    <r>
      <rPr>
        <vertAlign val="subscript"/>
        <sz val="10"/>
        <rFont val="Helv"/>
      </rPr>
      <t xml:space="preserve">8 </t>
    </r>
    <r>
      <rPr>
        <sz val="10"/>
        <rFont val="Helv"/>
      </rPr>
      <t>"</t>
    </r>
  </si>
  <si>
    <r>
      <t>1</t>
    </r>
    <r>
      <rPr>
        <sz val="10"/>
        <rFont val="Helv"/>
      </rPr>
      <t>/</t>
    </r>
    <r>
      <rPr>
        <vertAlign val="subscript"/>
        <sz val="10"/>
        <rFont val="Helv"/>
      </rPr>
      <t xml:space="preserve">4 </t>
    </r>
    <r>
      <rPr>
        <sz val="10"/>
        <rFont val="Helv"/>
      </rPr>
      <t>"</t>
    </r>
  </si>
  <si>
    <t>JMF-2 "</t>
  </si>
  <si>
    <t>JMF-1 1/2 "</t>
  </si>
  <si>
    <t>JMF-1 "</t>
  </si>
  <si>
    <t>JMF-3/4 "</t>
  </si>
  <si>
    <t>JMF-1/2 "</t>
  </si>
  <si>
    <t>JMF-3/8 "</t>
  </si>
  <si>
    <t>JMF-1/4 "</t>
  </si>
  <si>
    <t>JMF-# 4</t>
  </si>
  <si>
    <t>JMF-# 8</t>
  </si>
  <si>
    <t>JMF-# 16</t>
  </si>
  <si>
    <t>JMF-# 30</t>
  </si>
  <si>
    <t>JMF-# 50</t>
  </si>
  <si>
    <t>JMF-# 100</t>
  </si>
  <si>
    <t>JMF-# 200</t>
  </si>
  <si>
    <t>f116</t>
  </si>
  <si>
    <t>f117</t>
  </si>
  <si>
    <t>f118</t>
  </si>
  <si>
    <t>f119</t>
  </si>
  <si>
    <t>f120</t>
  </si>
  <si>
    <t>f121</t>
  </si>
  <si>
    <t>f122</t>
  </si>
  <si>
    <t>f123</t>
  </si>
  <si>
    <t>f124</t>
  </si>
  <si>
    <t>f125</t>
  </si>
  <si>
    <t>f126</t>
  </si>
  <si>
    <t>f127</t>
  </si>
  <si>
    <t>f128</t>
  </si>
  <si>
    <t>f129</t>
  </si>
  <si>
    <t>VI01 - JMF-2 "</t>
  </si>
  <si>
    <t>VI01 - JMF-1 1/2 "</t>
  </si>
  <si>
    <t>VI01 - JMF-1 "</t>
  </si>
  <si>
    <t>VI01 - JMF-3/4 "</t>
  </si>
  <si>
    <t>VI01 - JMF-1/2 "</t>
  </si>
  <si>
    <t>VI01 - JMF-3/8 "</t>
  </si>
  <si>
    <t>VI01 - JMF-1/4 "</t>
  </si>
  <si>
    <t>VI01 - JMF-# 4</t>
  </si>
  <si>
    <t>VI01 - JMF-# 8</t>
  </si>
  <si>
    <t>VI01 - JMF-# 16</t>
  </si>
  <si>
    <t>VI01 - JMF-# 30</t>
  </si>
  <si>
    <t>VI01 - JMF-# 50</t>
  </si>
  <si>
    <t>VI01 - JMF-# 100</t>
  </si>
  <si>
    <t>VI01 - JMF-# 200</t>
  </si>
  <si>
    <t>116</t>
  </si>
  <si>
    <t>117</t>
  </si>
  <si>
    <t>118</t>
  </si>
  <si>
    <t>119</t>
  </si>
  <si>
    <t>120</t>
  </si>
  <si>
    <t>121</t>
  </si>
  <si>
    <t>122</t>
  </si>
  <si>
    <t>123</t>
  </si>
  <si>
    <t>124</t>
  </si>
  <si>
    <t>125</t>
  </si>
  <si>
    <t>126</t>
  </si>
  <si>
    <t>127</t>
  </si>
  <si>
    <t>128</t>
  </si>
  <si>
    <t>129</t>
  </si>
  <si>
    <t>QC01 - JMF-2 "</t>
  </si>
  <si>
    <t>QC01 - JMF-1 1/2 "</t>
  </si>
  <si>
    <t>QC01 - JMF-1 "</t>
  </si>
  <si>
    <t>QC01 - JMF-3/4 "</t>
  </si>
  <si>
    <t>QC01 - JMF-1/2 "</t>
  </si>
  <si>
    <t>QC01 - JMF-3/8 "</t>
  </si>
  <si>
    <t>QC01 - JMF-1/4 "</t>
  </si>
  <si>
    <t>QC01 - JMF-# 4</t>
  </si>
  <si>
    <t>QC01 - JMF-# 8</t>
  </si>
  <si>
    <t>QC01 - JMF-# 16</t>
  </si>
  <si>
    <t>QC01 - JMF-# 30</t>
  </si>
  <si>
    <t>QC01 - JMF-# 50</t>
  </si>
  <si>
    <t>QC01 - JMF-# 100</t>
  </si>
  <si>
    <t>QC01 - JMF-# 200</t>
  </si>
  <si>
    <t>QC02 - JMF-2 "</t>
  </si>
  <si>
    <t>QC02 - JMF-1 1/2 "</t>
  </si>
  <si>
    <t>QC02 - JMF-1 "</t>
  </si>
  <si>
    <t>QC02 - JMF-3/4 "</t>
  </si>
  <si>
    <t>QC02 - JMF-1/2 "</t>
  </si>
  <si>
    <t>QC02 - JMF-3/8 "</t>
  </si>
  <si>
    <t>QC02 - JMF-1/4 "</t>
  </si>
  <si>
    <t>QC02 - JMF-# 4</t>
  </si>
  <si>
    <t>QC02 - JMF-# 8</t>
  </si>
  <si>
    <t>QC02 - JMF-# 16</t>
  </si>
  <si>
    <t>QC02 - JMF-# 30</t>
  </si>
  <si>
    <t>QC02 - JMF-# 50</t>
  </si>
  <si>
    <t>QC02 - JMF-# 100</t>
  </si>
  <si>
    <t>QC02 - JMF-# 200</t>
  </si>
  <si>
    <t>QC03 - JMF-2 "</t>
  </si>
  <si>
    <t>QC03 - JMF-1 1/2 "</t>
  </si>
  <si>
    <t>QC03 - JMF-1 "</t>
  </si>
  <si>
    <t>QC03 - JMF-3/4 "</t>
  </si>
  <si>
    <t>QC03 - JMF-1/2 "</t>
  </si>
  <si>
    <t>QC03 - JMF-3/8 "</t>
  </si>
  <si>
    <t>QC03 - JMF-1/4 "</t>
  </si>
  <si>
    <t>QC03 - JMF-# 4</t>
  </si>
  <si>
    <t>QC03 - JMF-# 8</t>
  </si>
  <si>
    <t>QC03 - JMF-# 16</t>
  </si>
  <si>
    <t>QC03 - JMF-# 30</t>
  </si>
  <si>
    <t>QC03 - JMF-# 50</t>
  </si>
  <si>
    <t>QC03 - JMF-# 100</t>
  </si>
  <si>
    <t>QC03 - JMF-# 200</t>
  </si>
  <si>
    <t>QC04 - JMF-2 "</t>
  </si>
  <si>
    <t>QC04 - JMF-1 1/2 "</t>
  </si>
  <si>
    <t>QC04 - JMF-1 "</t>
  </si>
  <si>
    <t>QC04 - JMF-3/4 "</t>
  </si>
  <si>
    <t>QC04 - JMF-1/2 "</t>
  </si>
  <si>
    <t>QC04 - JMF-3/8 "</t>
  </si>
  <si>
    <t>QC04 - JMF-1/4 "</t>
  </si>
  <si>
    <t>QC04 - JMF-# 4</t>
  </si>
  <si>
    <t>QC04 - JMF-# 8</t>
  </si>
  <si>
    <t>QC04 - JMF-# 16</t>
  </si>
  <si>
    <t>QC04 - JMF-# 30</t>
  </si>
  <si>
    <t>QC04 - JMF-# 50</t>
  </si>
  <si>
    <t>QC04 - JMF-# 100</t>
  </si>
  <si>
    <t>QC04 - JMF-# 200</t>
  </si>
  <si>
    <t>QA01 - JMF-2 "</t>
  </si>
  <si>
    <t>QA01 - JMF-1 1/2 "</t>
  </si>
  <si>
    <t>QA01 - JMF-1 "</t>
  </si>
  <si>
    <t>QA01 - JMF-3/4 "</t>
  </si>
  <si>
    <t>QA01 - JMF-1/2 "</t>
  </si>
  <si>
    <t>QA01 - JMF-3/8 "</t>
  </si>
  <si>
    <t>QA01 - JMF-1/4 "</t>
  </si>
  <si>
    <t>QA01 - JMF-# 4</t>
  </si>
  <si>
    <t>QA01 - JMF-# 8</t>
  </si>
  <si>
    <t>QA01 - JMF-# 16</t>
  </si>
  <si>
    <t>QA01 - JMF-# 30</t>
  </si>
  <si>
    <t>QA01 - JMF-# 50</t>
  </si>
  <si>
    <t>QA01 - JMF-# 100</t>
  </si>
  <si>
    <t>QA01 - JMF-# 200</t>
  </si>
  <si>
    <t>IQ01 - JMF-2 "</t>
  </si>
  <si>
    <t>IQ01 - JMF-1 1/2 "</t>
  </si>
  <si>
    <t>IQ01 - JMF-1 "</t>
  </si>
  <si>
    <t>IQ01 - JMF-3/4 "</t>
  </si>
  <si>
    <t>IQ01 - JMF-1/2 "</t>
  </si>
  <si>
    <t>IQ01 - JMF-3/8 "</t>
  </si>
  <si>
    <t>IQ01 - JMF-1/4 "</t>
  </si>
  <si>
    <t>IQ01 - JMF-# 4</t>
  </si>
  <si>
    <t>IQ01 - JMF-# 8</t>
  </si>
  <si>
    <t>IQ01 - JMF-# 16</t>
  </si>
  <si>
    <t>IQ01 - JMF-# 30</t>
  </si>
  <si>
    <t>IQ01 - JMF-# 50</t>
  </si>
  <si>
    <t>IQ01 - JMF-# 100</t>
  </si>
  <si>
    <t>IQ01 - JMF-# 200</t>
  </si>
  <si>
    <t>Virgin Binder in Mix</t>
  </si>
  <si>
    <t>Lot Recycle % AC</t>
  </si>
  <si>
    <t>AC from Recycle</t>
  </si>
  <si>
    <t>Eff. Replacement</t>
  </si>
  <si>
    <t>PG64-22</t>
  </si>
  <si>
    <t>PG76-22</t>
  </si>
  <si>
    <t>PG58-28</t>
  </si>
  <si>
    <t>RAP</t>
  </si>
  <si>
    <t>0.5, 0.38, #4</t>
  </si>
  <si>
    <t>RAS</t>
  </si>
  <si>
    <t>BOTH</t>
  </si>
  <si>
    <t>1.50, 1.00, 0.75</t>
  </si>
  <si>
    <t>Virgin</t>
  </si>
  <si>
    <t>Nom. Max</t>
  </si>
  <si>
    <t>Nom. Max.</t>
  </si>
  <si>
    <t>Recycle</t>
  </si>
  <si>
    <t>Range</t>
  </si>
  <si>
    <t>Sublot 1</t>
  </si>
  <si>
    <t>Sublot 2</t>
  </si>
  <si>
    <t>Sublot 3</t>
  </si>
  <si>
    <t>Sublot 4</t>
  </si>
  <si>
    <t>Item  AC</t>
  </si>
  <si>
    <t>Virgin Binder Grade</t>
  </si>
  <si>
    <t>LAP100901</t>
  </si>
  <si>
    <t>Ergon @ Parsons, TN</t>
  </si>
  <si>
    <t>PG58-22</t>
  </si>
  <si>
    <t>PG58-34</t>
  </si>
  <si>
    <t>PG64-28</t>
  </si>
  <si>
    <t>PG64-34</t>
  </si>
  <si>
    <t>PG70-22</t>
  </si>
  <si>
    <t>PG70-28</t>
  </si>
  <si>
    <t>PG70-34</t>
  </si>
  <si>
    <t>PG76-28</t>
  </si>
  <si>
    <t>PG76-34</t>
  </si>
  <si>
    <t>PG82-22</t>
  </si>
  <si>
    <t>PG82-28</t>
  </si>
  <si>
    <t>PG82-34</t>
  </si>
  <si>
    <t>Superpave 0.75</t>
  </si>
  <si>
    <t>00334 CL3 ASPH SURF 0.38A PG64-22 (SLAG)</t>
  </si>
  <si>
    <t>24570EC CL3 ASPH SURF NO.4D PG64-22</t>
  </si>
  <si>
    <t>24593EC CL4 ASPH SURF 0.38B PG76-22 (SLAG)</t>
  </si>
  <si>
    <t>24594EC CL3 ASPH SURF 0.38D PG64-22 (SLAG)</t>
  </si>
  <si>
    <t>24635EC CL3 ASPH BASE 1.00D PG64-22 (SLAG)</t>
  </si>
  <si>
    <t>24685EC CL2 ASPH SURF 0.38A PG64-22</t>
  </si>
  <si>
    <t>The Allen Company @ Danville (Drum)</t>
  </si>
  <si>
    <t>Slag #4's</t>
  </si>
  <si>
    <t>LAP100302</t>
  </si>
  <si>
    <t>BP @ Calumet</t>
  </si>
  <si>
    <t>LAP101402</t>
  </si>
  <si>
    <t>Trumbull Asphalt @ Granite City, IL</t>
  </si>
  <si>
    <t>LAP101404</t>
  </si>
  <si>
    <t>Haydon Materials @ Lebanon</t>
  </si>
  <si>
    <t>AMP030310</t>
  </si>
  <si>
    <t>L-G Materials @ Corbin</t>
  </si>
  <si>
    <t>L-G Materials @ Fariston</t>
  </si>
  <si>
    <t>L-G Materials @ Manchester</t>
  </si>
  <si>
    <t>L-G Materials @ McKee</t>
  </si>
  <si>
    <t>L-G Materials @ Mount Vernon</t>
  </si>
  <si>
    <t>L-G Materials @ Pittsburg</t>
  </si>
  <si>
    <t>Rogers Group @ Canton</t>
  </si>
  <si>
    <t>Mountain Enterprises @ Olive Hill (Batch)</t>
  </si>
  <si>
    <t>Hinkle Contracting @ Cave Run Stone</t>
  </si>
  <si>
    <t>AMP030311</t>
  </si>
  <si>
    <t>Scottys Contracting @ Bowling Green (North)</t>
  </si>
  <si>
    <t>AMP110306</t>
  </si>
  <si>
    <t>The Allen Company @ Clover Bottom</t>
  </si>
  <si>
    <t>Len Riegler Blacktop @ Florence</t>
  </si>
  <si>
    <t>Phillips 66 @ Wood River, IL</t>
  </si>
  <si>
    <t>Phillips 66 @ Knoxville, TN</t>
  </si>
  <si>
    <t>Marathon @ Cane Run Louisville</t>
  </si>
  <si>
    <t>Asphalt Materials @ Warsaw, IN</t>
  </si>
  <si>
    <t>Phillips 66 (Tanco Clark Maritime) @ Jeffersonville, IN</t>
  </si>
  <si>
    <t>AMP040304</t>
  </si>
  <si>
    <t>Scottys Contracting @ Vine Grove</t>
  </si>
  <si>
    <t xml:space="preserve">AMP010306      </t>
  </si>
  <si>
    <t>Rogers Group @ Marion (Drum)</t>
  </si>
  <si>
    <t>AMP020308</t>
  </si>
  <si>
    <t>J H Rudolph @ Henderson</t>
  </si>
  <si>
    <t>24887EC CL3 ASPH SURF NO.4A PG64-22</t>
  </si>
  <si>
    <t>Sandst. #78’s Class A</t>
  </si>
  <si>
    <t>Sandst. #8’s Class A</t>
  </si>
  <si>
    <t>Sandst. #9-M’s Class A</t>
  </si>
  <si>
    <t>Sandst. #11’s Class A</t>
  </si>
  <si>
    <t>Sandst. Sand (Unwashed) Class A</t>
  </si>
  <si>
    <t>Sandst. Sand (Washed) Class A</t>
  </si>
  <si>
    <t>Louisville Paving @ Brownsboro</t>
  </si>
  <si>
    <t>Murray Paving @ Murray (Batch)</t>
  </si>
  <si>
    <t>Murray Paving @ Murray (Drum)</t>
  </si>
  <si>
    <t>AMP020310</t>
  </si>
  <si>
    <t>Scottys Contracting @ Madisonville ("Rocky")</t>
  </si>
  <si>
    <t>24888EC CL2 ASPH SURF NO.4B PG64-22</t>
  </si>
  <si>
    <t>00314 CL3 ASPH SURF 0.50D PG76-22</t>
  </si>
  <si>
    <t>Kentucky Transportation Cabinet, Department of Highways, Division of Materials</t>
  </si>
  <si>
    <t>Asphalt Mixtures Testing Section</t>
  </si>
  <si>
    <t>1227 Wilkinson Boulevard, Frankfort, KY  40601-1226</t>
  </si>
  <si>
    <t>Performance Specimen Fabrication Results</t>
  </si>
  <si>
    <t>COUNTY:</t>
  </si>
  <si>
    <t>TYPE OF MIX.:</t>
  </si>
  <si>
    <t>PROJ. #:</t>
  </si>
  <si>
    <t>LAB:</t>
  </si>
  <si>
    <t>CONTR. &amp; LOC.:</t>
  </si>
  <si>
    <t>BIND. GRADE:</t>
  </si>
  <si>
    <t>MADE WITH:</t>
  </si>
  <si>
    <t>(as per bid item)</t>
  </si>
  <si>
    <t>BIND. SOURCE:</t>
  </si>
  <si>
    <t>Test Specimen Results</t>
  </si>
  <si>
    <t>Sample Identification</t>
  </si>
  <si>
    <t>% AC:</t>
  </si>
  <si>
    <t>% ADDITIVE:</t>
  </si>
  <si>
    <t>Sample Aggregate Weight (g)</t>
  </si>
  <si>
    <t>Grams of Asphalt Binder (g)</t>
  </si>
  <si>
    <t>TYPE OF ADDITIVE:</t>
  </si>
  <si>
    <t>Dry Weight in Air (g)</t>
  </si>
  <si>
    <t>Weight in Water (g)</t>
  </si>
  <si>
    <t>SSD Weight (g)</t>
  </si>
  <si>
    <t>Date:</t>
  </si>
  <si>
    <t>Time:</t>
  </si>
  <si>
    <t>By:</t>
  </si>
  <si>
    <r>
      <t>Bulk Volume (cm</t>
    </r>
    <r>
      <rPr>
        <vertAlign val="superscript"/>
        <sz val="8"/>
        <rFont val="Arial"/>
        <family val="2"/>
      </rPr>
      <t>3</t>
    </r>
    <r>
      <rPr>
        <sz val="8"/>
        <rFont val="Arial"/>
        <family val="2"/>
      </rPr>
      <t>)</t>
    </r>
  </si>
  <si>
    <t>Bulk Specific Gravity</t>
  </si>
  <si>
    <t>Specimens Made:</t>
  </si>
  <si>
    <t>% Air Voids</t>
  </si>
  <si>
    <t>Specimens Bulked:</t>
  </si>
  <si>
    <t>Target % Air Voids</t>
  </si>
  <si>
    <t>CT Specimens in 77 °F Bath:</t>
  </si>
  <si>
    <t>Target Aggregate Weight (g)</t>
  </si>
  <si>
    <t>CT Specimens Broken:</t>
  </si>
  <si>
    <t>Asphalt Binder (g)</t>
  </si>
  <si>
    <t>Hamburg Specimens in Bath:</t>
  </si>
  <si>
    <t>Hamburg Specimens Run:</t>
  </si>
  <si>
    <t>Diameter (mm)</t>
  </si>
  <si>
    <t>Thickness (mm)</t>
  </si>
  <si>
    <t>Dry Weight (g)</t>
  </si>
  <si>
    <t>Wt. in Water (g)</t>
  </si>
  <si>
    <t>Volume (cm3)</t>
  </si>
  <si>
    <t>Bulk Spec. Gravity</t>
  </si>
  <si>
    <t>REMARKS:</t>
  </si>
  <si>
    <t>V1.03</t>
  </si>
  <si>
    <t xml:space="preserve">  850 - IDEAL-CT</t>
  </si>
  <si>
    <t>Show/Hide Formula Rows</t>
  </si>
  <si>
    <t>Project ID</t>
  </si>
  <si>
    <t>Num Points</t>
  </si>
  <si>
    <t>Peak Load</t>
  </si>
  <si>
    <t>First Row of Data</t>
  </si>
  <si>
    <t>85% Peak</t>
  </si>
  <si>
    <t>75% Peak</t>
  </si>
  <si>
    <t>65% Peak</t>
  </si>
  <si>
    <t>Rowpeak</t>
  </si>
  <si>
    <t>Row(85)</t>
  </si>
  <si>
    <t>Row(75)</t>
  </si>
  <si>
    <t>Row(65)</t>
  </si>
  <si>
    <r>
      <t>l</t>
    </r>
    <r>
      <rPr>
        <b/>
        <vertAlign val="subscript"/>
        <sz val="11"/>
        <rFont val="Arial"/>
        <family val="2"/>
      </rPr>
      <t>75</t>
    </r>
  </si>
  <si>
    <t>Series Name</t>
  </si>
  <si>
    <t>Row &lt; 0.1</t>
  </si>
  <si>
    <r>
      <t>m</t>
    </r>
    <r>
      <rPr>
        <b/>
        <vertAlign val="subscript"/>
        <sz val="11"/>
        <rFont val="Arial"/>
        <family val="2"/>
      </rPr>
      <t>75</t>
    </r>
  </si>
  <si>
    <r>
      <t>W</t>
    </r>
    <r>
      <rPr>
        <b/>
        <vertAlign val="subscript"/>
        <sz val="11"/>
        <rFont val="Arial"/>
        <family val="2"/>
      </rPr>
      <t>f</t>
    </r>
  </si>
  <si>
    <r>
      <t>G</t>
    </r>
    <r>
      <rPr>
        <b/>
        <vertAlign val="subscript"/>
        <sz val="11"/>
        <rFont val="Arial"/>
        <family val="2"/>
      </rPr>
      <t>f</t>
    </r>
  </si>
  <si>
    <r>
      <t>CT</t>
    </r>
    <r>
      <rPr>
        <b/>
        <vertAlign val="subscript"/>
        <sz val="11"/>
        <rFont val="Arial"/>
        <family val="2"/>
      </rPr>
      <t>Index</t>
    </r>
  </si>
  <si>
    <t>Sample 1 ID</t>
  </si>
  <si>
    <t>Sample 2 ID</t>
  </si>
  <si>
    <t>Sample 3 ID</t>
  </si>
  <si>
    <t>Sample 4 ID</t>
  </si>
  <si>
    <t>Sample 5 ID</t>
  </si>
  <si>
    <t>Sample 6 ID</t>
  </si>
  <si>
    <t>Sample 7 ID</t>
  </si>
  <si>
    <t>Sample 8 ID</t>
  </si>
  <si>
    <t>Temp [C]</t>
  </si>
  <si>
    <t>Diameter</t>
  </si>
  <si>
    <t>Thickness</t>
  </si>
  <si>
    <t>Flow/Stability Data</t>
  </si>
  <si>
    <t>Flow (mm)</t>
  </si>
  <si>
    <t>Stability (kN)</t>
  </si>
  <si>
    <t>Flow</t>
  </si>
  <si>
    <t>Stability</t>
  </si>
  <si>
    <t>Max Scale</t>
  </si>
  <si>
    <t>Port</t>
  </si>
  <si>
    <t>COM1</t>
  </si>
  <si>
    <t>Settings</t>
  </si>
  <si>
    <t>baud=38400 parity=N data=8 stop=1</t>
  </si>
  <si>
    <t>TEST METHOD:</t>
  </si>
  <si>
    <t>AASHTO T324</t>
  </si>
  <si>
    <t>SAMPLE ID #:</t>
  </si>
  <si>
    <t>Other</t>
  </si>
  <si>
    <t>Process</t>
  </si>
  <si>
    <t>Silo Storage Time:</t>
  </si>
  <si>
    <t>Mix Sampled:</t>
  </si>
  <si>
    <t>AMP080306</t>
  </si>
  <si>
    <t>L-G Materials @ Shopville</t>
  </si>
  <si>
    <t>VI01 - Perf. Spec. Avg % Air Voids # 1</t>
  </si>
  <si>
    <t>VI01 - Perf. Spec. Avg % Air Voids # 2</t>
  </si>
  <si>
    <t>VI01 - Perf. Spec. Made With</t>
  </si>
  <si>
    <t>VI01 - CT l75 #1</t>
  </si>
  <si>
    <t>VI01 - CT m75 #1</t>
  </si>
  <si>
    <t>VI01 - CT Wf #1</t>
  </si>
  <si>
    <t>VI01 - CT Gf #1</t>
  </si>
  <si>
    <t>VI01 - CT Index #1</t>
  </si>
  <si>
    <t>VI01 - CT l75 #2</t>
  </si>
  <si>
    <t>VI01 - CT m75 #2</t>
  </si>
  <si>
    <t>VI01 - CT Wf #2</t>
  </si>
  <si>
    <t>VI01 - CT Gf #2</t>
  </si>
  <si>
    <t>VI01 - CT Index #2</t>
  </si>
  <si>
    <t>VI01 - CT l75 #3</t>
  </si>
  <si>
    <t>VI01 - CT m75 #3</t>
  </si>
  <si>
    <t>VI01 - CT Wf #3</t>
  </si>
  <si>
    <t>VI01 - CT Gf #3</t>
  </si>
  <si>
    <t>VI01 - CT Index #3</t>
  </si>
  <si>
    <t>VI01 - CT l75 #4</t>
  </si>
  <si>
    <t>VI01 - CT m75 #4</t>
  </si>
  <si>
    <t>VI01 - CT Wf #4</t>
  </si>
  <si>
    <t>VI01 - CT Gf #4</t>
  </si>
  <si>
    <t>VI01 - CT Index #4</t>
  </si>
  <si>
    <t>VI01 - CT l75 #5</t>
  </si>
  <si>
    <t>VI01 - CT m75 #5</t>
  </si>
  <si>
    <t>VI01 - CT Wf #5</t>
  </si>
  <si>
    <t>VI01 - CT Gf #5</t>
  </si>
  <si>
    <t>VI01 - CT Index #5</t>
  </si>
  <si>
    <t>VI01 - CT l75 #6</t>
  </si>
  <si>
    <t>VI01 - CT m75 #6</t>
  </si>
  <si>
    <t>VI01 - CT Wf #6</t>
  </si>
  <si>
    <t>VI01 - CT Gf #6</t>
  </si>
  <si>
    <t>VI01 - CT Index #6</t>
  </si>
  <si>
    <t>VI01 - CT l75 #7</t>
  </si>
  <si>
    <t>VI01 - CT m75 #7</t>
  </si>
  <si>
    <t>VI01 - CT Wf #7</t>
  </si>
  <si>
    <t>VI01 - CT Gf #7</t>
  </si>
  <si>
    <t>VI01 - CT Index #7</t>
  </si>
  <si>
    <t>VI01 - CT l75 #8</t>
  </si>
  <si>
    <t>VI01 - CT m75 #8</t>
  </si>
  <si>
    <t>VI01 - CT Wf #8</t>
  </si>
  <si>
    <t>VI01 - CT Gf #8</t>
  </si>
  <si>
    <t>VI01 - CT Index #8</t>
  </si>
  <si>
    <t>VI01 - Hamburg Made With</t>
  </si>
  <si>
    <t>VI01 - Hamburg Pass 100 Left Max</t>
  </si>
  <si>
    <t>VI01 - Hamburg Pass 100 Right Max</t>
  </si>
  <si>
    <t>VI01 - Hamburg Pass 5000 Left Max</t>
  </si>
  <si>
    <t>VI01 - Hamburg Pass 5000 Right Max</t>
  </si>
  <si>
    <t>VI01 - Hamburg Pass 10000 Left Max</t>
  </si>
  <si>
    <t>VI01 - Hamburg Pass 10000 Right Max</t>
  </si>
  <si>
    <t>VI01 - Hamburg Pass 15000 Left Max</t>
  </si>
  <si>
    <t>VI01 - Hamburg Pass 15000 Right Max</t>
  </si>
  <si>
    <t>VI01 - Hamburg Pass 20000 Left Max</t>
  </si>
  <si>
    <t>VI01 - Hamburg Pass 20000 Right Max</t>
  </si>
  <si>
    <t>VI01 - Hamburg Pass 25000 Left Max</t>
  </si>
  <si>
    <t>VI01 - Hamburg Pass 25000 Right Max</t>
  </si>
  <si>
    <t>VI01 - Hamburg Max Deformation Left Max</t>
  </si>
  <si>
    <t>VI01 - Hamburg Max Deformation Right Max</t>
  </si>
  <si>
    <t>VI01 - Hamburg Pass Number Left Max</t>
  </si>
  <si>
    <t>VI01 - Hamburg Pass Number Right Max</t>
  </si>
  <si>
    <t>VI01 - Hamburg SIP Left Max</t>
  </si>
  <si>
    <t>VI01 - Hamburg SIP Right Max</t>
  </si>
  <si>
    <t>QC01 - Perf. Spec. Avg % Air Voids # 1</t>
  </si>
  <si>
    <t>QC01 - Perf. Spec. Avg % Air Voids # 2</t>
  </si>
  <si>
    <t>QC01 - Perf. Spec. Made With</t>
  </si>
  <si>
    <t>QC01 - CT l75 #1</t>
  </si>
  <si>
    <t>QC01 - CT m75 #1</t>
  </si>
  <si>
    <t>QC01 - CT Wf #1</t>
  </si>
  <si>
    <t>QC01 - CT Gf #1</t>
  </si>
  <si>
    <t>QC01 - CT Index #1</t>
  </si>
  <si>
    <t>QC01 - CT l75 #2</t>
  </si>
  <si>
    <t>QC01 - CT m75 #2</t>
  </si>
  <si>
    <t>QC01 - CT Wf #2</t>
  </si>
  <si>
    <t>QC01 - CT Gf #2</t>
  </si>
  <si>
    <t>QC01 - CT Index #2</t>
  </si>
  <si>
    <t>QC01 - CT l75 #3</t>
  </si>
  <si>
    <t>QC01 - CT m75 #3</t>
  </si>
  <si>
    <t>QC01 - CT Wf #3</t>
  </si>
  <si>
    <t>QC01 - CT Gf #3</t>
  </si>
  <si>
    <t>QC01 - CT Index #3</t>
  </si>
  <si>
    <t>QC01 - CT l75 #4</t>
  </si>
  <si>
    <t>QC01 - CT m75 #4</t>
  </si>
  <si>
    <t>QC01 - CT Wf #4</t>
  </si>
  <si>
    <t>QC01 - CT Gf #4</t>
  </si>
  <si>
    <t>QC01 - CT Index #4</t>
  </si>
  <si>
    <t>QC01 - CT l75 #5</t>
  </si>
  <si>
    <t>QC01 - CT m75 #5</t>
  </si>
  <si>
    <t>QC01 - CT Wf #5</t>
  </si>
  <si>
    <t>QC01 - CT Gf #5</t>
  </si>
  <si>
    <t>QC01 - CT Index #5</t>
  </si>
  <si>
    <t>QC01 - CT l75 #6</t>
  </si>
  <si>
    <t>QC01 - CT m75 #6</t>
  </si>
  <si>
    <t>QC01 - CT Wf #6</t>
  </si>
  <si>
    <t>QC01 - CT Gf #6</t>
  </si>
  <si>
    <t>QC01 - CT Index #6</t>
  </si>
  <si>
    <t>QC01 - CT l75 #7</t>
  </si>
  <si>
    <t>QC01 - CT m75 #7</t>
  </si>
  <si>
    <t>QC01 - CT Wf #7</t>
  </si>
  <si>
    <t>QC01 - CT Gf #7</t>
  </si>
  <si>
    <t>QC01 - CT Index #7</t>
  </si>
  <si>
    <t>QC01 - CT l75 #8</t>
  </si>
  <si>
    <t>QC01 - CT m75 #8</t>
  </si>
  <si>
    <t>QC01 - CT Wf #8</t>
  </si>
  <si>
    <t>QC01 - CT Gf #8</t>
  </si>
  <si>
    <t>QC01 - CT Index #8</t>
  </si>
  <si>
    <t>QC01 - Hamburg Made With</t>
  </si>
  <si>
    <t>QC01 - Hamburg Pass 100 Left Max</t>
  </si>
  <si>
    <t>QC01 - Hamburg Pass 100 Right Max</t>
  </si>
  <si>
    <t>QC01 - Hamburg Pass 5000 Left Max</t>
  </si>
  <si>
    <t>QC01 - Hamburg Pass 5000 Right Max</t>
  </si>
  <si>
    <t>QC01 - Hamburg Pass 10000 Left Max</t>
  </si>
  <si>
    <t>QC01 - Hamburg Pass 10000 Right Max</t>
  </si>
  <si>
    <t>QC01 - Hamburg Pass 15000 Left Max</t>
  </si>
  <si>
    <t>QC01 - Hamburg Pass 15000 Right Max</t>
  </si>
  <si>
    <t>QC01 - Hamburg Pass 20000 Left Max</t>
  </si>
  <si>
    <t>QC01 - Hamburg Pass 20000 Right Max</t>
  </si>
  <si>
    <t>QC01 - Hamburg Pass 25000 Left Max</t>
  </si>
  <si>
    <t>QC01 - Hamburg Pass 25000 Right Max</t>
  </si>
  <si>
    <t>QC01 - Hamburg Max Deformation Left Max</t>
  </si>
  <si>
    <t>QC01 - Hamburg Max Deformation Right Max</t>
  </si>
  <si>
    <t>QC01 - Hamburg Pass Number Left Max</t>
  </si>
  <si>
    <t>QC01 - Hamburg Pass Number Right Max</t>
  </si>
  <si>
    <t>QC01 - Hamburg SIP Left Max</t>
  </si>
  <si>
    <t>QC01 - Hamburg SIP Right Max</t>
  </si>
  <si>
    <t>QC02 - Perf. Spec. Avg % Air Voids # 1</t>
  </si>
  <si>
    <t>QC02 - Perf. Spec. Avg % Air Voids # 2</t>
  </si>
  <si>
    <t>QC02 - Perf. Spec. Made With</t>
  </si>
  <si>
    <t>QC02 - CT l75 #1</t>
  </si>
  <si>
    <t>QC02 - CT m75 #1</t>
  </si>
  <si>
    <t>QC02 - CT Wf #1</t>
  </si>
  <si>
    <t>QC02 - CT Gf #1</t>
  </si>
  <si>
    <t>QC02 - CT Index #1</t>
  </si>
  <si>
    <t>QC02 - CT l75 #2</t>
  </si>
  <si>
    <t>QC02 - CT m75 #2</t>
  </si>
  <si>
    <t>QC02 - CT Wf #2</t>
  </si>
  <si>
    <t>QC02 - CT Gf #2</t>
  </si>
  <si>
    <t>QC02 - CT Index #2</t>
  </si>
  <si>
    <t>QC02 - CT l75 #3</t>
  </si>
  <si>
    <t>QC02 - CT m75 #3</t>
  </si>
  <si>
    <t>QC02 - CT Wf #3</t>
  </si>
  <si>
    <t>QC02 - CT Gf #3</t>
  </si>
  <si>
    <t>QC02 - CT Index #3</t>
  </si>
  <si>
    <t>QC02 - CT l75 #4</t>
  </si>
  <si>
    <t>QC02 - CT m75 #4</t>
  </si>
  <si>
    <t>QC02 - CT Wf #4</t>
  </si>
  <si>
    <t>QC02 - CT Gf #4</t>
  </si>
  <si>
    <t>QC02 - CT Index #4</t>
  </si>
  <si>
    <t>QC02 - CT l75 #5</t>
  </si>
  <si>
    <t>QC02 - CT m75 #5</t>
  </si>
  <si>
    <t>QC02 - CT Wf #5</t>
  </si>
  <si>
    <t>QC02 - CT Gf #5</t>
  </si>
  <si>
    <t>QC02 - CT Index #5</t>
  </si>
  <si>
    <t>QC02 - CT l75 #6</t>
  </si>
  <si>
    <t>QC02 - CT m75 #6</t>
  </si>
  <si>
    <t>QC02 - CT Wf #6</t>
  </si>
  <si>
    <t>QC02 - CT Gf #6</t>
  </si>
  <si>
    <t>QC02 - CT Index #6</t>
  </si>
  <si>
    <t>QC02 - CT l75 #7</t>
  </si>
  <si>
    <t>QC02 - CT m75 #7</t>
  </si>
  <si>
    <t>QC02 - CT Wf #7</t>
  </si>
  <si>
    <t>QC02 - CT Gf #7</t>
  </si>
  <si>
    <t>QC02 - CT Index #7</t>
  </si>
  <si>
    <t>QC02 - CT l75 #8</t>
  </si>
  <si>
    <t>QC02 - CT m75 #8</t>
  </si>
  <si>
    <t>QC02 - CT Wf #8</t>
  </si>
  <si>
    <t>QC02 - CT Gf #8</t>
  </si>
  <si>
    <t>QC02 - CT Index #8</t>
  </si>
  <si>
    <t>QC02 - Hamburg Made With</t>
  </si>
  <si>
    <t>QC02 - Hamburg Pass 100 Left Max</t>
  </si>
  <si>
    <t>QC02 - Hamburg Pass 100 Right Max</t>
  </si>
  <si>
    <t>QC02 - Hamburg Pass 5000 Left Max</t>
  </si>
  <si>
    <t>QC02 - Hamburg Pass 5000 Right Max</t>
  </si>
  <si>
    <t>QC02 - Hamburg Pass 10000 Left Max</t>
  </si>
  <si>
    <t>QC02 - Hamburg Pass 10000 Right Max</t>
  </si>
  <si>
    <t>QC02 - Hamburg Pass 15000 Left Max</t>
  </si>
  <si>
    <t>QC02 - Hamburg Pass 15000 Right Max</t>
  </si>
  <si>
    <t>QC02 - Hamburg Pass 20000 Left Max</t>
  </si>
  <si>
    <t>QC02 - Hamburg Pass 20000 Right Max</t>
  </si>
  <si>
    <t>QC02 - Hamburg Pass 25000 Left Max</t>
  </si>
  <si>
    <t>QC02 - Hamburg Pass 25000 Right Max</t>
  </si>
  <si>
    <t>QC02 - Hamburg Max Deformation Left Max</t>
  </si>
  <si>
    <t>QC02 - Hamburg Max Deformation Right Max</t>
  </si>
  <si>
    <t>QC02 - Hamburg Pass Number Left Max</t>
  </si>
  <si>
    <t>QC02 - Hamburg Pass Number Right Max</t>
  </si>
  <si>
    <t>QC02 - Hamburg SIP Left Max</t>
  </si>
  <si>
    <t>QC02 - Hamburg SIP Right Max</t>
  </si>
  <si>
    <t>QC03 - Perf. Spec. Avg % Air Voids # 1</t>
  </si>
  <si>
    <t>QC03 - Perf. Spec. Avg % Air Voids # 2</t>
  </si>
  <si>
    <t>QC03 - Perf. Spec. Made With</t>
  </si>
  <si>
    <t>QC03 - CT l75 #1</t>
  </si>
  <si>
    <t>QC03 - CT m75 #1</t>
  </si>
  <si>
    <t>QC03 - CT Wf #1</t>
  </si>
  <si>
    <t>QC03 - CT Gf #1</t>
  </si>
  <si>
    <t>QC03 - CT Index #1</t>
  </si>
  <si>
    <t>QC03 - CT l75 #2</t>
  </si>
  <si>
    <t>QC03 - CT m75 #2</t>
  </si>
  <si>
    <t>QC03 - CT Wf #2</t>
  </si>
  <si>
    <t>QC03 - CT Gf #2</t>
  </si>
  <si>
    <t>QC03 - CT Index #2</t>
  </si>
  <si>
    <t>QC03 - CT l75 #3</t>
  </si>
  <si>
    <t>QC03 - CT m75 #3</t>
  </si>
  <si>
    <t>QC03 - CT Wf #3</t>
  </si>
  <si>
    <t>QC03 - CT Gf #3</t>
  </si>
  <si>
    <t>QC03 - CT Index #3</t>
  </si>
  <si>
    <t>QC03 - CT l75 #4</t>
  </si>
  <si>
    <t>QC03 - CT m75 #4</t>
  </si>
  <si>
    <t>QC03 - CT Wf #4</t>
  </si>
  <si>
    <t>QC03 - CT Gf #4</t>
  </si>
  <si>
    <t>QC03 - CT Index #4</t>
  </si>
  <si>
    <t>QC03 - CT l75 #5</t>
  </si>
  <si>
    <t>QC03 - CT m75 #5</t>
  </si>
  <si>
    <t>QC03 - CT Wf #5</t>
  </si>
  <si>
    <t>QC03 - CT Gf #5</t>
  </si>
  <si>
    <t>QC03 - CT Index #5</t>
  </si>
  <si>
    <t>QC03 - CT l75 #6</t>
  </si>
  <si>
    <t>QC03 - CT m75 #6</t>
  </si>
  <si>
    <t>QC03 - CT Wf #6</t>
  </si>
  <si>
    <t>QC03 - CT Gf #6</t>
  </si>
  <si>
    <t>QC03 - CT Index #6</t>
  </si>
  <si>
    <t>QC03 - CT l75 #7</t>
  </si>
  <si>
    <t>QC03 - CT m75 #7</t>
  </si>
  <si>
    <t>QC03 - CT Wf #7</t>
  </si>
  <si>
    <t>QC03 - CT Gf #7</t>
  </si>
  <si>
    <t>QC03 - CT Index #7</t>
  </si>
  <si>
    <t>QC03 - CT l75 #8</t>
  </si>
  <si>
    <t>QC03 - CT m75 #8</t>
  </si>
  <si>
    <t>QC03 - CT Wf #8</t>
  </si>
  <si>
    <t>QC03 - CT Gf #8</t>
  </si>
  <si>
    <t>QC03 - CT Index #8</t>
  </si>
  <si>
    <t>QC03 - Hamburg Made With</t>
  </si>
  <si>
    <t>QC03 - Hamburg Pass 100 Left Max</t>
  </si>
  <si>
    <t>QC03 - Hamburg Pass 100 Right Max</t>
  </si>
  <si>
    <t>QC03 - Hamburg Pass 5000 Left Max</t>
  </si>
  <si>
    <t>QC03 - Hamburg Pass 5000 Right Max</t>
  </si>
  <si>
    <t>QC03 - Hamburg Pass 10000 Left Max</t>
  </si>
  <si>
    <t>QC03 - Hamburg Pass 10000 Right Max</t>
  </si>
  <si>
    <t>QC03 - Hamburg Pass 15000 Left Max</t>
  </si>
  <si>
    <t>QC03 - Hamburg Pass 15000 Right Max</t>
  </si>
  <si>
    <t>QC03 - Hamburg Pass 20000 Left Max</t>
  </si>
  <si>
    <t>QC03 - Hamburg Pass 20000 Right Max</t>
  </si>
  <si>
    <t>QC03 - Hamburg Pass 25000 Left Max</t>
  </si>
  <si>
    <t>QC03 - Hamburg Pass 25000 Right Max</t>
  </si>
  <si>
    <t>QC03 - Hamburg Max Deformation Left Max</t>
  </si>
  <si>
    <t>QC03 - Hamburg Max Deformation Right Max</t>
  </si>
  <si>
    <t>QC03 - Hamburg Pass Number Left Max</t>
  </si>
  <si>
    <t>QC03 - Hamburg Pass Number Right Max</t>
  </si>
  <si>
    <t>QC03 - Hamburg SIP Left Max</t>
  </si>
  <si>
    <t>QC03 - Hamburg SIP Right Max</t>
  </si>
  <si>
    <t>QC04 - Perf. Spec. Avg % Air Voids # 1</t>
  </si>
  <si>
    <t>QC04 - Perf. Spec. Avg % Air Voids # 2</t>
  </si>
  <si>
    <t>QC04 - Perf. Spec. Made With</t>
  </si>
  <si>
    <t>QC04 - CT l75 #1</t>
  </si>
  <si>
    <t>QC04 - CT m75 #1</t>
  </si>
  <si>
    <t>QC04 - CT Wf #1</t>
  </si>
  <si>
    <t>QC04 - CT Gf #1</t>
  </si>
  <si>
    <t>QC04 - CT Index #1</t>
  </si>
  <si>
    <t>QC04 - CT l75 #2</t>
  </si>
  <si>
    <t>QC04 - CT m75 #2</t>
  </si>
  <si>
    <t>QC04 - CT Wf #2</t>
  </si>
  <si>
    <t>QC04 - CT Gf #2</t>
  </si>
  <si>
    <t>QC04 - CT Index #2</t>
  </si>
  <si>
    <t>QC04 - CT l75 #3</t>
  </si>
  <si>
    <t>QC04 - CT m75 #3</t>
  </si>
  <si>
    <t>QC04 - CT Wf #3</t>
  </si>
  <si>
    <t>QC04 - CT Gf #3</t>
  </si>
  <si>
    <t>QC04 - CT Index #3</t>
  </si>
  <si>
    <t>QC04 - CT l75 #4</t>
  </si>
  <si>
    <t>QC04 - CT m75 #4</t>
  </si>
  <si>
    <t>QC04 - CT Wf #4</t>
  </si>
  <si>
    <t>QC04 - CT Gf #4</t>
  </si>
  <si>
    <t>QC04 - CT Index #4</t>
  </si>
  <si>
    <t>QC04 - CT l75 #5</t>
  </si>
  <si>
    <t>QC04 - CT m75 #5</t>
  </si>
  <si>
    <t>QC04 - CT Wf #5</t>
  </si>
  <si>
    <t>QC04 - CT Gf #5</t>
  </si>
  <si>
    <t>QC04 - CT Index #5</t>
  </si>
  <si>
    <t>QC04 - CT l75 #6</t>
  </si>
  <si>
    <t>QC04 - CT m75 #6</t>
  </si>
  <si>
    <t>QC04 - CT Wf #6</t>
  </si>
  <si>
    <t>QC04 - CT Gf #6</t>
  </si>
  <si>
    <t>QC04 - CT Index #6</t>
  </si>
  <si>
    <t>QC04 - CT l75 #7</t>
  </si>
  <si>
    <t>QC04 - CT m75 #7</t>
  </si>
  <si>
    <t>QC04 - CT Wf #7</t>
  </si>
  <si>
    <t>QC04 - CT Gf #7</t>
  </si>
  <si>
    <t>QC04 - CT Index #7</t>
  </si>
  <si>
    <t>QC04 - CT l75 #8</t>
  </si>
  <si>
    <t>QC04 - CT m75 #8</t>
  </si>
  <si>
    <t>QC04 - CT Wf #8</t>
  </si>
  <si>
    <t>QC04 - CT Gf #8</t>
  </si>
  <si>
    <t>QC04 - CT Index #8</t>
  </si>
  <si>
    <t>QC04 - Hamburg Made With</t>
  </si>
  <si>
    <t>QC04 - Hamburg Pass 100 Left Max</t>
  </si>
  <si>
    <t>QC04 - Hamburg Pass 100 Right Max</t>
  </si>
  <si>
    <t>QC04 - Hamburg Pass 5000 Left Max</t>
  </si>
  <si>
    <t>QC04 - Hamburg Pass 5000 Right Max</t>
  </si>
  <si>
    <t>QC04 - Hamburg Pass 10000 Left Max</t>
  </si>
  <si>
    <t>QC04 - Hamburg Pass 10000 Right Max</t>
  </si>
  <si>
    <t>QC04 - Hamburg Pass 15000 Left Max</t>
  </si>
  <si>
    <t>QC04 - Hamburg Pass 15000 Right Max</t>
  </si>
  <si>
    <t>QC04 - Hamburg Pass 20000 Left Max</t>
  </si>
  <si>
    <t>QC04 - Hamburg Pass 20000 Right Max</t>
  </si>
  <si>
    <t>QC04 - Hamburg Pass 25000 Left Max</t>
  </si>
  <si>
    <t>QC04 - Hamburg Pass 25000 Right Max</t>
  </si>
  <si>
    <t>QC04 - Hamburg Max Deformation Left Max</t>
  </si>
  <si>
    <t>QC04 - Hamburg Max Deformation Right Max</t>
  </si>
  <si>
    <t>QC04 - Hamburg Pass Number Left Max</t>
  </si>
  <si>
    <t>QC04 - Hamburg Pass Number Right Max</t>
  </si>
  <si>
    <t>QC04 - Hamburg SIP Left Max</t>
  </si>
  <si>
    <t>QC04 - Hamburg SIP Right Max</t>
  </si>
  <si>
    <t>QA01 - Perf. Spec. Avg % Air Voids # 1</t>
  </si>
  <si>
    <t>QA01 - Perf. Spec. Avg % Air Voids # 2</t>
  </si>
  <si>
    <t>QA01 - Perf. Spec. Made With</t>
  </si>
  <si>
    <t>QA01 - CT l75 #1</t>
  </si>
  <si>
    <t>QA01 - CT m75 #1</t>
  </si>
  <si>
    <t>QA01 - CT Wf #1</t>
  </si>
  <si>
    <t>QA01 - CT Gf #1</t>
  </si>
  <si>
    <t>QA01 - CT Index #1</t>
  </si>
  <si>
    <t>QA01 - CT l75 #2</t>
  </si>
  <si>
    <t>QA01 - CT m75 #2</t>
  </si>
  <si>
    <t>QA01 - CT Wf #2</t>
  </si>
  <si>
    <t>QA01 - CT Gf #2</t>
  </si>
  <si>
    <t>QA01 - CT Index #2</t>
  </si>
  <si>
    <t>QA01 - CT l75 #3</t>
  </si>
  <si>
    <t>QA01 - CT m75 #3</t>
  </si>
  <si>
    <t>QA01 - CT Wf #3</t>
  </si>
  <si>
    <t>QA01 - CT Gf #3</t>
  </si>
  <si>
    <t>QA01 - CT Index #3</t>
  </si>
  <si>
    <t>QA01 - CT l75 #4</t>
  </si>
  <si>
    <t>QA01 - CT m75 #4</t>
  </si>
  <si>
    <t>QA01 - CT Wf #4</t>
  </si>
  <si>
    <t>QA01 - CT Gf #4</t>
  </si>
  <si>
    <t>QA01 - CT Index #4</t>
  </si>
  <si>
    <t>QA01 - CT l75 #5</t>
  </si>
  <si>
    <t>QA01 - CT m75 #5</t>
  </si>
  <si>
    <t>QA01 - CT Wf #5</t>
  </si>
  <si>
    <t>QA01 - CT Gf #5</t>
  </si>
  <si>
    <t>QA01 - CT Index #5</t>
  </si>
  <si>
    <t>QA01 - CT l75 #6</t>
  </si>
  <si>
    <t>QA01 - CT m75 #6</t>
  </si>
  <si>
    <t>QA01 - CT Wf #6</t>
  </si>
  <si>
    <t>QA01 - CT Gf #6</t>
  </si>
  <si>
    <t>QA01 - CT Index #6</t>
  </si>
  <si>
    <t>QA01 - CT l75 #7</t>
  </si>
  <si>
    <t>QA01 - CT m75 #7</t>
  </si>
  <si>
    <t>QA01 - CT Wf #7</t>
  </si>
  <si>
    <t>QA01 - CT Gf #7</t>
  </si>
  <si>
    <t>QA01 - CT Index #7</t>
  </si>
  <si>
    <t>QA01 - CT l75 #8</t>
  </si>
  <si>
    <t>QA01 - CT m75 #8</t>
  </si>
  <si>
    <t>QA01 - CT Wf #8</t>
  </si>
  <si>
    <t>QA01 - CT Gf #8</t>
  </si>
  <si>
    <t>QA01 - CT Index #8</t>
  </si>
  <si>
    <t>QA01 - Hamburg Made With</t>
  </si>
  <si>
    <t>QA01 - Hamburg Pass 100 Left Max</t>
  </si>
  <si>
    <t>QA01 - Hamburg Pass 100 Right Max</t>
  </si>
  <si>
    <t>QA01 - Hamburg Pass 5000 Left Max</t>
  </si>
  <si>
    <t>QA01 - Hamburg Pass 5000 Right Max</t>
  </si>
  <si>
    <t>QA01 - Hamburg Pass 10000 Left Max</t>
  </si>
  <si>
    <t>QA01 - Hamburg Pass 10000 Right Max</t>
  </si>
  <si>
    <t>QA01 - Hamburg Pass 15000 Left Max</t>
  </si>
  <si>
    <t>QA01 - Hamburg Pass 15000 Right Max</t>
  </si>
  <si>
    <t>QA01 - Hamburg Pass 20000 Left Max</t>
  </si>
  <si>
    <t>QA01 - Hamburg Pass 20000 Right Max</t>
  </si>
  <si>
    <t>QA01 - Hamburg Pass 25000 Left Max</t>
  </si>
  <si>
    <t>QA01 - Hamburg Pass 25000 Right Max</t>
  </si>
  <si>
    <t>QA01 - Hamburg Max Deformation Left Max</t>
  </si>
  <si>
    <t>QA01 - Hamburg Max Deformation Right Max</t>
  </si>
  <si>
    <t>QA01 - Hamburg Pass Number Left Max</t>
  </si>
  <si>
    <t>QA01 - Hamburg Pass Number Right Max</t>
  </si>
  <si>
    <t>QA01 - Hamburg SIP Left Max</t>
  </si>
  <si>
    <t>QA01 - Hamburg SIP Right Max</t>
  </si>
  <si>
    <t>IQ01 - Perf. Spec. Avg % Air Voids # 1</t>
  </si>
  <si>
    <t>IQ01 - Perf. Spec. Avg % Air Voids # 2</t>
  </si>
  <si>
    <t>IQ01 - Perf. Spec. Made With</t>
  </si>
  <si>
    <t>IQ01 - CT l75 #1</t>
  </si>
  <si>
    <t>IQ01 - CT m75 #1</t>
  </si>
  <si>
    <t>IQ01 - CT Wf #1</t>
  </si>
  <si>
    <t>IQ01 - CT Gf #1</t>
  </si>
  <si>
    <t>IQ01 - CT Index #1</t>
  </si>
  <si>
    <t>IQ01 - CT l75 #2</t>
  </si>
  <si>
    <t>IQ01 - CT m75 #2</t>
  </si>
  <si>
    <t>IQ01 - CT Wf #2</t>
  </si>
  <si>
    <t>IQ01 - CT Gf #2</t>
  </si>
  <si>
    <t>IQ01 - CT Index #2</t>
  </si>
  <si>
    <t>IQ01 - CT l75 #3</t>
  </si>
  <si>
    <t>IQ01 - CT m75 #3</t>
  </si>
  <si>
    <t>IQ01 - CT Wf #3</t>
  </si>
  <si>
    <t>IQ01 - CT Gf #3</t>
  </si>
  <si>
    <t>IQ01 - CT Index #3</t>
  </si>
  <si>
    <t>IQ01 - CT l75 #4</t>
  </si>
  <si>
    <t>IQ01 - CT m75 #4</t>
  </si>
  <si>
    <t>IQ01 - CT Wf #4</t>
  </si>
  <si>
    <t>IQ01 - CT Gf #4</t>
  </si>
  <si>
    <t>IQ01 - CT Index #4</t>
  </si>
  <si>
    <t>IQ01 - CT l75 #5</t>
  </si>
  <si>
    <t>IQ01 - CT m75 #5</t>
  </si>
  <si>
    <t>IQ01 - CT Wf #5</t>
  </si>
  <si>
    <t>IQ01 - CT Gf #5</t>
  </si>
  <si>
    <t>IQ01 - CT Index #5</t>
  </si>
  <si>
    <t>IQ01 - CT l75 #6</t>
  </si>
  <si>
    <t>IQ01 - CT m75 #6</t>
  </si>
  <si>
    <t>IQ01 - CT Wf #6</t>
  </si>
  <si>
    <t>IQ01 - CT Gf #6</t>
  </si>
  <si>
    <t>IQ01 - CT Index #6</t>
  </si>
  <si>
    <t>IQ01 - CT l75 #7</t>
  </si>
  <si>
    <t>IQ01 - CT m75 #7</t>
  </si>
  <si>
    <t>IQ01 - CT Wf #7</t>
  </si>
  <si>
    <t>IQ01 - CT Gf #7</t>
  </si>
  <si>
    <t>IQ01 - CT Index #7</t>
  </si>
  <si>
    <t>IQ01 - CT l75 #8</t>
  </si>
  <si>
    <t>IQ01 - CT m75 #8</t>
  </si>
  <si>
    <t>IQ01 - CT Wf #8</t>
  </si>
  <si>
    <t>IQ01 - CT Gf #8</t>
  </si>
  <si>
    <t>IQ01 - CT Index #8</t>
  </si>
  <si>
    <t>IQ01 - Hamburg Made With</t>
  </si>
  <si>
    <t>IQ01 - Hamburg Pass 100 Left Max</t>
  </si>
  <si>
    <t>IQ01 - Hamburg Pass 100 Right Max</t>
  </si>
  <si>
    <t>IQ01 - Hamburg Pass 5000 Left Max</t>
  </si>
  <si>
    <t>IQ01 - Hamburg Pass 5000 Right Max</t>
  </si>
  <si>
    <t>IQ01 - Hamburg Pass 10000 Left Max</t>
  </si>
  <si>
    <t>IQ01 - Hamburg Pass 10000 Right Max</t>
  </si>
  <si>
    <t>IQ01 - Hamburg Pass 15000 Left Max</t>
  </si>
  <si>
    <t>IQ01 - Hamburg Pass 15000 Right Max</t>
  </si>
  <si>
    <t>IQ01 - Hamburg Pass 20000 Left Max</t>
  </si>
  <si>
    <t>IQ01 - Hamburg Pass 20000 Right Max</t>
  </si>
  <si>
    <t>IQ01 - Hamburg Pass 25000 Left Max</t>
  </si>
  <si>
    <t>IQ01 - Hamburg Pass 25000 Right Max</t>
  </si>
  <si>
    <t>IQ01 - Hamburg Max Deformation Left Max</t>
  </si>
  <si>
    <t>IQ01 - Hamburg Max Deformation Right Max</t>
  </si>
  <si>
    <t>IQ01 - Hamburg Pass Number Left Max</t>
  </si>
  <si>
    <t>IQ01 - Hamburg Pass Number Right Max</t>
  </si>
  <si>
    <t>IQ01 - Hamburg SIP Left Max</t>
  </si>
  <si>
    <t>IQ01 - Hamburg SIP Right Max</t>
  </si>
  <si>
    <t>VI01 - Perf. Spec. Avg % Air Voids # 3</t>
  </si>
  <si>
    <t>VI01 - Perf. Spec. Avg % Air Voids # 4</t>
  </si>
  <si>
    <t>QC01 - Perf. Spec. Avg % Air Voids # 3</t>
  </si>
  <si>
    <t>QC01 - Perf. Spec. Avg % Air Voids # 4</t>
  </si>
  <si>
    <t>QC02 - Perf. Spec. Avg % Air Voids # 3</t>
  </si>
  <si>
    <t>QC02 - Perf. Spec. Avg % Air Voids # 4</t>
  </si>
  <si>
    <t>QC03 - Perf. Spec. Avg % Air Voids # 3</t>
  </si>
  <si>
    <t>QC03 - Perf. Spec. Avg % Air Voids # 4</t>
  </si>
  <si>
    <t>QC04 - Perf. Spec. Avg % Air Voids # 3</t>
  </si>
  <si>
    <t>QC04 - Perf. Spec. Avg % Air Voids # 4</t>
  </si>
  <si>
    <t>QA01 - Perf. Spec. Avg % Air Voids # 3</t>
  </si>
  <si>
    <t>QA01 - Perf. Spec. Avg % Air Voids # 4</t>
  </si>
  <si>
    <t>IQ01 - Perf. Spec. Avg % Air Voids # 3</t>
  </si>
  <si>
    <t>IQ01 - Perf. Spec. Avg % Air Voids # 4</t>
  </si>
  <si>
    <t>0</t>
  </si>
  <si>
    <t>February 2020</t>
  </si>
  <si>
    <t>VI01 - CT Peak Flow # 1</t>
  </si>
  <si>
    <t>VI01 - CT Peak Stability # 1</t>
  </si>
  <si>
    <t>VI01 - CT Peak Flow # 2</t>
  </si>
  <si>
    <t>VI01 - CT Peak Stability # 2</t>
  </si>
  <si>
    <t>VI01 - CT Peak Flow # 3</t>
  </si>
  <si>
    <t>VI01 - CT Peak Stability # 3</t>
  </si>
  <si>
    <t>VI01 - CT Peak Flow # 4</t>
  </si>
  <si>
    <t>VI01 - CT Peak Stability # 4</t>
  </si>
  <si>
    <t>VI01 - CT Peak Flow # 5</t>
  </si>
  <si>
    <t>VI01 - CT Peak Stability # 5</t>
  </si>
  <si>
    <t>VI01 - CT Peak Flow # 6</t>
  </si>
  <si>
    <t>VI01 - CT Peak Stability # 6</t>
  </si>
  <si>
    <t>VI01 - CT Peak Flow # 7</t>
  </si>
  <si>
    <t>VI01 - CT Peak Stability # 7</t>
  </si>
  <si>
    <t>VI01 - CT Peak Flow # 8</t>
  </si>
  <si>
    <t>VI01 - CT Peak Stability # 8</t>
  </si>
  <si>
    <t>QC01 - CT Peak Flow # 1</t>
  </si>
  <si>
    <t>QC01 - CT Peak Stability # 1</t>
  </si>
  <si>
    <t>QC01 - CT Peak Flow # 2</t>
  </si>
  <si>
    <t>QC01 - CT Peak Stability # 2</t>
  </si>
  <si>
    <t>QC01 - CT Peak Flow # 3</t>
  </si>
  <si>
    <t>QC01 - CT Peak Stability # 3</t>
  </si>
  <si>
    <t>QC01 - CT Peak Flow # 4</t>
  </si>
  <si>
    <t>QC01 - CT Peak Stability # 4</t>
  </si>
  <si>
    <t>QC01 - CT Peak Flow # 5</t>
  </si>
  <si>
    <t>QC01 - CT Peak Stability # 5</t>
  </si>
  <si>
    <t>QC01 - CT Peak Flow # 6</t>
  </si>
  <si>
    <t>QC01 - CT Peak Stability # 6</t>
  </si>
  <si>
    <t>QC01 - CT Peak Flow # 7</t>
  </si>
  <si>
    <t>QC01 - CT Peak Stability # 7</t>
  </si>
  <si>
    <t>QC01 - CT Peak Flow # 8</t>
  </si>
  <si>
    <t>QC01 - CT Peak Stability # 8</t>
  </si>
  <si>
    <t>QC02 - CT Peak Flow # 1</t>
  </si>
  <si>
    <t>QC02 - CT Peak Stability # 1</t>
  </si>
  <si>
    <t>QC02 - CT Peak Flow # 2</t>
  </si>
  <si>
    <t>QC02 - CT Peak Stability # 2</t>
  </si>
  <si>
    <t>QC02 - CT Peak Flow # 3</t>
  </si>
  <si>
    <t>QC02 - CT Peak Stability # 3</t>
  </si>
  <si>
    <t>QC02 - CT Peak Flow # 4</t>
  </si>
  <si>
    <t>QC02 - CT Peak Stability # 4</t>
  </si>
  <si>
    <t>QC02 - CT Peak Flow # 5</t>
  </si>
  <si>
    <t>QC02 - CT Peak Stability # 5</t>
  </si>
  <si>
    <t>QC02 - CT Peak Flow # 6</t>
  </si>
  <si>
    <t>QC02 - CT Peak Stability # 6</t>
  </si>
  <si>
    <t>QC02 - CT Peak Flow # 7</t>
  </si>
  <si>
    <t>QC02 - CT Peak Stability # 7</t>
  </si>
  <si>
    <t>QC02 - CT Peak Flow # 8</t>
  </si>
  <si>
    <t>QC02 - CT Peak Stability # 8</t>
  </si>
  <si>
    <t>QC03 - CT Peak Flow # 1</t>
  </si>
  <si>
    <t>QC03 - CT Peak Stability # 1</t>
  </si>
  <si>
    <t>QC03 - CT Peak Flow # 2</t>
  </si>
  <si>
    <t>QC03 - CT Peak Stability # 2</t>
  </si>
  <si>
    <t>QC03 - CT Peak Flow # 3</t>
  </si>
  <si>
    <t>QC03 - CT Peak Stability # 3</t>
  </si>
  <si>
    <t>QC03 - CT Peak Flow # 4</t>
  </si>
  <si>
    <t>QC03 - CT Peak Stability # 4</t>
  </si>
  <si>
    <t>QC03 - CT Peak Flow # 5</t>
  </si>
  <si>
    <t>QC03 - CT Peak Stability # 5</t>
  </si>
  <si>
    <t>QC03 - CT Peak Flow # 6</t>
  </si>
  <si>
    <t>QC03 - CT Peak Stability # 6</t>
  </si>
  <si>
    <t>QC03 - CT Peak Flow # 7</t>
  </si>
  <si>
    <t>QC03 - CT Peak Stability # 7</t>
  </si>
  <si>
    <t>QC03 - CT Peak Flow # 8</t>
  </si>
  <si>
    <t>QC03 - CT Peak Stability # 8</t>
  </si>
  <si>
    <t>QC04 - CT Peak Flow # 1</t>
  </si>
  <si>
    <t>QC04 - CT Peak Stability # 1</t>
  </si>
  <si>
    <t>QC04 - CT Peak Flow # 2</t>
  </si>
  <si>
    <t>QC04 - CT Peak Stability # 2</t>
  </si>
  <si>
    <t>QC04 - CT Peak Flow # 3</t>
  </si>
  <si>
    <t>QC04 - CT Peak Stability # 3</t>
  </si>
  <si>
    <t>QC04 - CT Peak Flow # 4</t>
  </si>
  <si>
    <t>QC04 - CT Peak Stability # 4</t>
  </si>
  <si>
    <t>QC04 - CT Peak Flow # 5</t>
  </si>
  <si>
    <t>QC04 - CT Peak Stability # 5</t>
  </si>
  <si>
    <t>QC04 - CT Peak Flow # 6</t>
  </si>
  <si>
    <t>QC04 - CT Peak Stability # 6</t>
  </si>
  <si>
    <t>QC04 - CT Peak Flow # 7</t>
  </si>
  <si>
    <t>QC04 - CT Peak Stability # 7</t>
  </si>
  <si>
    <t>QC04 - CT Peak Flow # 8</t>
  </si>
  <si>
    <t>QC04 - CT Peak Stability # 8</t>
  </si>
  <si>
    <t>QA01 - CT Peak Flow # 1</t>
  </si>
  <si>
    <t>QA01 - CT Peak Stability # 1</t>
  </si>
  <si>
    <t>QA01 - CT Peak Flow # 2</t>
  </si>
  <si>
    <t>QA01 - CT Peak Stability # 2</t>
  </si>
  <si>
    <t>QA01 - CT Peak Flow # 3</t>
  </si>
  <si>
    <t>QA01 - CT Peak Stability # 3</t>
  </si>
  <si>
    <t>QA01 - CT Peak Flow # 4</t>
  </si>
  <si>
    <t>QA01 - CT Peak Stability # 4</t>
  </si>
  <si>
    <t>QA01 - CT Peak Flow # 5</t>
  </si>
  <si>
    <t>QA01 - CT Peak Stability # 5</t>
  </si>
  <si>
    <t>QA01 - CT Peak Flow # 6</t>
  </si>
  <si>
    <t>QA01 - CT Peak Stability # 6</t>
  </si>
  <si>
    <t>QA01 - CT Peak Flow # 7</t>
  </si>
  <si>
    <t>QA01 - CT Peak Stability # 7</t>
  </si>
  <si>
    <t>QA01 - CT Peak Flow # 8</t>
  </si>
  <si>
    <t>QA01 - CT Peak Stability # 8</t>
  </si>
  <si>
    <t>IQ01 - CT Peak Flow # 1</t>
  </si>
  <si>
    <t>IQ01 - CT Peak Stability # 1</t>
  </si>
  <si>
    <t>IQ01 - CT Peak Flow # 2</t>
  </si>
  <si>
    <t>IQ01 - CT Peak Stability # 2</t>
  </si>
  <si>
    <t>IQ01 - CT Peak Flow # 3</t>
  </si>
  <si>
    <t>IQ01 - CT Peak Stability # 3</t>
  </si>
  <si>
    <t>IQ01 - CT Peak Flow # 4</t>
  </si>
  <si>
    <t>IQ01 - CT Peak Stability # 4</t>
  </si>
  <si>
    <t>IQ01 - CT Peak Flow # 5</t>
  </si>
  <si>
    <t>IQ01 - CT Peak Stability # 5</t>
  </si>
  <si>
    <t>IQ01 - CT Peak Flow # 6</t>
  </si>
  <si>
    <t>IQ01 - CT Peak Stability # 6</t>
  </si>
  <si>
    <t>IQ01 - CT Peak Flow # 7</t>
  </si>
  <si>
    <t>IQ01 - CT Peak Stability # 7</t>
  </si>
  <si>
    <t>IQ01 - CT Peak Flow # 8</t>
  </si>
  <si>
    <t>IQ01 - CT Peak Stability # 8</t>
  </si>
  <si>
    <t>AMP020311</t>
  </si>
  <si>
    <t>Scottys Contracting @ Madisonville ("Rolling Thunder")</t>
  </si>
  <si>
    <t>Scottys Contracting @ Upton ("Rocky")</t>
  </si>
  <si>
    <t>Quartzite #8's Class A</t>
  </si>
  <si>
    <t>Quartzite #9M's Class A</t>
  </si>
  <si>
    <t>Quartzite Sand (Unwashed) Class A</t>
  </si>
  <si>
    <t>Quartzite Sand (Washed) Class A</t>
  </si>
  <si>
    <t>AMP090109</t>
  </si>
  <si>
    <t>Freedom Asphalt @ Owingsville, KY</t>
  </si>
  <si>
    <t>AMP050313</t>
  </si>
  <si>
    <t>Hall Contracting @ Charlestown, IN</t>
  </si>
  <si>
    <t>Scottys Contracting @ Greenville</t>
  </si>
  <si>
    <t>(Do not leave any blank rows between comments)</t>
  </si>
  <si>
    <t>E &amp; B Paving @ Sellersburg Indiana</t>
  </si>
  <si>
    <t>E &amp; B Paving @ Corydon Indiana</t>
  </si>
  <si>
    <t>St0pGr3gM3ad3!</t>
  </si>
  <si>
    <t>AMP040312</t>
  </si>
  <si>
    <t>AMPMP0301</t>
  </si>
  <si>
    <t>HCC Mobile Plant 1</t>
  </si>
  <si>
    <t>AMP050312</t>
  </si>
  <si>
    <t>Asphalt Supply Co @ Sellersburg, IN</t>
  </si>
  <si>
    <t>Eaton Asphalt Paving @ Verona</t>
  </si>
  <si>
    <t>AMP030312</t>
  </si>
  <si>
    <t>Rogers Group @ Cross Plains, TN</t>
  </si>
  <si>
    <t>AMP010201</t>
  </si>
  <si>
    <t>AMP090304</t>
  </si>
  <si>
    <t>Mountain Enterprises @ Olive Hill (Drum)</t>
  </si>
  <si>
    <t>IDT-HT</t>
  </si>
  <si>
    <t>Specimen</t>
  </si>
  <si>
    <t>Diameter, mm</t>
  </si>
  <si>
    <t>Thickness, mm</t>
  </si>
  <si>
    <t>Peak Load, lbs</t>
  </si>
  <si>
    <t>Strength, kPa</t>
  </si>
  <si>
    <t>IDT-HT 1</t>
  </si>
  <si>
    <t>IDT-HT 2</t>
  </si>
  <si>
    <t>IDT-HT 3</t>
  </si>
  <si>
    <t>IDT-HT 4</t>
  </si>
  <si>
    <t>IDT-HT 5</t>
  </si>
  <si>
    <t>IDT-HT 6</t>
  </si>
  <si>
    <t>IDEAL-RT</t>
  </si>
  <si>
    <t>RT Index</t>
  </si>
  <si>
    <t>IDT-HT1</t>
  </si>
  <si>
    <t>IDT-HT2</t>
  </si>
  <si>
    <t>IDT-HT3</t>
  </si>
  <si>
    <t>IDT-HT4</t>
  </si>
  <si>
    <t>IDT-HT5</t>
  </si>
  <si>
    <t>IDT-HT6</t>
  </si>
  <si>
    <t>RT7</t>
  </si>
  <si>
    <t>RT8</t>
  </si>
  <si>
    <t>RT9</t>
  </si>
  <si>
    <t>RT10</t>
  </si>
  <si>
    <t>RT11</t>
  </si>
  <si>
    <t>RT12</t>
  </si>
  <si>
    <t>Field Rutting Evaluation</t>
  </si>
  <si>
    <t>Mountain Enterprises @ Baxter</t>
  </si>
  <si>
    <t xml:space="preserve">AMP090108      </t>
  </si>
  <si>
    <t xml:space="preserve">American Asphalt of West Virginia @ Kenova </t>
  </si>
  <si>
    <t xml:space="preserve">AMP070304      </t>
  </si>
  <si>
    <t>Bluegrass Contracting @ Garrard County (Lancaster)</t>
  </si>
  <si>
    <t>C &amp; R Construction @ Corydon, IN</t>
  </si>
  <si>
    <t>Central Paving Co. @ Paducah</t>
  </si>
  <si>
    <t>Charles Deweese Construction @ Franklin</t>
  </si>
  <si>
    <t>Cleary Construction @ Park City</t>
  </si>
  <si>
    <t xml:space="preserve">AMP060309      </t>
  </si>
  <si>
    <t>Eaton Asphalt Paving @ Butler</t>
  </si>
  <si>
    <t xml:space="preserve">AMP060302      </t>
  </si>
  <si>
    <t xml:space="preserve">AMP050309      </t>
  </si>
  <si>
    <t xml:space="preserve">AMP080402      </t>
  </si>
  <si>
    <t>Gaddie Shamrock @ Columbia (Plant 1-Mod. Cont.)</t>
  </si>
  <si>
    <t xml:space="preserve">AMP050311      </t>
  </si>
  <si>
    <t>Hall Contracting @ Brooks</t>
  </si>
  <si>
    <t>Haydon Materials @ Greensburg (Drum)</t>
  </si>
  <si>
    <t>Hinkle Contracting @ Bethelridge (Drum)</t>
  </si>
  <si>
    <t xml:space="preserve">AMP100301      </t>
  </si>
  <si>
    <t xml:space="preserve">AMP110301      </t>
  </si>
  <si>
    <t>Hinkle Contracting @ Lee County Virginia</t>
  </si>
  <si>
    <t xml:space="preserve">AMP110304      </t>
  </si>
  <si>
    <t>Hinkle Contracting @ London</t>
  </si>
  <si>
    <t xml:space="preserve">AMP060306      </t>
  </si>
  <si>
    <t>L-G Materials @ Williamsburg</t>
  </si>
  <si>
    <t>Mac Construction @ Jeffersonville IN</t>
  </si>
  <si>
    <t xml:space="preserve">AMP020103      </t>
  </si>
  <si>
    <t>Madisonville Paving @ Madisonville</t>
  </si>
  <si>
    <t xml:space="preserve">AMP060104      </t>
  </si>
  <si>
    <t>Mago Construction @ Foster</t>
  </si>
  <si>
    <t xml:space="preserve">AMP110308        </t>
  </si>
  <si>
    <t xml:space="preserve">AMP120307        </t>
  </si>
  <si>
    <t xml:space="preserve">AMP100303      </t>
  </si>
  <si>
    <t xml:space="preserve">AMP090106      </t>
  </si>
  <si>
    <t>Mountain Enterprises @ Kenova,WV</t>
  </si>
  <si>
    <t xml:space="preserve">AMP090107      </t>
  </si>
  <si>
    <t xml:space="preserve">AMP120305      </t>
  </si>
  <si>
    <t>Mountain Enterprises @ Turkey Creek</t>
  </si>
  <si>
    <t xml:space="preserve">AMP010307      </t>
  </si>
  <si>
    <t xml:space="preserve">AMP020307      </t>
  </si>
  <si>
    <t>Owensboro Paving @ Owensboro (Drum#2)</t>
  </si>
  <si>
    <t xml:space="preserve">AMP020305      </t>
  </si>
  <si>
    <t>Pennyrile Asphalt @ Hopkinsville</t>
  </si>
  <si>
    <t xml:space="preserve">AMP050202      </t>
  </si>
  <si>
    <t xml:space="preserve">AMP010305      </t>
  </si>
  <si>
    <t xml:space="preserve">AMP020306      </t>
  </si>
  <si>
    <t xml:space="preserve">AMP020309     </t>
  </si>
  <si>
    <t xml:space="preserve">AMP040311      </t>
  </si>
  <si>
    <t xml:space="preserve">AMP070311      </t>
  </si>
  <si>
    <t xml:space="preserve">AMP070501      </t>
  </si>
  <si>
    <t>The Allen Company @ Danville</t>
  </si>
  <si>
    <t xml:space="preserve">AMP060106      </t>
  </si>
  <si>
    <t>Valley Asphalt Corporation @ Cincinnati, OH</t>
  </si>
  <si>
    <t xml:space="preserve">AMP060310      </t>
  </si>
  <si>
    <t>Valley Asphalt Corporation @ Cleves, OH</t>
  </si>
  <si>
    <t>AMP060311</t>
  </si>
  <si>
    <t>Valley Asphalt Corporation - Mehring Way @ Cincinnati, OH</t>
  </si>
  <si>
    <t>Version 14.1</t>
  </si>
  <si>
    <t xml:space="preserve">AMP100304      </t>
  </si>
  <si>
    <t>Hinkle Contracting @ Bowen #2</t>
  </si>
  <si>
    <t>AMP??????</t>
  </si>
  <si>
    <t>Contractor &amp; Loc. Not In Drop-Down List</t>
  </si>
  <si>
    <t>AMP110307</t>
  </si>
  <si>
    <t>Bizzack Construction @ Castlewood, VA</t>
  </si>
  <si>
    <t>Len Riegler Blacktop @ Wilder</t>
  </si>
  <si>
    <t>AMP060312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</si>
</sst>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00"/>
    <numFmt numFmtId="165" formatCode="0.0"/>
    <numFmt numFmtId="166" formatCode="&quot;$&quot;#,##0.00;[Red]&quot;$&quot;#,##0.00"/>
    <numFmt numFmtId="167" formatCode="0000.0"/>
    <numFmt numFmtId="168" formatCode="000.0"/>
    <numFmt numFmtId="169" formatCode="0000"/>
    <numFmt numFmtId="170" formatCode="#,##0.00;[Red]#,##0.00"/>
    <numFmt numFmtId="171" formatCode=";;;"/>
    <numFmt numFmtId="172" formatCode="mm/dd/yy"/>
    <numFmt numFmtId="173" formatCode="yyyymmddhhmmss"/>
    <numFmt numFmtId="174" formatCode="mm/dd/yy;@"/>
    <numFmt numFmtId="175" formatCode="#"/>
    <numFmt numFmtId="176" formatCode="[$-409]h:mm\ AM/PM;@"/>
    <numFmt numFmtId="177" formatCode="mm/dd/yyyy"/>
    <numFmt numFmtId="178" formatCode="hh:mm"/>
    <numFmt numFmtId="179" formatCode="0.00_);[Red]\(0.00\)"/>
    <numFmt numFmtId="180" formatCode="0.0%"/>
    <numFmt numFmtId="181" formatCode="0.0000"/>
  </numFmts>
  <fonts count="99">
    <font>
      <sz val="10"/>
      <name val="Helv"/>
    </font>
    <font>
      <b/>
      <sz val="10"/>
      <name val="Helv"/>
    </font>
    <font>
      <sz val="10"/>
      <name val="Helv"/>
    </font>
    <font>
      <sz val="10"/>
      <name val="Arial"/>
      <family val="2"/>
    </font>
    <font>
      <sz val="9"/>
      <name val="Arial"/>
      <family val="2"/>
    </font>
    <font>
      <i/>
      <sz val="9"/>
      <name val="Arial"/>
      <family val="2"/>
    </font>
    <font>
      <sz val="10"/>
      <name val="Arial"/>
      <family val="2"/>
    </font>
    <font>
      <b/>
      <i/>
      <sz val="14"/>
      <name val="Arial"/>
      <family val="2"/>
    </font>
    <font>
      <sz val="14"/>
      <name val="Arial"/>
      <family val="2"/>
    </font>
    <font>
      <sz val="11"/>
      <name val="Arial"/>
      <family val="2"/>
    </font>
    <font>
      <sz val="11"/>
      <color indexed="10"/>
      <name val="Arial"/>
      <family val="2"/>
    </font>
    <font>
      <i/>
      <sz val="11"/>
      <name val="Arial"/>
      <family val="2"/>
    </font>
    <font>
      <sz val="10"/>
      <name val="MS Sans Serif"/>
      <family val="2"/>
    </font>
    <font>
      <b/>
      <sz val="9"/>
      <name val="Arial"/>
      <family val="2"/>
    </font>
    <font>
      <sz val="9"/>
      <name val="Arial"/>
      <family val="2"/>
    </font>
    <font>
      <u/>
      <sz val="9"/>
      <name val="Arial"/>
      <family val="2"/>
    </font>
    <font>
      <sz val="9"/>
      <color indexed="10"/>
      <name val="Arial"/>
      <family val="2"/>
    </font>
    <font>
      <vertAlign val="superscript"/>
      <sz val="9"/>
      <name val="Arial"/>
      <family val="2"/>
    </font>
    <font>
      <sz val="10"/>
      <color indexed="8"/>
      <name val="Arial"/>
      <family val="2"/>
    </font>
    <font>
      <vertAlign val="subscript"/>
      <sz val="9"/>
      <name val="Arial"/>
      <family val="2"/>
    </font>
    <font>
      <sz val="11"/>
      <name val="Arial"/>
      <family val="2"/>
    </font>
    <font>
      <b/>
      <sz val="18"/>
      <name val="Arial"/>
      <family val="2"/>
    </font>
    <font>
      <b/>
      <sz val="10"/>
      <name val="Arial"/>
      <family val="2"/>
    </font>
    <font>
      <b/>
      <sz val="11"/>
      <name val="Arial"/>
      <family val="2"/>
    </font>
    <font>
      <sz val="9"/>
      <name val="Arial (W1)"/>
      <family val="2"/>
    </font>
    <font>
      <sz val="6"/>
      <name val="Arial"/>
      <family val="2"/>
    </font>
    <font>
      <b/>
      <sz val="10"/>
      <name val="MS Sans Serif"/>
      <family val="2"/>
    </font>
    <font>
      <b/>
      <sz val="10"/>
      <name val="Arial"/>
      <family val="2"/>
    </font>
    <font>
      <sz val="8"/>
      <name val="Tahoma"/>
      <family val="2"/>
    </font>
    <font>
      <b/>
      <sz val="10"/>
      <color indexed="10"/>
      <name val="Helv"/>
    </font>
    <font>
      <b/>
      <sz val="10"/>
      <color indexed="10"/>
      <name val="Arial"/>
      <family val="2"/>
    </font>
    <font>
      <sz val="8"/>
      <name val="Helv"/>
    </font>
    <font>
      <sz val="8"/>
      <name val="Arial"/>
      <family val="2"/>
    </font>
    <font>
      <b/>
      <sz val="10"/>
      <color indexed="10"/>
      <name val="Arial"/>
      <family val="2"/>
    </font>
    <font>
      <b/>
      <u/>
      <sz val="10"/>
      <name val="Arial"/>
      <family val="2"/>
    </font>
    <font>
      <sz val="10"/>
      <color indexed="12"/>
      <name val="Arial"/>
      <family val="2"/>
    </font>
    <font>
      <sz val="10"/>
      <color indexed="10"/>
      <name val="Arial"/>
      <family val="2"/>
    </font>
    <font>
      <b/>
      <sz val="10"/>
      <color indexed="81"/>
      <name val="Tahoma"/>
      <family val="2"/>
    </font>
    <font>
      <sz val="10"/>
      <color indexed="81"/>
      <name val="Tahoma"/>
      <family val="2"/>
    </font>
    <font>
      <b/>
      <sz val="8"/>
      <color indexed="81"/>
      <name val="Tahoma"/>
      <family val="2"/>
    </font>
    <font>
      <sz val="8"/>
      <color indexed="81"/>
      <name val="Tahoma"/>
      <family val="2"/>
    </font>
    <font>
      <sz val="10"/>
      <color indexed="10"/>
      <name val="Arial"/>
      <family val="2"/>
    </font>
    <font>
      <sz val="10"/>
      <color indexed="12"/>
      <name val="Arial"/>
      <family val="2"/>
    </font>
    <font>
      <b/>
      <sz val="10"/>
      <color indexed="12"/>
      <name val="Arial"/>
      <family val="2"/>
    </font>
    <font>
      <b/>
      <i/>
      <sz val="10"/>
      <name val="Arial"/>
      <family val="2"/>
    </font>
    <font>
      <sz val="12"/>
      <name val="Arial"/>
      <family val="2"/>
    </font>
    <font>
      <vertAlign val="subscript"/>
      <sz val="12"/>
      <name val="Arial"/>
      <family val="2"/>
    </font>
    <font>
      <vertAlign val="subscript"/>
      <sz val="10"/>
      <name val="Helv"/>
    </font>
    <font>
      <vertAlign val="superscript"/>
      <sz val="10"/>
      <name val="Helv"/>
    </font>
    <font>
      <strike/>
      <sz val="10"/>
      <name val="Helv"/>
    </font>
    <font>
      <strike/>
      <sz val="14"/>
      <name val="Helv"/>
    </font>
    <font>
      <b/>
      <strike/>
      <sz val="12"/>
      <name val="Helv"/>
    </font>
    <font>
      <b/>
      <sz val="12"/>
      <name val="Arial"/>
      <family val="2"/>
    </font>
    <font>
      <sz val="8"/>
      <color indexed="8"/>
      <name val="MS Sans Serif"/>
      <family val="2"/>
    </font>
    <font>
      <b/>
      <sz val="9"/>
      <color indexed="10"/>
      <name val="Arial"/>
      <family val="2"/>
    </font>
    <font>
      <sz val="10"/>
      <color indexed="10"/>
      <name val="Helv"/>
    </font>
    <font>
      <u/>
      <sz val="9"/>
      <name val="Arial"/>
      <family val="2"/>
    </font>
    <font>
      <sz val="9"/>
      <color indexed="10"/>
      <name val="Arial"/>
      <family val="2"/>
    </font>
    <font>
      <b/>
      <sz val="9"/>
      <name val="Arial"/>
      <family val="2"/>
    </font>
    <font>
      <sz val="12"/>
      <color indexed="10"/>
      <name val="Times New Roman"/>
      <family val="1"/>
    </font>
    <font>
      <sz val="11"/>
      <color indexed="10"/>
      <name val="Arial"/>
      <family val="2"/>
    </font>
    <font>
      <sz val="6"/>
      <name val="Arial"/>
      <family val="2"/>
    </font>
    <font>
      <sz val="8"/>
      <name val="Arial"/>
      <family val="2"/>
    </font>
    <font>
      <sz val="8"/>
      <color rgb="FFFF0000"/>
      <name val="Arial"/>
      <family val="2"/>
    </font>
    <font>
      <b/>
      <sz val="10"/>
      <color rgb="FF0070C0"/>
      <name val="Helv"/>
    </font>
    <font>
      <sz val="10"/>
      <color rgb="FFFF0000"/>
      <name val="Arial"/>
      <family val="2"/>
    </font>
    <font>
      <b/>
      <sz val="10"/>
      <color rgb="FFFF0000"/>
      <name val="Arial"/>
      <family val="2"/>
    </font>
    <font>
      <sz val="8"/>
      <color rgb="FF000000"/>
      <name val="Tahoma"/>
      <family val="2"/>
    </font>
    <font>
      <b/>
      <u/>
      <sz val="11"/>
      <name val="Arial"/>
      <family val="2"/>
    </font>
    <font>
      <b/>
      <u/>
      <sz val="8"/>
      <name val="Arial"/>
      <family val="2"/>
    </font>
    <font>
      <b/>
      <sz val="8"/>
      <name val="Arial"/>
      <family val="2"/>
    </font>
    <font>
      <vertAlign val="superscript"/>
      <sz val="8"/>
      <name val="Arial"/>
      <family val="2"/>
    </font>
    <font>
      <u/>
      <sz val="8"/>
      <name val="Arial"/>
      <family val="2"/>
    </font>
    <font>
      <b/>
      <sz val="8"/>
      <color rgb="FFFF0000"/>
      <name val="Arial"/>
      <family val="2"/>
    </font>
    <font>
      <sz val="14"/>
      <color theme="0"/>
      <name val="Arial"/>
      <family val="2"/>
    </font>
    <font>
      <b/>
      <sz val="14"/>
      <color theme="0"/>
      <name val="Arial"/>
      <family val="2"/>
    </font>
    <font>
      <sz val="10"/>
      <color theme="0"/>
      <name val="Arial"/>
      <family val="2"/>
    </font>
    <font>
      <b/>
      <sz val="10"/>
      <color theme="0"/>
      <name val="Arial"/>
      <family val="2"/>
    </font>
    <font>
      <sz val="10"/>
      <color theme="1"/>
      <name val="Arial"/>
      <family val="2"/>
    </font>
    <font>
      <b/>
      <sz val="16"/>
      <name val="Arial"/>
      <family val="2"/>
    </font>
    <font>
      <b/>
      <sz val="14"/>
      <name val="Arial"/>
      <family val="2"/>
    </font>
    <font>
      <u/>
      <sz val="10"/>
      <color rgb="FF0000FF"/>
      <name val="Arial"/>
      <family val="2"/>
    </font>
    <font>
      <sz val="10"/>
      <color rgb="FF99CCFF"/>
      <name val="Arial"/>
      <family val="2"/>
    </font>
    <font>
      <b/>
      <sz val="10"/>
      <color theme="1"/>
      <name val="Arial"/>
      <family val="2"/>
    </font>
    <font>
      <b/>
      <sz val="12"/>
      <color theme="1"/>
      <name val="Arial"/>
      <family val="2"/>
    </font>
    <font>
      <b/>
      <sz val="12"/>
      <color rgb="FF0000FF"/>
      <name val="Arial"/>
      <family val="2"/>
    </font>
    <font>
      <b/>
      <sz val="11"/>
      <color rgb="FFC00000"/>
      <name val="Arial"/>
      <family val="2"/>
    </font>
    <font>
      <b/>
      <sz val="10"/>
      <color rgb="FF0000FF"/>
      <name val="Arial"/>
      <family val="2"/>
    </font>
    <font>
      <b/>
      <sz val="10"/>
      <color rgb="FFC00000"/>
      <name val="Arial"/>
      <family val="2"/>
    </font>
    <font>
      <b/>
      <vertAlign val="subscript"/>
      <sz val="11"/>
      <name val="Arial"/>
      <family val="2"/>
    </font>
    <font>
      <b/>
      <sz val="12"/>
      <color theme="0"/>
      <name val="Arial"/>
      <family val="2"/>
    </font>
    <font>
      <b/>
      <sz val="9"/>
      <color indexed="81"/>
      <name val="Tahoma"/>
      <family val="2"/>
    </font>
    <font>
      <b/>
      <sz val="11"/>
      <color indexed="81"/>
      <name val="Tahoma"/>
      <family val="2"/>
    </font>
    <font>
      <b/>
      <sz val="9"/>
      <color rgb="FFFF0000"/>
      <name val="Arial"/>
      <family val="2"/>
    </font>
    <font>
      <u/>
      <sz val="10"/>
      <color indexed="12"/>
      <name val="Arial"/>
      <family val="2"/>
    </font>
    <font>
      <b/>
      <sz val="12"/>
      <color rgb="FFFF0000"/>
      <name val="Arial"/>
      <family val="2"/>
    </font>
    <font>
      <sz val="11"/>
      <name val="Aptos"/>
      <family val="2"/>
    </font>
    <font>
      <sz val="11"/>
      <color rgb="FF000000"/>
      <name val="Aptos"/>
      <family val="2"/>
    </font>
    <font>
      <sz val="8"/>
      <name val="MS Sans Serif"/>
      <family val="2"/>
    </font>
  </fonts>
  <fills count="32">
    <fill>
      <patternFill patternType="none"/>
    </fill>
    <fill>
      <patternFill patternType="gray125"/>
    </fill>
    <fill>
      <patternFill patternType="solid">
        <fgColor indexed="43"/>
        <bgColor indexed="64"/>
      </patternFill>
    </fill>
    <fill>
      <patternFill patternType="solid">
        <fgColor indexed="8"/>
        <bgColor indexed="64"/>
      </patternFill>
    </fill>
    <fill>
      <patternFill patternType="solid">
        <fgColor indexed="26"/>
        <bgColor indexed="64"/>
      </patternFill>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1"/>
        <bgColor indexed="64"/>
      </patternFill>
    </fill>
    <fill>
      <patternFill patternType="solid">
        <fgColor indexed="45"/>
        <bgColor indexed="64"/>
      </patternFill>
    </fill>
    <fill>
      <patternFill patternType="solid">
        <fgColor indexed="42"/>
        <bgColor indexed="64"/>
      </patternFill>
    </fill>
    <fill>
      <patternFill patternType="solid">
        <fgColor indexed="44"/>
        <bgColor indexed="64"/>
      </patternFill>
    </fill>
    <fill>
      <patternFill patternType="solid">
        <fgColor indexed="11"/>
        <bgColor indexed="64"/>
      </patternFill>
    </fill>
    <fill>
      <patternFill patternType="solid">
        <fgColor indexed="48"/>
        <bgColor indexed="64"/>
      </patternFill>
    </fill>
    <fill>
      <patternFill patternType="solid">
        <fgColor indexed="14"/>
        <bgColor indexed="64"/>
      </patternFill>
    </fill>
    <fill>
      <patternFill patternType="solid">
        <fgColor indexed="53"/>
        <bgColor indexed="64"/>
      </patternFill>
    </fill>
    <fill>
      <patternFill patternType="lightUp">
        <bgColor indexed="26"/>
      </patternFill>
    </fill>
    <fill>
      <patternFill patternType="solid">
        <fgColor indexed="31"/>
        <bgColor indexed="64"/>
      </patternFill>
    </fill>
    <fill>
      <patternFill patternType="solid">
        <fgColor indexed="26"/>
        <bgColor indexed="26"/>
      </patternFill>
    </fill>
    <fill>
      <patternFill patternType="solid">
        <fgColor indexed="29"/>
        <bgColor indexed="8"/>
      </patternFill>
    </fill>
    <fill>
      <patternFill patternType="solid">
        <fgColor indexed="42"/>
        <bgColor indexed="42"/>
      </patternFill>
    </fill>
    <fill>
      <patternFill patternType="solid">
        <fgColor rgb="FFFFFF00"/>
        <bgColor indexed="64"/>
      </patternFill>
    </fill>
    <fill>
      <patternFill patternType="solid">
        <fgColor rgb="FFFFFFFF"/>
        <bgColor indexed="64"/>
      </patternFill>
    </fill>
    <fill>
      <patternFill patternType="gray0625"/>
    </fill>
    <fill>
      <patternFill patternType="solid">
        <fgColor rgb="FFFFFFCC"/>
        <bgColor indexed="64"/>
      </patternFill>
    </fill>
    <fill>
      <patternFill patternType="solid">
        <fgColor rgb="FF008080"/>
        <bgColor indexed="64"/>
      </patternFill>
    </fill>
    <fill>
      <patternFill patternType="solid">
        <fgColor rgb="FFCCFFFF"/>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FFFF99"/>
        <bgColor indexed="64"/>
      </patternFill>
    </fill>
    <fill>
      <patternFill patternType="solid">
        <fgColor theme="0" tint="-4.9989318521683403E-2"/>
        <bgColor indexed="64"/>
      </patternFill>
    </fill>
  </fills>
  <borders count="149">
    <border>
      <left/>
      <right/>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bottom style="double">
        <color indexed="64"/>
      </bottom>
      <diagonal/>
    </border>
    <border>
      <left/>
      <right/>
      <top/>
      <bottom style="thin">
        <color indexed="64"/>
      </bottom>
      <diagonal/>
    </border>
    <border>
      <left style="double">
        <color indexed="64"/>
      </left>
      <right/>
      <top/>
      <bottom/>
      <diagonal/>
    </border>
    <border>
      <left style="double">
        <color indexed="64"/>
      </left>
      <right/>
      <top/>
      <bottom style="double">
        <color indexed="64"/>
      </bottom>
      <diagonal/>
    </border>
    <border>
      <left style="double">
        <color indexed="64"/>
      </left>
      <right/>
      <top style="double">
        <color indexed="64"/>
      </top>
      <bottom/>
      <diagonal/>
    </border>
    <border>
      <left/>
      <right/>
      <top style="double">
        <color indexed="64"/>
      </top>
      <bottom/>
      <diagonal/>
    </border>
    <border>
      <left style="double">
        <color indexed="64"/>
      </left>
      <right style="double">
        <color indexed="64"/>
      </right>
      <top style="double">
        <color indexed="64"/>
      </top>
      <bottom style="double">
        <color indexed="64"/>
      </bottom>
      <diagonal/>
    </border>
    <border>
      <left style="double">
        <color indexed="64"/>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right style="double">
        <color indexed="64"/>
      </right>
      <top style="thin">
        <color indexed="64"/>
      </top>
      <bottom/>
      <diagonal/>
    </border>
    <border>
      <left style="thin">
        <color indexed="64"/>
      </left>
      <right style="thin">
        <color indexed="64"/>
      </right>
      <top/>
      <bottom/>
      <diagonal/>
    </border>
    <border>
      <left/>
      <right style="double">
        <color indexed="64"/>
      </right>
      <top/>
      <bottom/>
      <diagonal/>
    </border>
    <border>
      <left style="thin">
        <color indexed="64"/>
      </left>
      <right/>
      <top/>
      <bottom style="double">
        <color indexed="64"/>
      </bottom>
      <diagonal/>
    </border>
    <border>
      <left style="thin">
        <color indexed="64"/>
      </left>
      <right style="thin">
        <color indexed="64"/>
      </right>
      <top/>
      <bottom style="double">
        <color indexed="64"/>
      </bottom>
      <diagonal/>
    </border>
    <border>
      <left/>
      <right style="double">
        <color indexed="64"/>
      </right>
      <top/>
      <bottom style="double">
        <color indexed="64"/>
      </bottom>
      <diagonal/>
    </border>
    <border>
      <left style="double">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double">
        <color indexed="64"/>
      </right>
      <top/>
      <bottom style="thin">
        <color indexed="64"/>
      </bottom>
      <diagonal/>
    </border>
    <border>
      <left style="double">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right style="double">
        <color indexed="64"/>
      </right>
      <top style="double">
        <color indexed="64"/>
      </top>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double">
        <color indexed="64"/>
      </left>
      <right style="thin">
        <color indexed="64"/>
      </right>
      <top style="double">
        <color indexed="64"/>
      </top>
      <bottom style="double">
        <color indexed="64"/>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double">
        <color indexed="64"/>
      </left>
      <right style="double">
        <color indexed="64"/>
      </right>
      <top/>
      <bottom style="thin">
        <color indexed="64"/>
      </bottom>
      <diagonal/>
    </border>
    <border>
      <left/>
      <right style="thin">
        <color indexed="64"/>
      </right>
      <top/>
      <bottom style="thin">
        <color indexed="64"/>
      </bottom>
      <diagonal/>
    </border>
    <border>
      <left/>
      <right style="double">
        <color indexed="64"/>
      </right>
      <top style="thin">
        <color indexed="64"/>
      </top>
      <bottom style="thin">
        <color indexed="64"/>
      </bottom>
      <diagonal/>
    </border>
    <border>
      <left/>
      <right style="thin">
        <color indexed="64"/>
      </right>
      <top/>
      <bottom style="double">
        <color indexed="64"/>
      </bottom>
      <diagonal/>
    </border>
    <border>
      <left/>
      <right style="double">
        <color indexed="64"/>
      </right>
      <top style="thin">
        <color indexed="64"/>
      </top>
      <bottom style="double">
        <color indexed="64"/>
      </bottom>
      <diagonal/>
    </border>
    <border>
      <left style="double">
        <color indexed="64"/>
      </left>
      <right style="double">
        <color indexed="64"/>
      </right>
      <top style="double">
        <color indexed="64"/>
      </top>
      <bottom/>
      <diagonal/>
    </border>
    <border>
      <left style="double">
        <color indexed="64"/>
      </left>
      <right style="thin">
        <color indexed="64"/>
      </right>
      <top/>
      <bottom style="thin">
        <color indexed="64"/>
      </bottom>
      <diagonal/>
    </border>
    <border>
      <left style="double">
        <color indexed="64"/>
      </left>
      <right style="thin">
        <color indexed="64"/>
      </right>
      <top/>
      <bottom style="double">
        <color indexed="64"/>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right style="double">
        <color indexed="64"/>
      </right>
      <top style="double">
        <color indexed="64"/>
      </top>
      <bottom style="thin">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double">
        <color indexed="64"/>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double">
        <color indexed="64"/>
      </bottom>
      <diagonal/>
    </border>
    <border>
      <left style="thin">
        <color indexed="64"/>
      </left>
      <right style="thin">
        <color indexed="64"/>
      </right>
      <top style="double">
        <color indexed="64"/>
      </top>
      <bottom style="double">
        <color indexed="64"/>
      </bottom>
      <diagonal/>
    </border>
    <border>
      <left style="double">
        <color indexed="64"/>
      </left>
      <right style="thin">
        <color indexed="64"/>
      </right>
      <top style="double">
        <color indexed="64"/>
      </top>
      <bottom/>
      <diagonal/>
    </border>
    <border>
      <left/>
      <right style="thin">
        <color indexed="64"/>
      </right>
      <top style="double">
        <color indexed="64"/>
      </top>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indexed="64"/>
      </right>
      <top style="thin">
        <color indexed="64"/>
      </top>
      <bottom style="double">
        <color indexed="64"/>
      </bottom>
      <diagonal/>
    </border>
    <border>
      <left style="thin">
        <color indexed="64"/>
      </left>
      <right/>
      <top style="double">
        <color indexed="64"/>
      </top>
      <bottom style="double">
        <color indexed="64"/>
      </bottom>
      <diagonal/>
    </border>
    <border>
      <left style="double">
        <color indexed="64"/>
      </left>
      <right style="double">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style="thick">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double">
        <color indexed="64"/>
      </left>
      <right/>
      <top style="double">
        <color indexed="64"/>
      </top>
      <bottom style="thin">
        <color indexed="64"/>
      </bottom>
      <diagonal/>
    </border>
    <border>
      <left style="double">
        <color indexed="64"/>
      </left>
      <right style="thin">
        <color indexed="64"/>
      </right>
      <top style="thin">
        <color indexed="64"/>
      </top>
      <bottom/>
      <diagonal/>
    </border>
    <border>
      <left style="thin">
        <color indexed="64"/>
      </left>
      <right style="double">
        <color indexed="64"/>
      </right>
      <top style="thin">
        <color indexed="64"/>
      </top>
      <bottom/>
      <diagonal/>
    </border>
    <border>
      <left style="thin">
        <color indexed="64"/>
      </left>
      <right style="double">
        <color indexed="64"/>
      </right>
      <top/>
      <bottom/>
      <diagonal/>
    </border>
    <border>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bottom/>
      <diagonal/>
    </border>
    <border>
      <left style="thin">
        <color indexed="64"/>
      </left>
      <right/>
      <top style="medium">
        <color indexed="64"/>
      </top>
      <bottom style="medium">
        <color indexed="64"/>
      </bottom>
      <diagonal/>
    </border>
    <border>
      <left style="medium">
        <color indexed="10"/>
      </left>
      <right style="medium">
        <color indexed="10"/>
      </right>
      <top style="medium">
        <color indexed="10"/>
      </top>
      <bottom style="medium">
        <color indexed="10"/>
      </bottom>
      <diagonal/>
    </border>
    <border>
      <left/>
      <right/>
      <top style="thin">
        <color indexed="64"/>
      </top>
      <bottom/>
      <diagonal/>
    </border>
    <border>
      <left style="thin">
        <color indexed="64"/>
      </left>
      <right style="thin">
        <color indexed="64"/>
      </right>
      <top style="medium">
        <color indexed="64"/>
      </top>
      <bottom/>
      <diagonal/>
    </border>
    <border>
      <left style="thick">
        <color indexed="64"/>
      </left>
      <right style="thick">
        <color indexed="64"/>
      </right>
      <top style="thick">
        <color indexed="64"/>
      </top>
      <bottom style="thick">
        <color indexed="64"/>
      </bottom>
      <diagonal/>
    </border>
    <border>
      <left style="double">
        <color indexed="64"/>
      </left>
      <right style="double">
        <color indexed="64"/>
      </right>
      <top style="thin">
        <color indexed="64"/>
      </top>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diagonal/>
    </border>
    <border>
      <left style="thin">
        <color indexed="64"/>
      </left>
      <right/>
      <top style="thin">
        <color indexed="64"/>
      </top>
      <bottom style="thick">
        <color indexed="64"/>
      </bottom>
      <diagonal/>
    </border>
    <border>
      <left/>
      <right style="thick">
        <color indexed="64"/>
      </right>
      <top style="thick">
        <color indexed="64"/>
      </top>
      <bottom style="thin">
        <color indexed="64"/>
      </bottom>
      <diagonal/>
    </border>
    <border>
      <left style="thin">
        <color indexed="64"/>
      </left>
      <right style="thick">
        <color indexed="64"/>
      </right>
      <top/>
      <bottom style="thin">
        <color indexed="64"/>
      </bottom>
      <diagonal/>
    </border>
    <border>
      <left style="thin">
        <color indexed="64"/>
      </left>
      <right style="thick">
        <color indexed="64"/>
      </right>
      <top/>
      <bottom/>
      <diagonal/>
    </border>
    <border>
      <left style="thin">
        <color indexed="64"/>
      </left>
      <right/>
      <top style="double">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double">
        <color indexed="64"/>
      </left>
      <right style="thick">
        <color indexed="64"/>
      </right>
      <top style="thick">
        <color indexed="64"/>
      </top>
      <bottom style="thick">
        <color indexed="64"/>
      </bottom>
      <diagonal/>
    </border>
    <border>
      <left style="thick">
        <color indexed="64"/>
      </left>
      <right style="double">
        <color indexed="64"/>
      </right>
      <top style="thick">
        <color indexed="64"/>
      </top>
      <bottom style="thick">
        <color indexed="64"/>
      </bottom>
      <diagonal/>
    </border>
    <border>
      <left style="double">
        <color indexed="64"/>
      </left>
      <right style="thick">
        <color indexed="64"/>
      </right>
      <top style="thick">
        <color indexed="64"/>
      </top>
      <bottom style="double">
        <color indexed="64"/>
      </bottom>
      <diagonal/>
    </border>
    <border>
      <left style="thick">
        <color indexed="64"/>
      </left>
      <right style="double">
        <color indexed="64"/>
      </right>
      <top style="thick">
        <color indexed="64"/>
      </top>
      <bottom style="double">
        <color indexed="64"/>
      </bottom>
      <diagonal/>
    </border>
    <border>
      <left style="medium">
        <color indexed="10"/>
      </left>
      <right style="medium">
        <color indexed="10"/>
      </right>
      <top style="medium">
        <color indexed="10"/>
      </top>
      <bottom/>
      <diagonal/>
    </border>
    <border>
      <left style="double">
        <color indexed="10"/>
      </left>
      <right/>
      <top style="double">
        <color indexed="64"/>
      </top>
      <bottom/>
      <diagonal/>
    </border>
    <border>
      <left style="double">
        <color indexed="10"/>
      </left>
      <right/>
      <top/>
      <bottom style="double">
        <color indexed="10"/>
      </bottom>
      <diagonal/>
    </border>
    <border>
      <left/>
      <right/>
      <top/>
      <bottom style="double">
        <color indexed="10"/>
      </bottom>
      <diagonal/>
    </border>
    <border>
      <left style="double">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top/>
      <bottom style="medium">
        <color indexed="64"/>
      </bottom>
      <diagonal/>
    </border>
    <border>
      <left style="medium">
        <color indexed="64"/>
      </left>
      <right style="medium">
        <color indexed="64"/>
      </right>
      <top/>
      <bottom style="medium">
        <color indexed="64"/>
      </bottom>
      <diagonal/>
    </border>
  </borders>
  <cellStyleXfs count="11">
    <xf numFmtId="0" fontId="0" fillId="0" borderId="0"/>
    <xf numFmtId="0" fontId="2" fillId="0" borderId="0"/>
    <xf numFmtId="0" fontId="12" fillId="0" borderId="0"/>
    <xf numFmtId="0" fontId="3" fillId="0" borderId="0"/>
    <xf numFmtId="0" fontId="3" fillId="0" borderId="0"/>
    <xf numFmtId="0" fontId="3" fillId="0" borderId="0"/>
    <xf numFmtId="0" fontId="3" fillId="0" borderId="0"/>
    <xf numFmtId="0" fontId="2" fillId="0" borderId="0"/>
    <xf numFmtId="0" fontId="2" fillId="0" borderId="0"/>
    <xf numFmtId="0" fontId="3" fillId="0" borderId="0"/>
    <xf numFmtId="9" fontId="3" fillId="0" borderId="0" applyFont="0" applyFill="0" applyBorder="0" applyAlignment="0" applyProtection="0"/>
  </cellStyleXfs>
  <cellXfs count="1762">
    <xf numFmtId="0" fontId="0" fillId="0" borderId="0" xfId="0"/>
    <xf numFmtId="0" fontId="4" fillId="0" borderId="0" xfId="0" applyFont="1" applyProtection="1">
      <protection hidden="1"/>
    </xf>
    <xf numFmtId="0" fontId="7" fillId="0" borderId="0" xfId="5" applyFont="1" applyAlignment="1" applyProtection="1">
      <alignment horizontal="centerContinuous"/>
      <protection hidden="1"/>
    </xf>
    <xf numFmtId="0" fontId="8" fillId="0" borderId="0" xfId="5" applyFont="1" applyAlignment="1" applyProtection="1">
      <alignment horizontal="centerContinuous"/>
      <protection hidden="1"/>
    </xf>
    <xf numFmtId="0" fontId="4" fillId="0" borderId="0" xfId="5" applyFont="1" applyProtection="1">
      <protection hidden="1"/>
    </xf>
    <xf numFmtId="0" fontId="9" fillId="0" borderId="0" xfId="0" applyFont="1" applyProtection="1">
      <protection hidden="1"/>
    </xf>
    <xf numFmtId="0" fontId="9" fillId="0" borderId="0" xfId="5" applyFont="1" applyProtection="1">
      <protection hidden="1"/>
    </xf>
    <xf numFmtId="0" fontId="9" fillId="0" borderId="0" xfId="5" applyFont="1" applyAlignment="1" applyProtection="1">
      <alignment horizontal="centerContinuous"/>
      <protection hidden="1"/>
    </xf>
    <xf numFmtId="14" fontId="9" fillId="0" borderId="0" xfId="0" applyNumberFormat="1" applyFont="1" applyProtection="1">
      <protection hidden="1"/>
    </xf>
    <xf numFmtId="166" fontId="9" fillId="0" borderId="0" xfId="5" applyNumberFormat="1" applyFont="1" applyAlignment="1" applyProtection="1">
      <alignment horizontal="center"/>
      <protection hidden="1"/>
    </xf>
    <xf numFmtId="0" fontId="9" fillId="0" borderId="0" xfId="0" applyFont="1" applyAlignment="1" applyProtection="1">
      <alignment horizontal="centerContinuous"/>
      <protection hidden="1"/>
    </xf>
    <xf numFmtId="0" fontId="9" fillId="0" borderId="0" xfId="1" applyFont="1" applyProtection="1">
      <protection hidden="1"/>
    </xf>
    <xf numFmtId="0" fontId="9" fillId="0" borderId="0" xfId="1" applyFont="1" applyAlignment="1" applyProtection="1">
      <alignment horizontal="centerContinuous"/>
      <protection hidden="1"/>
    </xf>
    <xf numFmtId="0" fontId="11" fillId="0" borderId="1" xfId="1" applyFont="1" applyBorder="1" applyAlignment="1" applyProtection="1">
      <alignment horizontal="centerContinuous"/>
      <protection hidden="1"/>
    </xf>
    <xf numFmtId="0" fontId="9" fillId="0" borderId="2" xfId="1" applyFont="1" applyBorder="1" applyAlignment="1" applyProtection="1">
      <alignment horizontal="centerContinuous"/>
      <protection hidden="1"/>
    </xf>
    <xf numFmtId="0" fontId="9" fillId="0" borderId="3" xfId="1" applyFont="1" applyBorder="1" applyAlignment="1" applyProtection="1">
      <alignment horizontal="centerContinuous"/>
      <protection hidden="1"/>
    </xf>
    <xf numFmtId="165" fontId="9" fillId="0" borderId="4" xfId="1" applyNumberFormat="1" applyFont="1" applyBorder="1" applyAlignment="1" applyProtection="1">
      <alignment horizontal="centerContinuous"/>
      <protection hidden="1"/>
    </xf>
    <xf numFmtId="0" fontId="9" fillId="0" borderId="4" xfId="1" applyFont="1" applyBorder="1" applyAlignment="1" applyProtection="1">
      <alignment horizontal="centerContinuous"/>
      <protection hidden="1"/>
    </xf>
    <xf numFmtId="165" fontId="10" fillId="0" borderId="0" xfId="1" applyNumberFormat="1" applyFont="1" applyAlignment="1" applyProtection="1">
      <alignment horizontal="centerContinuous"/>
      <protection hidden="1"/>
    </xf>
    <xf numFmtId="165" fontId="9" fillId="0" borderId="0" xfId="1" applyNumberFormat="1" applyFont="1" applyAlignment="1" applyProtection="1">
      <alignment horizontal="centerContinuous"/>
      <protection hidden="1"/>
    </xf>
    <xf numFmtId="2" fontId="9" fillId="0" borderId="0" xfId="1" applyNumberFormat="1" applyFont="1" applyAlignment="1" applyProtection="1">
      <alignment horizontal="centerContinuous"/>
      <protection hidden="1"/>
    </xf>
    <xf numFmtId="165" fontId="9" fillId="0" borderId="0" xfId="1" applyNumberFormat="1" applyFont="1" applyAlignment="1" applyProtection="1">
      <alignment horizontal="left"/>
      <protection hidden="1"/>
    </xf>
    <xf numFmtId="165" fontId="9" fillId="0" borderId="0" xfId="1" applyNumberFormat="1" applyFont="1" applyAlignment="1" applyProtection="1">
      <alignment horizontal="center"/>
      <protection hidden="1"/>
    </xf>
    <xf numFmtId="0" fontId="9" fillId="0" borderId="0" xfId="1" applyFont="1" applyAlignment="1" applyProtection="1">
      <alignment horizontal="center"/>
      <protection hidden="1"/>
    </xf>
    <xf numFmtId="2" fontId="9" fillId="0" borderId="0" xfId="1" applyNumberFormat="1" applyFont="1" applyAlignment="1" applyProtection="1">
      <alignment horizontal="center"/>
      <protection hidden="1"/>
    </xf>
    <xf numFmtId="0" fontId="9" fillId="0" borderId="3" xfId="0" applyFont="1" applyBorder="1" applyAlignment="1" applyProtection="1">
      <alignment horizontal="centerContinuous"/>
      <protection hidden="1"/>
    </xf>
    <xf numFmtId="0" fontId="9" fillId="0" borderId="5" xfId="1" applyFont="1" applyBorder="1" applyProtection="1">
      <protection hidden="1"/>
    </xf>
    <xf numFmtId="0" fontId="9" fillId="0" borderId="5" xfId="0" applyFont="1" applyBorder="1" applyProtection="1">
      <protection hidden="1"/>
    </xf>
    <xf numFmtId="0" fontId="9" fillId="0" borderId="5" xfId="1" applyFont="1" applyBorder="1" applyAlignment="1" applyProtection="1">
      <alignment horizontal="right"/>
      <protection hidden="1"/>
    </xf>
    <xf numFmtId="0" fontId="9" fillId="0" borderId="4" xfId="1" applyFont="1" applyBorder="1" applyAlignment="1" applyProtection="1">
      <alignment horizontal="right"/>
      <protection hidden="1"/>
    </xf>
    <xf numFmtId="0" fontId="9" fillId="0" borderId="4" xfId="0" applyFont="1" applyBorder="1" applyProtection="1">
      <protection hidden="1"/>
    </xf>
    <xf numFmtId="0" fontId="11" fillId="0" borderId="1" xfId="0" applyFont="1" applyBorder="1" applyAlignment="1" applyProtection="1">
      <alignment horizontal="centerContinuous"/>
      <protection hidden="1"/>
    </xf>
    <xf numFmtId="0" fontId="9" fillId="0" borderId="2" xfId="0" applyFont="1" applyBorder="1" applyAlignment="1" applyProtection="1">
      <alignment horizontal="centerContinuous"/>
      <protection hidden="1"/>
    </xf>
    <xf numFmtId="0" fontId="9" fillId="0" borderId="6" xfId="0" applyFont="1" applyBorder="1" applyProtection="1">
      <protection hidden="1"/>
    </xf>
    <xf numFmtId="0" fontId="9" fillId="0" borderId="7" xfId="0" applyFont="1" applyBorder="1" applyProtection="1">
      <protection hidden="1"/>
    </xf>
    <xf numFmtId="0" fontId="9" fillId="0" borderId="8" xfId="5" applyFont="1" applyBorder="1" applyProtection="1">
      <protection hidden="1"/>
    </xf>
    <xf numFmtId="0" fontId="9" fillId="0" borderId="9" xfId="5" applyFont="1" applyBorder="1" applyProtection="1">
      <protection hidden="1"/>
    </xf>
    <xf numFmtId="0" fontId="9" fillId="0" borderId="7" xfId="5" applyFont="1" applyBorder="1" applyProtection="1">
      <protection hidden="1"/>
    </xf>
    <xf numFmtId="0" fontId="9" fillId="0" borderId="4" xfId="5" applyFont="1" applyBorder="1" applyProtection="1">
      <protection hidden="1"/>
    </xf>
    <xf numFmtId="0" fontId="4" fillId="0" borderId="0" xfId="1" applyFont="1" applyProtection="1">
      <protection hidden="1"/>
    </xf>
    <xf numFmtId="0" fontId="11" fillId="0" borderId="2" xfId="5" applyFont="1" applyBorder="1" applyAlignment="1" applyProtection="1">
      <alignment horizontal="centerContinuous"/>
      <protection hidden="1"/>
    </xf>
    <xf numFmtId="0" fontId="4" fillId="0" borderId="0" xfId="5" applyFont="1" applyAlignment="1" applyProtection="1">
      <alignment horizontal="centerContinuous"/>
      <protection hidden="1"/>
    </xf>
    <xf numFmtId="0" fontId="5" fillId="0" borderId="0" xfId="5" applyFont="1" applyAlignment="1" applyProtection="1">
      <alignment horizontal="centerContinuous"/>
      <protection hidden="1"/>
    </xf>
    <xf numFmtId="0" fontId="4" fillId="0" borderId="0" xfId="5" applyFont="1" applyAlignment="1" applyProtection="1">
      <alignment horizontal="center"/>
      <protection hidden="1"/>
    </xf>
    <xf numFmtId="164" fontId="13" fillId="0" borderId="10" xfId="5" applyNumberFormat="1" applyFont="1" applyBorder="1" applyAlignment="1" applyProtection="1">
      <alignment horizontal="center"/>
      <protection hidden="1"/>
    </xf>
    <xf numFmtId="0" fontId="6" fillId="0" borderId="7" xfId="0" applyFont="1" applyBorder="1" applyAlignment="1" applyProtection="1">
      <alignment horizontal="center"/>
      <protection hidden="1"/>
    </xf>
    <xf numFmtId="0" fontId="6" fillId="0" borderId="0" xfId="0" applyFont="1" applyProtection="1">
      <protection hidden="1"/>
    </xf>
    <xf numFmtId="0" fontId="6" fillId="0" borderId="2" xfId="0" applyFont="1" applyBorder="1" applyAlignment="1" applyProtection="1">
      <alignment horizontal="centerContinuous"/>
      <protection hidden="1"/>
    </xf>
    <xf numFmtId="0" fontId="6" fillId="0" borderId="3" xfId="0" applyFont="1" applyBorder="1" applyAlignment="1" applyProtection="1">
      <alignment horizontal="centerContinuous"/>
      <protection hidden="1"/>
    </xf>
    <xf numFmtId="0" fontId="6" fillId="0" borderId="1" xfId="0" applyFont="1" applyBorder="1" applyAlignment="1" applyProtection="1">
      <alignment horizontal="centerContinuous"/>
      <protection hidden="1"/>
    </xf>
    <xf numFmtId="0" fontId="6" fillId="0" borderId="4" xfId="0" applyFont="1" applyBorder="1" applyAlignment="1" applyProtection="1">
      <alignment horizontal="centerContinuous"/>
      <protection hidden="1"/>
    </xf>
    <xf numFmtId="0" fontId="14" fillId="0" borderId="0" xfId="0" applyFont="1" applyAlignment="1" applyProtection="1">
      <alignment horizontal="centerContinuous"/>
      <protection hidden="1"/>
    </xf>
    <xf numFmtId="0" fontId="14" fillId="0" borderId="5" xfId="0" applyFont="1" applyBorder="1" applyProtection="1">
      <protection hidden="1"/>
    </xf>
    <xf numFmtId="0" fontId="14" fillId="0" borderId="0" xfId="0" applyFont="1" applyProtection="1">
      <protection hidden="1"/>
    </xf>
    <xf numFmtId="0" fontId="14" fillId="0" borderId="0" xfId="0" applyFont="1" applyAlignment="1" applyProtection="1">
      <alignment horizontal="right"/>
      <protection hidden="1"/>
    </xf>
    <xf numFmtId="0" fontId="15" fillId="0" borderId="0" xfId="0" applyFont="1" applyAlignment="1" applyProtection="1">
      <alignment horizontal="centerContinuous"/>
      <protection hidden="1"/>
    </xf>
    <xf numFmtId="0" fontId="14" fillId="0" borderId="1" xfId="5" applyFont="1" applyBorder="1" applyAlignment="1" applyProtection="1">
      <alignment horizontal="centerContinuous"/>
      <protection hidden="1"/>
    </xf>
    <xf numFmtId="0" fontId="14" fillId="0" borderId="2" xfId="5" quotePrefix="1" applyFont="1" applyBorder="1" applyAlignment="1" applyProtection="1">
      <alignment horizontal="centerContinuous"/>
      <protection hidden="1"/>
    </xf>
    <xf numFmtId="0" fontId="14" fillId="0" borderId="2" xfId="5" applyFont="1" applyBorder="1" applyAlignment="1" applyProtection="1">
      <alignment horizontal="centerContinuous"/>
      <protection hidden="1"/>
    </xf>
    <xf numFmtId="0" fontId="14" fillId="0" borderId="3" xfId="5" applyFont="1" applyBorder="1" applyAlignment="1" applyProtection="1">
      <alignment horizontal="centerContinuous"/>
      <protection hidden="1"/>
    </xf>
    <xf numFmtId="0" fontId="14" fillId="0" borderId="6" xfId="5" applyFont="1" applyBorder="1" applyProtection="1">
      <protection hidden="1"/>
    </xf>
    <xf numFmtId="0" fontId="14" fillId="0" borderId="11" xfId="1" applyFont="1" applyBorder="1" applyAlignment="1" applyProtection="1">
      <alignment horizontal="center"/>
      <protection hidden="1"/>
    </xf>
    <xf numFmtId="0" fontId="14" fillId="0" borderId="12" xfId="1" applyFont="1" applyBorder="1" applyAlignment="1" applyProtection="1">
      <alignment horizontal="center"/>
      <protection hidden="1"/>
    </xf>
    <xf numFmtId="0" fontId="14" fillId="0" borderId="13" xfId="1" applyFont="1" applyBorder="1" applyAlignment="1" applyProtection="1">
      <alignment horizontal="center"/>
      <protection hidden="1"/>
    </xf>
    <xf numFmtId="0" fontId="14" fillId="0" borderId="14" xfId="1" applyFont="1" applyBorder="1" applyAlignment="1" applyProtection="1">
      <alignment horizontal="center"/>
      <protection hidden="1"/>
    </xf>
    <xf numFmtId="0" fontId="14" fillId="0" borderId="15" xfId="1" applyFont="1" applyBorder="1" applyAlignment="1" applyProtection="1">
      <alignment horizontal="center"/>
      <protection hidden="1"/>
    </xf>
    <xf numFmtId="0" fontId="14" fillId="0" borderId="6" xfId="1" applyFont="1" applyBorder="1" applyAlignment="1" applyProtection="1">
      <alignment horizontal="center"/>
      <protection hidden="1"/>
    </xf>
    <xf numFmtId="0" fontId="14" fillId="0" borderId="16" xfId="1" applyFont="1" applyBorder="1" applyAlignment="1" applyProtection="1">
      <alignment horizontal="center"/>
      <protection hidden="1"/>
    </xf>
    <xf numFmtId="0" fontId="14" fillId="0" borderId="17" xfId="1" applyFont="1" applyBorder="1" applyAlignment="1" applyProtection="1">
      <alignment horizontal="center"/>
      <protection hidden="1"/>
    </xf>
    <xf numFmtId="0" fontId="14" fillId="0" borderId="7" xfId="1" applyFont="1" applyBorder="1" applyAlignment="1" applyProtection="1">
      <alignment horizontal="center"/>
      <protection hidden="1"/>
    </xf>
    <xf numFmtId="0" fontId="14" fillId="0" borderId="18" xfId="1" applyFont="1" applyBorder="1" applyAlignment="1" applyProtection="1">
      <alignment horizontal="center"/>
      <protection hidden="1"/>
    </xf>
    <xf numFmtId="0" fontId="14" fillId="0" borderId="19" xfId="1" applyFont="1" applyBorder="1" applyAlignment="1" applyProtection="1">
      <alignment horizontal="center"/>
      <protection hidden="1"/>
    </xf>
    <xf numFmtId="0" fontId="14" fillId="0" borderId="20" xfId="1" applyFont="1" applyBorder="1" applyAlignment="1" applyProtection="1">
      <alignment horizontal="center"/>
      <protection hidden="1"/>
    </xf>
    <xf numFmtId="0" fontId="14" fillId="0" borderId="21" xfId="1" applyFont="1" applyBorder="1" applyAlignment="1" applyProtection="1">
      <alignment horizontal="center"/>
      <protection hidden="1"/>
    </xf>
    <xf numFmtId="0" fontId="14" fillId="2" borderId="22" xfId="1" applyFont="1" applyFill="1" applyBorder="1" applyAlignment="1" applyProtection="1">
      <alignment horizontal="center"/>
      <protection locked="0"/>
    </xf>
    <xf numFmtId="165" fontId="14" fillId="2" borderId="22" xfId="1" applyNumberFormat="1" applyFont="1" applyFill="1" applyBorder="1" applyAlignment="1" applyProtection="1">
      <alignment horizontal="center"/>
      <protection locked="0"/>
    </xf>
    <xf numFmtId="164" fontId="14" fillId="0" borderId="22" xfId="1" applyNumberFormat="1" applyFont="1" applyBorder="1" applyAlignment="1" applyProtection="1">
      <alignment horizontal="center"/>
      <protection hidden="1"/>
    </xf>
    <xf numFmtId="165" fontId="14" fillId="0" borderId="23" xfId="1" applyNumberFormat="1" applyFont="1" applyBorder="1" applyAlignment="1" applyProtection="1">
      <alignment horizontal="center"/>
      <protection hidden="1"/>
    </xf>
    <xf numFmtId="0" fontId="14" fillId="0" borderId="24" xfId="1" quotePrefix="1" applyFont="1" applyBorder="1" applyAlignment="1" applyProtection="1">
      <alignment horizontal="center"/>
      <protection hidden="1"/>
    </xf>
    <xf numFmtId="0" fontId="14" fillId="0" borderId="25" xfId="0" applyFont="1" applyBorder="1" applyAlignment="1" applyProtection="1">
      <alignment horizontal="center"/>
      <protection hidden="1"/>
    </xf>
    <xf numFmtId="0" fontId="14" fillId="2" borderId="13" xfId="1" applyFont="1" applyFill="1" applyBorder="1" applyAlignment="1" applyProtection="1">
      <alignment horizontal="center"/>
      <protection locked="0"/>
    </xf>
    <xf numFmtId="164" fontId="14" fillId="0" borderId="13" xfId="1" applyNumberFormat="1" applyFont="1" applyBorder="1" applyAlignment="1" applyProtection="1">
      <alignment horizontal="center"/>
      <protection hidden="1"/>
    </xf>
    <xf numFmtId="0" fontId="14" fillId="0" borderId="26" xfId="1" applyFont="1" applyBorder="1" applyAlignment="1" applyProtection="1">
      <alignment horizontal="centerContinuous"/>
      <protection hidden="1"/>
    </xf>
    <xf numFmtId="164" fontId="14" fillId="0" borderId="26" xfId="1" applyNumberFormat="1" applyFont="1" applyBorder="1" applyAlignment="1" applyProtection="1">
      <alignment horizontal="centerContinuous"/>
      <protection hidden="1"/>
    </xf>
    <xf numFmtId="165" fontId="14" fillId="0" borderId="26" xfId="1" applyNumberFormat="1" applyFont="1" applyBorder="1" applyAlignment="1" applyProtection="1">
      <alignment horizontal="centerContinuous"/>
      <protection hidden="1"/>
    </xf>
    <xf numFmtId="1" fontId="14" fillId="0" borderId="26" xfId="1" applyNumberFormat="1" applyFont="1" applyBorder="1" applyAlignment="1" applyProtection="1">
      <alignment horizontal="centerContinuous"/>
      <protection hidden="1"/>
    </xf>
    <xf numFmtId="165" fontId="16" fillId="0" borderId="27" xfId="1" applyNumberFormat="1" applyFont="1" applyBorder="1" applyProtection="1">
      <protection hidden="1"/>
    </xf>
    <xf numFmtId="165" fontId="14" fillId="0" borderId="24" xfId="1" quotePrefix="1" applyNumberFormat="1" applyFont="1" applyBorder="1" applyAlignment="1" applyProtection="1">
      <alignment horizontal="center"/>
      <protection hidden="1"/>
    </xf>
    <xf numFmtId="164" fontId="14" fillId="0" borderId="28" xfId="1" applyNumberFormat="1" applyFont="1" applyBorder="1" applyAlignment="1" applyProtection="1">
      <alignment horizontal="center"/>
      <protection hidden="1"/>
    </xf>
    <xf numFmtId="164" fontId="14" fillId="0" borderId="5" xfId="1" applyNumberFormat="1" applyFont="1" applyBorder="1" applyAlignment="1" applyProtection="1">
      <alignment horizontal="centerContinuous"/>
      <protection hidden="1"/>
    </xf>
    <xf numFmtId="165" fontId="14" fillId="0" borderId="5" xfId="1" applyNumberFormat="1" applyFont="1" applyBorder="1" applyAlignment="1" applyProtection="1">
      <alignment horizontal="centerContinuous"/>
      <protection hidden="1"/>
    </xf>
    <xf numFmtId="1" fontId="14" fillId="0" borderId="5" xfId="1" applyNumberFormat="1" applyFont="1" applyBorder="1" applyAlignment="1" applyProtection="1">
      <alignment horizontal="centerContinuous"/>
      <protection hidden="1"/>
    </xf>
    <xf numFmtId="49" fontId="14" fillId="0" borderId="29" xfId="1" applyNumberFormat="1" applyFont="1" applyBorder="1" applyAlignment="1" applyProtection="1">
      <alignment horizontal="centerContinuous"/>
      <protection hidden="1"/>
    </xf>
    <xf numFmtId="0" fontId="14" fillId="0" borderId="30" xfId="1" applyFont="1" applyBorder="1" applyAlignment="1" applyProtection="1">
      <alignment horizontal="centerContinuous"/>
      <protection hidden="1"/>
    </xf>
    <xf numFmtId="165" fontId="14" fillId="0" borderId="30" xfId="1" applyNumberFormat="1" applyFont="1" applyBorder="1" applyAlignment="1" applyProtection="1">
      <alignment horizontal="centerContinuous"/>
      <protection hidden="1"/>
    </xf>
    <xf numFmtId="164" fontId="14" fillId="0" borderId="30" xfId="1" applyNumberFormat="1" applyFont="1" applyBorder="1" applyAlignment="1" applyProtection="1">
      <alignment horizontal="centerContinuous"/>
      <protection hidden="1"/>
    </xf>
    <xf numFmtId="165" fontId="16" fillId="0" borderId="31" xfId="1" applyNumberFormat="1" applyFont="1" applyBorder="1" applyProtection="1">
      <protection hidden="1"/>
    </xf>
    <xf numFmtId="165" fontId="14" fillId="0" borderId="20" xfId="1" quotePrefix="1" applyNumberFormat="1" applyFont="1" applyBorder="1" applyAlignment="1" applyProtection="1">
      <alignment horizontal="center"/>
      <protection hidden="1"/>
    </xf>
    <xf numFmtId="0" fontId="14" fillId="0" borderId="7" xfId="1" applyFont="1" applyBorder="1" applyAlignment="1" applyProtection="1">
      <alignment horizontal="centerContinuous"/>
      <protection hidden="1"/>
    </xf>
    <xf numFmtId="0" fontId="14" fillId="0" borderId="4" xfId="1" applyFont="1" applyBorder="1" applyAlignment="1" applyProtection="1">
      <alignment horizontal="centerContinuous"/>
      <protection hidden="1"/>
    </xf>
    <xf numFmtId="0" fontId="14" fillId="0" borderId="4" xfId="0" applyFont="1" applyBorder="1" applyAlignment="1" applyProtection="1">
      <alignment horizontal="centerContinuous"/>
      <protection hidden="1"/>
    </xf>
    <xf numFmtId="2" fontId="14" fillId="0" borderId="32" xfId="1" applyNumberFormat="1" applyFont="1" applyBorder="1" applyAlignment="1" applyProtection="1">
      <alignment horizontal="center"/>
      <protection hidden="1"/>
    </xf>
    <xf numFmtId="0" fontId="14" fillId="0" borderId="1" xfId="0" applyFont="1" applyBorder="1" applyAlignment="1" applyProtection="1">
      <alignment horizontal="centerContinuous"/>
      <protection hidden="1"/>
    </xf>
    <xf numFmtId="0" fontId="14" fillId="0" borderId="2" xfId="0" applyFont="1" applyBorder="1" applyAlignment="1" applyProtection="1">
      <alignment horizontal="centerContinuous"/>
      <protection hidden="1"/>
    </xf>
    <xf numFmtId="0" fontId="14" fillId="0" borderId="3" xfId="0" applyFont="1" applyBorder="1" applyAlignment="1" applyProtection="1">
      <alignment horizontal="centerContinuous"/>
      <protection hidden="1"/>
    </xf>
    <xf numFmtId="0" fontId="14" fillId="0" borderId="8" xfId="0" applyFont="1" applyBorder="1" applyAlignment="1" applyProtection="1">
      <alignment horizontal="centerContinuous"/>
      <protection hidden="1"/>
    </xf>
    <xf numFmtId="0" fontId="14" fillId="0" borderId="9" xfId="0" applyFont="1" applyBorder="1" applyAlignment="1" applyProtection="1">
      <alignment horizontal="centerContinuous"/>
      <protection hidden="1"/>
    </xf>
    <xf numFmtId="0" fontId="14" fillId="0" borderId="7" xfId="0" applyFont="1" applyBorder="1" applyAlignment="1" applyProtection="1">
      <alignment horizontal="centerContinuous"/>
      <protection hidden="1"/>
    </xf>
    <xf numFmtId="0" fontId="14" fillId="0" borderId="5" xfId="5" applyFont="1" applyBorder="1" applyProtection="1">
      <protection hidden="1"/>
    </xf>
    <xf numFmtId="0" fontId="14" fillId="0" borderId="25" xfId="0" applyFont="1" applyBorder="1" applyAlignment="1" applyProtection="1">
      <alignment horizontal="centerContinuous"/>
      <protection hidden="1"/>
    </xf>
    <xf numFmtId="0" fontId="14" fillId="0" borderId="33" xfId="0" applyFont="1" applyBorder="1" applyAlignment="1" applyProtection="1">
      <alignment horizontal="centerContinuous"/>
      <protection hidden="1"/>
    </xf>
    <xf numFmtId="165" fontId="14" fillId="0" borderId="0" xfId="0" applyNumberFormat="1" applyFont="1" applyProtection="1">
      <protection hidden="1"/>
    </xf>
    <xf numFmtId="0" fontId="14" fillId="0" borderId="20" xfId="0" applyFont="1" applyBorder="1" applyAlignment="1" applyProtection="1">
      <alignment horizontal="center"/>
      <protection hidden="1"/>
    </xf>
    <xf numFmtId="0" fontId="14" fillId="0" borderId="20" xfId="0" applyFont="1" applyBorder="1" applyAlignment="1" applyProtection="1">
      <alignment horizontal="centerContinuous"/>
      <protection hidden="1"/>
    </xf>
    <xf numFmtId="0" fontId="14" fillId="0" borderId="24" xfId="0" applyFont="1" applyBorder="1" applyAlignment="1" applyProtection="1">
      <alignment horizontal="centerContinuous"/>
      <protection hidden="1"/>
    </xf>
    <xf numFmtId="0" fontId="14" fillId="0" borderId="24" xfId="1" applyFont="1" applyBorder="1" applyAlignment="1" applyProtection="1">
      <alignment horizontal="centerContinuous"/>
      <protection hidden="1"/>
    </xf>
    <xf numFmtId="0" fontId="14" fillId="0" borderId="25" xfId="1" applyFont="1" applyBorder="1" applyAlignment="1" applyProtection="1">
      <alignment horizontal="centerContinuous"/>
      <protection hidden="1"/>
    </xf>
    <xf numFmtId="165" fontId="14" fillId="0" borderId="24" xfId="1" applyNumberFormat="1" applyFont="1" applyBorder="1" applyAlignment="1" applyProtection="1">
      <alignment horizontal="centerContinuous"/>
      <protection hidden="1"/>
    </xf>
    <xf numFmtId="165" fontId="14" fillId="0" borderId="34" xfId="1" applyNumberFormat="1" applyFont="1" applyBorder="1" applyAlignment="1" applyProtection="1">
      <alignment horizontal="center"/>
      <protection hidden="1"/>
    </xf>
    <xf numFmtId="165" fontId="14" fillId="2" borderId="34" xfId="5" applyNumberFormat="1" applyFont="1" applyFill="1" applyBorder="1" applyAlignment="1" applyProtection="1">
      <alignment horizontal="center"/>
      <protection locked="0"/>
    </xf>
    <xf numFmtId="165" fontId="14" fillId="0" borderId="20" xfId="5" applyNumberFormat="1" applyFont="1" applyBorder="1" applyAlignment="1" applyProtection="1">
      <alignment horizontal="centerContinuous"/>
      <protection hidden="1"/>
    </xf>
    <xf numFmtId="164" fontId="14" fillId="0" borderId="35" xfId="1" applyNumberFormat="1" applyFont="1" applyBorder="1" applyAlignment="1" applyProtection="1">
      <alignment horizontal="center"/>
      <protection hidden="1"/>
    </xf>
    <xf numFmtId="165" fontId="14" fillId="0" borderId="0" xfId="5" applyNumberFormat="1" applyFont="1" applyAlignment="1" applyProtection="1">
      <alignment horizontal="center"/>
      <protection hidden="1"/>
    </xf>
    <xf numFmtId="164" fontId="14" fillId="0" borderId="10" xfId="5" applyNumberFormat="1" applyFont="1" applyBorder="1" applyAlignment="1" applyProtection="1">
      <alignment horizontal="center"/>
      <protection hidden="1"/>
    </xf>
    <xf numFmtId="0" fontId="14" fillId="0" borderId="5" xfId="0" applyFont="1" applyBorder="1" applyAlignment="1" applyProtection="1">
      <alignment horizontal="centerContinuous"/>
      <protection hidden="1"/>
    </xf>
    <xf numFmtId="0" fontId="14" fillId="0" borderId="5" xfId="5" applyFont="1" applyBorder="1" applyAlignment="1" applyProtection="1">
      <alignment horizontal="centerContinuous"/>
      <protection hidden="1"/>
    </xf>
    <xf numFmtId="0" fontId="14" fillId="0" borderId="0" xfId="5" applyFont="1" applyAlignment="1" applyProtection="1">
      <alignment horizontal="centerContinuous"/>
      <protection hidden="1"/>
    </xf>
    <xf numFmtId="0" fontId="14" fillId="0" borderId="1" xfId="4" applyFont="1" applyBorder="1" applyAlignment="1" applyProtection="1">
      <alignment horizontal="centerContinuous"/>
      <protection hidden="1"/>
    </xf>
    <xf numFmtId="0" fontId="14" fillId="0" borderId="2" xfId="4" applyFont="1" applyBorder="1" applyAlignment="1" applyProtection="1">
      <alignment horizontal="centerContinuous"/>
      <protection hidden="1"/>
    </xf>
    <xf numFmtId="0" fontId="14" fillId="0" borderId="1" xfId="0" applyFont="1" applyBorder="1" applyProtection="1">
      <protection hidden="1"/>
    </xf>
    <xf numFmtId="0" fontId="14" fillId="0" borderId="3" xfId="0" applyFont="1" applyBorder="1" applyProtection="1">
      <protection hidden="1"/>
    </xf>
    <xf numFmtId="0" fontId="14" fillId="0" borderId="36" xfId="0" applyFont="1" applyBorder="1" applyAlignment="1" applyProtection="1">
      <alignment horizontal="center"/>
      <protection hidden="1"/>
    </xf>
    <xf numFmtId="0" fontId="14" fillId="0" borderId="3" xfId="0" applyFont="1" applyBorder="1" applyAlignment="1" applyProtection="1">
      <alignment horizontal="center"/>
      <protection hidden="1"/>
    </xf>
    <xf numFmtId="0" fontId="14" fillId="0" borderId="4" xfId="4" applyFont="1" applyBorder="1" applyAlignment="1" applyProtection="1">
      <alignment horizontal="centerContinuous"/>
      <protection hidden="1"/>
    </xf>
    <xf numFmtId="0" fontId="14" fillId="0" borderId="3" xfId="4" applyFont="1" applyBorder="1" applyAlignment="1" applyProtection="1">
      <alignment horizontal="centerContinuous"/>
      <protection hidden="1"/>
    </xf>
    <xf numFmtId="0" fontId="14" fillId="0" borderId="37" xfId="4" applyFont="1" applyBorder="1" applyAlignment="1" applyProtection="1">
      <alignment horizontal="centerContinuous"/>
      <protection hidden="1"/>
    </xf>
    <xf numFmtId="0" fontId="14" fillId="0" borderId="17" xfId="4" applyFont="1" applyBorder="1" applyAlignment="1" applyProtection="1">
      <alignment horizontal="centerContinuous"/>
      <protection hidden="1"/>
    </xf>
    <xf numFmtId="0" fontId="14" fillId="0" borderId="38" xfId="4" applyFont="1" applyBorder="1" applyAlignment="1" applyProtection="1">
      <alignment horizontal="centerContinuous"/>
      <protection hidden="1"/>
    </xf>
    <xf numFmtId="0" fontId="14" fillId="0" borderId="20" xfId="4" applyFont="1" applyBorder="1" applyAlignment="1" applyProtection="1">
      <alignment horizontal="centerContinuous"/>
      <protection hidden="1"/>
    </xf>
    <xf numFmtId="0" fontId="14" fillId="0" borderId="39" xfId="4" applyFont="1" applyBorder="1" applyAlignment="1" applyProtection="1">
      <alignment horizontal="right"/>
      <protection hidden="1"/>
    </xf>
    <xf numFmtId="165" fontId="14" fillId="0" borderId="40" xfId="4" applyNumberFormat="1" applyFont="1" applyBorder="1" applyProtection="1">
      <protection hidden="1"/>
    </xf>
    <xf numFmtId="165" fontId="14" fillId="0" borderId="41" xfId="4" applyNumberFormat="1" applyFont="1" applyBorder="1" applyProtection="1">
      <protection hidden="1"/>
    </xf>
    <xf numFmtId="165" fontId="14" fillId="2" borderId="40" xfId="4" applyNumberFormat="1" applyFont="1" applyFill="1" applyBorder="1" applyProtection="1">
      <protection locked="0"/>
    </xf>
    <xf numFmtId="0" fontId="14" fillId="0" borderId="8" xfId="4" applyFont="1" applyBorder="1" applyProtection="1">
      <protection hidden="1"/>
    </xf>
    <xf numFmtId="0" fontId="14" fillId="0" borderId="9" xfId="4" applyFont="1" applyBorder="1" applyProtection="1">
      <protection hidden="1"/>
    </xf>
    <xf numFmtId="0" fontId="14" fillId="0" borderId="33" xfId="4" applyFont="1" applyBorder="1" applyProtection="1">
      <protection hidden="1"/>
    </xf>
    <xf numFmtId="0" fontId="14" fillId="0" borderId="6" xfId="0" applyFont="1" applyBorder="1" applyProtection="1">
      <protection hidden="1"/>
    </xf>
    <xf numFmtId="0" fontId="14" fillId="0" borderId="17" xfId="0" applyFont="1" applyBorder="1" applyProtection="1">
      <protection hidden="1"/>
    </xf>
    <xf numFmtId="0" fontId="14" fillId="0" borderId="6" xfId="4" applyFont="1" applyBorder="1" applyProtection="1">
      <protection hidden="1"/>
    </xf>
    <xf numFmtId="0" fontId="14" fillId="0" borderId="0" xfId="4" applyFont="1" applyProtection="1">
      <protection hidden="1"/>
    </xf>
    <xf numFmtId="0" fontId="14" fillId="0" borderId="6" xfId="4" applyFont="1" applyBorder="1" applyAlignment="1" applyProtection="1">
      <alignment horizontal="left"/>
      <protection hidden="1"/>
    </xf>
    <xf numFmtId="0" fontId="14" fillId="3" borderId="41" xfId="4" applyFont="1" applyFill="1" applyBorder="1" applyProtection="1">
      <protection hidden="1"/>
    </xf>
    <xf numFmtId="0" fontId="14" fillId="0" borderId="29" xfId="0" applyFont="1" applyBorder="1" applyProtection="1">
      <protection hidden="1"/>
    </xf>
    <xf numFmtId="0" fontId="14" fillId="0" borderId="30" xfId="0" applyFont="1" applyBorder="1" applyProtection="1">
      <protection hidden="1"/>
    </xf>
    <xf numFmtId="165" fontId="14" fillId="0" borderId="20" xfId="0" applyNumberFormat="1" applyFont="1" applyBorder="1" applyAlignment="1" applyProtection="1">
      <alignment horizontal="center"/>
      <protection hidden="1"/>
    </xf>
    <xf numFmtId="0" fontId="14" fillId="0" borderId="38" xfId="4" applyFont="1" applyBorder="1" applyAlignment="1" applyProtection="1">
      <alignment horizontal="right"/>
      <protection hidden="1"/>
    </xf>
    <xf numFmtId="165" fontId="14" fillId="2" borderId="42" xfId="4" applyNumberFormat="1" applyFont="1" applyFill="1" applyBorder="1" applyProtection="1">
      <protection locked="0"/>
    </xf>
    <xf numFmtId="0" fontId="14" fillId="3" borderId="42" xfId="4" applyFont="1" applyFill="1" applyBorder="1" applyProtection="1">
      <protection hidden="1"/>
    </xf>
    <xf numFmtId="0" fontId="14" fillId="3" borderId="43" xfId="4" applyFont="1" applyFill="1" applyBorder="1" applyProtection="1">
      <protection hidden="1"/>
    </xf>
    <xf numFmtId="2" fontId="14" fillId="0" borderId="0" xfId="0" applyNumberFormat="1" applyFont="1" applyAlignment="1" applyProtection="1">
      <alignment horizontal="center"/>
      <protection hidden="1"/>
    </xf>
    <xf numFmtId="0" fontId="14" fillId="0" borderId="0" xfId="4" applyFont="1" applyAlignment="1" applyProtection="1">
      <alignment horizontal="right"/>
      <protection hidden="1"/>
    </xf>
    <xf numFmtId="0" fontId="14" fillId="0" borderId="0" xfId="0" applyFont="1" applyAlignment="1" applyProtection="1">
      <alignment horizontal="left"/>
      <protection hidden="1"/>
    </xf>
    <xf numFmtId="0" fontId="14" fillId="0" borderId="0" xfId="5" applyFont="1" applyProtection="1">
      <protection hidden="1"/>
    </xf>
    <xf numFmtId="0" fontId="14" fillId="0" borderId="1" xfId="4" applyFont="1" applyBorder="1" applyProtection="1">
      <protection hidden="1"/>
    </xf>
    <xf numFmtId="0" fontId="14" fillId="0" borderId="2" xfId="4" applyFont="1" applyBorder="1" applyAlignment="1" applyProtection="1">
      <alignment horizontal="right"/>
      <protection hidden="1"/>
    </xf>
    <xf numFmtId="165" fontId="14" fillId="0" borderId="41" xfId="4" applyNumberFormat="1" applyFont="1" applyBorder="1" applyAlignment="1" applyProtection="1">
      <alignment horizontal="right"/>
      <protection hidden="1"/>
    </xf>
    <xf numFmtId="2" fontId="14" fillId="0" borderId="0" xfId="0" applyNumberFormat="1" applyFont="1" applyProtection="1">
      <protection hidden="1"/>
    </xf>
    <xf numFmtId="0" fontId="14" fillId="0" borderId="44" xfId="0" applyFont="1" applyBorder="1" applyAlignment="1" applyProtection="1">
      <alignment horizontal="center"/>
      <protection hidden="1"/>
    </xf>
    <xf numFmtId="0" fontId="14" fillId="0" borderId="33" xfId="0" applyFont="1" applyBorder="1" applyAlignment="1" applyProtection="1">
      <alignment horizontal="center"/>
      <protection hidden="1"/>
    </xf>
    <xf numFmtId="0" fontId="14" fillId="0" borderId="38" xfId="0" applyFont="1" applyBorder="1" applyAlignment="1" applyProtection="1">
      <alignment horizontal="centerContinuous"/>
      <protection hidden="1"/>
    </xf>
    <xf numFmtId="0" fontId="14" fillId="0" borderId="38" xfId="0" applyFont="1" applyBorder="1" applyAlignment="1" applyProtection="1">
      <alignment horizontal="center"/>
      <protection hidden="1"/>
    </xf>
    <xf numFmtId="0" fontId="14" fillId="2" borderId="40" xfId="0" applyFont="1" applyFill="1" applyBorder="1" applyAlignment="1" applyProtection="1">
      <alignment horizontal="centerContinuous"/>
      <protection locked="0"/>
    </xf>
    <xf numFmtId="1" fontId="14" fillId="0" borderId="40" xfId="0" applyNumberFormat="1" applyFont="1" applyBorder="1" applyAlignment="1" applyProtection="1">
      <alignment horizontal="center"/>
      <protection hidden="1"/>
    </xf>
    <xf numFmtId="1" fontId="14" fillId="0" borderId="24" xfId="0" applyNumberFormat="1" applyFont="1" applyBorder="1" applyAlignment="1" applyProtection="1">
      <alignment horizontal="center"/>
      <protection hidden="1"/>
    </xf>
    <xf numFmtId="165" fontId="14" fillId="0" borderId="40" xfId="0" applyNumberFormat="1" applyFont="1" applyBorder="1" applyAlignment="1" applyProtection="1">
      <alignment horizontal="center"/>
      <protection hidden="1"/>
    </xf>
    <xf numFmtId="2" fontId="14" fillId="0" borderId="42" xfId="0" applyNumberFormat="1" applyFont="1" applyBorder="1" applyAlignment="1" applyProtection="1">
      <alignment horizontal="centerContinuous"/>
      <protection hidden="1"/>
    </xf>
    <xf numFmtId="2" fontId="14" fillId="0" borderId="42" xfId="0" applyNumberFormat="1" applyFont="1" applyBorder="1" applyAlignment="1" applyProtection="1">
      <alignment horizontal="center"/>
      <protection hidden="1"/>
    </xf>
    <xf numFmtId="1" fontId="14" fillId="0" borderId="20" xfId="0" applyNumberFormat="1" applyFont="1" applyBorder="1" applyAlignment="1" applyProtection="1">
      <alignment horizontal="center"/>
      <protection hidden="1"/>
    </xf>
    <xf numFmtId="165" fontId="14" fillId="3" borderId="41" xfId="4" applyNumberFormat="1" applyFont="1" applyFill="1" applyBorder="1" applyAlignment="1" applyProtection="1">
      <alignment horizontal="right"/>
      <protection hidden="1"/>
    </xf>
    <xf numFmtId="165" fontId="14" fillId="3" borderId="42" xfId="4" applyNumberFormat="1" applyFont="1" applyFill="1" applyBorder="1" applyProtection="1">
      <protection hidden="1"/>
    </xf>
    <xf numFmtId="0" fontId="14" fillId="2" borderId="5" xfId="0" applyFont="1" applyFill="1" applyBorder="1" applyAlignment="1" applyProtection="1">
      <alignment horizontal="centerContinuous"/>
      <protection locked="0"/>
    </xf>
    <xf numFmtId="0" fontId="11" fillId="0" borderId="2" xfId="0" applyFont="1" applyBorder="1" applyAlignment="1" applyProtection="1">
      <alignment horizontal="centerContinuous"/>
      <protection hidden="1"/>
    </xf>
    <xf numFmtId="0" fontId="11" fillId="0" borderId="3" xfId="0" applyFont="1" applyBorder="1" applyAlignment="1" applyProtection="1">
      <alignment horizontal="centerContinuous"/>
      <protection hidden="1"/>
    </xf>
    <xf numFmtId="0" fontId="6" fillId="0" borderId="45" xfId="0" applyFont="1" applyBorder="1" applyAlignment="1" applyProtection="1">
      <alignment horizontal="centerContinuous"/>
      <protection hidden="1"/>
    </xf>
    <xf numFmtId="0" fontId="6" fillId="0" borderId="40" xfId="0" applyFont="1" applyBorder="1" applyAlignment="1" applyProtection="1">
      <alignment horizontal="center"/>
      <protection hidden="1"/>
    </xf>
    <xf numFmtId="0" fontId="11" fillId="0" borderId="1" xfId="5" applyFont="1" applyBorder="1" applyAlignment="1" applyProtection="1">
      <alignment horizontal="centerContinuous"/>
      <protection hidden="1"/>
    </xf>
    <xf numFmtId="0" fontId="11" fillId="0" borderId="3" xfId="5" applyFont="1" applyBorder="1" applyAlignment="1" applyProtection="1">
      <alignment horizontal="centerContinuous"/>
      <protection hidden="1"/>
    </xf>
    <xf numFmtId="0" fontId="6" fillId="0" borderId="7" xfId="5" applyFont="1" applyBorder="1" applyAlignment="1" applyProtection="1">
      <alignment horizontal="center"/>
      <protection hidden="1"/>
    </xf>
    <xf numFmtId="0" fontId="6" fillId="0" borderId="18" xfId="5" applyFont="1" applyBorder="1" applyAlignment="1" applyProtection="1">
      <alignment horizontal="center"/>
      <protection hidden="1"/>
    </xf>
    <xf numFmtId="0" fontId="6" fillId="0" borderId="18" xfId="5" applyFont="1" applyBorder="1" applyAlignment="1" applyProtection="1">
      <alignment horizontal="centerContinuous"/>
      <protection hidden="1"/>
    </xf>
    <xf numFmtId="0" fontId="6" fillId="0" borderId="4" xfId="5" applyFont="1" applyBorder="1" applyAlignment="1" applyProtection="1">
      <alignment horizontal="centerContinuous"/>
      <protection hidden="1"/>
    </xf>
    <xf numFmtId="0" fontId="6" fillId="0" borderId="20" xfId="5" applyFont="1" applyBorder="1" applyAlignment="1" applyProtection="1">
      <alignment horizontal="centerContinuous"/>
      <protection hidden="1"/>
    </xf>
    <xf numFmtId="0" fontId="6" fillId="0" borderId="20" xfId="5" applyFont="1" applyBorder="1" applyAlignment="1" applyProtection="1">
      <alignment horizontal="center"/>
      <protection hidden="1"/>
    </xf>
    <xf numFmtId="0" fontId="6" fillId="0" borderId="46" xfId="5" applyFont="1" applyBorder="1" applyAlignment="1" applyProtection="1">
      <alignment horizontal="center"/>
      <protection hidden="1"/>
    </xf>
    <xf numFmtId="0" fontId="6" fillId="0" borderId="45" xfId="0" applyFont="1" applyBorder="1" applyAlignment="1" applyProtection="1">
      <alignment horizontal="center"/>
      <protection hidden="1"/>
    </xf>
    <xf numFmtId="0" fontId="6" fillId="0" borderId="19" xfId="0" applyFont="1" applyBorder="1" applyAlignment="1" applyProtection="1">
      <alignment horizontal="center"/>
      <protection hidden="1"/>
    </xf>
    <xf numFmtId="0" fontId="6" fillId="0" borderId="46" xfId="1" applyFont="1" applyBorder="1" applyAlignment="1" applyProtection="1">
      <alignment horizontal="centerContinuous"/>
      <protection hidden="1"/>
    </xf>
    <xf numFmtId="0" fontId="6" fillId="0" borderId="7" xfId="1" applyFont="1" applyBorder="1" applyAlignment="1" applyProtection="1">
      <alignment horizontal="centerContinuous"/>
      <protection hidden="1"/>
    </xf>
    <xf numFmtId="0" fontId="6" fillId="0" borderId="18" xfId="0" applyFont="1" applyBorder="1" applyAlignment="1" applyProtection="1">
      <alignment horizontal="centerContinuous"/>
      <protection hidden="1"/>
    </xf>
    <xf numFmtId="0" fontId="6" fillId="0" borderId="32" xfId="1" applyFont="1" applyBorder="1" applyAlignment="1" applyProtection="1">
      <alignment horizontal="center"/>
      <protection hidden="1"/>
    </xf>
    <xf numFmtId="0" fontId="6" fillId="0" borderId="8" xfId="1" applyFont="1" applyBorder="1" applyAlignment="1" applyProtection="1">
      <alignment horizontal="center"/>
      <protection hidden="1"/>
    </xf>
    <xf numFmtId="0" fontId="6" fillId="0" borderId="7" xfId="1" applyFont="1" applyBorder="1" applyAlignment="1" applyProtection="1">
      <alignment horizontal="center"/>
      <protection hidden="1"/>
    </xf>
    <xf numFmtId="0" fontId="6" fillId="0" borderId="19" xfId="1" applyFont="1" applyBorder="1" applyAlignment="1" applyProtection="1">
      <alignment horizontal="center"/>
      <protection hidden="1"/>
    </xf>
    <xf numFmtId="0" fontId="6" fillId="0" borderId="47" xfId="1" applyFont="1" applyBorder="1" applyAlignment="1" applyProtection="1">
      <alignment horizontal="center"/>
      <protection hidden="1"/>
    </xf>
    <xf numFmtId="0" fontId="6" fillId="0" borderId="9" xfId="1" applyFont="1" applyBorder="1" applyAlignment="1" applyProtection="1">
      <alignment horizontal="center"/>
      <protection hidden="1"/>
    </xf>
    <xf numFmtId="0" fontId="6" fillId="0" borderId="4" xfId="1" applyFont="1" applyBorder="1" applyAlignment="1" applyProtection="1">
      <alignment horizontal="center"/>
      <protection hidden="1"/>
    </xf>
    <xf numFmtId="0" fontId="6" fillId="0" borderId="48" xfId="1" applyFont="1" applyBorder="1" applyAlignment="1" applyProtection="1">
      <alignment horizontal="center"/>
      <protection hidden="1"/>
    </xf>
    <xf numFmtId="0" fontId="6" fillId="0" borderId="33" xfId="1" applyFont="1" applyBorder="1" applyAlignment="1" applyProtection="1">
      <alignment horizontal="center"/>
      <protection hidden="1"/>
    </xf>
    <xf numFmtId="0" fontId="6" fillId="0" borderId="20" xfId="1" applyFont="1" applyBorder="1" applyAlignment="1" applyProtection="1">
      <alignment horizontal="center"/>
      <protection hidden="1"/>
    </xf>
    <xf numFmtId="0" fontId="6" fillId="0" borderId="49" xfId="0" applyFont="1" applyBorder="1" applyAlignment="1" applyProtection="1">
      <alignment horizontal="centerContinuous"/>
      <protection hidden="1"/>
    </xf>
    <xf numFmtId="0" fontId="6" fillId="0" borderId="25" xfId="0" applyFont="1" applyBorder="1" applyAlignment="1" applyProtection="1">
      <alignment horizontal="center"/>
      <protection hidden="1"/>
    </xf>
    <xf numFmtId="1" fontId="6" fillId="0" borderId="50" xfId="1" applyNumberFormat="1" applyFont="1" applyBorder="1" applyAlignment="1" applyProtection="1">
      <alignment horizontal="center"/>
      <protection hidden="1"/>
    </xf>
    <xf numFmtId="1" fontId="6" fillId="0" borderId="51" xfId="1" applyNumberFormat="1" applyFont="1" applyBorder="1" applyAlignment="1" applyProtection="1">
      <alignment horizontal="center"/>
      <protection hidden="1"/>
    </xf>
    <xf numFmtId="0" fontId="6" fillId="0" borderId="25" xfId="1" applyFont="1" applyBorder="1" applyProtection="1">
      <protection hidden="1"/>
    </xf>
    <xf numFmtId="0" fontId="6" fillId="0" borderId="7" xfId="1" applyFont="1" applyBorder="1" applyProtection="1">
      <protection hidden="1"/>
    </xf>
    <xf numFmtId="0" fontId="6" fillId="0" borderId="52" xfId="0" applyFont="1" applyBorder="1" applyAlignment="1" applyProtection="1">
      <alignment horizontal="center"/>
      <protection hidden="1"/>
    </xf>
    <xf numFmtId="0" fontId="6" fillId="0" borderId="10" xfId="0" applyFont="1" applyBorder="1" applyAlignment="1" applyProtection="1">
      <alignment horizontal="center"/>
      <protection hidden="1"/>
    </xf>
    <xf numFmtId="2" fontId="6" fillId="0" borderId="32" xfId="1" applyNumberFormat="1" applyFont="1" applyBorder="1" applyAlignment="1" applyProtection="1">
      <alignment horizontal="center"/>
      <protection hidden="1"/>
    </xf>
    <xf numFmtId="165" fontId="6" fillId="0" borderId="1" xfId="1" applyNumberFormat="1" applyFont="1" applyBorder="1" applyAlignment="1" applyProtection="1">
      <alignment horizontal="centerContinuous"/>
      <protection hidden="1"/>
    </xf>
    <xf numFmtId="2" fontId="6" fillId="0" borderId="53" xfId="1" applyNumberFormat="1" applyFont="1" applyBorder="1" applyAlignment="1" applyProtection="1">
      <alignment horizontal="center"/>
      <protection hidden="1"/>
    </xf>
    <xf numFmtId="165" fontId="6" fillId="0" borderId="7" xfId="1" applyNumberFormat="1" applyFont="1" applyBorder="1" applyAlignment="1" applyProtection="1">
      <alignment horizontal="centerContinuous"/>
      <protection hidden="1"/>
    </xf>
    <xf numFmtId="165" fontId="6" fillId="0" borderId="40" xfId="7" applyNumberFormat="1" applyFont="1" applyBorder="1" applyAlignment="1" applyProtection="1">
      <alignment horizontal="center"/>
      <protection hidden="1"/>
    </xf>
    <xf numFmtId="165" fontId="6" fillId="0" borderId="22" xfId="1" applyNumberFormat="1" applyFont="1" applyBorder="1" applyAlignment="1" applyProtection="1">
      <alignment horizontal="center"/>
      <protection hidden="1"/>
    </xf>
    <xf numFmtId="165" fontId="6" fillId="0" borderId="51" xfId="1" applyNumberFormat="1" applyFont="1" applyBorder="1" applyAlignment="1" applyProtection="1">
      <alignment horizontal="center"/>
      <protection hidden="1"/>
    </xf>
    <xf numFmtId="165" fontId="6" fillId="0" borderId="45" xfId="1" applyNumberFormat="1" applyFont="1" applyBorder="1" applyAlignment="1" applyProtection="1">
      <alignment horizontal="center"/>
      <protection hidden="1"/>
    </xf>
    <xf numFmtId="165" fontId="6" fillId="0" borderId="5" xfId="1" applyNumberFormat="1" applyFont="1" applyBorder="1" applyAlignment="1" applyProtection="1">
      <alignment horizontal="center"/>
      <protection hidden="1"/>
    </xf>
    <xf numFmtId="165" fontId="6" fillId="0" borderId="54" xfId="1" applyNumberFormat="1" applyFont="1" applyBorder="1" applyAlignment="1" applyProtection="1">
      <alignment horizontal="center"/>
      <protection hidden="1"/>
    </xf>
    <xf numFmtId="165" fontId="6" fillId="0" borderId="25" xfId="1" applyNumberFormat="1" applyFont="1" applyBorder="1" applyAlignment="1" applyProtection="1">
      <alignment horizontal="center"/>
      <protection hidden="1"/>
    </xf>
    <xf numFmtId="165" fontId="6" fillId="0" borderId="55" xfId="1" applyNumberFormat="1" applyFont="1" applyBorder="1" applyAlignment="1" applyProtection="1">
      <alignment horizontal="center"/>
      <protection hidden="1"/>
    </xf>
    <xf numFmtId="165" fontId="6" fillId="0" borderId="56" xfId="1" applyNumberFormat="1" applyFont="1" applyBorder="1" applyAlignment="1" applyProtection="1">
      <alignment horizontal="center"/>
      <protection hidden="1"/>
    </xf>
    <xf numFmtId="165" fontId="6" fillId="0" borderId="50" xfId="1" applyNumberFormat="1" applyFont="1" applyBorder="1" applyAlignment="1" applyProtection="1">
      <alignment horizontal="center"/>
      <protection hidden="1"/>
    </xf>
    <xf numFmtId="165" fontId="6" fillId="0" borderId="7" xfId="1" applyNumberFormat="1" applyFont="1" applyBorder="1" applyAlignment="1" applyProtection="1">
      <alignment horizontal="center"/>
      <protection hidden="1"/>
    </xf>
    <xf numFmtId="165" fontId="6" fillId="0" borderId="19" xfId="1" applyNumberFormat="1" applyFont="1" applyBorder="1" applyAlignment="1" applyProtection="1">
      <alignment horizontal="center"/>
      <protection hidden="1"/>
    </xf>
    <xf numFmtId="165" fontId="6" fillId="0" borderId="4" xfId="1" applyNumberFormat="1" applyFont="1" applyBorder="1" applyAlignment="1" applyProtection="1">
      <alignment horizontal="center"/>
      <protection hidden="1"/>
    </xf>
    <xf numFmtId="0" fontId="6" fillId="0" borderId="20" xfId="0" applyFont="1" applyBorder="1" applyAlignment="1" applyProtection="1">
      <alignment horizontal="centerContinuous"/>
      <protection hidden="1"/>
    </xf>
    <xf numFmtId="0" fontId="6" fillId="0" borderId="19" xfId="1" applyFont="1" applyBorder="1" applyAlignment="1" applyProtection="1">
      <alignment horizontal="centerContinuous"/>
      <protection hidden="1"/>
    </xf>
    <xf numFmtId="165" fontId="6" fillId="0" borderId="19" xfId="5" applyNumberFormat="1" applyFont="1" applyBorder="1" applyAlignment="1" applyProtection="1">
      <alignment horizontal="center"/>
      <protection hidden="1"/>
    </xf>
    <xf numFmtId="0" fontId="4" fillId="0" borderId="0" xfId="5" applyFont="1"/>
    <xf numFmtId="0" fontId="4" fillId="0" borderId="0" xfId="0" applyFont="1"/>
    <xf numFmtId="165" fontId="4" fillId="0" borderId="0" xfId="0" applyNumberFormat="1" applyFont="1" applyAlignment="1">
      <alignment horizontal="center"/>
    </xf>
    <xf numFmtId="0" fontId="4" fillId="0" borderId="0" xfId="0" applyFont="1" applyAlignment="1">
      <alignment horizontal="centerContinuous"/>
    </xf>
    <xf numFmtId="0" fontId="4" fillId="0" borderId="0" xfId="0" applyFont="1" applyAlignment="1">
      <alignment horizontal="center"/>
    </xf>
    <xf numFmtId="164" fontId="4" fillId="0" borderId="0" xfId="0" applyNumberFormat="1" applyFont="1" applyAlignment="1">
      <alignment horizontal="center"/>
    </xf>
    <xf numFmtId="165" fontId="4" fillId="0" borderId="0" xfId="0" applyNumberFormat="1" applyFont="1"/>
    <xf numFmtId="164" fontId="4" fillId="0" borderId="0" xfId="0" applyNumberFormat="1" applyFont="1"/>
    <xf numFmtId="165" fontId="3" fillId="0" borderId="40" xfId="7" applyNumberFormat="1" applyFont="1" applyBorder="1" applyAlignment="1" applyProtection="1">
      <alignment horizontal="centerContinuous"/>
      <protection hidden="1"/>
    </xf>
    <xf numFmtId="165" fontId="3" fillId="0" borderId="42" xfId="7" applyNumberFormat="1" applyFont="1" applyBorder="1" applyAlignment="1" applyProtection="1">
      <alignment horizontal="centerContinuous"/>
      <protection hidden="1"/>
    </xf>
    <xf numFmtId="165" fontId="14" fillId="2" borderId="40" xfId="0" applyNumberFormat="1" applyFont="1" applyFill="1" applyBorder="1" applyAlignment="1" applyProtection="1">
      <alignment horizontal="centerContinuous"/>
      <protection locked="0"/>
    </xf>
    <xf numFmtId="1" fontId="6" fillId="0" borderId="40" xfId="0" applyNumberFormat="1" applyFont="1" applyBorder="1" applyAlignment="1" applyProtection="1">
      <alignment horizontal="center"/>
      <protection hidden="1"/>
    </xf>
    <xf numFmtId="165" fontId="6" fillId="0" borderId="40" xfId="0" applyNumberFormat="1" applyFont="1" applyBorder="1" applyAlignment="1" applyProtection="1">
      <alignment horizontal="center"/>
      <protection hidden="1"/>
    </xf>
    <xf numFmtId="1" fontId="6" fillId="0" borderId="24" xfId="0" applyNumberFormat="1" applyFont="1" applyBorder="1" applyAlignment="1" applyProtection="1">
      <alignment horizontal="center"/>
      <protection hidden="1"/>
    </xf>
    <xf numFmtId="2" fontId="6" fillId="0" borderId="10" xfId="0" applyNumberFormat="1" applyFont="1" applyBorder="1" applyAlignment="1" applyProtection="1">
      <alignment horizontal="center"/>
      <protection hidden="1"/>
    </xf>
    <xf numFmtId="0" fontId="14" fillId="0" borderId="44" xfId="0" applyFont="1" applyBorder="1" applyAlignment="1" applyProtection="1">
      <alignment horizontal="centerContinuous"/>
      <protection hidden="1"/>
    </xf>
    <xf numFmtId="0" fontId="4" fillId="0" borderId="0" xfId="0" applyFont="1" applyAlignment="1">
      <alignment horizontal="right"/>
    </xf>
    <xf numFmtId="1" fontId="14" fillId="0" borderId="0" xfId="0" applyNumberFormat="1" applyFont="1" applyProtection="1">
      <protection hidden="1"/>
    </xf>
    <xf numFmtId="0" fontId="11" fillId="0" borderId="1" xfId="0" applyFont="1" applyBorder="1" applyProtection="1">
      <protection hidden="1"/>
    </xf>
    <xf numFmtId="0" fontId="9" fillId="0" borderId="57" xfId="5" applyFont="1" applyBorder="1" applyAlignment="1" applyProtection="1">
      <alignment horizontal="center"/>
      <protection hidden="1"/>
    </xf>
    <xf numFmtId="0" fontId="9" fillId="0" borderId="3" xfId="5" applyFont="1" applyBorder="1" applyAlignment="1" applyProtection="1">
      <alignment horizontal="center"/>
      <protection hidden="1"/>
    </xf>
    <xf numFmtId="0" fontId="6" fillId="0" borderId="22" xfId="0" applyFont="1" applyBorder="1" applyProtection="1">
      <protection hidden="1"/>
    </xf>
    <xf numFmtId="0" fontId="6" fillId="0" borderId="56" xfId="0" applyFont="1" applyBorder="1" applyProtection="1">
      <protection hidden="1"/>
    </xf>
    <xf numFmtId="0" fontId="0" fillId="0" borderId="0" xfId="0" applyProtection="1">
      <protection hidden="1"/>
    </xf>
    <xf numFmtId="0" fontId="4" fillId="0" borderId="0" xfId="0" applyFont="1" applyAlignment="1" applyProtection="1">
      <alignment horizontal="center" vertical="center"/>
      <protection hidden="1"/>
    </xf>
    <xf numFmtId="0" fontId="4" fillId="0" borderId="5" xfId="0" applyFont="1" applyBorder="1" applyAlignment="1" applyProtection="1">
      <alignment horizontal="left" vertical="center"/>
      <protection hidden="1"/>
    </xf>
    <xf numFmtId="0" fontId="4" fillId="0" borderId="5" xfId="0" applyFont="1" applyBorder="1" applyAlignment="1" applyProtection="1">
      <alignment horizontal="centerContinuous" vertical="center"/>
      <protection hidden="1"/>
    </xf>
    <xf numFmtId="0" fontId="4" fillId="0" borderId="0" xfId="5" applyFont="1" applyAlignment="1" applyProtection="1">
      <alignment horizontal="center" vertical="center"/>
      <protection hidden="1"/>
    </xf>
    <xf numFmtId="0" fontId="4" fillId="0" borderId="0" xfId="0" applyFont="1" applyAlignment="1" applyProtection="1">
      <alignment vertical="center"/>
      <protection hidden="1"/>
    </xf>
    <xf numFmtId="0" fontId="4" fillId="0" borderId="1" xfId="0" applyFont="1" applyBorder="1" applyAlignment="1" applyProtection="1">
      <alignment horizontal="centerContinuous" vertical="center"/>
      <protection hidden="1"/>
    </xf>
    <xf numFmtId="0" fontId="4" fillId="0" borderId="2" xfId="0" applyFont="1" applyBorder="1" applyAlignment="1" applyProtection="1">
      <alignment horizontal="centerContinuous" vertical="center"/>
      <protection hidden="1"/>
    </xf>
    <xf numFmtId="0" fontId="4" fillId="0" borderId="8" xfId="7" applyFont="1" applyBorder="1" applyAlignment="1" applyProtection="1">
      <alignment horizontal="centerContinuous" vertical="center"/>
      <protection hidden="1"/>
    </xf>
    <xf numFmtId="0" fontId="4" fillId="0" borderId="9" xfId="7" applyFont="1" applyBorder="1" applyAlignment="1" applyProtection="1">
      <alignment horizontal="centerContinuous" vertical="center"/>
      <protection hidden="1"/>
    </xf>
    <xf numFmtId="0" fontId="4" fillId="0" borderId="5" xfId="0" applyFont="1" applyBorder="1" applyAlignment="1" applyProtection="1">
      <alignment vertical="center"/>
      <protection hidden="1"/>
    </xf>
    <xf numFmtId="0" fontId="4" fillId="0" borderId="7" xfId="0" applyFont="1" applyBorder="1" applyAlignment="1" applyProtection="1">
      <alignment horizontal="centerContinuous" vertical="center"/>
      <protection hidden="1"/>
    </xf>
    <xf numFmtId="0" fontId="4" fillId="0" borderId="19" xfId="0" applyFont="1" applyBorder="1" applyAlignment="1" applyProtection="1">
      <alignment horizontal="centerContinuous" vertical="center"/>
      <protection hidden="1"/>
    </xf>
    <xf numFmtId="0" fontId="4" fillId="0" borderId="4" xfId="0" applyFont="1" applyBorder="1" applyAlignment="1" applyProtection="1">
      <alignment horizontal="centerContinuous" vertical="center"/>
      <protection hidden="1"/>
    </xf>
    <xf numFmtId="0" fontId="4" fillId="0" borderId="32" xfId="1" applyFont="1" applyBorder="1" applyAlignment="1" applyProtection="1">
      <alignment horizontal="centerContinuous" vertical="center"/>
      <protection hidden="1"/>
    </xf>
    <xf numFmtId="0" fontId="4" fillId="0" borderId="8" xfId="0" applyFont="1" applyBorder="1" applyAlignment="1" applyProtection="1">
      <alignment horizontal="centerContinuous" vertical="center"/>
      <protection hidden="1"/>
    </xf>
    <xf numFmtId="0" fontId="4" fillId="0" borderId="3" xfId="7" applyFont="1" applyBorder="1" applyAlignment="1" applyProtection="1">
      <alignment horizontal="centerContinuous" vertical="center"/>
      <protection hidden="1"/>
    </xf>
    <xf numFmtId="0" fontId="4" fillId="0" borderId="25" xfId="0" applyFont="1" applyBorder="1" applyAlignment="1" applyProtection="1">
      <alignment horizontal="centerContinuous" vertical="center"/>
      <protection hidden="1"/>
    </xf>
    <xf numFmtId="0" fontId="4" fillId="0" borderId="0" xfId="0" applyFont="1" applyAlignment="1" applyProtection="1">
      <alignment horizontal="centerContinuous" vertical="center"/>
      <protection hidden="1"/>
    </xf>
    <xf numFmtId="164" fontId="4" fillId="0" borderId="10" xfId="0" applyNumberFormat="1" applyFont="1" applyBorder="1" applyAlignment="1" applyProtection="1">
      <alignment horizontal="center" vertical="center"/>
      <protection hidden="1"/>
    </xf>
    <xf numFmtId="0" fontId="4" fillId="0" borderId="58" xfId="7" applyFont="1" applyBorder="1" applyAlignment="1" applyProtection="1">
      <alignment horizontal="center" vertical="center"/>
      <protection hidden="1"/>
    </xf>
    <xf numFmtId="0" fontId="4" fillId="0" borderId="59" xfId="7" applyFont="1" applyBorder="1" applyAlignment="1" applyProtection="1">
      <alignment horizontal="center" vertical="center"/>
      <protection hidden="1"/>
    </xf>
    <xf numFmtId="0" fontId="4" fillId="0" borderId="60" xfId="7" applyFont="1" applyBorder="1" applyAlignment="1" applyProtection="1">
      <alignment vertical="center"/>
      <protection hidden="1"/>
    </xf>
    <xf numFmtId="0" fontId="4" fillId="0" borderId="60" xfId="7" applyFont="1" applyBorder="1" applyAlignment="1" applyProtection="1">
      <alignment horizontal="center" vertical="center"/>
      <protection hidden="1"/>
    </xf>
    <xf numFmtId="0" fontId="4" fillId="0" borderId="61" xfId="7" applyFont="1" applyBorder="1" applyAlignment="1" applyProtection="1">
      <alignment horizontal="center" vertical="center"/>
      <protection hidden="1"/>
    </xf>
    <xf numFmtId="165" fontId="4" fillId="0" borderId="59" xfId="7" applyNumberFormat="1" applyFont="1" applyBorder="1" applyAlignment="1" applyProtection="1">
      <alignment horizontal="center" vertical="center"/>
      <protection hidden="1"/>
    </xf>
    <xf numFmtId="0" fontId="4" fillId="0" borderId="33" xfId="7" applyFont="1" applyBorder="1" applyAlignment="1" applyProtection="1">
      <alignment horizontal="center" vertical="center"/>
      <protection hidden="1"/>
    </xf>
    <xf numFmtId="0" fontId="4" fillId="0" borderId="46" xfId="7" applyFont="1" applyBorder="1" applyAlignment="1" applyProtection="1">
      <alignment horizontal="center" vertical="center"/>
      <protection hidden="1"/>
    </xf>
    <xf numFmtId="0" fontId="4" fillId="0" borderId="42" xfId="7" applyFont="1" applyBorder="1" applyAlignment="1" applyProtection="1">
      <alignment horizontal="center" vertical="center"/>
      <protection hidden="1"/>
    </xf>
    <xf numFmtId="0" fontId="4" fillId="0" borderId="42" xfId="7" quotePrefix="1" applyFont="1" applyBorder="1" applyAlignment="1" applyProtection="1">
      <alignment horizontal="center" vertical="center"/>
      <protection hidden="1"/>
    </xf>
    <xf numFmtId="0" fontId="4" fillId="0" borderId="52" xfId="7" applyFont="1" applyBorder="1" applyAlignment="1" applyProtection="1">
      <alignment horizontal="center" vertical="center"/>
      <protection hidden="1"/>
    </xf>
    <xf numFmtId="0" fontId="4" fillId="0" borderId="40" xfId="7" applyFont="1" applyBorder="1" applyAlignment="1" applyProtection="1">
      <alignment horizontal="center" vertical="center"/>
      <protection hidden="1"/>
    </xf>
    <xf numFmtId="168" fontId="4" fillId="0" borderId="40" xfId="7" applyNumberFormat="1" applyFont="1" applyBorder="1" applyAlignment="1" applyProtection="1">
      <alignment horizontal="center" vertical="center"/>
      <protection hidden="1"/>
    </xf>
    <xf numFmtId="164" fontId="4" fillId="0" borderId="40" xfId="7" applyNumberFormat="1" applyFont="1" applyBorder="1" applyAlignment="1" applyProtection="1">
      <alignment horizontal="center" vertical="center"/>
      <protection hidden="1"/>
    </xf>
    <xf numFmtId="171" fontId="4" fillId="0" borderId="40" xfId="7" applyNumberFormat="1" applyFont="1" applyBorder="1" applyAlignment="1" applyProtection="1">
      <alignment horizontal="center" vertical="center"/>
      <protection hidden="1"/>
    </xf>
    <xf numFmtId="165" fontId="4" fillId="0" borderId="40" xfId="7" applyNumberFormat="1" applyFont="1" applyBorder="1" applyAlignment="1" applyProtection="1">
      <alignment horizontal="center" vertical="center"/>
      <protection hidden="1"/>
    </xf>
    <xf numFmtId="0" fontId="4" fillId="0" borderId="40" xfId="7" applyFont="1" applyBorder="1" applyAlignment="1" applyProtection="1">
      <alignment vertical="center"/>
      <protection hidden="1"/>
    </xf>
    <xf numFmtId="0" fontId="4" fillId="0" borderId="61" xfId="0" applyFont="1" applyBorder="1" applyAlignment="1" applyProtection="1">
      <alignment vertical="center"/>
      <protection hidden="1"/>
    </xf>
    <xf numFmtId="0" fontId="4" fillId="0" borderId="35" xfId="7" applyFont="1" applyBorder="1" applyAlignment="1" applyProtection="1">
      <alignment horizontal="center" vertical="center"/>
      <protection hidden="1"/>
    </xf>
    <xf numFmtId="168" fontId="4" fillId="0" borderId="42" xfId="7" applyNumberFormat="1" applyFont="1" applyBorder="1" applyAlignment="1" applyProtection="1">
      <alignment horizontal="center" vertical="center"/>
      <protection hidden="1"/>
    </xf>
    <xf numFmtId="164" fontId="4" fillId="0" borderId="42" xfId="7" applyNumberFormat="1" applyFont="1" applyBorder="1" applyAlignment="1" applyProtection="1">
      <alignment horizontal="center" vertical="center"/>
      <protection hidden="1"/>
    </xf>
    <xf numFmtId="171" fontId="4" fillId="0" borderId="42" xfId="7" applyNumberFormat="1" applyFont="1" applyBorder="1" applyAlignment="1" applyProtection="1">
      <alignment horizontal="center" vertical="center"/>
      <protection hidden="1"/>
    </xf>
    <xf numFmtId="165" fontId="4" fillId="0" borderId="42" xfId="7" applyNumberFormat="1" applyFont="1" applyBorder="1" applyAlignment="1" applyProtection="1">
      <alignment horizontal="center" vertical="center"/>
      <protection hidden="1"/>
    </xf>
    <xf numFmtId="0" fontId="4" fillId="0" borderId="42" xfId="7" applyFont="1" applyBorder="1" applyAlignment="1" applyProtection="1">
      <alignment vertical="center"/>
      <protection hidden="1"/>
    </xf>
    <xf numFmtId="0" fontId="4" fillId="0" borderId="42" xfId="0" applyFont="1" applyBorder="1" applyAlignment="1" applyProtection="1">
      <alignment vertical="center"/>
      <protection hidden="1"/>
    </xf>
    <xf numFmtId="167" fontId="4" fillId="0" borderId="42" xfId="7" applyNumberFormat="1" applyFont="1" applyBorder="1" applyAlignment="1" applyProtection="1">
      <alignment horizontal="center" vertical="center"/>
      <protection hidden="1"/>
    </xf>
    <xf numFmtId="2" fontId="4" fillId="0" borderId="42" xfId="7" applyNumberFormat="1" applyFont="1" applyBorder="1" applyAlignment="1" applyProtection="1">
      <alignment horizontal="center" vertical="center"/>
      <protection hidden="1"/>
    </xf>
    <xf numFmtId="165" fontId="4" fillId="0" borderId="42" xfId="0" applyNumberFormat="1" applyFont="1" applyBorder="1" applyAlignment="1" applyProtection="1">
      <alignment horizontal="center" vertical="center"/>
      <protection hidden="1"/>
    </xf>
    <xf numFmtId="0" fontId="4" fillId="0" borderId="10" xfId="0" applyFont="1" applyBorder="1" applyAlignment="1" applyProtection="1">
      <alignment horizontal="centerContinuous" vertical="center"/>
      <protection hidden="1"/>
    </xf>
    <xf numFmtId="0" fontId="4" fillId="0" borderId="9" xfId="0" applyFont="1" applyBorder="1" applyAlignment="1" applyProtection="1">
      <alignment horizontal="centerContinuous" vertical="center"/>
      <protection hidden="1"/>
    </xf>
    <xf numFmtId="0" fontId="4" fillId="0" borderId="33" xfId="0" applyFont="1" applyBorder="1" applyAlignment="1" applyProtection="1">
      <alignment horizontal="centerContinuous" vertical="center"/>
      <protection hidden="1"/>
    </xf>
    <xf numFmtId="0" fontId="4" fillId="0" borderId="3" xfId="0" applyFont="1" applyBorder="1" applyAlignment="1" applyProtection="1">
      <alignment horizontal="centerContinuous" vertical="center"/>
      <protection hidden="1"/>
    </xf>
    <xf numFmtId="0" fontId="4" fillId="0" borderId="1" xfId="5" applyFont="1" applyBorder="1" applyAlignment="1" applyProtection="1">
      <alignment horizontal="centerContinuous" vertical="center"/>
      <protection hidden="1"/>
    </xf>
    <xf numFmtId="0" fontId="4" fillId="0" borderId="2" xfId="5" applyFont="1" applyBorder="1" applyAlignment="1" applyProtection="1">
      <alignment horizontal="centerContinuous" vertical="center"/>
      <protection hidden="1"/>
    </xf>
    <xf numFmtId="0" fontId="4" fillId="0" borderId="3" xfId="5" applyFont="1" applyBorder="1" applyAlignment="1" applyProtection="1">
      <alignment horizontal="centerContinuous" vertical="center"/>
      <protection hidden="1"/>
    </xf>
    <xf numFmtId="0" fontId="4" fillId="0" borderId="7" xfId="0" applyFont="1" applyBorder="1" applyAlignment="1" applyProtection="1">
      <alignment vertical="center"/>
      <protection hidden="1"/>
    </xf>
    <xf numFmtId="0" fontId="4" fillId="0" borderId="20" xfId="0" applyFont="1" applyBorder="1" applyAlignment="1" applyProtection="1">
      <alignment vertical="center"/>
      <protection hidden="1"/>
    </xf>
    <xf numFmtId="0" fontId="4" fillId="0" borderId="46" xfId="0" applyFont="1" applyBorder="1" applyAlignment="1" applyProtection="1">
      <alignment horizontal="center" vertical="center"/>
      <protection hidden="1"/>
    </xf>
    <xf numFmtId="0" fontId="4" fillId="0" borderId="42" xfId="0" applyFont="1" applyBorder="1" applyAlignment="1" applyProtection="1">
      <alignment horizontal="center" vertical="center"/>
      <protection hidden="1"/>
    </xf>
    <xf numFmtId="0" fontId="4" fillId="0" borderId="20" xfId="0" applyFont="1" applyBorder="1" applyAlignment="1" applyProtection="1">
      <alignment horizontal="center" vertical="center"/>
      <protection hidden="1"/>
    </xf>
    <xf numFmtId="0" fontId="4" fillId="0" borderId="20" xfId="0" applyFont="1" applyBorder="1" applyAlignment="1" applyProtection="1">
      <alignment horizontal="centerContinuous" vertical="center"/>
      <protection hidden="1"/>
    </xf>
    <xf numFmtId="0" fontId="4" fillId="0" borderId="7" xfId="5" applyFont="1" applyBorder="1" applyAlignment="1" applyProtection="1">
      <alignment horizontal="center" vertical="center"/>
      <protection hidden="1"/>
    </xf>
    <xf numFmtId="0" fontId="4" fillId="0" borderId="19" xfId="5" applyFont="1" applyBorder="1" applyAlignment="1" applyProtection="1">
      <alignment horizontal="center" vertical="center"/>
      <protection hidden="1"/>
    </xf>
    <xf numFmtId="0" fontId="4" fillId="0" borderId="20" xfId="5" applyFont="1" applyBorder="1" applyAlignment="1" applyProtection="1">
      <alignment horizontal="center" vertical="center"/>
      <protection hidden="1"/>
    </xf>
    <xf numFmtId="0" fontId="4" fillId="0" borderId="24" xfId="0" applyFont="1" applyBorder="1" applyAlignment="1" applyProtection="1">
      <alignment horizontal="centerContinuous" vertical="center"/>
      <protection hidden="1"/>
    </xf>
    <xf numFmtId="0" fontId="4" fillId="0" borderId="24" xfId="1" applyFont="1" applyBorder="1" applyAlignment="1" applyProtection="1">
      <alignment horizontal="centerContinuous" vertical="center"/>
      <protection hidden="1"/>
    </xf>
    <xf numFmtId="0" fontId="4" fillId="0" borderId="46" xfId="0" quotePrefix="1" applyFont="1" applyBorder="1" applyAlignment="1" applyProtection="1">
      <alignment horizontal="center" vertical="center"/>
      <protection hidden="1"/>
    </xf>
    <xf numFmtId="0" fontId="4" fillId="0" borderId="25" xfId="1" applyFont="1" applyBorder="1" applyAlignment="1" applyProtection="1">
      <alignment horizontal="centerContinuous" vertical="center"/>
      <protection hidden="1"/>
    </xf>
    <xf numFmtId="165" fontId="4" fillId="0" borderId="24" xfId="1" applyNumberFormat="1" applyFont="1" applyBorder="1" applyAlignment="1" applyProtection="1">
      <alignment horizontal="centerContinuous" vertical="center"/>
      <protection hidden="1"/>
    </xf>
    <xf numFmtId="165" fontId="4" fillId="0" borderId="40" xfId="1" applyNumberFormat="1" applyFont="1" applyBorder="1" applyAlignment="1" applyProtection="1">
      <alignment horizontal="center" vertical="center"/>
      <protection hidden="1"/>
    </xf>
    <xf numFmtId="165" fontId="4" fillId="0" borderId="39" xfId="1" applyNumberFormat="1" applyFont="1" applyBorder="1" applyAlignment="1" applyProtection="1">
      <alignment horizontal="center" vertical="center"/>
      <protection hidden="1"/>
    </xf>
    <xf numFmtId="0" fontId="4" fillId="0" borderId="7" xfId="1" applyFont="1" applyBorder="1" applyAlignment="1" applyProtection="1">
      <alignment horizontal="centerContinuous" vertical="center"/>
      <protection hidden="1"/>
    </xf>
    <xf numFmtId="165" fontId="4" fillId="0" borderId="20" xfId="5" applyNumberFormat="1" applyFont="1" applyBorder="1" applyAlignment="1" applyProtection="1">
      <alignment horizontal="centerContinuous" vertical="center"/>
      <protection hidden="1"/>
    </xf>
    <xf numFmtId="164" fontId="4" fillId="0" borderId="35" xfId="1" applyNumberFormat="1" applyFont="1" applyBorder="1" applyAlignment="1" applyProtection="1">
      <alignment horizontal="center" vertical="center"/>
      <protection hidden="1"/>
    </xf>
    <xf numFmtId="164" fontId="4" fillId="0" borderId="38" xfId="1" applyNumberFormat="1" applyFont="1" applyBorder="1" applyAlignment="1" applyProtection="1">
      <alignment horizontal="center" vertical="center"/>
      <protection hidden="1"/>
    </xf>
    <xf numFmtId="165" fontId="4" fillId="0" borderId="0" xfId="5" applyNumberFormat="1" applyFont="1" applyAlignment="1" applyProtection="1">
      <alignment horizontal="center" vertical="center"/>
      <protection hidden="1"/>
    </xf>
    <xf numFmtId="164" fontId="4" fillId="0" borderId="10" xfId="5" applyNumberFormat="1" applyFont="1" applyBorder="1" applyAlignment="1" applyProtection="1">
      <alignment horizontal="center" vertical="center"/>
      <protection hidden="1"/>
    </xf>
    <xf numFmtId="165" fontId="4" fillId="0" borderId="25" xfId="5" applyNumberFormat="1" applyFont="1" applyBorder="1" applyAlignment="1" applyProtection="1">
      <alignment horizontal="center" vertical="center"/>
      <protection hidden="1"/>
    </xf>
    <xf numFmtId="164" fontId="4" fillId="0" borderId="62" xfId="0" applyNumberFormat="1" applyFont="1" applyBorder="1" applyAlignment="1" applyProtection="1">
      <alignment horizontal="center" vertical="center"/>
      <protection hidden="1"/>
    </xf>
    <xf numFmtId="0" fontId="4" fillId="0" borderId="0" xfId="5" applyFont="1" applyAlignment="1" applyProtection="1">
      <alignment horizontal="centerContinuous" vertical="center"/>
      <protection hidden="1"/>
    </xf>
    <xf numFmtId="0" fontId="4" fillId="0" borderId="5" xfId="0" applyFont="1" applyBorder="1" applyAlignment="1" applyProtection="1">
      <alignment horizontal="center" vertical="center"/>
      <protection hidden="1"/>
    </xf>
    <xf numFmtId="0" fontId="4" fillId="0" borderId="5" xfId="5" applyFont="1" applyBorder="1" applyAlignment="1" applyProtection="1">
      <alignment horizontal="center" vertical="center"/>
      <protection hidden="1"/>
    </xf>
    <xf numFmtId="0" fontId="4" fillId="0" borderId="1" xfId="0" applyFont="1" applyBorder="1" applyAlignment="1" applyProtection="1">
      <alignment vertical="center"/>
      <protection hidden="1"/>
    </xf>
    <xf numFmtId="0" fontId="4" fillId="0" borderId="3" xfId="0" applyFont="1" applyBorder="1" applyAlignment="1" applyProtection="1">
      <alignment vertical="center"/>
      <protection hidden="1"/>
    </xf>
    <xf numFmtId="0" fontId="4" fillId="0" borderId="36" xfId="0" applyFont="1" applyBorder="1" applyAlignment="1" applyProtection="1">
      <alignment horizontal="center" vertical="center"/>
      <protection hidden="1"/>
    </xf>
    <xf numFmtId="0" fontId="4" fillId="0" borderId="10" xfId="0" applyFont="1" applyBorder="1" applyAlignment="1" applyProtection="1">
      <alignment horizontal="center" vertical="center"/>
      <protection hidden="1"/>
    </xf>
    <xf numFmtId="0" fontId="4" fillId="0" borderId="8" xfId="4" applyFont="1" applyBorder="1" applyAlignment="1" applyProtection="1">
      <alignment vertical="center"/>
      <protection hidden="1"/>
    </xf>
    <xf numFmtId="0" fontId="4" fillId="0" borderId="9" xfId="4" applyFont="1" applyBorder="1" applyAlignment="1" applyProtection="1">
      <alignment vertical="center"/>
      <protection hidden="1"/>
    </xf>
    <xf numFmtId="0" fontId="4" fillId="0" borderId="33" xfId="4" applyFont="1" applyBorder="1" applyAlignment="1" applyProtection="1">
      <alignment vertical="center"/>
      <protection hidden="1"/>
    </xf>
    <xf numFmtId="0" fontId="4" fillId="0" borderId="6" xfId="0" applyFont="1" applyBorder="1" applyAlignment="1" applyProtection="1">
      <alignment vertical="center"/>
      <protection hidden="1"/>
    </xf>
    <xf numFmtId="165" fontId="4" fillId="0" borderId="34" xfId="1" applyNumberFormat="1" applyFont="1" applyBorder="1" applyAlignment="1" applyProtection="1">
      <alignment horizontal="center" vertical="center"/>
      <protection hidden="1"/>
    </xf>
    <xf numFmtId="0" fontId="4" fillId="0" borderId="6" xfId="4" applyFont="1" applyBorder="1" applyAlignment="1" applyProtection="1">
      <alignment vertical="center"/>
      <protection hidden="1"/>
    </xf>
    <xf numFmtId="0" fontId="4" fillId="0" borderId="0" xfId="4" applyFont="1" applyAlignment="1" applyProtection="1">
      <alignment vertical="center"/>
      <protection hidden="1"/>
    </xf>
    <xf numFmtId="0" fontId="4" fillId="0" borderId="6" xfId="4" applyFont="1" applyBorder="1" applyAlignment="1" applyProtection="1">
      <alignment horizontal="left" vertical="center"/>
      <protection hidden="1"/>
    </xf>
    <xf numFmtId="0" fontId="4" fillId="0" borderId="29" xfId="0" applyFont="1" applyBorder="1" applyAlignment="1" applyProtection="1">
      <alignment vertical="center"/>
      <protection hidden="1"/>
    </xf>
    <xf numFmtId="0" fontId="4" fillId="0" borderId="30" xfId="0" applyFont="1" applyBorder="1" applyAlignment="1" applyProtection="1">
      <alignment vertical="center"/>
      <protection hidden="1"/>
    </xf>
    <xf numFmtId="165" fontId="4" fillId="0" borderId="20" xfId="0" applyNumberFormat="1" applyFont="1" applyBorder="1" applyAlignment="1" applyProtection="1">
      <alignment horizontal="center" vertical="center"/>
      <protection hidden="1"/>
    </xf>
    <xf numFmtId="0" fontId="4" fillId="0" borderId="0" xfId="7" applyFont="1" applyAlignment="1" applyProtection="1">
      <alignment horizontal="center" vertical="center"/>
      <protection hidden="1"/>
    </xf>
    <xf numFmtId="165" fontId="4" fillId="0" borderId="0" xfId="7" applyNumberFormat="1" applyFont="1" applyAlignment="1" applyProtection="1">
      <alignment horizontal="center" vertical="center"/>
      <protection hidden="1"/>
    </xf>
    <xf numFmtId="0" fontId="4" fillId="0" borderId="0" xfId="7" applyFont="1" applyAlignment="1" applyProtection="1">
      <alignment vertical="center"/>
      <protection hidden="1"/>
    </xf>
    <xf numFmtId="168" fontId="4" fillId="0" borderId="0" xfId="7" applyNumberFormat="1" applyFont="1" applyAlignment="1" applyProtection="1">
      <alignment horizontal="center" vertical="center"/>
      <protection hidden="1"/>
    </xf>
    <xf numFmtId="167" fontId="4" fillId="0" borderId="0" xfId="7" applyNumberFormat="1" applyFont="1" applyAlignment="1" applyProtection="1">
      <alignment horizontal="center" vertical="center"/>
      <protection hidden="1"/>
    </xf>
    <xf numFmtId="164" fontId="4" fillId="0" borderId="0" xfId="7" applyNumberFormat="1" applyFont="1" applyAlignment="1" applyProtection="1">
      <alignment horizontal="center" vertical="center"/>
      <protection hidden="1"/>
    </xf>
    <xf numFmtId="1" fontId="4" fillId="0" borderId="0" xfId="7" applyNumberFormat="1" applyFont="1" applyAlignment="1" applyProtection="1">
      <alignment horizontal="center" vertical="center"/>
      <protection hidden="1"/>
    </xf>
    <xf numFmtId="165" fontId="4" fillId="0" borderId="0" xfId="0" applyNumberFormat="1" applyFont="1" applyAlignment="1" applyProtection="1">
      <alignment horizontal="center" vertical="center"/>
      <protection hidden="1"/>
    </xf>
    <xf numFmtId="165" fontId="4" fillId="0" borderId="0" xfId="0" applyNumberFormat="1" applyFont="1" applyAlignment="1" applyProtection="1">
      <alignment horizontal="centerContinuous" vertical="center"/>
      <protection hidden="1"/>
    </xf>
    <xf numFmtId="0" fontId="20" fillId="0" borderId="2" xfId="5" applyFont="1" applyBorder="1" applyAlignment="1" applyProtection="1">
      <alignment horizontal="center"/>
      <protection hidden="1"/>
    </xf>
    <xf numFmtId="0" fontId="4" fillId="0" borderId="47" xfId="7" applyFont="1" applyBorder="1" applyAlignment="1" applyProtection="1">
      <alignment horizontal="centerContinuous" vertical="center"/>
      <protection hidden="1"/>
    </xf>
    <xf numFmtId="0" fontId="4" fillId="0" borderId="57" xfId="7" applyFont="1" applyBorder="1" applyAlignment="1" applyProtection="1">
      <alignment horizontal="center" vertical="center"/>
      <protection hidden="1"/>
    </xf>
    <xf numFmtId="0" fontId="4" fillId="0" borderId="63" xfId="7" applyFont="1" applyBorder="1" applyAlignment="1" applyProtection="1">
      <alignment horizontal="centerContinuous" vertical="center"/>
      <protection hidden="1"/>
    </xf>
    <xf numFmtId="0" fontId="4" fillId="0" borderId="48" xfId="7" applyFont="1" applyBorder="1" applyAlignment="1" applyProtection="1">
      <alignment horizontal="centerContinuous" vertical="center"/>
      <protection hidden="1"/>
    </xf>
    <xf numFmtId="164" fontId="4" fillId="0" borderId="0" xfId="0" applyNumberFormat="1" applyFont="1" applyAlignment="1" applyProtection="1">
      <alignment horizontal="center" vertical="center"/>
      <protection hidden="1"/>
    </xf>
    <xf numFmtId="0" fontId="23" fillId="0" borderId="0" xfId="5" applyFont="1" applyProtection="1">
      <protection hidden="1"/>
    </xf>
    <xf numFmtId="0" fontId="13" fillId="0" borderId="0" xfId="0" applyFont="1"/>
    <xf numFmtId="0" fontId="4" fillId="0" borderId="39" xfId="4" applyFont="1" applyBorder="1" applyAlignment="1" applyProtection="1">
      <alignment horizontal="right"/>
      <protection hidden="1"/>
    </xf>
    <xf numFmtId="0" fontId="4" fillId="0" borderId="0" xfId="7" quotePrefix="1" applyFont="1" applyAlignment="1" applyProtection="1">
      <alignment horizontal="center" vertical="center"/>
      <protection hidden="1"/>
    </xf>
    <xf numFmtId="0" fontId="4" fillId="0" borderId="20" xfId="7" applyFont="1" applyBorder="1" applyAlignment="1" applyProtection="1">
      <alignment horizontal="center" vertical="center"/>
      <protection hidden="1"/>
    </xf>
    <xf numFmtId="165" fontId="4" fillId="0" borderId="49" xfId="7" applyNumberFormat="1" applyFont="1" applyBorder="1" applyAlignment="1" applyProtection="1">
      <alignment horizontal="center" vertical="center"/>
      <protection hidden="1"/>
    </xf>
    <xf numFmtId="165" fontId="4" fillId="0" borderId="20" xfId="7" applyNumberFormat="1" applyFont="1" applyBorder="1" applyAlignment="1" applyProtection="1">
      <alignment horizontal="center" vertical="center"/>
      <protection hidden="1"/>
    </xf>
    <xf numFmtId="0" fontId="0" fillId="0" borderId="0" xfId="0" applyAlignment="1">
      <alignment horizontal="right"/>
    </xf>
    <xf numFmtId="0" fontId="1" fillId="0" borderId="0" xfId="0" applyFont="1"/>
    <xf numFmtId="0" fontId="4" fillId="0" borderId="1" xfId="4" applyFont="1" applyBorder="1" applyAlignment="1" applyProtection="1">
      <alignment horizontal="centerContinuous" vertical="center"/>
      <protection hidden="1"/>
    </xf>
    <xf numFmtId="0" fontId="4" fillId="0" borderId="2" xfId="4" applyFont="1" applyBorder="1" applyAlignment="1" applyProtection="1">
      <alignment horizontal="centerContinuous" vertical="center"/>
      <protection hidden="1"/>
    </xf>
    <xf numFmtId="1" fontId="4" fillId="0" borderId="3" xfId="4" applyNumberFormat="1" applyFont="1" applyBorder="1" applyAlignment="1" applyProtection="1">
      <alignment horizontal="centerContinuous" vertical="center"/>
      <protection hidden="1"/>
    </xf>
    <xf numFmtId="0" fontId="4" fillId="0" borderId="3" xfId="4" applyFont="1" applyBorder="1" applyAlignment="1" applyProtection="1">
      <alignment horizontal="centerContinuous" vertical="center"/>
      <protection hidden="1"/>
    </xf>
    <xf numFmtId="0" fontId="4" fillId="0" borderId="17" xfId="4" applyFont="1" applyBorder="1" applyAlignment="1" applyProtection="1">
      <alignment horizontal="centerContinuous" vertical="center"/>
      <protection hidden="1"/>
    </xf>
    <xf numFmtId="0" fontId="4" fillId="0" borderId="37" xfId="4" applyFont="1" applyBorder="1" applyAlignment="1" applyProtection="1">
      <alignment horizontal="centerContinuous" vertical="center"/>
      <protection hidden="1"/>
    </xf>
    <xf numFmtId="0" fontId="4" fillId="0" borderId="20" xfId="4" applyFont="1" applyBorder="1" applyAlignment="1" applyProtection="1">
      <alignment horizontal="centerContinuous" vertical="center"/>
      <protection hidden="1"/>
    </xf>
    <xf numFmtId="0" fontId="4" fillId="0" borderId="38" xfId="4" applyFont="1" applyBorder="1" applyAlignment="1" applyProtection="1">
      <alignment horizontal="centerContinuous" vertical="center"/>
      <protection hidden="1"/>
    </xf>
    <xf numFmtId="165" fontId="4" fillId="0" borderId="40" xfId="4" applyNumberFormat="1" applyFont="1" applyBorder="1" applyAlignment="1" applyProtection="1">
      <alignment vertical="center"/>
      <protection hidden="1"/>
    </xf>
    <xf numFmtId="165" fontId="4" fillId="0" borderId="41" xfId="4" applyNumberFormat="1" applyFont="1" applyBorder="1" applyAlignment="1" applyProtection="1">
      <alignment vertical="center"/>
      <protection hidden="1"/>
    </xf>
    <xf numFmtId="0" fontId="4" fillId="3" borderId="43" xfId="4" applyFont="1" applyFill="1" applyBorder="1" applyAlignment="1" applyProtection="1">
      <alignment vertical="center"/>
      <protection hidden="1"/>
    </xf>
    <xf numFmtId="0" fontId="4" fillId="0" borderId="4" xfId="4" applyFont="1" applyBorder="1" applyAlignment="1" applyProtection="1">
      <alignment horizontal="centerContinuous" vertical="center"/>
      <protection hidden="1"/>
    </xf>
    <xf numFmtId="0" fontId="4" fillId="0" borderId="8" xfId="0" applyFont="1" applyBorder="1"/>
    <xf numFmtId="0" fontId="4" fillId="0" borderId="9" xfId="0" applyFont="1" applyBorder="1"/>
    <xf numFmtId="165" fontId="4" fillId="0" borderId="9" xfId="0" applyNumberFormat="1" applyFont="1" applyBorder="1"/>
    <xf numFmtId="165" fontId="4" fillId="0" borderId="33" xfId="0" applyNumberFormat="1" applyFont="1" applyBorder="1"/>
    <xf numFmtId="0" fontId="4" fillId="0" borderId="6" xfId="0" applyFont="1" applyBorder="1" applyAlignment="1">
      <alignment horizontal="center"/>
    </xf>
    <xf numFmtId="0" fontId="4" fillId="0" borderId="17" xfId="0" applyFont="1" applyBorder="1" applyAlignment="1">
      <alignment horizontal="center"/>
    </xf>
    <xf numFmtId="0" fontId="4" fillId="0" borderId="7" xfId="0" applyFont="1" applyBorder="1" applyAlignment="1">
      <alignment horizontal="right" vertical="justify"/>
    </xf>
    <xf numFmtId="165" fontId="4" fillId="0" borderId="4" xfId="0" applyNumberFormat="1" applyFont="1" applyBorder="1" applyAlignment="1">
      <alignment horizontal="right" vertical="justify"/>
    </xf>
    <xf numFmtId="0" fontId="4" fillId="0" borderId="4" xfId="0" applyFont="1" applyBorder="1" applyAlignment="1">
      <alignment horizontal="right" vertical="justify"/>
    </xf>
    <xf numFmtId="0" fontId="4" fillId="0" borderId="4" xfId="0" applyFont="1" applyBorder="1" applyAlignment="1">
      <alignment horizontal="center"/>
    </xf>
    <xf numFmtId="0" fontId="4" fillId="0" borderId="20" xfId="0" applyFont="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Continuous"/>
    </xf>
    <xf numFmtId="0" fontId="4" fillId="0" borderId="2" xfId="0" applyFont="1" applyBorder="1" applyAlignment="1">
      <alignment horizontal="centerContinuous"/>
    </xf>
    <xf numFmtId="0" fontId="4" fillId="0" borderId="2" xfId="5" applyFont="1" applyBorder="1" applyAlignment="1">
      <alignment horizontal="centerContinuous"/>
    </xf>
    <xf numFmtId="0" fontId="4" fillId="0" borderId="3" xfId="0" applyFont="1" applyBorder="1" applyAlignment="1">
      <alignment horizontal="centerContinuous"/>
    </xf>
    <xf numFmtId="0" fontId="4" fillId="0" borderId="6" xfId="0" applyFont="1" applyBorder="1"/>
    <xf numFmtId="165" fontId="4" fillId="0" borderId="17" xfId="0" applyNumberFormat="1" applyFont="1" applyBorder="1" applyAlignment="1">
      <alignment horizontal="center"/>
    </xf>
    <xf numFmtId="0" fontId="4" fillId="0" borderId="7" xfId="0" applyFont="1" applyBorder="1" applyAlignment="1">
      <alignment horizontal="centerContinuous"/>
    </xf>
    <xf numFmtId="0" fontId="4" fillId="0" borderId="4" xfId="0" applyFont="1" applyBorder="1" applyAlignment="1">
      <alignment horizontal="centerContinuous"/>
    </xf>
    <xf numFmtId="0" fontId="4" fillId="0" borderId="33" xfId="0" applyFont="1" applyBorder="1"/>
    <xf numFmtId="0" fontId="4" fillId="0" borderId="17" xfId="0" applyFont="1" applyBorder="1"/>
    <xf numFmtId="0" fontId="14" fillId="0" borderId="6" xfId="4" applyFont="1" applyBorder="1" applyAlignment="1" applyProtection="1">
      <alignment horizontal="right"/>
      <protection hidden="1"/>
    </xf>
    <xf numFmtId="0" fontId="0" fillId="0" borderId="6" xfId="0" applyBorder="1" applyAlignment="1">
      <alignment horizontal="right"/>
    </xf>
    <xf numFmtId="0" fontId="4" fillId="0" borderId="7" xfId="0" applyFont="1" applyBorder="1" applyAlignment="1">
      <alignment horizontal="right"/>
    </xf>
    <xf numFmtId="0" fontId="4" fillId="0" borderId="4" xfId="0" applyFont="1" applyBorder="1"/>
    <xf numFmtId="0" fontId="4" fillId="0" borderId="20" xfId="0" applyFont="1" applyBorder="1"/>
    <xf numFmtId="165" fontId="4" fillId="0" borderId="3" xfId="0" applyNumberFormat="1" applyFont="1" applyBorder="1" applyAlignment="1">
      <alignment horizontal="centerContinuous"/>
    </xf>
    <xf numFmtId="0" fontId="4" fillId="0" borderId="7" xfId="0" applyFont="1" applyBorder="1"/>
    <xf numFmtId="0" fontId="4" fillId="0" borderId="10" xfId="0" applyFont="1" applyBorder="1" applyAlignment="1">
      <alignment horizontal="centerContinuous"/>
    </xf>
    <xf numFmtId="0" fontId="4" fillId="0" borderId="10" xfId="0" applyFont="1" applyBorder="1"/>
    <xf numFmtId="0" fontId="0" fillId="0" borderId="0" xfId="0" applyAlignment="1">
      <alignment horizontal="centerContinuous"/>
    </xf>
    <xf numFmtId="0" fontId="0" fillId="0" borderId="17" xfId="0" applyBorder="1" applyAlignment="1">
      <alignment horizontal="centerContinuous"/>
    </xf>
    <xf numFmtId="0" fontId="4" fillId="0" borderId="9" xfId="0" applyFont="1" applyBorder="1" applyAlignment="1">
      <alignment horizontal="centerContinuous"/>
    </xf>
    <xf numFmtId="0" fontId="0" fillId="0" borderId="9" xfId="0" applyBorder="1" applyAlignment="1">
      <alignment horizontal="centerContinuous"/>
    </xf>
    <xf numFmtId="0" fontId="0" fillId="0" borderId="33" xfId="0" applyBorder="1" applyAlignment="1">
      <alignment horizontal="centerContinuous"/>
    </xf>
    <xf numFmtId="0" fontId="13" fillId="0" borderId="1" xfId="0" applyFont="1" applyBorder="1" applyAlignment="1">
      <alignment horizontal="centerContinuous"/>
    </xf>
    <xf numFmtId="0" fontId="13" fillId="0" borderId="3" xfId="0" applyFont="1" applyBorder="1" applyAlignment="1">
      <alignment horizontal="centerContinuous"/>
    </xf>
    <xf numFmtId="0" fontId="4" fillId="0" borderId="37" xfId="0" applyFont="1" applyBorder="1"/>
    <xf numFmtId="0" fontId="4" fillId="0" borderId="44" xfId="0" applyFont="1" applyBorder="1"/>
    <xf numFmtId="0" fontId="4" fillId="0" borderId="7" xfId="0" applyFont="1" applyBorder="1" applyAlignment="1">
      <alignment horizontal="center"/>
    </xf>
    <xf numFmtId="1" fontId="4" fillId="0" borderId="6" xfId="0" applyNumberFormat="1" applyFont="1" applyBorder="1"/>
    <xf numFmtId="1" fontId="4" fillId="0" borderId="0" xfId="0" applyNumberFormat="1" applyFont="1"/>
    <xf numFmtId="1" fontId="4" fillId="0" borderId="17" xfId="0" applyNumberFormat="1" applyFont="1" applyBorder="1"/>
    <xf numFmtId="165" fontId="4" fillId="0" borderId="17" xfId="0" applyNumberFormat="1" applyFont="1" applyBorder="1"/>
    <xf numFmtId="1" fontId="4" fillId="0" borderId="7" xfId="0" applyNumberFormat="1" applyFont="1" applyBorder="1"/>
    <xf numFmtId="2" fontId="4" fillId="0" borderId="4" xfId="0" applyNumberFormat="1" applyFont="1" applyBorder="1"/>
    <xf numFmtId="1" fontId="4" fillId="0" borderId="4" xfId="0" applyNumberFormat="1" applyFont="1" applyBorder="1"/>
    <xf numFmtId="1" fontId="4" fillId="0" borderId="20" xfId="0" applyNumberFormat="1" applyFont="1" applyBorder="1"/>
    <xf numFmtId="0" fontId="0" fillId="0" borderId="1" xfId="0" applyBorder="1" applyAlignment="1">
      <alignment horizontal="centerContinuous"/>
    </xf>
    <xf numFmtId="0" fontId="0" fillId="0" borderId="2" xfId="0" applyBorder="1" applyAlignment="1">
      <alignment horizontal="centerContinuous"/>
    </xf>
    <xf numFmtId="0" fontId="4" fillId="0" borderId="6" xfId="4" applyFont="1" applyBorder="1"/>
    <xf numFmtId="0" fontId="4" fillId="0" borderId="6" xfId="4" applyFont="1" applyBorder="1" applyAlignment="1">
      <alignment horizontal="left"/>
    </xf>
    <xf numFmtId="0" fontId="4" fillId="0" borderId="7" xfId="4" applyFont="1" applyBorder="1" applyAlignment="1">
      <alignment horizontal="left"/>
    </xf>
    <xf numFmtId="0" fontId="9" fillId="0" borderId="0" xfId="5" applyFont="1" applyAlignment="1" applyProtection="1">
      <alignment horizontal="right"/>
      <protection hidden="1"/>
    </xf>
    <xf numFmtId="0" fontId="4" fillId="0" borderId="39" xfId="4" applyFont="1" applyBorder="1" applyAlignment="1" applyProtection="1">
      <alignment horizontal="right" vertical="center"/>
      <protection hidden="1"/>
    </xf>
    <xf numFmtId="0" fontId="4" fillId="3" borderId="4" xfId="0" applyFont="1" applyFill="1" applyBorder="1" applyAlignment="1" applyProtection="1">
      <alignment vertical="center"/>
      <protection hidden="1"/>
    </xf>
    <xf numFmtId="2" fontId="4" fillId="3" borderId="20" xfId="0" applyNumberFormat="1" applyFont="1" applyFill="1" applyBorder="1" applyAlignment="1" applyProtection="1">
      <alignment horizontal="center" vertical="center"/>
      <protection hidden="1"/>
    </xf>
    <xf numFmtId="0" fontId="14" fillId="2" borderId="40" xfId="0" applyFont="1" applyFill="1" applyBorder="1" applyAlignment="1" applyProtection="1">
      <alignment horizontal="center"/>
      <protection locked="0"/>
    </xf>
    <xf numFmtId="2" fontId="4" fillId="0" borderId="0" xfId="0" applyNumberFormat="1" applyFont="1"/>
    <xf numFmtId="0" fontId="4" fillId="0" borderId="52" xfId="0" applyFont="1" applyBorder="1" applyAlignment="1" applyProtection="1">
      <alignment horizontal="centerContinuous" vertical="center"/>
      <protection hidden="1"/>
    </xf>
    <xf numFmtId="0" fontId="4" fillId="0" borderId="64" xfId="0" applyFont="1" applyBorder="1" applyAlignment="1" applyProtection="1">
      <alignment horizontal="centerContinuous" vertical="center"/>
      <protection hidden="1"/>
    </xf>
    <xf numFmtId="0" fontId="4" fillId="0" borderId="65" xfId="0" applyFont="1" applyBorder="1" applyAlignment="1" applyProtection="1">
      <alignment horizontal="centerContinuous" vertical="center"/>
      <protection hidden="1"/>
    </xf>
    <xf numFmtId="0" fontId="4" fillId="0" borderId="34" xfId="0" applyFont="1" applyBorder="1" applyAlignment="1" applyProtection="1">
      <alignment horizontal="centerContinuous" vertical="center"/>
      <protection hidden="1"/>
    </xf>
    <xf numFmtId="0" fontId="4" fillId="0" borderId="23" xfId="0" applyFont="1" applyBorder="1" applyAlignment="1" applyProtection="1">
      <alignment horizontal="centerContinuous" vertical="center"/>
      <protection hidden="1"/>
    </xf>
    <xf numFmtId="0" fontId="4" fillId="0" borderId="51" xfId="0" applyFont="1" applyBorder="1" applyAlignment="1" applyProtection="1">
      <alignment horizontal="centerContinuous" vertical="center"/>
      <protection hidden="1"/>
    </xf>
    <xf numFmtId="0" fontId="4" fillId="0" borderId="35" xfId="0" applyFont="1" applyBorder="1" applyAlignment="1" applyProtection="1">
      <alignment horizontal="centerContinuous" vertical="center"/>
      <protection hidden="1"/>
    </xf>
    <xf numFmtId="0" fontId="4" fillId="0" borderId="66" xfId="0" applyFont="1" applyBorder="1" applyAlignment="1" applyProtection="1">
      <alignment horizontal="centerContinuous" vertical="center"/>
      <protection hidden="1"/>
    </xf>
    <xf numFmtId="0" fontId="4" fillId="0" borderId="50" xfId="0" applyFont="1" applyBorder="1" applyAlignment="1" applyProtection="1">
      <alignment horizontal="centerContinuous" vertical="center"/>
      <protection hidden="1"/>
    </xf>
    <xf numFmtId="165" fontId="4" fillId="0" borderId="67" xfId="0" applyNumberFormat="1" applyFont="1" applyBorder="1" applyAlignment="1" applyProtection="1">
      <alignment vertical="center"/>
      <protection hidden="1"/>
    </xf>
    <xf numFmtId="0" fontId="4" fillId="0" borderId="10" xfId="0" applyFont="1" applyBorder="1" applyAlignment="1" applyProtection="1">
      <alignment vertical="center"/>
      <protection hidden="1"/>
    </xf>
    <xf numFmtId="0" fontId="0" fillId="0" borderId="8" xfId="0" applyBorder="1"/>
    <xf numFmtId="0" fontId="4" fillId="0" borderId="6" xfId="0" applyFont="1" applyBorder="1" applyAlignment="1" applyProtection="1">
      <alignment horizontal="centerContinuous" vertical="center"/>
      <protection hidden="1"/>
    </xf>
    <xf numFmtId="0" fontId="4" fillId="0" borderId="17" xfId="0" applyFont="1" applyBorder="1" applyAlignment="1" applyProtection="1">
      <alignment horizontal="centerContinuous" vertical="center"/>
      <protection hidden="1"/>
    </xf>
    <xf numFmtId="0" fontId="0" fillId="0" borderId="4" xfId="0" applyBorder="1" applyAlignment="1">
      <alignment horizontal="centerContinuous"/>
    </xf>
    <xf numFmtId="165" fontId="4" fillId="0" borderId="41" xfId="4" applyNumberFormat="1" applyFont="1" applyBorder="1" applyAlignment="1" applyProtection="1">
      <alignment horizontal="right" vertical="center"/>
      <protection hidden="1"/>
    </xf>
    <xf numFmtId="1" fontId="4" fillId="0" borderId="13" xfId="0" applyNumberFormat="1" applyFont="1" applyBorder="1"/>
    <xf numFmtId="1" fontId="4" fillId="0" borderId="18" xfId="0" applyNumberFormat="1" applyFont="1" applyBorder="1"/>
    <xf numFmtId="0" fontId="4" fillId="0" borderId="13" xfId="0" applyFont="1" applyBorder="1"/>
    <xf numFmtId="0" fontId="4" fillId="0" borderId="18" xfId="0" applyFont="1" applyBorder="1"/>
    <xf numFmtId="0" fontId="0" fillId="0" borderId="20" xfId="0" applyBorder="1"/>
    <xf numFmtId="0" fontId="0" fillId="0" borderId="4" xfId="0" applyBorder="1"/>
    <xf numFmtId="0" fontId="4" fillId="0" borderId="60" xfId="0" applyFont="1" applyBorder="1"/>
    <xf numFmtId="0" fontId="4" fillId="0" borderId="49" xfId="0" applyFont="1" applyBorder="1"/>
    <xf numFmtId="0" fontId="0" fillId="0" borderId="9" xfId="0" applyBorder="1"/>
    <xf numFmtId="0" fontId="4" fillId="0" borderId="33" xfId="5" applyFont="1" applyBorder="1"/>
    <xf numFmtId="0" fontId="0" fillId="0" borderId="6" xfId="0" applyBorder="1"/>
    <xf numFmtId="0" fontId="4" fillId="0" borderId="17" xfId="5" applyFont="1" applyBorder="1"/>
    <xf numFmtId="0" fontId="0" fillId="0" borderId="7" xfId="0" applyBorder="1"/>
    <xf numFmtId="0" fontId="4" fillId="0" borderId="20" xfId="5" applyFont="1" applyBorder="1"/>
    <xf numFmtId="0" fontId="4" fillId="0" borderId="1" xfId="5" applyFont="1" applyBorder="1" applyAlignment="1">
      <alignment horizontal="centerContinuous"/>
    </xf>
    <xf numFmtId="2" fontId="4" fillId="0" borderId="10" xfId="0" applyNumberFormat="1" applyFont="1" applyBorder="1" applyAlignment="1" applyProtection="1">
      <alignment horizontal="center" vertical="center"/>
      <protection hidden="1"/>
    </xf>
    <xf numFmtId="0" fontId="14" fillId="0" borderId="5" xfId="0" applyFont="1" applyBorder="1" applyAlignment="1" applyProtection="1">
      <alignment horizontal="left"/>
      <protection hidden="1"/>
    </xf>
    <xf numFmtId="0" fontId="4" fillId="0" borderId="0" xfId="0" applyFont="1" applyAlignment="1" applyProtection="1">
      <alignment horizontal="left" vertical="center"/>
      <protection hidden="1"/>
    </xf>
    <xf numFmtId="0" fontId="14" fillId="0" borderId="7" xfId="0" applyFont="1" applyBorder="1" applyProtection="1">
      <protection hidden="1"/>
    </xf>
    <xf numFmtId="0" fontId="14" fillId="0" borderId="4" xfId="0" applyFont="1" applyBorder="1" applyProtection="1">
      <protection hidden="1"/>
    </xf>
    <xf numFmtId="165" fontId="14" fillId="0" borderId="24" xfId="0" applyNumberFormat="1" applyFont="1" applyBorder="1" applyAlignment="1" applyProtection="1">
      <alignment horizontal="center"/>
      <protection hidden="1"/>
    </xf>
    <xf numFmtId="0" fontId="14" fillId="0" borderId="25" xfId="4" applyFont="1" applyBorder="1" applyProtection="1">
      <protection hidden="1"/>
    </xf>
    <xf numFmtId="165" fontId="4" fillId="0" borderId="24" xfId="4" applyNumberFormat="1" applyFont="1" applyBorder="1" applyAlignment="1" applyProtection="1">
      <alignment horizontal="center" vertical="center"/>
      <protection hidden="1"/>
    </xf>
    <xf numFmtId="165" fontId="4" fillId="0" borderId="0" xfId="0" applyNumberFormat="1" applyFont="1" applyAlignment="1" applyProtection="1">
      <alignment vertical="center"/>
      <protection hidden="1"/>
    </xf>
    <xf numFmtId="165" fontId="14" fillId="0" borderId="24" xfId="4" applyNumberFormat="1" applyFont="1" applyBorder="1" applyAlignment="1" applyProtection="1">
      <alignment horizontal="center"/>
      <protection hidden="1"/>
    </xf>
    <xf numFmtId="2" fontId="4" fillId="0" borderId="0" xfId="0" applyNumberFormat="1" applyFont="1" applyAlignment="1" applyProtection="1">
      <alignment vertical="center"/>
      <protection hidden="1"/>
    </xf>
    <xf numFmtId="164" fontId="4" fillId="0" borderId="67" xfId="1" applyNumberFormat="1" applyFont="1" applyBorder="1" applyAlignment="1" applyProtection="1">
      <alignment horizontal="center" vertical="center"/>
      <protection hidden="1"/>
    </xf>
    <xf numFmtId="0" fontId="4" fillId="0" borderId="19" xfId="7" applyFont="1" applyBorder="1" applyAlignment="1" applyProtection="1">
      <alignment vertical="center"/>
      <protection hidden="1"/>
    </xf>
    <xf numFmtId="165" fontId="14" fillId="2" borderId="17" xfId="4" applyNumberFormat="1" applyFont="1" applyFill="1" applyBorder="1" applyAlignment="1" applyProtection="1">
      <alignment horizontal="center"/>
      <protection locked="0"/>
    </xf>
    <xf numFmtId="0" fontId="21" fillId="0" borderId="4" xfId="0" applyFont="1" applyBorder="1" applyAlignment="1" applyProtection="1">
      <alignment horizontal="center"/>
      <protection hidden="1"/>
    </xf>
    <xf numFmtId="0" fontId="22" fillId="0" borderId="4" xfId="0" applyFont="1" applyBorder="1" applyAlignment="1" applyProtection="1">
      <alignment horizontal="center" vertical="center"/>
      <protection hidden="1"/>
    </xf>
    <xf numFmtId="0" fontId="6" fillId="4" borderId="0" xfId="0" applyFont="1" applyFill="1" applyProtection="1">
      <protection locked="0"/>
    </xf>
    <xf numFmtId="0" fontId="0" fillId="0" borderId="0" xfId="0" applyAlignment="1" applyProtection="1">
      <alignment horizontal="center"/>
      <protection locked="0"/>
    </xf>
    <xf numFmtId="0" fontId="4" fillId="0" borderId="1" xfId="0" applyFont="1" applyBorder="1" applyAlignment="1">
      <alignment horizontal="center"/>
    </xf>
    <xf numFmtId="0" fontId="4" fillId="0" borderId="2" xfId="0" applyFont="1" applyBorder="1"/>
    <xf numFmtId="0" fontId="0" fillId="0" borderId="2" xfId="0" applyBorder="1"/>
    <xf numFmtId="0" fontId="0" fillId="0" borderId="3" xfId="0" applyBorder="1"/>
    <xf numFmtId="0" fontId="4" fillId="0" borderId="68" xfId="0" applyFont="1" applyBorder="1"/>
    <xf numFmtId="172" fontId="14" fillId="2" borderId="3" xfId="4" applyNumberFormat="1" applyFont="1" applyFill="1" applyBorder="1" applyAlignment="1" applyProtection="1">
      <alignment horizontal="center"/>
      <protection locked="0"/>
    </xf>
    <xf numFmtId="165" fontId="14" fillId="0" borderId="69" xfId="1" applyNumberFormat="1" applyFont="1" applyBorder="1" applyAlignment="1" applyProtection="1">
      <alignment horizontal="center"/>
      <protection hidden="1"/>
    </xf>
    <xf numFmtId="165" fontId="14" fillId="2" borderId="39" xfId="5" applyNumberFormat="1" applyFont="1" applyFill="1" applyBorder="1" applyAlignment="1" applyProtection="1">
      <alignment horizontal="center"/>
      <protection locked="0"/>
    </xf>
    <xf numFmtId="164" fontId="14" fillId="0" borderId="67" xfId="1" applyNumberFormat="1" applyFont="1" applyBorder="1" applyAlignment="1" applyProtection="1">
      <alignment horizontal="center"/>
      <protection hidden="1"/>
    </xf>
    <xf numFmtId="2" fontId="14" fillId="0" borderId="42" xfId="4" applyNumberFormat="1" applyFont="1" applyBorder="1" applyProtection="1">
      <protection hidden="1"/>
    </xf>
    <xf numFmtId="2" fontId="4" fillId="0" borderId="20" xfId="0" applyNumberFormat="1" applyFont="1" applyBorder="1"/>
    <xf numFmtId="2" fontId="3" fillId="2" borderId="5" xfId="5" applyNumberFormat="1" applyFill="1" applyBorder="1" applyAlignment="1" applyProtection="1">
      <alignment horizontal="center"/>
      <protection locked="0"/>
    </xf>
    <xf numFmtId="165" fontId="6" fillId="2" borderId="34" xfId="1" applyNumberFormat="1" applyFont="1" applyFill="1" applyBorder="1" applyAlignment="1" applyProtection="1">
      <alignment horizontal="center"/>
      <protection locked="0"/>
    </xf>
    <xf numFmtId="0" fontId="6" fillId="2" borderId="4" xfId="5" applyFont="1" applyFill="1" applyBorder="1" applyAlignment="1" applyProtection="1">
      <alignment horizontal="centerContinuous"/>
      <protection locked="0"/>
    </xf>
    <xf numFmtId="0" fontId="0" fillId="2" borderId="23" xfId="0" applyFill="1" applyBorder="1" applyAlignment="1" applyProtection="1">
      <alignment horizontal="center"/>
      <protection locked="0"/>
    </xf>
    <xf numFmtId="0" fontId="0" fillId="0" borderId="8" xfId="0" applyBorder="1" applyProtection="1">
      <protection hidden="1"/>
    </xf>
    <xf numFmtId="0" fontId="0" fillId="0" borderId="33" xfId="0" applyBorder="1" applyProtection="1">
      <protection hidden="1"/>
    </xf>
    <xf numFmtId="14" fontId="9" fillId="2" borderId="5" xfId="0" applyNumberFormat="1" applyFont="1" applyFill="1" applyBorder="1" applyAlignment="1" applyProtection="1">
      <alignment horizontal="centerContinuous"/>
      <protection locked="0"/>
    </xf>
    <xf numFmtId="2" fontId="4" fillId="2" borderId="55" xfId="7" applyNumberFormat="1" applyFont="1" applyFill="1" applyBorder="1" applyAlignment="1" applyProtection="1">
      <alignment horizontal="center" vertical="center"/>
      <protection locked="0"/>
    </xf>
    <xf numFmtId="165" fontId="4" fillId="2" borderId="40" xfId="7" applyNumberFormat="1" applyFont="1" applyFill="1" applyBorder="1" applyAlignment="1" applyProtection="1">
      <alignment horizontal="center" vertical="center"/>
      <protection locked="0"/>
    </xf>
    <xf numFmtId="165" fontId="4" fillId="2" borderId="24" xfId="7" applyNumberFormat="1" applyFont="1" applyFill="1" applyBorder="1" applyAlignment="1" applyProtection="1">
      <alignment horizontal="center" vertical="center"/>
      <protection locked="0"/>
    </xf>
    <xf numFmtId="2" fontId="4" fillId="2" borderId="18" xfId="0" applyNumberFormat="1" applyFont="1" applyFill="1" applyBorder="1" applyAlignment="1" applyProtection="1">
      <alignment horizontal="center" vertical="center"/>
      <protection locked="0"/>
    </xf>
    <xf numFmtId="165" fontId="4" fillId="2" borderId="19" xfId="0" applyNumberFormat="1" applyFont="1" applyFill="1" applyBorder="1" applyAlignment="1" applyProtection="1">
      <alignment horizontal="center" vertical="center"/>
      <protection locked="0"/>
    </xf>
    <xf numFmtId="165" fontId="4" fillId="2" borderId="32" xfId="0" applyNumberFormat="1" applyFont="1" applyFill="1" applyBorder="1" applyAlignment="1" applyProtection="1">
      <alignment horizontal="center" vertical="center"/>
      <protection locked="0"/>
    </xf>
    <xf numFmtId="167" fontId="4" fillId="2" borderId="27" xfId="7" applyNumberFormat="1" applyFont="1" applyFill="1" applyBorder="1" applyAlignment="1" applyProtection="1">
      <alignment horizontal="center" vertical="center"/>
      <protection locked="0"/>
    </xf>
    <xf numFmtId="168" fontId="4" fillId="2" borderId="27" xfId="7" applyNumberFormat="1" applyFont="1" applyFill="1" applyBorder="1" applyAlignment="1" applyProtection="1">
      <alignment horizontal="center" vertical="center"/>
      <protection locked="0"/>
    </xf>
    <xf numFmtId="165" fontId="4" fillId="2" borderId="52" xfId="0" applyNumberFormat="1" applyFont="1" applyFill="1" applyBorder="1" applyAlignment="1" applyProtection="1">
      <alignment horizontal="center" vertical="center"/>
      <protection locked="0"/>
    </xf>
    <xf numFmtId="165" fontId="4" fillId="2" borderId="45" xfId="1" applyNumberFormat="1" applyFont="1" applyFill="1" applyBorder="1" applyAlignment="1" applyProtection="1">
      <alignment horizontal="center" vertical="center"/>
      <protection locked="0"/>
    </xf>
    <xf numFmtId="165" fontId="4" fillId="2" borderId="34" xfId="1" applyNumberFormat="1" applyFont="1" applyFill="1" applyBorder="1" applyAlignment="1" applyProtection="1">
      <alignment horizontal="center" vertical="center"/>
      <protection locked="0"/>
    </xf>
    <xf numFmtId="165" fontId="4" fillId="2" borderId="34" xfId="5" applyNumberFormat="1" applyFont="1" applyFill="1" applyBorder="1" applyAlignment="1" applyProtection="1">
      <alignment horizontal="center" vertical="center"/>
      <protection locked="0"/>
    </xf>
    <xf numFmtId="165" fontId="4" fillId="2" borderId="62" xfId="0" applyNumberFormat="1" applyFont="1" applyFill="1" applyBorder="1" applyAlignment="1" applyProtection="1">
      <alignment vertical="center"/>
      <protection locked="0"/>
    </xf>
    <xf numFmtId="165" fontId="4" fillId="2" borderId="69" xfId="0" applyNumberFormat="1" applyFont="1" applyFill="1" applyBorder="1" applyAlignment="1" applyProtection="1">
      <alignment vertical="center"/>
      <protection locked="0"/>
    </xf>
    <xf numFmtId="165" fontId="4" fillId="2" borderId="39" xfId="5" applyNumberFormat="1" applyFont="1" applyFill="1" applyBorder="1" applyAlignment="1" applyProtection="1">
      <alignment horizontal="center" vertical="center"/>
      <protection locked="0"/>
    </xf>
    <xf numFmtId="165" fontId="4" fillId="2" borderId="38" xfId="0" applyNumberFormat="1" applyFont="1" applyFill="1" applyBorder="1" applyAlignment="1" applyProtection="1">
      <alignment horizontal="center" vertical="center"/>
      <protection locked="0"/>
    </xf>
    <xf numFmtId="172" fontId="4" fillId="2" borderId="25" xfId="0" applyNumberFormat="1" applyFont="1" applyFill="1" applyBorder="1" applyAlignment="1" applyProtection="1">
      <alignment horizontal="center" vertical="center"/>
      <protection locked="0"/>
    </xf>
    <xf numFmtId="0" fontId="4" fillId="2" borderId="55" xfId="0" applyFont="1" applyFill="1" applyBorder="1" applyAlignment="1" applyProtection="1">
      <alignment horizontal="center" vertical="center"/>
      <protection locked="0"/>
    </xf>
    <xf numFmtId="0" fontId="4" fillId="2" borderId="24" xfId="0" applyFont="1" applyFill="1" applyBorder="1" applyAlignment="1" applyProtection="1">
      <alignment horizontal="center" vertical="center"/>
      <protection locked="0"/>
    </xf>
    <xf numFmtId="172" fontId="4" fillId="2" borderId="25" xfId="5" applyNumberFormat="1" applyFont="1" applyFill="1" applyBorder="1" applyAlignment="1" applyProtection="1">
      <alignment horizontal="center" vertical="center"/>
      <protection locked="0"/>
    </xf>
    <xf numFmtId="0" fontId="4" fillId="2" borderId="55" xfId="5" applyFont="1" applyFill="1" applyBorder="1" applyAlignment="1" applyProtection="1">
      <alignment horizontal="center" vertical="center"/>
      <protection locked="0"/>
    </xf>
    <xf numFmtId="0" fontId="4" fillId="2" borderId="24" xfId="5" applyFont="1" applyFill="1" applyBorder="1" applyAlignment="1" applyProtection="1">
      <alignment horizontal="center" vertical="center"/>
      <protection locked="0"/>
    </xf>
    <xf numFmtId="172" fontId="4" fillId="2" borderId="7" xfId="5" applyNumberFormat="1" applyFont="1" applyFill="1" applyBorder="1" applyAlignment="1" applyProtection="1">
      <alignment horizontal="center" vertical="center"/>
      <protection locked="0"/>
    </xf>
    <xf numFmtId="0" fontId="4" fillId="2" borderId="19" xfId="5" applyFont="1" applyFill="1" applyBorder="1" applyAlignment="1" applyProtection="1">
      <alignment horizontal="center" vertical="center"/>
      <protection locked="0"/>
    </xf>
    <xf numFmtId="0" fontId="4" fillId="2" borderId="20" xfId="5" applyFont="1" applyFill="1" applyBorder="1" applyAlignment="1" applyProtection="1">
      <alignment horizontal="center" vertical="center"/>
      <protection locked="0"/>
    </xf>
    <xf numFmtId="0" fontId="4" fillId="2" borderId="20" xfId="0" applyFont="1" applyFill="1" applyBorder="1" applyAlignment="1" applyProtection="1">
      <alignment horizontal="center" vertical="center"/>
      <protection locked="0"/>
    </xf>
    <xf numFmtId="0" fontId="0" fillId="0" borderId="0" xfId="0" applyAlignment="1" applyProtection="1">
      <alignment horizontal="centerContinuous"/>
      <protection hidden="1"/>
    </xf>
    <xf numFmtId="0" fontId="0" fillId="0" borderId="9" xfId="0" applyBorder="1" applyAlignment="1" applyProtection="1">
      <alignment horizontal="centerContinuous"/>
      <protection hidden="1"/>
    </xf>
    <xf numFmtId="0" fontId="0" fillId="0" borderId="33" xfId="0" applyBorder="1" applyAlignment="1" applyProtection="1">
      <alignment horizontal="centerContinuous"/>
      <protection hidden="1"/>
    </xf>
    <xf numFmtId="0" fontId="0" fillId="0" borderId="4" xfId="0" applyBorder="1" applyAlignment="1" applyProtection="1">
      <alignment horizontal="centerContinuous"/>
      <protection hidden="1"/>
    </xf>
    <xf numFmtId="0" fontId="0" fillId="0" borderId="20" xfId="0" applyBorder="1" applyAlignment="1" applyProtection="1">
      <alignment horizontal="centerContinuous"/>
      <protection hidden="1"/>
    </xf>
    <xf numFmtId="165" fontId="0" fillId="0" borderId="4" xfId="0" applyNumberFormat="1" applyBorder="1" applyProtection="1">
      <protection hidden="1"/>
    </xf>
    <xf numFmtId="0" fontId="0" fillId="0" borderId="38" xfId="0" applyBorder="1" applyAlignment="1" applyProtection="1">
      <alignment horizontal="right"/>
      <protection hidden="1"/>
    </xf>
    <xf numFmtId="0" fontId="4" fillId="2" borderId="5" xfId="0" applyFont="1" applyFill="1" applyBorder="1" applyAlignment="1" applyProtection="1">
      <alignment horizontal="centerContinuous" vertical="center"/>
      <protection locked="0"/>
    </xf>
    <xf numFmtId="0" fontId="4" fillId="2" borderId="5" xfId="5" applyFont="1" applyFill="1" applyBorder="1" applyAlignment="1" applyProtection="1">
      <alignment horizontal="centerContinuous" vertical="center"/>
      <protection locked="0"/>
    </xf>
    <xf numFmtId="165" fontId="4" fillId="2" borderId="39" xfId="0" applyNumberFormat="1" applyFont="1" applyFill="1" applyBorder="1" applyAlignment="1" applyProtection="1">
      <alignment vertical="center"/>
      <protection locked="0"/>
    </xf>
    <xf numFmtId="165" fontId="14" fillId="2" borderId="24" xfId="4" applyNumberFormat="1" applyFont="1" applyFill="1" applyBorder="1" applyAlignment="1" applyProtection="1">
      <alignment horizontal="center"/>
      <protection locked="0"/>
    </xf>
    <xf numFmtId="165" fontId="4" fillId="2" borderId="62" xfId="0" applyNumberFormat="1" applyFont="1" applyFill="1" applyBorder="1" applyAlignment="1" applyProtection="1">
      <alignment horizontal="center" vertical="center"/>
      <protection locked="0"/>
    </xf>
    <xf numFmtId="165" fontId="4" fillId="2" borderId="39" xfId="1" applyNumberFormat="1" applyFont="1" applyFill="1" applyBorder="1" applyAlignment="1" applyProtection="1">
      <alignment horizontal="center" vertical="center"/>
      <protection locked="0"/>
    </xf>
    <xf numFmtId="165" fontId="4" fillId="2" borderId="69" xfId="1" applyNumberFormat="1" applyFont="1" applyFill="1" applyBorder="1" applyAlignment="1" applyProtection="1">
      <alignment horizontal="center" vertical="center"/>
      <protection locked="0"/>
    </xf>
    <xf numFmtId="0" fontId="24" fillId="0" borderId="6" xfId="0" applyFont="1" applyBorder="1" applyProtection="1">
      <protection hidden="1"/>
    </xf>
    <xf numFmtId="0" fontId="24" fillId="0" borderId="0" xfId="0" applyFont="1" applyProtection="1">
      <protection hidden="1"/>
    </xf>
    <xf numFmtId="165" fontId="24" fillId="2" borderId="24" xfId="0" applyNumberFormat="1" applyFont="1" applyFill="1" applyBorder="1" applyAlignment="1" applyProtection="1">
      <alignment horizontal="center"/>
      <protection locked="0"/>
    </xf>
    <xf numFmtId="0" fontId="9" fillId="0" borderId="0" xfId="0" applyFont="1" applyAlignment="1" applyProtection="1">
      <alignment horizontal="right"/>
      <protection hidden="1"/>
    </xf>
    <xf numFmtId="167" fontId="4" fillId="2" borderId="31" xfId="7" applyNumberFormat="1" applyFont="1" applyFill="1" applyBorder="1" applyAlignment="1" applyProtection="1">
      <alignment horizontal="center" vertical="center"/>
      <protection locked="0"/>
    </xf>
    <xf numFmtId="168" fontId="4" fillId="2" borderId="31" xfId="7" applyNumberFormat="1" applyFont="1" applyFill="1" applyBorder="1" applyAlignment="1" applyProtection="1">
      <alignment horizontal="center" vertical="center"/>
      <protection locked="0"/>
    </xf>
    <xf numFmtId="165" fontId="14" fillId="0" borderId="17" xfId="0" applyNumberFormat="1" applyFont="1" applyBorder="1" applyAlignment="1" applyProtection="1">
      <alignment horizontal="center"/>
      <protection locked="0" hidden="1"/>
    </xf>
    <xf numFmtId="165" fontId="14" fillId="0" borderId="17" xfId="4" applyNumberFormat="1" applyFont="1" applyBorder="1" applyAlignment="1" applyProtection="1">
      <alignment horizontal="center"/>
      <protection locked="0" hidden="1"/>
    </xf>
    <xf numFmtId="0" fontId="4" fillId="0" borderId="17" xfId="0" applyFont="1" applyBorder="1" applyAlignment="1" applyProtection="1">
      <alignment vertical="center"/>
      <protection locked="0" hidden="1"/>
    </xf>
    <xf numFmtId="165" fontId="4" fillId="0" borderId="17" xfId="0" applyNumberFormat="1" applyFont="1" applyBorder="1" applyAlignment="1" applyProtection="1">
      <alignment horizontal="center" vertical="center"/>
      <protection locked="0" hidden="1"/>
    </xf>
    <xf numFmtId="165" fontId="4" fillId="0" borderId="17" xfId="4" applyNumberFormat="1" applyFont="1" applyBorder="1" applyAlignment="1" applyProtection="1">
      <alignment horizontal="center" vertical="center"/>
      <protection locked="0" hidden="1"/>
    </xf>
    <xf numFmtId="0" fontId="12" fillId="0" borderId="34" xfId="2" applyBorder="1"/>
    <xf numFmtId="0" fontId="12" fillId="0" borderId="23" xfId="2" applyBorder="1"/>
    <xf numFmtId="0" fontId="12" fillId="0" borderId="51" xfId="2" applyBorder="1"/>
    <xf numFmtId="0" fontId="12" fillId="5" borderId="34" xfId="2" applyFill="1" applyBorder="1"/>
    <xf numFmtId="0" fontId="12" fillId="5" borderId="51" xfId="2" applyFill="1" applyBorder="1"/>
    <xf numFmtId="0" fontId="12" fillId="5" borderId="35" xfId="2" applyFill="1" applyBorder="1"/>
    <xf numFmtId="0" fontId="12" fillId="5" borderId="50" xfId="2" applyFill="1" applyBorder="1"/>
    <xf numFmtId="0" fontId="0" fillId="0" borderId="10" xfId="0" applyBorder="1" applyAlignment="1">
      <alignment horizontal="center"/>
    </xf>
    <xf numFmtId="0" fontId="0" fillId="0" borderId="62" xfId="0" applyBorder="1"/>
    <xf numFmtId="0" fontId="0" fillId="0" borderId="69" xfId="0" applyBorder="1"/>
    <xf numFmtId="0" fontId="0" fillId="0" borderId="67" xfId="0" applyBorder="1"/>
    <xf numFmtId="0" fontId="0" fillId="0" borderId="23" xfId="0" applyBorder="1"/>
    <xf numFmtId="0" fontId="0" fillId="0" borderId="23" xfId="0" applyBorder="1" applyAlignment="1">
      <alignment horizontal="center"/>
    </xf>
    <xf numFmtId="0" fontId="0" fillId="0" borderId="0" xfId="0" applyAlignment="1">
      <alignment horizontal="center"/>
    </xf>
    <xf numFmtId="0" fontId="0" fillId="0" borderId="70" xfId="0" applyBorder="1" applyAlignment="1">
      <alignment horizontal="center"/>
    </xf>
    <xf numFmtId="0" fontId="0" fillId="0" borderId="71" xfId="0" applyBorder="1" applyAlignment="1">
      <alignment horizontal="center"/>
    </xf>
    <xf numFmtId="0" fontId="0" fillId="0" borderId="72" xfId="0" applyBorder="1" applyAlignment="1">
      <alignment horizontal="center"/>
    </xf>
    <xf numFmtId="0" fontId="0" fillId="0" borderId="73" xfId="0" applyBorder="1" applyAlignment="1">
      <alignment horizontal="center"/>
    </xf>
    <xf numFmtId="165" fontId="0" fillId="0" borderId="73" xfId="0" applyNumberFormat="1" applyBorder="1" applyAlignment="1">
      <alignment horizontal="center"/>
    </xf>
    <xf numFmtId="0" fontId="0" fillId="0" borderId="74" xfId="0" applyBorder="1" applyAlignment="1">
      <alignment horizontal="center"/>
    </xf>
    <xf numFmtId="0" fontId="0" fillId="0" borderId="75" xfId="0" applyBorder="1" applyAlignment="1">
      <alignment horizontal="center"/>
    </xf>
    <xf numFmtId="0" fontId="0" fillId="0" borderId="76" xfId="0" applyBorder="1" applyAlignment="1">
      <alignment horizontal="center"/>
    </xf>
    <xf numFmtId="165" fontId="0" fillId="0" borderId="0" xfId="0" applyNumberFormat="1" applyAlignment="1">
      <alignment horizontal="center"/>
    </xf>
    <xf numFmtId="0" fontId="0" fillId="0" borderId="77" xfId="0" applyBorder="1"/>
    <xf numFmtId="0" fontId="0" fillId="0" borderId="74" xfId="0" applyBorder="1"/>
    <xf numFmtId="165" fontId="0" fillId="0" borderId="23" xfId="0" applyNumberFormat="1" applyBorder="1" applyAlignment="1">
      <alignment horizontal="center"/>
    </xf>
    <xf numFmtId="165" fontId="0" fillId="0" borderId="77" xfId="0" applyNumberFormat="1" applyBorder="1" applyAlignment="1">
      <alignment horizontal="center"/>
    </xf>
    <xf numFmtId="0" fontId="26" fillId="0" borderId="1" xfId="2" applyFont="1" applyBorder="1" applyAlignment="1">
      <alignment horizontal="centerContinuous"/>
    </xf>
    <xf numFmtId="0" fontId="26" fillId="0" borderId="2" xfId="2" applyFont="1" applyBorder="1" applyAlignment="1">
      <alignment horizontal="centerContinuous"/>
    </xf>
    <xf numFmtId="0" fontId="26" fillId="0" borderId="3" xfId="2" applyFont="1" applyBorder="1" applyAlignment="1">
      <alignment horizontal="centerContinuous"/>
    </xf>
    <xf numFmtId="0" fontId="27" fillId="0" borderId="8" xfId="0" applyFont="1" applyBorder="1" applyAlignment="1">
      <alignment horizontal="centerContinuous"/>
    </xf>
    <xf numFmtId="0" fontId="27" fillId="0" borderId="9" xfId="0" applyFont="1" applyBorder="1" applyAlignment="1">
      <alignment horizontal="centerContinuous"/>
    </xf>
    <xf numFmtId="0" fontId="27" fillId="0" borderId="33" xfId="0" applyFont="1" applyBorder="1" applyAlignment="1">
      <alignment horizontal="centerContinuous"/>
    </xf>
    <xf numFmtId="0" fontId="0" fillId="0" borderId="78" xfId="0" applyBorder="1" applyAlignment="1">
      <alignment horizontal="centerContinuous"/>
    </xf>
    <xf numFmtId="0" fontId="0" fillId="0" borderId="79" xfId="0" applyBorder="1" applyAlignment="1">
      <alignment horizontal="centerContinuous"/>
    </xf>
    <xf numFmtId="0" fontId="0" fillId="0" borderId="80" xfId="0" applyBorder="1" applyAlignment="1">
      <alignment horizontal="centerContinuous"/>
    </xf>
    <xf numFmtId="0" fontId="1" fillId="0" borderId="0" xfId="0" applyFont="1" applyAlignment="1">
      <alignment horizontal="centerContinuous"/>
    </xf>
    <xf numFmtId="165" fontId="6" fillId="0" borderId="42" xfId="7" applyNumberFormat="1" applyFont="1" applyBorder="1" applyAlignment="1" applyProtection="1">
      <alignment horizontal="center"/>
      <protection hidden="1"/>
    </xf>
    <xf numFmtId="0" fontId="4" fillId="0" borderId="19" xfId="7" applyFont="1" applyBorder="1" applyAlignment="1" applyProtection="1">
      <alignment vertical="center"/>
      <protection locked="0" hidden="1"/>
    </xf>
    <xf numFmtId="168" fontId="4" fillId="0" borderId="42" xfId="7" applyNumberFormat="1" applyFont="1" applyBorder="1" applyAlignment="1" applyProtection="1">
      <alignment horizontal="center" vertical="center"/>
      <protection locked="0" hidden="1"/>
    </xf>
    <xf numFmtId="167" fontId="4" fillId="0" borderId="42" xfId="7" applyNumberFormat="1" applyFont="1" applyBorder="1" applyAlignment="1" applyProtection="1">
      <alignment horizontal="center" vertical="center"/>
      <protection locked="0" hidden="1"/>
    </xf>
    <xf numFmtId="0" fontId="4" fillId="0" borderId="0" xfId="0" applyFont="1" applyAlignment="1" applyProtection="1">
      <alignment vertical="center"/>
      <protection locked="0" hidden="1"/>
    </xf>
    <xf numFmtId="0" fontId="4" fillId="0" borderId="60" xfId="7" applyFont="1" applyBorder="1" applyAlignment="1" applyProtection="1">
      <alignment vertical="center"/>
      <protection locked="0" hidden="1"/>
    </xf>
    <xf numFmtId="0" fontId="4" fillId="0" borderId="60" xfId="7" applyFont="1" applyBorder="1" applyAlignment="1" applyProtection="1">
      <alignment horizontal="center" vertical="center"/>
      <protection locked="0" hidden="1"/>
    </xf>
    <xf numFmtId="0" fontId="4" fillId="0" borderId="61" xfId="7" applyFont="1" applyBorder="1" applyAlignment="1" applyProtection="1">
      <alignment horizontal="center" vertical="center"/>
      <protection locked="0" hidden="1"/>
    </xf>
    <xf numFmtId="0" fontId="4" fillId="0" borderId="42" xfId="7" applyFont="1" applyBorder="1" applyAlignment="1" applyProtection="1">
      <alignment horizontal="center" vertical="center"/>
      <protection locked="0" hidden="1"/>
    </xf>
    <xf numFmtId="0" fontId="0" fillId="0" borderId="81" xfId="0" applyBorder="1" applyAlignment="1">
      <alignment horizontal="centerContinuous"/>
    </xf>
    <xf numFmtId="0" fontId="0" fillId="0" borderId="82" xfId="0" applyBorder="1" applyAlignment="1">
      <alignment horizontal="centerContinuous"/>
    </xf>
    <xf numFmtId="0" fontId="0" fillId="0" borderId="83" xfId="0" applyBorder="1" applyAlignment="1">
      <alignment horizontal="centerContinuous"/>
    </xf>
    <xf numFmtId="0" fontId="14" fillId="0" borderId="21" xfId="0" applyFont="1" applyBorder="1" applyAlignment="1" applyProtection="1">
      <alignment horizontal="center"/>
      <protection hidden="1"/>
    </xf>
    <xf numFmtId="165" fontId="14" fillId="0" borderId="32" xfId="1" quotePrefix="1" applyNumberFormat="1" applyFont="1" applyBorder="1" applyAlignment="1" applyProtection="1">
      <alignment horizontal="center"/>
      <protection hidden="1"/>
    </xf>
    <xf numFmtId="165" fontId="14" fillId="0" borderId="54" xfId="1" quotePrefix="1" applyNumberFormat="1" applyFont="1" applyBorder="1" applyAlignment="1" applyProtection="1">
      <alignment horizontal="center"/>
      <protection hidden="1"/>
    </xf>
    <xf numFmtId="164" fontId="14" fillId="0" borderId="0" xfId="1" applyNumberFormat="1" applyFont="1" applyAlignment="1" applyProtection="1">
      <alignment horizontal="centerContinuous"/>
      <protection hidden="1"/>
    </xf>
    <xf numFmtId="1" fontId="14" fillId="0" borderId="0" xfId="1" applyNumberFormat="1" applyFont="1" applyAlignment="1" applyProtection="1">
      <alignment horizontal="centerContinuous"/>
      <protection hidden="1"/>
    </xf>
    <xf numFmtId="165" fontId="14" fillId="0" borderId="0" xfId="1" applyNumberFormat="1" applyFont="1" applyAlignment="1" applyProtection="1">
      <alignment horizontal="centerContinuous"/>
      <protection hidden="1"/>
    </xf>
    <xf numFmtId="165" fontId="14" fillId="0" borderId="84" xfId="1" applyNumberFormat="1" applyFont="1" applyBorder="1" applyAlignment="1" applyProtection="1">
      <alignment horizontal="centerContinuous"/>
      <protection hidden="1"/>
    </xf>
    <xf numFmtId="0" fontId="11" fillId="0" borderId="85" xfId="1" applyFont="1" applyBorder="1" applyAlignment="1" applyProtection="1">
      <alignment horizontal="center"/>
      <protection hidden="1"/>
    </xf>
    <xf numFmtId="0" fontId="11" fillId="0" borderId="65" xfId="1" applyFont="1" applyBorder="1" applyAlignment="1" applyProtection="1">
      <alignment horizontal="center"/>
      <protection hidden="1"/>
    </xf>
    <xf numFmtId="0" fontId="6" fillId="0" borderId="0" xfId="0" applyFont="1" applyAlignment="1" applyProtection="1">
      <alignment horizontal="centerContinuous"/>
      <protection hidden="1"/>
    </xf>
    <xf numFmtId="165" fontId="18" fillId="0" borderId="0" xfId="1" applyNumberFormat="1" applyFont="1" applyAlignment="1" applyProtection="1">
      <alignment horizontal="centerContinuous"/>
      <protection hidden="1"/>
    </xf>
    <xf numFmtId="2" fontId="6" fillId="0" borderId="0" xfId="0" applyNumberFormat="1" applyFont="1" applyAlignment="1" applyProtection="1">
      <alignment horizontal="center"/>
      <protection hidden="1"/>
    </xf>
    <xf numFmtId="165" fontId="4" fillId="0" borderId="2" xfId="0" applyNumberFormat="1" applyFont="1" applyBorder="1" applyAlignment="1">
      <alignment horizontal="centerContinuous"/>
    </xf>
    <xf numFmtId="0" fontId="4" fillId="0" borderId="22" xfId="0" applyFont="1" applyBorder="1"/>
    <xf numFmtId="0" fontId="4" fillId="0" borderId="26" xfId="0" applyFont="1" applyBorder="1"/>
    <xf numFmtId="0" fontId="4" fillId="0" borderId="41" xfId="0" applyFont="1" applyBorder="1"/>
    <xf numFmtId="1" fontId="14" fillId="0" borderId="41" xfId="1" quotePrefix="1" applyNumberFormat="1" applyFont="1" applyBorder="1" applyAlignment="1" applyProtection="1">
      <alignment horizontal="center"/>
      <protection hidden="1"/>
    </xf>
    <xf numFmtId="165" fontId="9" fillId="0" borderId="0" xfId="0" applyNumberFormat="1" applyFont="1" applyAlignment="1" applyProtection="1">
      <alignment horizontal="centerContinuous"/>
      <protection hidden="1"/>
    </xf>
    <xf numFmtId="0" fontId="6" fillId="0" borderId="21" xfId="0" applyFont="1" applyBorder="1" applyAlignment="1" applyProtection="1">
      <alignment horizontal="centerContinuous"/>
      <protection hidden="1"/>
    </xf>
    <xf numFmtId="0" fontId="6" fillId="0" borderId="51" xfId="0" applyFont="1" applyBorder="1" applyAlignment="1" applyProtection="1">
      <alignment horizontal="center"/>
      <protection hidden="1"/>
    </xf>
    <xf numFmtId="165" fontId="6" fillId="0" borderId="24" xfId="1" quotePrefix="1" applyNumberFormat="1" applyFont="1" applyBorder="1" applyAlignment="1" applyProtection="1">
      <alignment horizontal="center"/>
      <protection hidden="1"/>
    </xf>
    <xf numFmtId="0" fontId="6" fillId="0" borderId="34" xfId="0" applyFont="1" applyBorder="1" applyAlignment="1" applyProtection="1">
      <alignment horizontal="center"/>
      <protection hidden="1"/>
    </xf>
    <xf numFmtId="0" fontId="6" fillId="0" borderId="46" xfId="0" applyFont="1" applyBorder="1" applyAlignment="1" applyProtection="1">
      <alignment horizontal="center"/>
      <protection hidden="1"/>
    </xf>
    <xf numFmtId="0" fontId="14" fillId="2" borderId="62" xfId="0" applyFont="1" applyFill="1" applyBorder="1" applyProtection="1">
      <protection locked="0" hidden="1"/>
    </xf>
    <xf numFmtId="0" fontId="14" fillId="2" borderId="39" xfId="0" applyFont="1" applyFill="1" applyBorder="1" applyProtection="1">
      <protection locked="0" hidden="1"/>
    </xf>
    <xf numFmtId="165" fontId="14" fillId="2" borderId="38" xfId="0" applyNumberFormat="1" applyFont="1" applyFill="1" applyBorder="1" applyProtection="1">
      <protection locked="0" hidden="1"/>
    </xf>
    <xf numFmtId="0" fontId="6" fillId="0" borderId="35" xfId="0" applyFont="1" applyBorder="1" applyAlignment="1" applyProtection="1">
      <alignment horizontal="center"/>
      <protection hidden="1"/>
    </xf>
    <xf numFmtId="0" fontId="11" fillId="0" borderId="60" xfId="0" applyFont="1" applyBorder="1" applyProtection="1">
      <protection hidden="1"/>
    </xf>
    <xf numFmtId="0" fontId="20" fillId="0" borderId="60" xfId="0" applyFont="1" applyBorder="1" applyProtection="1">
      <protection hidden="1"/>
    </xf>
    <xf numFmtId="0" fontId="3" fillId="0" borderId="85" xfId="0" applyFont="1" applyBorder="1" applyProtection="1">
      <protection hidden="1"/>
    </xf>
    <xf numFmtId="0" fontId="30" fillId="0" borderId="0" xfId="1" applyFont="1" applyProtection="1">
      <protection hidden="1"/>
    </xf>
    <xf numFmtId="0" fontId="9" fillId="0" borderId="36" xfId="1" applyFont="1" applyBorder="1" applyAlignment="1" applyProtection="1">
      <alignment horizontal="centerContinuous"/>
      <protection hidden="1"/>
    </xf>
    <xf numFmtId="2" fontId="6" fillId="0" borderId="24" xfId="1" applyNumberFormat="1" applyFont="1" applyBorder="1" applyAlignment="1" applyProtection="1">
      <alignment horizontal="center"/>
      <protection hidden="1"/>
    </xf>
    <xf numFmtId="2" fontId="6" fillId="0" borderId="20" xfId="1" applyNumberFormat="1" applyFont="1" applyBorder="1" applyAlignment="1" applyProtection="1">
      <alignment horizontal="center"/>
      <protection hidden="1"/>
    </xf>
    <xf numFmtId="0" fontId="10" fillId="0" borderId="0" xfId="0" applyFont="1" applyProtection="1">
      <protection hidden="1"/>
    </xf>
    <xf numFmtId="0" fontId="10" fillId="0" borderId="0" xfId="5" quotePrefix="1" applyFont="1" applyAlignment="1" applyProtection="1">
      <alignment horizontal="left"/>
      <protection hidden="1"/>
    </xf>
    <xf numFmtId="0" fontId="10" fillId="0" borderId="0" xfId="0" quotePrefix="1" applyFont="1" applyAlignment="1" applyProtection="1">
      <alignment horizontal="left"/>
      <protection hidden="1"/>
    </xf>
    <xf numFmtId="0" fontId="10" fillId="0" borderId="0" xfId="5" applyFont="1" applyProtection="1">
      <protection hidden="1"/>
    </xf>
    <xf numFmtId="0" fontId="10" fillId="0" borderId="0" xfId="0" applyFont="1" applyAlignment="1" applyProtection="1">
      <alignment horizontal="right"/>
      <protection hidden="1"/>
    </xf>
    <xf numFmtId="167" fontId="4" fillId="2" borderId="66" xfId="7" applyNumberFormat="1" applyFont="1" applyFill="1" applyBorder="1" applyAlignment="1" applyProtection="1">
      <alignment horizontal="center" vertical="center"/>
      <protection locked="0"/>
    </xf>
    <xf numFmtId="168" fontId="4" fillId="0" borderId="31" xfId="7" applyNumberFormat="1" applyFont="1" applyBorder="1" applyAlignment="1" applyProtection="1">
      <alignment horizontal="center" vertical="center"/>
      <protection hidden="1"/>
    </xf>
    <xf numFmtId="164" fontId="4" fillId="0" borderId="31" xfId="7" applyNumberFormat="1" applyFont="1" applyBorder="1" applyAlignment="1" applyProtection="1">
      <alignment horizontal="center" vertical="center"/>
      <protection hidden="1"/>
    </xf>
    <xf numFmtId="171" fontId="4" fillId="0" borderId="31" xfId="7" applyNumberFormat="1" applyFont="1" applyBorder="1" applyAlignment="1" applyProtection="1">
      <alignment horizontal="center" vertical="center"/>
      <protection hidden="1"/>
    </xf>
    <xf numFmtId="168" fontId="4" fillId="2" borderId="66" xfId="7" applyNumberFormat="1" applyFont="1" applyFill="1" applyBorder="1" applyAlignment="1" applyProtection="1">
      <alignment horizontal="center" vertical="center"/>
      <protection locked="0"/>
    </xf>
    <xf numFmtId="0" fontId="4" fillId="2" borderId="64" xfId="0" applyFont="1" applyFill="1" applyBorder="1" applyAlignment="1" applyProtection="1">
      <alignment horizontal="center" vertical="center"/>
      <protection locked="0"/>
    </xf>
    <xf numFmtId="0" fontId="4" fillId="2" borderId="23" xfId="0" applyFont="1" applyFill="1" applyBorder="1" applyAlignment="1" applyProtection="1">
      <alignment horizontal="center" vertical="center"/>
      <protection locked="0"/>
    </xf>
    <xf numFmtId="0" fontId="4" fillId="2" borderId="66" xfId="0" applyFont="1" applyFill="1" applyBorder="1" applyAlignment="1" applyProtection="1">
      <alignment horizontal="center" vertical="center"/>
      <protection locked="0"/>
    </xf>
    <xf numFmtId="0" fontId="4" fillId="0" borderId="62" xfId="0" applyFont="1" applyBorder="1" applyAlignment="1" applyProtection="1">
      <alignment vertical="center"/>
      <protection hidden="1"/>
    </xf>
    <xf numFmtId="0" fontId="4" fillId="0" borderId="69" xfId="0" applyFont="1" applyBorder="1" applyAlignment="1" applyProtection="1">
      <alignment vertical="center"/>
      <protection hidden="1"/>
    </xf>
    <xf numFmtId="0" fontId="4" fillId="0" borderId="67" xfId="0" applyFont="1" applyBorder="1" applyAlignment="1" applyProtection="1">
      <alignment vertical="center"/>
      <protection hidden="1"/>
    </xf>
    <xf numFmtId="0" fontId="45" fillId="0" borderId="0" xfId="0" applyFont="1" applyAlignment="1" applyProtection="1">
      <alignment horizontal="center" vertical="center"/>
      <protection hidden="1"/>
    </xf>
    <xf numFmtId="14" fontId="9" fillId="0" borderId="0" xfId="0" applyNumberFormat="1" applyFont="1" applyAlignment="1" applyProtection="1">
      <alignment horizontal="centerContinuous"/>
      <protection locked="0"/>
    </xf>
    <xf numFmtId="14" fontId="4" fillId="0" borderId="0" xfId="0" applyNumberFormat="1" applyFont="1" applyAlignment="1" applyProtection="1">
      <alignment horizontal="centerContinuous" vertical="center"/>
      <protection locked="0"/>
    </xf>
    <xf numFmtId="0" fontId="4" fillId="0" borderId="17" xfId="0" applyFont="1" applyBorder="1" applyAlignment="1" applyProtection="1">
      <alignment vertical="center"/>
      <protection hidden="1"/>
    </xf>
    <xf numFmtId="0" fontId="0" fillId="0" borderId="0" xfId="0" applyAlignment="1">
      <alignment horizontal="left"/>
    </xf>
    <xf numFmtId="0" fontId="0" fillId="4" borderId="23" xfId="0" applyFill="1" applyBorder="1" applyAlignment="1">
      <alignment horizontal="center"/>
    </xf>
    <xf numFmtId="0" fontId="0" fillId="4" borderId="36" xfId="0" applyFill="1" applyBorder="1" applyAlignment="1">
      <alignment horizontal="center"/>
    </xf>
    <xf numFmtId="0" fontId="0" fillId="4" borderId="57" xfId="0" applyFill="1" applyBorder="1" applyAlignment="1">
      <alignment horizontal="center"/>
    </xf>
    <xf numFmtId="0" fontId="0" fillId="4" borderId="53" xfId="0" applyFill="1" applyBorder="1" applyAlignment="1">
      <alignment horizontal="center"/>
    </xf>
    <xf numFmtId="0" fontId="0" fillId="4" borderId="35" xfId="0" applyFill="1" applyBorder="1" applyAlignment="1">
      <alignment horizontal="center"/>
    </xf>
    <xf numFmtId="0" fontId="0" fillId="4" borderId="50" xfId="0" applyFill="1" applyBorder="1" applyAlignment="1">
      <alignment horizontal="center"/>
    </xf>
    <xf numFmtId="12" fontId="0" fillId="4" borderId="69" xfId="0" applyNumberFormat="1" applyFill="1" applyBorder="1" applyAlignment="1">
      <alignment horizontal="center"/>
    </xf>
    <xf numFmtId="0" fontId="0" fillId="4" borderId="69" xfId="0" applyFill="1" applyBorder="1" applyAlignment="1">
      <alignment horizontal="center"/>
    </xf>
    <xf numFmtId="0" fontId="48" fillId="4" borderId="69" xfId="0" applyFont="1" applyFill="1" applyBorder="1" applyAlignment="1">
      <alignment horizontal="center"/>
    </xf>
    <xf numFmtId="0" fontId="48" fillId="4" borderId="67" xfId="0" applyFont="1" applyFill="1" applyBorder="1" applyAlignment="1">
      <alignment horizontal="center"/>
    </xf>
    <xf numFmtId="0" fontId="0" fillId="4" borderId="66" xfId="0" applyFill="1" applyBorder="1" applyAlignment="1">
      <alignment horizontal="center"/>
    </xf>
    <xf numFmtId="0" fontId="0" fillId="4" borderId="52" xfId="0" applyFill="1" applyBorder="1" applyAlignment="1">
      <alignment horizontal="center"/>
    </xf>
    <xf numFmtId="0" fontId="0" fillId="6" borderId="0" xfId="0" applyFill="1"/>
    <xf numFmtId="0" fontId="0" fillId="6" borderId="0" xfId="0" applyFill="1" applyAlignment="1">
      <alignment horizontal="center" vertical="center"/>
    </xf>
    <xf numFmtId="0" fontId="0" fillId="5" borderId="23" xfId="0" applyFill="1" applyBorder="1" applyAlignment="1">
      <alignment horizontal="center"/>
    </xf>
    <xf numFmtId="0" fontId="0" fillId="5" borderId="36" xfId="0" applyFill="1" applyBorder="1" applyAlignment="1">
      <alignment horizontal="center"/>
    </xf>
    <xf numFmtId="0" fontId="0" fillId="5" borderId="57" xfId="0" applyFill="1" applyBorder="1" applyAlignment="1">
      <alignment horizontal="center"/>
    </xf>
    <xf numFmtId="0" fontId="0" fillId="5" borderId="53" xfId="0" applyFill="1" applyBorder="1" applyAlignment="1">
      <alignment horizontal="center"/>
    </xf>
    <xf numFmtId="0" fontId="0" fillId="5" borderId="52" xfId="0" applyFill="1" applyBorder="1" applyAlignment="1">
      <alignment horizontal="center"/>
    </xf>
    <xf numFmtId="0" fontId="0" fillId="5" borderId="64" xfId="0" applyFill="1" applyBorder="1" applyAlignment="1">
      <alignment horizontal="center"/>
    </xf>
    <xf numFmtId="0" fontId="0" fillId="5" borderId="65" xfId="0" applyFill="1" applyBorder="1" applyAlignment="1">
      <alignment horizontal="center"/>
    </xf>
    <xf numFmtId="0" fontId="0" fillId="5" borderId="34" xfId="0" applyFill="1" applyBorder="1" applyAlignment="1">
      <alignment horizontal="center"/>
    </xf>
    <xf numFmtId="0" fontId="0" fillId="5" borderId="51" xfId="0" applyFill="1" applyBorder="1" applyAlignment="1">
      <alignment horizontal="center"/>
    </xf>
    <xf numFmtId="0" fontId="0" fillId="5" borderId="86" xfId="0" applyFill="1" applyBorder="1" applyAlignment="1">
      <alignment horizontal="center"/>
    </xf>
    <xf numFmtId="0" fontId="0" fillId="5" borderId="14" xfId="0" applyFill="1" applyBorder="1" applyAlignment="1">
      <alignment horizontal="center"/>
    </xf>
    <xf numFmtId="0" fontId="0" fillId="5" borderId="87" xfId="0" applyFill="1" applyBorder="1" applyAlignment="1">
      <alignment horizontal="center"/>
    </xf>
    <xf numFmtId="0" fontId="0" fillId="5" borderId="35" xfId="0" applyFill="1" applyBorder="1" applyAlignment="1">
      <alignment horizontal="center"/>
    </xf>
    <xf numFmtId="0" fontId="0" fillId="5" borderId="66" xfId="0" applyFill="1" applyBorder="1" applyAlignment="1">
      <alignment horizontal="center"/>
    </xf>
    <xf numFmtId="0" fontId="0" fillId="5" borderId="50" xfId="0" applyFill="1" applyBorder="1" applyAlignment="1">
      <alignment horizontal="center"/>
    </xf>
    <xf numFmtId="0" fontId="2" fillId="0" borderId="0" xfId="0" applyFont="1"/>
    <xf numFmtId="0" fontId="2" fillId="0" borderId="0" xfId="0" applyFont="1" applyAlignment="1">
      <alignment horizontal="left"/>
    </xf>
    <xf numFmtId="0" fontId="0" fillId="7" borderId="0" xfId="0" applyFill="1"/>
    <xf numFmtId="0" fontId="4" fillId="2" borderId="0" xfId="0" applyFont="1" applyFill="1" applyAlignment="1">
      <alignment horizontal="center"/>
    </xf>
    <xf numFmtId="0" fontId="52" fillId="2" borderId="0" xfId="0" applyFont="1" applyFill="1" applyAlignment="1">
      <alignment horizontal="center"/>
    </xf>
    <xf numFmtId="0" fontId="49" fillId="6" borderId="0" xfId="0" applyFont="1" applyFill="1"/>
    <xf numFmtId="0" fontId="0" fillId="4" borderId="39" xfId="0" applyFill="1" applyBorder="1" applyAlignment="1">
      <alignment horizontal="center"/>
    </xf>
    <xf numFmtId="0" fontId="49" fillId="6" borderId="0" xfId="0" applyFont="1" applyFill="1" applyAlignment="1">
      <alignment horizontal="center"/>
    </xf>
    <xf numFmtId="0" fontId="0" fillId="6" borderId="4" xfId="0" applyFill="1" applyBorder="1"/>
    <xf numFmtId="165" fontId="0" fillId="7" borderId="0" xfId="0" applyNumberFormat="1" applyFill="1" applyAlignment="1">
      <alignment horizontal="center"/>
    </xf>
    <xf numFmtId="165" fontId="0" fillId="0" borderId="0" xfId="0" applyNumberFormat="1"/>
    <xf numFmtId="165" fontId="2" fillId="0" borderId="0" xfId="0" applyNumberFormat="1" applyFont="1" applyAlignment="1">
      <alignment horizontal="left"/>
    </xf>
    <xf numFmtId="165" fontId="0" fillId="0" borderId="0" xfId="0" applyNumberFormat="1" applyAlignment="1">
      <alignment horizontal="left"/>
    </xf>
    <xf numFmtId="0" fontId="0" fillId="4" borderId="85" xfId="0" applyFill="1" applyBorder="1" applyAlignment="1">
      <alignment horizontal="center"/>
    </xf>
    <xf numFmtId="0" fontId="0" fillId="6" borderId="6" xfId="0" applyFill="1" applyBorder="1"/>
    <xf numFmtId="0" fontId="0" fillId="5" borderId="67" xfId="0" applyFill="1" applyBorder="1" applyAlignment="1">
      <alignment horizontal="center"/>
    </xf>
    <xf numFmtId="0" fontId="12" fillId="0" borderId="0" xfId="2"/>
    <xf numFmtId="0" fontId="0" fillId="0" borderId="0" xfId="0" applyProtection="1">
      <protection locked="0"/>
    </xf>
    <xf numFmtId="0" fontId="11" fillId="0" borderId="7" xfId="1" applyFont="1" applyBorder="1" applyAlignment="1" applyProtection="1">
      <alignment horizontal="centerContinuous"/>
      <protection hidden="1"/>
    </xf>
    <xf numFmtId="0" fontId="10" fillId="0" borderId="4" xfId="1" applyFont="1" applyBorder="1" applyAlignment="1" applyProtection="1">
      <alignment horizontal="centerContinuous"/>
      <protection hidden="1"/>
    </xf>
    <xf numFmtId="0" fontId="9" fillId="0" borderId="5" xfId="5" applyFont="1" applyBorder="1" applyAlignment="1" applyProtection="1">
      <alignment horizontal="centerContinuous"/>
      <protection locked="0"/>
    </xf>
    <xf numFmtId="0" fontId="9" fillId="0" borderId="5" xfId="0" applyFont="1" applyBorder="1" applyAlignment="1" applyProtection="1">
      <alignment horizontal="centerContinuous"/>
      <protection locked="0"/>
    </xf>
    <xf numFmtId="0" fontId="9" fillId="0" borderId="0" xfId="5" applyFont="1" applyAlignment="1" applyProtection="1">
      <alignment horizontal="left"/>
      <protection hidden="1"/>
    </xf>
    <xf numFmtId="166" fontId="9" fillId="0" borderId="0" xfId="5" applyNumberFormat="1" applyFont="1" applyProtection="1">
      <protection hidden="1"/>
    </xf>
    <xf numFmtId="0" fontId="0" fillId="5" borderId="62" xfId="0" applyFill="1" applyBorder="1" applyAlignment="1">
      <alignment horizontal="center"/>
    </xf>
    <xf numFmtId="0" fontId="0" fillId="5" borderId="69" xfId="0" applyFill="1" applyBorder="1" applyAlignment="1">
      <alignment horizontal="center"/>
    </xf>
    <xf numFmtId="0" fontId="55" fillId="6" borderId="0" xfId="0" applyFont="1" applyFill="1"/>
    <xf numFmtId="0" fontId="4" fillId="0" borderId="8" xfId="0" applyFont="1" applyBorder="1" applyAlignment="1" applyProtection="1">
      <alignment horizontal="center" vertical="center"/>
      <protection hidden="1"/>
    </xf>
    <xf numFmtId="0" fontId="6" fillId="2" borderId="54" xfId="1" applyFont="1" applyFill="1" applyBorder="1" applyAlignment="1" applyProtection="1">
      <alignment horizontal="center"/>
      <protection locked="0"/>
    </xf>
    <xf numFmtId="0" fontId="6" fillId="2" borderId="88" xfId="5" applyFont="1" applyFill="1" applyBorder="1" applyAlignment="1" applyProtection="1">
      <alignment horizontal="center"/>
      <protection locked="0"/>
    </xf>
    <xf numFmtId="1" fontId="4" fillId="8" borderId="52" xfId="7" applyNumberFormat="1" applyFont="1" applyFill="1" applyBorder="1" applyAlignment="1" applyProtection="1">
      <alignment horizontal="center" vertical="center"/>
      <protection hidden="1"/>
    </xf>
    <xf numFmtId="1" fontId="4" fillId="8" borderId="34" xfId="7" applyNumberFormat="1" applyFont="1" applyFill="1" applyBorder="1" applyAlignment="1" applyProtection="1">
      <alignment horizontal="center" vertical="center"/>
      <protection hidden="1"/>
    </xf>
    <xf numFmtId="1" fontId="4" fillId="8" borderId="35" xfId="7" applyNumberFormat="1" applyFont="1" applyFill="1" applyBorder="1" applyAlignment="1" applyProtection="1">
      <alignment horizontal="center" vertical="center"/>
      <protection hidden="1"/>
    </xf>
    <xf numFmtId="0" fontId="6" fillId="8" borderId="5" xfId="1" applyFont="1" applyFill="1" applyBorder="1" applyAlignment="1" applyProtection="1">
      <alignment horizontal="centerContinuous"/>
      <protection hidden="1"/>
    </xf>
    <xf numFmtId="0" fontId="4" fillId="8" borderId="60" xfId="6" applyFont="1" applyFill="1" applyBorder="1" applyAlignment="1" applyProtection="1">
      <alignment horizontal="centerContinuous" vertical="center"/>
      <protection locked="0"/>
    </xf>
    <xf numFmtId="0" fontId="4" fillId="8" borderId="5" xfId="6" applyFont="1" applyFill="1" applyBorder="1" applyAlignment="1" applyProtection="1">
      <alignment horizontal="centerContinuous" vertical="center"/>
      <protection locked="0"/>
    </xf>
    <xf numFmtId="0" fontId="4" fillId="8" borderId="4" xfId="0" applyFont="1" applyFill="1" applyBorder="1" applyAlignment="1" applyProtection="1">
      <alignment horizontal="centerContinuous" vertical="center"/>
      <protection locked="0"/>
    </xf>
    <xf numFmtId="165" fontId="0" fillId="2" borderId="17" xfId="0" applyNumberFormat="1" applyFill="1" applyBorder="1" applyAlignment="1" applyProtection="1">
      <alignment horizontal="center"/>
      <protection locked="0"/>
    </xf>
    <xf numFmtId="0" fontId="33" fillId="0" borderId="0" xfId="0" applyFont="1"/>
    <xf numFmtId="174" fontId="22" fillId="0" borderId="0" xfId="3" applyNumberFormat="1" applyFont="1" applyAlignment="1">
      <alignment horizontal="center" vertical="top"/>
    </xf>
    <xf numFmtId="0" fontId="22" fillId="0" borderId="0" xfId="3" applyFont="1" applyAlignment="1">
      <alignment horizontal="center" vertical="top"/>
    </xf>
    <xf numFmtId="0" fontId="3" fillId="0" borderId="0" xfId="3" applyAlignment="1">
      <alignment vertical="top" wrapText="1"/>
    </xf>
    <xf numFmtId="0" fontId="3" fillId="0" borderId="0" xfId="3" applyAlignment="1">
      <alignment vertical="top"/>
    </xf>
    <xf numFmtId="174" fontId="44" fillId="7" borderId="0" xfId="3" applyNumberFormat="1" applyFont="1" applyFill="1" applyAlignment="1">
      <alignment horizontal="center" vertical="top"/>
    </xf>
    <xf numFmtId="0" fontId="44" fillId="7" borderId="0" xfId="3" applyFont="1" applyFill="1" applyAlignment="1">
      <alignment horizontal="center" vertical="top"/>
    </xf>
    <xf numFmtId="0" fontId="44" fillId="7" borderId="0" xfId="3" applyFont="1" applyFill="1" applyAlignment="1">
      <alignment vertical="top" wrapText="1"/>
    </xf>
    <xf numFmtId="174" fontId="3" fillId="0" borderId="0" xfId="3" applyNumberFormat="1" applyAlignment="1">
      <alignment horizontal="center" vertical="top"/>
    </xf>
    <xf numFmtId="0" fontId="3" fillId="0" borderId="0" xfId="3" applyAlignment="1">
      <alignment horizontal="center" vertical="top"/>
    </xf>
    <xf numFmtId="0" fontId="3" fillId="0" borderId="0" xfId="3"/>
    <xf numFmtId="0" fontId="3" fillId="9" borderId="0" xfId="3" applyFill="1"/>
    <xf numFmtId="0" fontId="3" fillId="9" borderId="0" xfId="3" applyFill="1" applyAlignment="1">
      <alignment horizontal="left"/>
    </xf>
    <xf numFmtId="0" fontId="3" fillId="10" borderId="0" xfId="3" applyFill="1"/>
    <xf numFmtId="49" fontId="22" fillId="11" borderId="16" xfId="3" applyNumberFormat="1" applyFont="1" applyFill="1" applyBorder="1" applyAlignment="1">
      <alignment horizontal="center" vertical="top"/>
    </xf>
    <xf numFmtId="49" fontId="22" fillId="11" borderId="16" xfId="3" quotePrefix="1" applyNumberFormat="1" applyFont="1" applyFill="1" applyBorder="1" applyAlignment="1">
      <alignment horizontal="center" vertical="top"/>
    </xf>
    <xf numFmtId="0" fontId="22" fillId="11" borderId="14" xfId="3" applyFont="1" applyFill="1" applyBorder="1" applyAlignment="1">
      <alignment horizontal="center" vertical="top"/>
    </xf>
    <xf numFmtId="0" fontId="22" fillId="11" borderId="89" xfId="3" applyFont="1" applyFill="1" applyBorder="1" applyAlignment="1">
      <alignment horizontal="center" vertical="top"/>
    </xf>
    <xf numFmtId="0" fontId="3" fillId="11" borderId="0" xfId="3" applyFill="1" applyAlignment="1">
      <alignment vertical="top"/>
    </xf>
    <xf numFmtId="0" fontId="22" fillId="0" borderId="0" xfId="3" applyFont="1" applyAlignment="1">
      <alignment vertical="top"/>
    </xf>
    <xf numFmtId="0" fontId="22" fillId="11" borderId="16" xfId="3" applyFont="1" applyFill="1" applyBorder="1" applyAlignment="1">
      <alignment horizontal="center" vertical="top"/>
    </xf>
    <xf numFmtId="0" fontId="22" fillId="11" borderId="84" xfId="3" applyFont="1" applyFill="1" applyBorder="1" applyAlignment="1">
      <alignment horizontal="center" vertical="top"/>
    </xf>
    <xf numFmtId="0" fontId="3" fillId="2" borderId="0" xfId="3" applyFill="1" applyAlignment="1">
      <alignment vertical="top"/>
    </xf>
    <xf numFmtId="0" fontId="22" fillId="0" borderId="0" xfId="3" quotePrefix="1" applyFont="1" applyAlignment="1">
      <alignment horizontal="left" vertical="top"/>
    </xf>
    <xf numFmtId="49" fontId="22" fillId="11" borderId="55" xfId="3" applyNumberFormat="1" applyFont="1" applyFill="1" applyBorder="1" applyAlignment="1">
      <alignment horizontal="center" vertical="top"/>
    </xf>
    <xf numFmtId="0" fontId="33" fillId="11" borderId="55" xfId="3" quotePrefix="1" applyFont="1" applyFill="1" applyBorder="1" applyAlignment="1">
      <alignment horizontal="center" vertical="top"/>
    </xf>
    <xf numFmtId="0" fontId="22" fillId="11" borderId="40" xfId="3" applyFont="1" applyFill="1" applyBorder="1" applyAlignment="1">
      <alignment horizontal="center" vertical="top"/>
    </xf>
    <xf numFmtId="0" fontId="3" fillId="0" borderId="0" xfId="3" quotePrefix="1" applyAlignment="1">
      <alignment horizontal="left" vertical="top"/>
    </xf>
    <xf numFmtId="0" fontId="6" fillId="9" borderId="23" xfId="3" applyFont="1" applyFill="1" applyBorder="1" applyAlignment="1">
      <alignment vertical="top"/>
    </xf>
    <xf numFmtId="0" fontId="3" fillId="6" borderId="14" xfId="3" applyFill="1" applyBorder="1" applyAlignment="1">
      <alignment vertical="top"/>
    </xf>
    <xf numFmtId="0" fontId="3" fillId="6" borderId="14" xfId="3" applyFill="1" applyBorder="1" applyAlignment="1">
      <alignment vertical="top" wrapText="1"/>
    </xf>
    <xf numFmtId="49" fontId="3" fillId="4" borderId="23" xfId="3" applyNumberFormat="1" applyFill="1" applyBorder="1" applyAlignment="1" applyProtection="1">
      <alignment vertical="top"/>
      <protection locked="0"/>
    </xf>
    <xf numFmtId="0" fontId="3" fillId="4" borderId="55" xfId="3" applyFill="1" applyBorder="1" applyAlignment="1" applyProtection="1">
      <alignment vertical="top"/>
      <protection locked="0"/>
    </xf>
    <xf numFmtId="0" fontId="3" fillId="4" borderId="23" xfId="3" applyFill="1" applyBorder="1" applyAlignment="1" applyProtection="1">
      <alignment vertical="top"/>
      <protection locked="0"/>
    </xf>
    <xf numFmtId="49" fontId="3" fillId="4" borderId="23" xfId="3" applyNumberFormat="1" applyFill="1" applyBorder="1" applyAlignment="1">
      <alignment vertical="top"/>
    </xf>
    <xf numFmtId="0" fontId="3" fillId="4" borderId="23" xfId="3" applyFill="1" applyBorder="1" applyAlignment="1">
      <alignment vertical="top"/>
    </xf>
    <xf numFmtId="0" fontId="4" fillId="12" borderId="55" xfId="3" applyFont="1" applyFill="1" applyBorder="1" applyAlignment="1">
      <alignment vertical="top"/>
    </xf>
    <xf numFmtId="0" fontId="4" fillId="12" borderId="23" xfId="3" applyFont="1" applyFill="1" applyBorder="1" applyAlignment="1">
      <alignment vertical="top"/>
    </xf>
    <xf numFmtId="0" fontId="6" fillId="6" borderId="23" xfId="3" applyFont="1" applyFill="1" applyBorder="1" applyAlignment="1">
      <alignment vertical="top"/>
    </xf>
    <xf numFmtId="0" fontId="4" fillId="13" borderId="23" xfId="3" applyFont="1" applyFill="1" applyBorder="1" applyAlignment="1">
      <alignment vertical="top"/>
    </xf>
    <xf numFmtId="0" fontId="6" fillId="0" borderId="0" xfId="3" applyFont="1"/>
    <xf numFmtId="0" fontId="4" fillId="0" borderId="55" xfId="3" applyFont="1" applyBorder="1" applyAlignment="1">
      <alignment vertical="top"/>
    </xf>
    <xf numFmtId="0" fontId="4" fillId="0" borderId="23" xfId="3" applyFont="1" applyBorder="1" applyAlignment="1">
      <alignment vertical="top"/>
    </xf>
    <xf numFmtId="0" fontId="6" fillId="0" borderId="23" xfId="3" applyFont="1" applyBorder="1" applyAlignment="1">
      <alignment vertical="top"/>
    </xf>
    <xf numFmtId="0" fontId="22" fillId="11" borderId="81" xfId="3" quotePrefix="1" applyFont="1" applyFill="1" applyBorder="1" applyAlignment="1">
      <alignment horizontal="center" wrapText="1"/>
    </xf>
    <xf numFmtId="0" fontId="22" fillId="11" borderId="90" xfId="3" quotePrefix="1" applyFont="1" applyFill="1" applyBorder="1" applyAlignment="1">
      <alignment horizontal="center" wrapText="1"/>
    </xf>
    <xf numFmtId="0" fontId="6" fillId="6" borderId="23" xfId="3" applyFont="1" applyFill="1" applyBorder="1" applyAlignment="1">
      <alignment horizontal="center" vertical="top"/>
    </xf>
    <xf numFmtId="0" fontId="4" fillId="0" borderId="23" xfId="3" applyFont="1" applyBorder="1" applyAlignment="1">
      <alignment horizontal="center" vertical="top"/>
    </xf>
    <xf numFmtId="0" fontId="6" fillId="0" borderId="23" xfId="3" applyFont="1" applyBorder="1" applyAlignment="1">
      <alignment horizontal="center" vertical="top"/>
    </xf>
    <xf numFmtId="0" fontId="6" fillId="0" borderId="14" xfId="3" applyFont="1" applyBorder="1" applyAlignment="1">
      <alignment vertical="top"/>
    </xf>
    <xf numFmtId="0" fontId="4" fillId="0" borderId="14" xfId="3" applyFont="1" applyBorder="1" applyAlignment="1">
      <alignment vertical="top"/>
    </xf>
    <xf numFmtId="0" fontId="27" fillId="0" borderId="0" xfId="3" applyFont="1"/>
    <xf numFmtId="0" fontId="22" fillId="0" borderId="0" xfId="3" applyFont="1" applyAlignment="1">
      <alignment horizontal="right" vertical="top"/>
    </xf>
    <xf numFmtId="0" fontId="4" fillId="6" borderId="23" xfId="3" applyFont="1" applyFill="1" applyBorder="1" applyAlignment="1">
      <alignment horizontal="center" vertical="top"/>
    </xf>
    <xf numFmtId="0" fontId="4" fillId="0" borderId="16" xfId="3" applyFont="1" applyBorder="1" applyAlignment="1">
      <alignment vertical="top"/>
    </xf>
    <xf numFmtId="0" fontId="4" fillId="7" borderId="91" xfId="3" quotePrefix="1" applyFont="1" applyFill="1" applyBorder="1" applyAlignment="1">
      <alignment horizontal="left" vertical="top" wrapText="1"/>
    </xf>
    <xf numFmtId="0" fontId="4" fillId="0" borderId="27" xfId="3" applyFont="1" applyBorder="1" applyAlignment="1">
      <alignment vertical="top" wrapText="1"/>
    </xf>
    <xf numFmtId="0" fontId="4" fillId="6" borderId="23" xfId="3" applyFont="1" applyFill="1" applyBorder="1" applyAlignment="1">
      <alignment vertical="top" wrapText="1"/>
    </xf>
    <xf numFmtId="0" fontId="4" fillId="0" borderId="23" xfId="3" quotePrefix="1" applyFont="1" applyBorder="1" applyAlignment="1">
      <alignment horizontal="left" vertical="top" wrapText="1"/>
    </xf>
    <xf numFmtId="0" fontId="4" fillId="0" borderId="23" xfId="3" applyFont="1" applyBorder="1" applyAlignment="1">
      <alignment vertical="top" wrapText="1"/>
    </xf>
    <xf numFmtId="0" fontId="56" fillId="0" borderId="23" xfId="3" applyFont="1" applyBorder="1" applyAlignment="1">
      <alignment vertical="top" wrapText="1"/>
    </xf>
    <xf numFmtId="0" fontId="56" fillId="6" borderId="23" xfId="3" applyFont="1" applyFill="1" applyBorder="1" applyAlignment="1">
      <alignment vertical="top" wrapText="1"/>
    </xf>
    <xf numFmtId="0" fontId="6" fillId="0" borderId="0" xfId="3" applyFont="1" applyAlignment="1">
      <alignment wrapText="1"/>
    </xf>
    <xf numFmtId="0" fontId="41" fillId="0" borderId="55" xfId="3" applyFont="1" applyBorder="1" applyAlignment="1">
      <alignment vertical="top" wrapText="1"/>
    </xf>
    <xf numFmtId="0" fontId="4" fillId="6" borderId="23" xfId="3" quotePrefix="1" applyFont="1" applyFill="1" applyBorder="1" applyAlignment="1">
      <alignment horizontal="left" vertical="top" wrapText="1"/>
    </xf>
    <xf numFmtId="0" fontId="4" fillId="6" borderId="23" xfId="3" applyFont="1" applyFill="1" applyBorder="1" applyAlignment="1">
      <alignment horizontal="left" vertical="top" wrapText="1"/>
    </xf>
    <xf numFmtId="0" fontId="57" fillId="0" borderId="23" xfId="3" quotePrefix="1" applyFont="1" applyBorder="1" applyAlignment="1">
      <alignment horizontal="left" vertical="top" wrapText="1"/>
    </xf>
    <xf numFmtId="0" fontId="4" fillId="0" borderId="14" xfId="3" applyFont="1" applyBorder="1" applyAlignment="1">
      <alignment vertical="top" wrapText="1"/>
    </xf>
    <xf numFmtId="0" fontId="58" fillId="6" borderId="23" xfId="3" quotePrefix="1" applyFont="1" applyFill="1" applyBorder="1" applyAlignment="1">
      <alignment horizontal="left" vertical="top" wrapText="1"/>
    </xf>
    <xf numFmtId="0" fontId="22" fillId="0" borderId="84" xfId="3" applyFont="1" applyBorder="1" applyAlignment="1">
      <alignment horizontal="right" vertical="top"/>
    </xf>
    <xf numFmtId="0" fontId="22" fillId="6" borderId="90" xfId="3" applyFont="1" applyFill="1" applyBorder="1" applyAlignment="1">
      <alignment horizontal="center" wrapText="1"/>
    </xf>
    <xf numFmtId="0" fontId="22" fillId="11" borderId="90" xfId="3" applyFont="1" applyFill="1" applyBorder="1" applyAlignment="1">
      <alignment horizontal="center" wrapText="1"/>
    </xf>
    <xf numFmtId="0" fontId="22" fillId="6" borderId="90" xfId="3" quotePrefix="1" applyFont="1" applyFill="1" applyBorder="1" applyAlignment="1">
      <alignment horizontal="center" wrapText="1"/>
    </xf>
    <xf numFmtId="0" fontId="43" fillId="0" borderId="84" xfId="3" quotePrefix="1" applyFont="1" applyBorder="1" applyAlignment="1">
      <alignment horizontal="left" vertical="top" wrapText="1"/>
    </xf>
    <xf numFmtId="0" fontId="42" fillId="0" borderId="0" xfId="3" applyFont="1" applyAlignment="1">
      <alignment horizontal="left" vertical="top"/>
    </xf>
    <xf numFmtId="49" fontId="3" fillId="11" borderId="92" xfId="3" applyNumberFormat="1" applyFill="1" applyBorder="1"/>
    <xf numFmtId="49" fontId="3" fillId="6" borderId="92" xfId="3" applyNumberFormat="1" applyFill="1" applyBorder="1"/>
    <xf numFmtId="14" fontId="3" fillId="6" borderId="92" xfId="3" applyNumberFormat="1" applyFill="1" applyBorder="1"/>
    <xf numFmtId="174" fontId="3" fillId="11" borderId="92" xfId="3" applyNumberFormat="1" applyFill="1" applyBorder="1" applyAlignment="1">
      <alignment horizontal="center"/>
    </xf>
    <xf numFmtId="49" fontId="3" fillId="11" borderId="92" xfId="3" applyNumberFormat="1" applyFill="1" applyBorder="1" applyAlignment="1">
      <alignment horizontal="center"/>
    </xf>
    <xf numFmtId="49" fontId="3" fillId="6" borderId="23" xfId="3" applyNumberFormat="1" applyFill="1" applyBorder="1"/>
    <xf numFmtId="49" fontId="3" fillId="11" borderId="23" xfId="3" applyNumberFormat="1" applyFill="1" applyBorder="1"/>
    <xf numFmtId="14" fontId="3" fillId="6" borderId="23" xfId="3" applyNumberFormat="1" applyFill="1" applyBorder="1"/>
    <xf numFmtId="174" fontId="3" fillId="11" borderId="23" xfId="3" applyNumberFormat="1" applyFill="1" applyBorder="1" applyAlignment="1">
      <alignment horizontal="center"/>
    </xf>
    <xf numFmtId="49" fontId="3" fillId="11" borderId="23" xfId="3" applyNumberFormat="1" applyFill="1" applyBorder="1" applyAlignment="1">
      <alignment horizontal="center"/>
    </xf>
    <xf numFmtId="49" fontId="3" fillId="6" borderId="23" xfId="3" quotePrefix="1" applyNumberFormat="1" applyFill="1" applyBorder="1" applyAlignment="1">
      <alignment horizontal="left"/>
    </xf>
    <xf numFmtId="49" fontId="3" fillId="6" borderId="93" xfId="3" applyNumberFormat="1" applyFill="1" applyBorder="1"/>
    <xf numFmtId="49" fontId="3" fillId="11" borderId="93" xfId="3" applyNumberFormat="1" applyFill="1" applyBorder="1"/>
    <xf numFmtId="14" fontId="3" fillId="6" borderId="93" xfId="3" applyNumberFormat="1" applyFill="1" applyBorder="1"/>
    <xf numFmtId="174" fontId="3" fillId="11" borderId="93" xfId="3" applyNumberFormat="1" applyFill="1" applyBorder="1" applyAlignment="1">
      <alignment horizontal="center"/>
    </xf>
    <xf numFmtId="49" fontId="3" fillId="11" borderId="93" xfId="3" applyNumberFormat="1" applyFill="1" applyBorder="1" applyAlignment="1">
      <alignment horizontal="center"/>
    </xf>
    <xf numFmtId="0" fontId="6" fillId="11" borderId="23" xfId="3" applyFont="1" applyFill="1" applyBorder="1" applyAlignment="1">
      <alignment vertical="top"/>
    </xf>
    <xf numFmtId="49" fontId="6" fillId="11" borderId="23" xfId="3" applyNumberFormat="1" applyFont="1" applyFill="1" applyBorder="1" applyAlignment="1">
      <alignment vertical="top"/>
    </xf>
    <xf numFmtId="49" fontId="6" fillId="0" borderId="14" xfId="3" applyNumberFormat="1" applyFont="1" applyBorder="1" applyAlignment="1">
      <alignment vertical="top"/>
    </xf>
    <xf numFmtId="0" fontId="4" fillId="7" borderId="81" xfId="3" quotePrefix="1" applyFont="1" applyFill="1" applyBorder="1" applyAlignment="1">
      <alignment horizontal="left" vertical="top" wrapText="1"/>
    </xf>
    <xf numFmtId="0" fontId="3" fillId="0" borderId="27" xfId="3" applyBorder="1" applyAlignment="1">
      <alignment vertical="top"/>
    </xf>
    <xf numFmtId="0" fontId="3" fillId="6" borderId="23" xfId="3" applyFill="1" applyBorder="1" applyAlignment="1">
      <alignment vertical="top"/>
    </xf>
    <xf numFmtId="0" fontId="27" fillId="10" borderId="91" xfId="3" applyFont="1" applyFill="1" applyBorder="1" applyAlignment="1">
      <alignment horizontal="center" vertical="center"/>
    </xf>
    <xf numFmtId="0" fontId="3" fillId="0" borderId="28" xfId="3" applyBorder="1"/>
    <xf numFmtId="0" fontId="43" fillId="9" borderId="94" xfId="3" applyFont="1" applyFill="1" applyBorder="1" applyAlignment="1">
      <alignment horizontal="centerContinuous" vertical="center" wrapText="1"/>
    </xf>
    <xf numFmtId="0" fontId="3" fillId="9" borderId="95" xfId="3" applyFill="1" applyBorder="1" applyAlignment="1">
      <alignment horizontal="centerContinuous" vertical="center" wrapText="1"/>
    </xf>
    <xf numFmtId="0" fontId="3" fillId="9" borderId="96" xfId="3" applyFill="1" applyBorder="1" applyAlignment="1">
      <alignment horizontal="centerContinuous" vertical="center" wrapText="1"/>
    </xf>
    <xf numFmtId="0" fontId="6" fillId="0" borderId="27" xfId="3" applyFont="1" applyBorder="1" applyAlignment="1">
      <alignment vertical="top" wrapText="1"/>
    </xf>
    <xf numFmtId="0" fontId="6" fillId="6" borderId="14" xfId="3" applyFont="1" applyFill="1" applyBorder="1" applyAlignment="1">
      <alignment vertical="top" wrapText="1"/>
    </xf>
    <xf numFmtId="49" fontId="22" fillId="0" borderId="90" xfId="3" applyNumberFormat="1" applyFont="1" applyBorder="1" applyAlignment="1">
      <alignment vertical="top"/>
    </xf>
    <xf numFmtId="49" fontId="43" fillId="9" borderId="55" xfId="3" applyNumberFormat="1" applyFont="1" applyFill="1" applyBorder="1"/>
    <xf numFmtId="49" fontId="43" fillId="9" borderId="23" xfId="3" applyNumberFormat="1" applyFont="1" applyFill="1" applyBorder="1"/>
    <xf numFmtId="49" fontId="43" fillId="9" borderId="93" xfId="3" applyNumberFormat="1" applyFont="1" applyFill="1" applyBorder="1"/>
    <xf numFmtId="0" fontId="6" fillId="0" borderId="55" xfId="3" applyFont="1" applyBorder="1" applyAlignment="1">
      <alignment horizontal="center" vertical="top"/>
    </xf>
    <xf numFmtId="0" fontId="6" fillId="6" borderId="14" xfId="3" applyFont="1" applyFill="1" applyBorder="1" applyAlignment="1">
      <alignment horizontal="center" vertical="top"/>
    </xf>
    <xf numFmtId="0" fontId="6" fillId="6" borderId="55" xfId="3" applyFont="1" applyFill="1" applyBorder="1" applyAlignment="1">
      <alignment vertical="top"/>
    </xf>
    <xf numFmtId="0" fontId="6" fillId="6" borderId="14" xfId="3" applyFont="1" applyFill="1" applyBorder="1" applyAlignment="1">
      <alignment vertical="top"/>
    </xf>
    <xf numFmtId="0" fontId="6" fillId="0" borderId="16" xfId="3" applyFont="1" applyBorder="1" applyAlignment="1">
      <alignment vertical="top"/>
    </xf>
    <xf numFmtId="0" fontId="4" fillId="7" borderId="97" xfId="3" quotePrefix="1" applyFont="1" applyFill="1" applyBorder="1" applyAlignment="1">
      <alignment horizontal="left" vertical="top" wrapText="1"/>
    </xf>
    <xf numFmtId="0" fontId="3" fillId="7" borderId="90" xfId="3" applyFill="1" applyBorder="1" applyAlignment="1">
      <alignment vertical="top"/>
    </xf>
    <xf numFmtId="0" fontId="3" fillId="7" borderId="96" xfId="3" applyFill="1" applyBorder="1" applyAlignment="1">
      <alignment vertical="top"/>
    </xf>
    <xf numFmtId="0" fontId="34" fillId="0" borderId="55" xfId="3" applyFont="1" applyBorder="1" applyAlignment="1">
      <alignment vertical="top" wrapText="1"/>
    </xf>
    <xf numFmtId="0" fontId="6" fillId="0" borderId="55" xfId="3" applyFont="1" applyBorder="1" applyAlignment="1">
      <alignment vertical="top" wrapText="1"/>
    </xf>
    <xf numFmtId="0" fontId="6" fillId="0" borderId="23" xfId="3" applyFont="1" applyBorder="1" applyAlignment="1">
      <alignment vertical="top" wrapText="1"/>
    </xf>
    <xf numFmtId="0" fontId="4" fillId="7" borderId="96" xfId="3" applyFont="1" applyFill="1" applyBorder="1" applyAlignment="1">
      <alignment vertical="top" wrapText="1"/>
    </xf>
    <xf numFmtId="0" fontId="4" fillId="0" borderId="55" xfId="3" applyFont="1" applyBorder="1" applyAlignment="1">
      <alignment vertical="top" wrapText="1"/>
    </xf>
    <xf numFmtId="0" fontId="4" fillId="0" borderId="23" xfId="3" applyFont="1" applyBorder="1" applyAlignment="1">
      <alignment horizontal="left" vertical="top" wrapText="1"/>
    </xf>
    <xf numFmtId="174" fontId="3" fillId="11" borderId="92" xfId="3" applyNumberFormat="1" applyFill="1" applyBorder="1"/>
    <xf numFmtId="174" fontId="3" fillId="11" borderId="23" xfId="3" applyNumberFormat="1" applyFill="1" applyBorder="1"/>
    <xf numFmtId="174" fontId="3" fillId="11" borderId="93" xfId="3" applyNumberFormat="1" applyFill="1" applyBorder="1"/>
    <xf numFmtId="0" fontId="42" fillId="0" borderId="0" xfId="3" quotePrefix="1" applyFont="1" applyAlignment="1">
      <alignment horizontal="left" vertical="top"/>
    </xf>
    <xf numFmtId="0" fontId="6" fillId="14" borderId="23" xfId="3" applyFont="1" applyFill="1" applyBorder="1" applyAlignment="1">
      <alignment vertical="top"/>
    </xf>
    <xf numFmtId="0" fontId="3" fillId="7" borderId="90" xfId="3" applyFill="1" applyBorder="1" applyAlignment="1">
      <alignment vertical="top" wrapText="1"/>
    </xf>
    <xf numFmtId="0" fontId="3" fillId="0" borderId="27" xfId="3" applyBorder="1" applyAlignment="1">
      <alignment vertical="top" wrapText="1"/>
    </xf>
    <xf numFmtId="0" fontId="3" fillId="6" borderId="23" xfId="3" applyFill="1" applyBorder="1" applyAlignment="1">
      <alignment vertical="top" wrapText="1"/>
    </xf>
    <xf numFmtId="0" fontId="22" fillId="0" borderId="55" xfId="3" applyFont="1" applyBorder="1" applyAlignment="1">
      <alignment vertical="top" wrapText="1"/>
    </xf>
    <xf numFmtId="0" fontId="6" fillId="6" borderId="23" xfId="3" applyFont="1" applyFill="1" applyBorder="1" applyAlignment="1">
      <alignment vertical="top" wrapText="1"/>
    </xf>
    <xf numFmtId="49" fontId="3" fillId="6" borderId="55" xfId="3" applyNumberFormat="1" applyFill="1" applyBorder="1"/>
    <xf numFmtId="14" fontId="3" fillId="6" borderId="55" xfId="3" applyNumberFormat="1" applyFill="1" applyBorder="1"/>
    <xf numFmtId="0" fontId="6" fillId="15" borderId="23" xfId="3" applyFont="1" applyFill="1" applyBorder="1" applyAlignment="1">
      <alignment vertical="top"/>
    </xf>
    <xf numFmtId="0" fontId="3" fillId="7" borderId="96" xfId="3" applyFill="1" applyBorder="1" applyAlignment="1">
      <alignment vertical="top" wrapText="1"/>
    </xf>
    <xf numFmtId="0" fontId="42" fillId="6" borderId="27" xfId="3" applyFont="1" applyFill="1" applyBorder="1" applyAlignment="1">
      <alignment vertical="top" wrapText="1"/>
    </xf>
    <xf numFmtId="0" fontId="3" fillId="6" borderId="55" xfId="3" applyFill="1" applyBorder="1" applyAlignment="1">
      <alignment vertical="top" wrapText="1"/>
    </xf>
    <xf numFmtId="0" fontId="3" fillId="0" borderId="23" xfId="3" applyBorder="1" applyAlignment="1">
      <alignment vertical="top" wrapText="1"/>
    </xf>
    <xf numFmtId="0" fontId="6" fillId="6" borderId="23" xfId="3" quotePrefix="1" applyFont="1" applyFill="1" applyBorder="1" applyAlignment="1">
      <alignment horizontal="left" vertical="top" wrapText="1"/>
    </xf>
    <xf numFmtId="0" fontId="6" fillId="9" borderId="0" xfId="3" applyFont="1" applyFill="1"/>
    <xf numFmtId="0" fontId="44" fillId="0" borderId="0" xfId="3" applyFont="1"/>
    <xf numFmtId="0" fontId="3" fillId="0" borderId="0" xfId="3" quotePrefix="1" applyAlignment="1">
      <alignment horizontal="left"/>
    </xf>
    <xf numFmtId="0" fontId="6" fillId="0" borderId="0" xfId="3" applyFont="1" applyAlignment="1">
      <alignment horizontal="left"/>
    </xf>
    <xf numFmtId="0" fontId="36" fillId="0" borderId="0" xfId="3" applyFont="1"/>
    <xf numFmtId="0" fontId="3" fillId="10" borderId="0" xfId="3" quotePrefix="1" applyFill="1" applyAlignment="1">
      <alignment horizontal="left"/>
    </xf>
    <xf numFmtId="0" fontId="59" fillId="0" borderId="0" xfId="3" quotePrefix="1" applyFont="1" applyAlignment="1">
      <alignment horizontal="left"/>
    </xf>
    <xf numFmtId="0" fontId="36" fillId="0" borderId="0" xfId="3" quotePrefix="1" applyFont="1" applyAlignment="1">
      <alignment horizontal="left"/>
    </xf>
    <xf numFmtId="0" fontId="6" fillId="0" borderId="98" xfId="3" quotePrefix="1" applyFont="1" applyBorder="1" applyAlignment="1">
      <alignment horizontal="left"/>
    </xf>
    <xf numFmtId="0" fontId="44" fillId="0" borderId="0" xfId="3" quotePrefix="1" applyFont="1" applyAlignment="1">
      <alignment horizontal="left"/>
    </xf>
    <xf numFmtId="0" fontId="3" fillId="9" borderId="0" xfId="3" applyFill="1" applyAlignment="1">
      <alignment horizontal="right"/>
    </xf>
    <xf numFmtId="173" fontId="3" fillId="9" borderId="0" xfId="3" applyNumberFormat="1" applyFill="1"/>
    <xf numFmtId="0" fontId="3" fillId="9" borderId="5" xfId="3" applyFill="1" applyBorder="1"/>
    <xf numFmtId="0" fontId="34" fillId="9" borderId="0" xfId="3" applyFont="1" applyFill="1" applyProtection="1">
      <protection locked="0"/>
    </xf>
    <xf numFmtId="0" fontId="3" fillId="9" borderId="0" xfId="3" applyFill="1" applyAlignment="1">
      <alignment horizontal="center"/>
    </xf>
    <xf numFmtId="0" fontId="36" fillId="9" borderId="0" xfId="3" applyFont="1" applyFill="1" applyAlignment="1">
      <alignment horizontal="center"/>
    </xf>
    <xf numFmtId="0" fontId="34" fillId="9" borderId="0" xfId="3" applyFont="1" applyFill="1" applyAlignment="1">
      <alignment horizontal="left"/>
    </xf>
    <xf numFmtId="0" fontId="35" fillId="9" borderId="0" xfId="3" quotePrefix="1" applyFont="1" applyFill="1" applyAlignment="1">
      <alignment horizontal="left"/>
    </xf>
    <xf numFmtId="0" fontId="6" fillId="9" borderId="0" xfId="3" applyFont="1" applyFill="1" applyAlignment="1">
      <alignment horizontal="center"/>
    </xf>
    <xf numFmtId="0" fontId="35" fillId="9" borderId="0" xfId="3" applyFont="1" applyFill="1" applyAlignment="1">
      <alignment horizontal="left"/>
    </xf>
    <xf numFmtId="0" fontId="6" fillId="9" borderId="0" xfId="3" applyFont="1" applyFill="1" applyAlignment="1">
      <alignment horizontal="left"/>
    </xf>
    <xf numFmtId="49" fontId="3" fillId="0" borderId="0" xfId="3" applyNumberFormat="1"/>
    <xf numFmtId="14" fontId="3" fillId="0" borderId="0" xfId="3" applyNumberFormat="1" applyAlignment="1">
      <alignment horizontal="center" vertical="top"/>
    </xf>
    <xf numFmtId="14" fontId="3" fillId="0" borderId="0" xfId="3" applyNumberFormat="1" applyAlignment="1">
      <alignment vertical="top" wrapText="1"/>
    </xf>
    <xf numFmtId="175" fontId="3" fillId="11" borderId="93" xfId="3" applyNumberFormat="1" applyFill="1" applyBorder="1"/>
    <xf numFmtId="175" fontId="3" fillId="11" borderId="92" xfId="3" applyNumberFormat="1" applyFill="1" applyBorder="1"/>
    <xf numFmtId="175" fontId="3" fillId="11" borderId="23" xfId="3" applyNumberFormat="1" applyFill="1" applyBorder="1"/>
    <xf numFmtId="0" fontId="4" fillId="0" borderId="23" xfId="3" quotePrefix="1" applyFont="1" applyBorder="1" applyAlignment="1">
      <alignment horizontal="left" vertical="top"/>
    </xf>
    <xf numFmtId="0" fontId="55" fillId="7" borderId="0" xfId="0" applyFont="1" applyFill="1"/>
    <xf numFmtId="0" fontId="55" fillId="0" borderId="0" xfId="0" applyFont="1"/>
    <xf numFmtId="0" fontId="29" fillId="0" borderId="0" xfId="0" applyFont="1"/>
    <xf numFmtId="0" fontId="55" fillId="0" borderId="0" xfId="0" quotePrefix="1" applyFont="1" applyAlignment="1">
      <alignment horizontal="left"/>
    </xf>
    <xf numFmtId="0" fontId="0" fillId="5" borderId="69" xfId="0" quotePrefix="1" applyFill="1" applyBorder="1" applyAlignment="1">
      <alignment horizontal="center"/>
    </xf>
    <xf numFmtId="0" fontId="49" fillId="16" borderId="8" xfId="0" applyFont="1" applyFill="1" applyBorder="1" applyAlignment="1">
      <alignment horizontal="center"/>
    </xf>
    <xf numFmtId="0" fontId="0" fillId="16" borderId="33" xfId="0" applyFill="1" applyBorder="1"/>
    <xf numFmtId="0" fontId="49" fillId="16" borderId="6" xfId="0" applyFont="1" applyFill="1" applyBorder="1" applyAlignment="1">
      <alignment horizontal="center"/>
    </xf>
    <xf numFmtId="0" fontId="0" fillId="16" borderId="17" xfId="0" applyFill="1" applyBorder="1"/>
    <xf numFmtId="0" fontId="49" fillId="16" borderId="7" xfId="0" applyFont="1" applyFill="1" applyBorder="1" applyAlignment="1">
      <alignment horizontal="center"/>
    </xf>
    <xf numFmtId="0" fontId="0" fillId="16" borderId="20" xfId="0" applyFill="1" applyBorder="1"/>
    <xf numFmtId="176" fontId="4" fillId="2" borderId="64" xfId="0" applyNumberFormat="1" applyFont="1" applyFill="1" applyBorder="1" applyAlignment="1" applyProtection="1">
      <alignment horizontal="center" vertical="center"/>
      <protection locked="0"/>
    </xf>
    <xf numFmtId="176" fontId="4" fillId="2" borderId="23" xfId="0" applyNumberFormat="1" applyFont="1" applyFill="1" applyBorder="1" applyAlignment="1" applyProtection="1">
      <alignment horizontal="center" vertical="center"/>
      <protection locked="0"/>
    </xf>
    <xf numFmtId="176" fontId="4" fillId="2" borderId="66" xfId="0" applyNumberFormat="1" applyFont="1" applyFill="1" applyBorder="1" applyAlignment="1" applyProtection="1">
      <alignment horizontal="center" vertical="center"/>
      <protection locked="0"/>
    </xf>
    <xf numFmtId="0" fontId="3" fillId="0" borderId="26" xfId="3" applyBorder="1" applyAlignment="1">
      <alignment vertical="top"/>
    </xf>
    <xf numFmtId="0" fontId="6" fillId="0" borderId="22" xfId="3" applyFont="1" applyBorder="1" applyAlignment="1">
      <alignment vertical="top" wrapText="1"/>
    </xf>
    <xf numFmtId="49" fontId="3" fillId="11" borderId="14" xfId="3" applyNumberFormat="1" applyFill="1" applyBorder="1" applyAlignment="1">
      <alignment vertical="top"/>
    </xf>
    <xf numFmtId="49" fontId="3" fillId="11" borderId="23" xfId="3" applyNumberFormat="1" applyFill="1" applyBorder="1" applyAlignment="1">
      <alignment vertical="top"/>
    </xf>
    <xf numFmtId="0" fontId="3" fillId="0" borderId="23" xfId="3" applyBorder="1" applyAlignment="1">
      <alignment vertical="top"/>
    </xf>
    <xf numFmtId="14" fontId="3" fillId="11" borderId="14" xfId="3" applyNumberFormat="1" applyFill="1" applyBorder="1" applyAlignment="1">
      <alignment horizontal="right" vertical="top"/>
    </xf>
    <xf numFmtId="14" fontId="3" fillId="11" borderId="23" xfId="3" applyNumberFormat="1" applyFill="1" applyBorder="1" applyAlignment="1">
      <alignment horizontal="right" vertical="top"/>
    </xf>
    <xf numFmtId="14" fontId="3" fillId="11" borderId="93" xfId="3" applyNumberFormat="1" applyFill="1" applyBorder="1"/>
    <xf numFmtId="14" fontId="3" fillId="11" borderId="92" xfId="3" applyNumberFormat="1" applyFill="1" applyBorder="1"/>
    <xf numFmtId="14" fontId="3" fillId="11" borderId="23" xfId="3" applyNumberFormat="1" applyFill="1" applyBorder="1"/>
    <xf numFmtId="0" fontId="3" fillId="0" borderId="23" xfId="0" quotePrefix="1" applyFont="1" applyBorder="1" applyAlignment="1">
      <alignment horizontal="left" vertical="top" wrapText="1"/>
    </xf>
    <xf numFmtId="49" fontId="3" fillId="11" borderId="93" xfId="3" applyNumberFormat="1" applyFill="1" applyBorder="1" applyAlignment="1">
      <alignment horizontal="center" wrapText="1"/>
    </xf>
    <xf numFmtId="0" fontId="4" fillId="0" borderId="23" xfId="0" quotePrefix="1" applyFont="1" applyBorder="1" applyAlignment="1">
      <alignment horizontal="left" vertical="top" wrapText="1"/>
    </xf>
    <xf numFmtId="2" fontId="3" fillId="11" borderId="93" xfId="3" applyNumberFormat="1" applyFill="1" applyBorder="1"/>
    <xf numFmtId="2" fontId="3" fillId="11" borderId="92" xfId="3" applyNumberFormat="1" applyFill="1" applyBorder="1"/>
    <xf numFmtId="2" fontId="3" fillId="11" borderId="23" xfId="3" applyNumberFormat="1" applyFill="1" applyBorder="1"/>
    <xf numFmtId="14" fontId="6" fillId="11" borderId="23" xfId="3" applyNumberFormat="1" applyFont="1" applyFill="1" applyBorder="1" applyAlignment="1">
      <alignment horizontal="center" vertical="top"/>
    </xf>
    <xf numFmtId="14" fontId="6" fillId="11" borderId="93" xfId="3" applyNumberFormat="1" applyFont="1" applyFill="1" applyBorder="1" applyAlignment="1">
      <alignment horizontal="center" vertical="top"/>
    </xf>
    <xf numFmtId="14" fontId="6" fillId="11" borderId="55" xfId="3" applyNumberFormat="1" applyFont="1" applyFill="1" applyBorder="1" applyAlignment="1">
      <alignment horizontal="center" vertical="top"/>
    </xf>
    <xf numFmtId="49" fontId="43" fillId="9" borderId="90" xfId="3" applyNumberFormat="1" applyFont="1" applyFill="1" applyBorder="1"/>
    <xf numFmtId="14" fontId="6" fillId="11" borderId="99" xfId="3" applyNumberFormat="1" applyFont="1" applyFill="1" applyBorder="1" applyAlignment="1">
      <alignment horizontal="center" vertical="top"/>
    </xf>
    <xf numFmtId="0" fontId="4" fillId="7" borderId="90" xfId="3" quotePrefix="1" applyFont="1" applyFill="1" applyBorder="1" applyAlignment="1">
      <alignment horizontal="left" vertical="top" wrapText="1"/>
    </xf>
    <xf numFmtId="0" fontId="42" fillId="0" borderId="0" xfId="3" applyFont="1" applyAlignment="1">
      <alignment horizontal="left"/>
    </xf>
    <xf numFmtId="14" fontId="3" fillId="11" borderId="92" xfId="3" applyNumberFormat="1" applyFill="1" applyBorder="1" applyAlignment="1">
      <alignment horizontal="right"/>
    </xf>
    <xf numFmtId="14" fontId="3" fillId="11" borderId="23" xfId="3" applyNumberFormat="1" applyFill="1" applyBorder="1" applyAlignment="1">
      <alignment horizontal="right"/>
    </xf>
    <xf numFmtId="14" fontId="3" fillId="11" borderId="93" xfId="3" applyNumberFormat="1" applyFill="1" applyBorder="1" applyAlignment="1">
      <alignment horizontal="right"/>
    </xf>
    <xf numFmtId="0" fontId="33" fillId="0" borderId="0" xfId="3" quotePrefix="1" applyFont="1" applyAlignment="1">
      <alignment horizontal="left"/>
    </xf>
    <xf numFmtId="0" fontId="3" fillId="7" borderId="96" xfId="0" quotePrefix="1" applyFont="1" applyFill="1" applyBorder="1" applyAlignment="1">
      <alignment horizontal="left" vertical="top" wrapText="1"/>
    </xf>
    <xf numFmtId="0" fontId="29" fillId="7" borderId="0" xfId="0" applyFont="1" applyFill="1" applyAlignment="1">
      <alignment horizontal="center"/>
    </xf>
    <xf numFmtId="0" fontId="29" fillId="0" borderId="0" xfId="0" applyFont="1" applyAlignment="1">
      <alignment horizontal="center"/>
    </xf>
    <xf numFmtId="0" fontId="57" fillId="0" borderId="55" xfId="3" quotePrefix="1" applyFont="1" applyBorder="1" applyAlignment="1">
      <alignment horizontal="left" vertical="top" wrapText="1"/>
    </xf>
    <xf numFmtId="0" fontId="42" fillId="0" borderId="0" xfId="3" quotePrefix="1" applyFont="1" applyAlignment="1">
      <alignment horizontal="left"/>
    </xf>
    <xf numFmtId="0" fontId="33" fillId="0" borderId="100" xfId="3" applyFont="1" applyBorder="1" applyAlignment="1">
      <alignment horizontal="center" vertical="top" wrapText="1"/>
    </xf>
    <xf numFmtId="0" fontId="3" fillId="0" borderId="0" xfId="3" applyAlignment="1">
      <alignment horizontal="left"/>
    </xf>
    <xf numFmtId="1" fontId="3" fillId="11" borderId="23" xfId="3" applyNumberFormat="1" applyFill="1" applyBorder="1"/>
    <xf numFmtId="0" fontId="22" fillId="9" borderId="100" xfId="3" applyFont="1" applyFill="1" applyBorder="1" applyAlignment="1">
      <alignment horizontal="center" vertical="top" wrapText="1"/>
    </xf>
    <xf numFmtId="0" fontId="33" fillId="0" borderId="23" xfId="0" quotePrefix="1" applyFont="1" applyBorder="1" applyAlignment="1">
      <alignment horizontal="left" vertical="top" wrapText="1"/>
    </xf>
    <xf numFmtId="0" fontId="22" fillId="9" borderId="100" xfId="3" quotePrefix="1" applyFont="1" applyFill="1" applyBorder="1" applyAlignment="1">
      <alignment horizontal="center" vertical="top" wrapText="1"/>
    </xf>
    <xf numFmtId="49" fontId="60" fillId="0" borderId="0" xfId="0" quotePrefix="1" applyNumberFormat="1" applyFont="1" applyAlignment="1" applyProtection="1">
      <alignment horizontal="right"/>
      <protection locked="0"/>
    </xf>
    <xf numFmtId="49" fontId="3" fillId="0" borderId="0" xfId="3" applyNumberFormat="1" applyAlignment="1">
      <alignment horizontal="center"/>
    </xf>
    <xf numFmtId="175" fontId="3" fillId="11" borderId="93" xfId="3" applyNumberFormat="1" applyFill="1" applyBorder="1" applyAlignment="1">
      <alignment horizontal="center"/>
    </xf>
    <xf numFmtId="175" fontId="3" fillId="11" borderId="92" xfId="3" quotePrefix="1" applyNumberFormat="1" applyFill="1" applyBorder="1" applyAlignment="1">
      <alignment horizontal="center"/>
    </xf>
    <xf numFmtId="175" fontId="3" fillId="11" borderId="23" xfId="3" applyNumberFormat="1" applyFill="1" applyBorder="1" applyAlignment="1">
      <alignment horizontal="center"/>
    </xf>
    <xf numFmtId="0" fontId="4" fillId="0" borderId="101" xfId="0" applyFont="1" applyBorder="1" applyAlignment="1" applyProtection="1">
      <alignment vertical="center"/>
      <protection hidden="1"/>
    </xf>
    <xf numFmtId="165" fontId="14" fillId="0" borderId="22" xfId="1" applyNumberFormat="1" applyFont="1" applyBorder="1" applyAlignment="1" applyProtection="1">
      <alignment horizontal="center"/>
      <protection hidden="1"/>
    </xf>
    <xf numFmtId="0" fontId="4" fillId="7" borderId="7" xfId="0" applyFont="1" applyFill="1" applyBorder="1" applyAlignment="1">
      <alignment horizontal="center"/>
    </xf>
    <xf numFmtId="0" fontId="9" fillId="0" borderId="0" xfId="5" quotePrefix="1" applyFont="1" applyAlignment="1" applyProtection="1">
      <alignment horizontal="left"/>
      <protection locked="0" hidden="1"/>
    </xf>
    <xf numFmtId="0" fontId="4" fillId="7" borderId="52" xfId="0" applyFont="1" applyFill="1" applyBorder="1" applyAlignment="1">
      <alignment horizontal="center"/>
    </xf>
    <xf numFmtId="0" fontId="6" fillId="8" borderId="30" xfId="1" applyFont="1" applyFill="1" applyBorder="1" applyAlignment="1" applyProtection="1">
      <alignment horizontal="centerContinuous"/>
      <protection hidden="1"/>
    </xf>
    <xf numFmtId="14" fontId="14" fillId="2" borderId="64" xfId="0" quotePrefix="1" applyNumberFormat="1" applyFont="1" applyFill="1" applyBorder="1" applyProtection="1">
      <protection locked="0"/>
    </xf>
    <xf numFmtId="14" fontId="14" fillId="2" borderId="19" xfId="0" applyNumberFormat="1" applyFont="1" applyFill="1" applyBorder="1" applyProtection="1">
      <protection locked="0"/>
    </xf>
    <xf numFmtId="14" fontId="14" fillId="2" borderId="65" xfId="0" applyNumberFormat="1" applyFont="1" applyFill="1" applyBorder="1" applyProtection="1">
      <protection locked="0"/>
    </xf>
    <xf numFmtId="14" fontId="14" fillId="2" borderId="32" xfId="0" applyNumberFormat="1" applyFont="1" applyFill="1" applyBorder="1" applyProtection="1">
      <protection locked="0"/>
    </xf>
    <xf numFmtId="169" fontId="0" fillId="2" borderId="5" xfId="0" quotePrefix="1" applyNumberFormat="1" applyFill="1" applyBorder="1" applyAlignment="1" applyProtection="1">
      <alignment horizontal="center"/>
      <protection locked="0"/>
    </xf>
    <xf numFmtId="0" fontId="3" fillId="0" borderId="0" xfId="3" quotePrefix="1" applyAlignment="1">
      <alignment horizontal="left" vertical="top" wrapText="1"/>
    </xf>
    <xf numFmtId="165" fontId="3" fillId="11" borderId="23" xfId="3" applyNumberFormat="1" applyFill="1" applyBorder="1" applyAlignment="1">
      <alignment horizontal="right"/>
    </xf>
    <xf numFmtId="2" fontId="3" fillId="11" borderId="23" xfId="3" applyNumberFormat="1" applyFill="1" applyBorder="1" applyAlignment="1">
      <alignment horizontal="right"/>
    </xf>
    <xf numFmtId="177" fontId="3" fillId="11" borderId="23" xfId="3" applyNumberFormat="1" applyFill="1" applyBorder="1" applyAlignment="1">
      <alignment horizontal="right"/>
    </xf>
    <xf numFmtId="178" fontId="3" fillId="11" borderId="23" xfId="3" applyNumberFormat="1" applyFill="1" applyBorder="1" applyAlignment="1">
      <alignment horizontal="right"/>
    </xf>
    <xf numFmtId="164" fontId="3" fillId="11" borderId="23" xfId="3" applyNumberFormat="1" applyFill="1" applyBorder="1" applyAlignment="1">
      <alignment horizontal="right"/>
    </xf>
    <xf numFmtId="49" fontId="3" fillId="6" borderId="93" xfId="3" applyNumberFormat="1" applyFill="1" applyBorder="1" applyAlignment="1">
      <alignment horizontal="left"/>
    </xf>
    <xf numFmtId="49" fontId="3" fillId="6" borderId="92" xfId="3" applyNumberFormat="1" applyFill="1" applyBorder="1" applyAlignment="1">
      <alignment horizontal="left"/>
    </xf>
    <xf numFmtId="49" fontId="3" fillId="11" borderId="93" xfId="3" applyNumberFormat="1" applyFill="1" applyBorder="1" applyAlignment="1">
      <alignment horizontal="left"/>
    </xf>
    <xf numFmtId="49" fontId="3" fillId="11" borderId="92" xfId="3" applyNumberFormat="1" applyFill="1" applyBorder="1" applyAlignment="1">
      <alignment horizontal="left"/>
    </xf>
    <xf numFmtId="49" fontId="3" fillId="11" borderId="23" xfId="3" applyNumberFormat="1" applyFill="1" applyBorder="1" applyAlignment="1">
      <alignment horizontal="left"/>
    </xf>
    <xf numFmtId="49" fontId="3" fillId="11" borderId="23" xfId="3" quotePrefix="1" applyNumberFormat="1" applyFill="1" applyBorder="1" applyAlignment="1">
      <alignment horizontal="center"/>
    </xf>
    <xf numFmtId="49" fontId="3" fillId="11" borderId="90" xfId="3" applyNumberFormat="1" applyFill="1" applyBorder="1"/>
    <xf numFmtId="49" fontId="3" fillId="11" borderId="55" xfId="3" applyNumberFormat="1" applyFill="1" applyBorder="1"/>
    <xf numFmtId="49" fontId="3" fillId="11" borderId="14" xfId="3" applyNumberFormat="1" applyFill="1" applyBorder="1" applyAlignment="1">
      <alignment horizontal="left" vertical="top"/>
    </xf>
    <xf numFmtId="49" fontId="3" fillId="11" borderId="23" xfId="3" applyNumberFormat="1" applyFill="1" applyBorder="1" applyAlignment="1">
      <alignment horizontal="left" vertical="top"/>
    </xf>
    <xf numFmtId="49" fontId="3" fillId="11" borderId="12" xfId="3" applyNumberFormat="1" applyFill="1" applyBorder="1" applyAlignment="1">
      <alignment horizontal="left" vertical="top" wrapText="1"/>
    </xf>
    <xf numFmtId="49" fontId="3" fillId="11" borderId="22" xfId="3" applyNumberFormat="1" applyFill="1" applyBorder="1" applyAlignment="1">
      <alignment horizontal="left" vertical="top" wrapText="1"/>
    </xf>
    <xf numFmtId="49" fontId="3" fillId="11" borderId="23" xfId="3" applyNumberFormat="1" applyFill="1" applyBorder="1" applyAlignment="1">
      <alignment horizontal="right" vertical="top"/>
    </xf>
    <xf numFmtId="49" fontId="3" fillId="11" borderId="14" xfId="3" applyNumberFormat="1" applyFill="1" applyBorder="1" applyAlignment="1">
      <alignment horizontal="right" vertical="top"/>
    </xf>
    <xf numFmtId="49" fontId="3" fillId="11" borderId="102" xfId="3" applyNumberFormat="1" applyFill="1" applyBorder="1"/>
    <xf numFmtId="49" fontId="3" fillId="6" borderId="102" xfId="3" applyNumberFormat="1" applyFill="1" applyBorder="1"/>
    <xf numFmtId="49" fontId="22" fillId="6" borderId="23" xfId="3" applyNumberFormat="1" applyFont="1" applyFill="1" applyBorder="1" applyAlignment="1">
      <alignment horizontal="right"/>
    </xf>
    <xf numFmtId="49" fontId="3" fillId="6" borderId="102" xfId="3" applyNumberFormat="1" applyFill="1" applyBorder="1" applyAlignment="1">
      <alignment horizontal="right"/>
    </xf>
    <xf numFmtId="49" fontId="3" fillId="6" borderId="23" xfId="3" applyNumberFormat="1" applyFill="1" applyBorder="1" applyAlignment="1">
      <alignment horizontal="right"/>
    </xf>
    <xf numFmtId="49" fontId="3" fillId="11" borderId="23" xfId="3" applyNumberFormat="1" applyFill="1" applyBorder="1" applyAlignment="1">
      <alignment horizontal="right"/>
    </xf>
    <xf numFmtId="49" fontId="3" fillId="6" borderId="55" xfId="3" applyNumberFormat="1" applyFill="1" applyBorder="1" applyAlignment="1">
      <alignment horizontal="right"/>
    </xf>
    <xf numFmtId="49" fontId="3" fillId="11" borderId="102" xfId="3" quotePrefix="1" applyNumberFormat="1" applyFill="1" applyBorder="1" applyAlignment="1">
      <alignment horizontal="left"/>
    </xf>
    <xf numFmtId="49" fontId="22" fillId="6" borderId="102" xfId="3" applyNumberFormat="1" applyFont="1" applyFill="1" applyBorder="1" applyAlignment="1">
      <alignment horizontal="right"/>
    </xf>
    <xf numFmtId="171" fontId="4" fillId="0" borderId="66" xfId="7" applyNumberFormat="1" applyFont="1" applyBorder="1" applyAlignment="1" applyProtection="1">
      <alignment horizontal="center" vertical="center"/>
      <protection hidden="1"/>
    </xf>
    <xf numFmtId="49" fontId="22" fillId="0" borderId="23" xfId="3" applyNumberFormat="1" applyFont="1" applyBorder="1" applyAlignment="1">
      <alignment vertical="top"/>
    </xf>
    <xf numFmtId="49" fontId="27" fillId="0" borderId="0" xfId="3" applyNumberFormat="1" applyFont="1"/>
    <xf numFmtId="49" fontId="22" fillId="0" borderId="0" xfId="3" applyNumberFormat="1" applyFont="1"/>
    <xf numFmtId="49" fontId="58" fillId="0" borderId="55" xfId="3" applyNumberFormat="1" applyFont="1" applyBorder="1" applyAlignment="1">
      <alignment vertical="top"/>
    </xf>
    <xf numFmtId="49" fontId="58" fillId="0" borderId="23" xfId="3" applyNumberFormat="1" applyFont="1" applyBorder="1" applyAlignment="1">
      <alignment vertical="top"/>
    </xf>
    <xf numFmtId="49" fontId="22" fillId="0" borderId="55" xfId="3" applyNumberFormat="1" applyFont="1" applyBorder="1" applyAlignment="1">
      <alignment vertical="top"/>
    </xf>
    <xf numFmtId="49" fontId="22" fillId="0" borderId="22" xfId="3" applyNumberFormat="1" applyFont="1" applyBorder="1" applyAlignment="1">
      <alignment vertical="top"/>
    </xf>
    <xf numFmtId="0" fontId="25" fillId="0" borderId="0" xfId="1" applyFont="1" applyProtection="1">
      <protection locked="0" hidden="1"/>
    </xf>
    <xf numFmtId="0" fontId="61" fillId="0" borderId="0" xfId="5" applyFont="1" applyAlignment="1" applyProtection="1">
      <alignment horizontal="centerContinuous"/>
      <protection locked="0"/>
    </xf>
    <xf numFmtId="174" fontId="6" fillId="0" borderId="0" xfId="0" applyNumberFormat="1" applyFont="1" applyAlignment="1">
      <alignment horizontal="center" vertical="top"/>
    </xf>
    <xf numFmtId="0" fontId="6" fillId="0" borderId="0" xfId="0" applyFont="1" applyAlignment="1">
      <alignment horizontal="center" vertical="top"/>
    </xf>
    <xf numFmtId="0" fontId="6" fillId="0" borderId="0" xfId="0" quotePrefix="1" applyFont="1" applyAlignment="1">
      <alignment horizontal="left" vertical="top" wrapText="1"/>
    </xf>
    <xf numFmtId="0" fontId="6" fillId="0" borderId="0" xfId="0" applyFont="1" applyAlignment="1">
      <alignment vertical="top" wrapText="1"/>
    </xf>
    <xf numFmtId="0" fontId="3" fillId="2" borderId="5" xfId="5" applyFill="1" applyBorder="1" applyAlignment="1" applyProtection="1">
      <alignment horizontal="centerContinuous"/>
      <protection locked="0"/>
    </xf>
    <xf numFmtId="0" fontId="25" fillId="0" borderId="0" xfId="5" applyFont="1" applyProtection="1">
      <protection locked="0" hidden="1"/>
    </xf>
    <xf numFmtId="0" fontId="4" fillId="0" borderId="0" xfId="0" applyFont="1" applyAlignment="1" applyProtection="1">
      <alignment vertical="center"/>
      <protection locked="0"/>
    </xf>
    <xf numFmtId="0" fontId="25" fillId="0" borderId="5" xfId="5" quotePrefix="1" applyFont="1" applyBorder="1" applyProtection="1">
      <protection locked="0" hidden="1"/>
    </xf>
    <xf numFmtId="0" fontId="6" fillId="2" borderId="18" xfId="5" applyFont="1" applyFill="1" applyBorder="1" applyAlignment="1" applyProtection="1">
      <alignment horizontal="center"/>
      <protection locked="0" hidden="1"/>
    </xf>
    <xf numFmtId="174" fontId="4" fillId="2" borderId="61" xfId="0" applyNumberFormat="1" applyFont="1" applyFill="1" applyBorder="1" applyAlignment="1" applyProtection="1">
      <alignment vertical="center"/>
      <protection locked="0"/>
    </xf>
    <xf numFmtId="174" fontId="4" fillId="2" borderId="27" xfId="0" applyNumberFormat="1" applyFont="1" applyFill="1" applyBorder="1" applyAlignment="1" applyProtection="1">
      <alignment vertical="center"/>
      <protection locked="0"/>
    </xf>
    <xf numFmtId="174" fontId="4" fillId="2" borderId="31" xfId="0" applyNumberFormat="1" applyFont="1" applyFill="1" applyBorder="1" applyAlignment="1" applyProtection="1">
      <alignment vertical="center"/>
      <protection locked="0"/>
    </xf>
    <xf numFmtId="0" fontId="29" fillId="12" borderId="103" xfId="0" applyFont="1" applyFill="1" applyBorder="1"/>
    <xf numFmtId="0" fontId="4" fillId="12" borderId="23" xfId="0" applyFont="1" applyFill="1" applyBorder="1" applyAlignment="1">
      <alignment horizontal="center" vertical="top"/>
    </xf>
    <xf numFmtId="0" fontId="4" fillId="12" borderId="23" xfId="0" applyFont="1" applyFill="1" applyBorder="1" applyAlignment="1">
      <alignment vertical="top"/>
    </xf>
    <xf numFmtId="0" fontId="4" fillId="0" borderId="23" xfId="0" applyFont="1" applyBorder="1" applyAlignment="1">
      <alignment vertical="top"/>
    </xf>
    <xf numFmtId="0" fontId="4" fillId="12" borderId="23" xfId="0" quotePrefix="1" applyFont="1" applyFill="1" applyBorder="1" applyAlignment="1">
      <alignment horizontal="left" vertical="top" wrapText="1"/>
    </xf>
    <xf numFmtId="0" fontId="57" fillId="12" borderId="23" xfId="0" quotePrefix="1" applyFont="1" applyFill="1" applyBorder="1" applyAlignment="1">
      <alignment horizontal="left" vertical="top" wrapText="1"/>
    </xf>
    <xf numFmtId="0" fontId="4" fillId="12" borderId="23" xfId="0" applyFont="1" applyFill="1" applyBorder="1" applyAlignment="1">
      <alignment vertical="top" wrapText="1"/>
    </xf>
    <xf numFmtId="0" fontId="3" fillId="0" borderId="27" xfId="3" quotePrefix="1" applyBorder="1" applyAlignment="1">
      <alignment horizontal="left" vertical="top" wrapText="1"/>
    </xf>
    <xf numFmtId="0" fontId="0" fillId="0" borderId="0" xfId="0" quotePrefix="1" applyAlignment="1">
      <alignment horizontal="left"/>
    </xf>
    <xf numFmtId="49" fontId="22" fillId="12" borderId="23" xfId="3" applyNumberFormat="1" applyFont="1" applyFill="1" applyBorder="1" applyAlignment="1">
      <alignment horizontal="right"/>
    </xf>
    <xf numFmtId="0" fontId="4" fillId="0" borderId="10" xfId="0" applyFont="1" applyBorder="1" applyAlignment="1">
      <alignment horizontal="center"/>
    </xf>
    <xf numFmtId="0" fontId="32" fillId="0" borderId="0" xfId="0" applyFont="1" applyProtection="1">
      <protection locked="0"/>
    </xf>
    <xf numFmtId="0" fontId="62" fillId="0" borderId="0" xfId="0" applyFont="1" applyProtection="1">
      <protection locked="0"/>
    </xf>
    <xf numFmtId="0" fontId="62" fillId="0" borderId="0" xfId="2" applyFont="1" applyProtection="1">
      <protection locked="0"/>
    </xf>
    <xf numFmtId="0" fontId="12" fillId="0" borderId="0" xfId="2" applyProtection="1">
      <protection locked="0"/>
    </xf>
    <xf numFmtId="0" fontId="0" fillId="0" borderId="104" xfId="0" applyBorder="1"/>
    <xf numFmtId="0" fontId="0" fillId="0" borderId="39" xfId="0" applyBorder="1"/>
    <xf numFmtId="0" fontId="0" fillId="0" borderId="37" xfId="0" applyBorder="1" applyAlignment="1">
      <alignment horizontal="center"/>
    </xf>
    <xf numFmtId="0" fontId="0" fillId="0" borderId="6" xfId="0" applyBorder="1" applyAlignment="1">
      <alignment horizontal="center"/>
    </xf>
    <xf numFmtId="0" fontId="12" fillId="0" borderId="52" xfId="2" applyBorder="1" applyAlignment="1">
      <alignment horizontal="center"/>
    </xf>
    <xf numFmtId="0" fontId="12" fillId="0" borderId="65" xfId="2" applyBorder="1" applyAlignment="1">
      <alignment horizontal="center"/>
    </xf>
    <xf numFmtId="0" fontId="12" fillId="5" borderId="34" xfId="2" applyFill="1" applyBorder="1" applyAlignment="1">
      <alignment horizontal="right"/>
    </xf>
    <xf numFmtId="0" fontId="27" fillId="0" borderId="0" xfId="0" applyFont="1" applyAlignment="1">
      <alignment horizontal="centerContinuous"/>
    </xf>
    <xf numFmtId="0" fontId="0" fillId="0" borderId="16" xfId="0" applyBorder="1"/>
    <xf numFmtId="0" fontId="0" fillId="0" borderId="105" xfId="0" applyBorder="1" applyAlignment="1">
      <alignment horizontal="center"/>
    </xf>
    <xf numFmtId="165" fontId="0" fillId="0" borderId="22" xfId="0" applyNumberFormat="1" applyBorder="1" applyAlignment="1">
      <alignment horizontal="center"/>
    </xf>
    <xf numFmtId="0" fontId="0" fillId="0" borderId="106" xfId="0" applyBorder="1" applyAlignment="1">
      <alignment horizontal="center"/>
    </xf>
    <xf numFmtId="165" fontId="0" fillId="0" borderId="74" xfId="0" applyNumberFormat="1" applyBorder="1" applyAlignment="1">
      <alignment horizontal="center"/>
    </xf>
    <xf numFmtId="165" fontId="0" fillId="0" borderId="75" xfId="0" applyNumberFormat="1" applyBorder="1" applyAlignment="1">
      <alignment horizontal="center"/>
    </xf>
    <xf numFmtId="165" fontId="0" fillId="0" borderId="107" xfId="0" applyNumberFormat="1" applyBorder="1" applyAlignment="1">
      <alignment horizontal="center"/>
    </xf>
    <xf numFmtId="165" fontId="0" fillId="0" borderId="76" xfId="0" applyNumberFormat="1" applyBorder="1" applyAlignment="1">
      <alignment horizontal="center"/>
    </xf>
    <xf numFmtId="0" fontId="0" fillId="0" borderId="108" xfId="0" applyBorder="1" applyAlignment="1">
      <alignment horizontal="center"/>
    </xf>
    <xf numFmtId="165" fontId="0" fillId="0" borderId="109" xfId="0" applyNumberFormat="1" applyBorder="1" applyAlignment="1">
      <alignment horizontal="center"/>
    </xf>
    <xf numFmtId="0" fontId="0" fillId="0" borderId="22" xfId="0" applyBorder="1" applyAlignment="1">
      <alignment horizontal="center"/>
    </xf>
    <xf numFmtId="0" fontId="0" fillId="0" borderId="77" xfId="0" applyBorder="1" applyAlignment="1">
      <alignment horizontal="center"/>
    </xf>
    <xf numFmtId="0" fontId="0" fillId="0" borderId="107" xfId="0" applyBorder="1" applyAlignment="1">
      <alignment horizontal="center"/>
    </xf>
    <xf numFmtId="0" fontId="0" fillId="0" borderId="22" xfId="0" applyBorder="1"/>
    <xf numFmtId="0" fontId="0" fillId="0" borderId="70" xfId="0" applyBorder="1"/>
    <xf numFmtId="0" fontId="0" fillId="0" borderId="71" xfId="0" applyBorder="1"/>
    <xf numFmtId="0" fontId="0" fillId="0" borderId="105" xfId="0" applyBorder="1"/>
    <xf numFmtId="0" fontId="0" fillId="0" borderId="72" xfId="0" applyBorder="1"/>
    <xf numFmtId="0" fontId="0" fillId="0" borderId="73" xfId="0" applyBorder="1"/>
    <xf numFmtId="0" fontId="0" fillId="0" borderId="75" xfId="0" applyBorder="1"/>
    <xf numFmtId="0" fontId="0" fillId="0" borderId="107" xfId="0" applyBorder="1"/>
    <xf numFmtId="0" fontId="0" fillId="0" borderId="76" xfId="0" applyBorder="1"/>
    <xf numFmtId="0" fontId="0" fillId="0" borderId="110" xfId="0" applyBorder="1" applyAlignment="1">
      <alignment horizontal="center"/>
    </xf>
    <xf numFmtId="164" fontId="0" fillId="0" borderId="110" xfId="0" applyNumberFormat="1" applyBorder="1"/>
    <xf numFmtId="0" fontId="4" fillId="12" borderId="0" xfId="0" applyFont="1" applyFill="1"/>
    <xf numFmtId="0" fontId="0" fillId="12" borderId="9" xfId="0" applyFill="1" applyBorder="1"/>
    <xf numFmtId="0" fontId="4" fillId="12" borderId="0" xfId="5" applyFont="1" applyFill="1" applyAlignment="1">
      <alignment horizontal="center"/>
    </xf>
    <xf numFmtId="0" fontId="4" fillId="12" borderId="21" xfId="0" applyFont="1" applyFill="1" applyBorder="1" applyAlignment="1">
      <alignment horizontal="center"/>
    </xf>
    <xf numFmtId="0" fontId="4" fillId="12" borderId="0" xfId="0" applyFont="1" applyFill="1" applyAlignment="1">
      <alignment horizontal="centerContinuous"/>
    </xf>
    <xf numFmtId="0" fontId="4" fillId="12" borderId="0" xfId="0" applyFont="1" applyFill="1" applyAlignment="1">
      <alignment horizontal="center"/>
    </xf>
    <xf numFmtId="0" fontId="4" fillId="12" borderId="6" xfId="0" applyFont="1" applyFill="1" applyBorder="1" applyAlignment="1">
      <alignment horizontal="center"/>
    </xf>
    <xf numFmtId="165" fontId="14" fillId="0" borderId="26" xfId="4" applyNumberFormat="1" applyFont="1" applyBorder="1" applyAlignment="1" applyProtection="1">
      <alignment horizontal="right"/>
      <protection hidden="1"/>
    </xf>
    <xf numFmtId="165" fontId="14" fillId="0" borderId="6" xfId="4" applyNumberFormat="1" applyFont="1" applyBorder="1" applyProtection="1">
      <protection hidden="1"/>
    </xf>
    <xf numFmtId="165" fontId="14" fillId="0" borderId="17" xfId="4" applyNumberFormat="1" applyFont="1" applyBorder="1" applyAlignment="1" applyProtection="1">
      <alignment horizontal="right"/>
      <protection hidden="1"/>
    </xf>
    <xf numFmtId="165" fontId="14" fillId="2" borderId="35" xfId="4" applyNumberFormat="1" applyFont="1" applyFill="1" applyBorder="1" applyProtection="1">
      <protection locked="0"/>
    </xf>
    <xf numFmtId="165" fontId="14" fillId="2" borderId="84" xfId="4" applyNumberFormat="1" applyFont="1" applyFill="1" applyBorder="1" applyProtection="1">
      <protection locked="0"/>
    </xf>
    <xf numFmtId="165" fontId="14" fillId="2" borderId="29" xfId="4" applyNumberFormat="1" applyFont="1" applyFill="1" applyBorder="1" applyProtection="1">
      <protection locked="0"/>
    </xf>
    <xf numFmtId="170" fontId="3" fillId="0" borderId="5" xfId="5" applyNumberFormat="1" applyBorder="1" applyAlignment="1">
      <alignment horizontal="center"/>
    </xf>
    <xf numFmtId="0" fontId="4" fillId="0" borderId="50" xfId="0" applyFont="1" applyBorder="1" applyAlignment="1">
      <alignment horizontal="center"/>
    </xf>
    <xf numFmtId="0" fontId="4" fillId="0" borderId="88" xfId="0" applyFont="1" applyBorder="1" applyAlignment="1">
      <alignment horizontal="center"/>
    </xf>
    <xf numFmtId="0" fontId="4" fillId="0" borderId="32" xfId="0" applyFont="1" applyBorder="1" applyAlignment="1">
      <alignment horizontal="center"/>
    </xf>
    <xf numFmtId="0" fontId="6" fillId="2" borderId="87" xfId="0" applyFont="1" applyFill="1" applyBorder="1" applyAlignment="1" applyProtection="1">
      <alignment horizontal="center"/>
      <protection locked="0"/>
    </xf>
    <xf numFmtId="0" fontId="6" fillId="0" borderId="4" xfId="0" applyFont="1" applyBorder="1" applyAlignment="1" applyProtection="1">
      <alignment horizontal="center"/>
      <protection hidden="1"/>
    </xf>
    <xf numFmtId="165" fontId="6" fillId="0" borderId="5" xfId="0" applyNumberFormat="1" applyFont="1" applyBorder="1" applyAlignment="1" applyProtection="1">
      <alignment horizontal="center"/>
      <protection hidden="1"/>
    </xf>
    <xf numFmtId="165" fontId="6" fillId="0" borderId="5" xfId="5" applyNumberFormat="1" applyFont="1" applyBorder="1" applyAlignment="1" applyProtection="1">
      <alignment horizontal="center"/>
      <protection hidden="1"/>
    </xf>
    <xf numFmtId="165" fontId="6" fillId="0" borderId="4" xfId="5" applyNumberFormat="1" applyFont="1" applyBorder="1" applyAlignment="1" applyProtection="1">
      <alignment horizontal="center"/>
      <protection hidden="1"/>
    </xf>
    <xf numFmtId="0" fontId="6" fillId="0" borderId="53" xfId="0" applyFont="1" applyBorder="1" applyAlignment="1" applyProtection="1">
      <alignment horizontal="center"/>
      <protection hidden="1"/>
    </xf>
    <xf numFmtId="165" fontId="6" fillId="0" borderId="54" xfId="0" applyNumberFormat="1" applyFont="1" applyBorder="1" applyAlignment="1" applyProtection="1">
      <alignment horizontal="center"/>
      <protection hidden="1"/>
    </xf>
    <xf numFmtId="165" fontId="6" fillId="0" borderId="54" xfId="5" applyNumberFormat="1" applyFont="1" applyBorder="1" applyAlignment="1" applyProtection="1">
      <alignment horizontal="center"/>
      <protection hidden="1"/>
    </xf>
    <xf numFmtId="165" fontId="6" fillId="0" borderId="32" xfId="5" applyNumberFormat="1" applyFont="1" applyBorder="1" applyAlignment="1" applyProtection="1">
      <alignment horizontal="center"/>
      <protection hidden="1"/>
    </xf>
    <xf numFmtId="0" fontId="11" fillId="0" borderId="53" xfId="0" applyFont="1" applyBorder="1" applyAlignment="1" applyProtection="1">
      <alignment horizontal="centerContinuous"/>
      <protection hidden="1"/>
    </xf>
    <xf numFmtId="0" fontId="6" fillId="0" borderId="32" xfId="0" applyFont="1" applyBorder="1" applyAlignment="1" applyProtection="1">
      <alignment horizontal="center"/>
      <protection hidden="1"/>
    </xf>
    <xf numFmtId="165" fontId="6" fillId="0" borderId="65" xfId="0" applyNumberFormat="1" applyFont="1" applyBorder="1" applyAlignment="1" applyProtection="1">
      <alignment horizontal="center"/>
      <protection hidden="1"/>
    </xf>
    <xf numFmtId="0" fontId="4" fillId="0" borderId="8" xfId="0" applyFont="1" applyBorder="1" applyAlignment="1">
      <alignment horizontal="center"/>
    </xf>
    <xf numFmtId="0" fontId="4" fillId="0" borderId="9" xfId="0" applyFont="1" applyBorder="1" applyAlignment="1">
      <alignment horizontal="center"/>
    </xf>
    <xf numFmtId="0" fontId="4" fillId="0" borderId="48" xfId="0" applyFont="1" applyBorder="1" applyAlignment="1">
      <alignment horizontal="center"/>
    </xf>
    <xf numFmtId="0" fontId="12" fillId="0" borderId="0" xfId="2" applyAlignment="1">
      <alignment horizontal="center"/>
    </xf>
    <xf numFmtId="2" fontId="4" fillId="2" borderId="111" xfId="1" applyNumberFormat="1" applyFont="1" applyFill="1" applyBorder="1" applyAlignment="1" applyProtection="1">
      <alignment horizontal="center" vertical="center"/>
      <protection locked="0"/>
    </xf>
    <xf numFmtId="2" fontId="4" fillId="2" borderId="22" xfId="1" applyNumberFormat="1" applyFont="1" applyFill="1" applyBorder="1" applyAlignment="1" applyProtection="1">
      <alignment horizontal="center" vertical="center"/>
      <protection locked="0"/>
    </xf>
    <xf numFmtId="2" fontId="4" fillId="2" borderId="56" xfId="1" applyNumberFormat="1" applyFont="1" applyFill="1" applyBorder="1" applyAlignment="1" applyProtection="1">
      <alignment horizontal="center" vertical="center"/>
      <protection locked="0"/>
    </xf>
    <xf numFmtId="179" fontId="4" fillId="0" borderId="10" xfId="0" applyNumberFormat="1" applyFont="1" applyBorder="1" applyAlignment="1" applyProtection="1">
      <alignment horizontal="center" vertical="center"/>
      <protection hidden="1"/>
    </xf>
    <xf numFmtId="0" fontId="0" fillId="0" borderId="52" xfId="0" applyBorder="1"/>
    <xf numFmtId="0" fontId="0" fillId="0" borderId="64" xfId="0" applyBorder="1"/>
    <xf numFmtId="0" fontId="0" fillId="0" borderId="65" xfId="0" applyBorder="1"/>
    <xf numFmtId="0" fontId="0" fillId="0" borderId="34" xfId="0" applyBorder="1"/>
    <xf numFmtId="0" fontId="0" fillId="0" borderId="51" xfId="0" applyBorder="1"/>
    <xf numFmtId="0" fontId="0" fillId="0" borderId="35" xfId="0" applyBorder="1"/>
    <xf numFmtId="0" fontId="0" fillId="0" borderId="66" xfId="0" applyBorder="1"/>
    <xf numFmtId="0" fontId="0" fillId="0" borderId="50" xfId="0" applyBorder="1"/>
    <xf numFmtId="0" fontId="0" fillId="0" borderId="1" xfId="0" applyBorder="1"/>
    <xf numFmtId="0" fontId="4" fillId="7" borderId="0" xfId="0" applyFont="1" applyFill="1" applyAlignment="1">
      <alignment horizontal="centerContinuous"/>
    </xf>
    <xf numFmtId="0" fontId="4" fillId="2" borderId="65" xfId="0" applyFont="1" applyFill="1" applyBorder="1" applyAlignment="1" applyProtection="1">
      <alignment vertical="center"/>
      <protection locked="0" hidden="1"/>
    </xf>
    <xf numFmtId="0" fontId="4" fillId="2" borderId="51" xfId="0" applyFont="1" applyFill="1" applyBorder="1" applyAlignment="1" applyProtection="1">
      <alignment vertical="center"/>
      <protection locked="0" hidden="1"/>
    </xf>
    <xf numFmtId="0" fontId="4" fillId="2" borderId="50" xfId="0" applyFont="1" applyFill="1" applyBorder="1" applyAlignment="1" applyProtection="1">
      <alignment vertical="center"/>
      <protection locked="0" hidden="1"/>
    </xf>
    <xf numFmtId="2" fontId="0" fillId="0" borderId="0" xfId="0" applyNumberFormat="1"/>
    <xf numFmtId="0" fontId="0" fillId="0" borderId="0" xfId="0" applyAlignment="1" applyProtection="1">
      <alignment horizontal="left"/>
      <protection locked="0"/>
    </xf>
    <xf numFmtId="49" fontId="3" fillId="4" borderId="27" xfId="3" applyNumberFormat="1" applyFill="1" applyBorder="1" applyAlignment="1" applyProtection="1">
      <alignment horizontal="left" vertical="top"/>
      <protection locked="0"/>
    </xf>
    <xf numFmtId="49" fontId="3" fillId="4" borderId="27" xfId="3" quotePrefix="1" applyNumberFormat="1" applyFill="1" applyBorder="1" applyAlignment="1" applyProtection="1">
      <alignment horizontal="left" vertical="top"/>
      <protection locked="0"/>
    </xf>
    <xf numFmtId="49" fontId="3" fillId="4" borderId="27" xfId="3" applyNumberFormat="1" applyFill="1" applyBorder="1" applyAlignment="1" applyProtection="1">
      <alignment vertical="top"/>
      <protection locked="0"/>
    </xf>
    <xf numFmtId="49" fontId="3" fillId="4" borderId="22" xfId="3" applyNumberFormat="1" applyFill="1" applyBorder="1" applyAlignment="1" applyProtection="1">
      <alignment vertical="top"/>
      <protection locked="0"/>
    </xf>
    <xf numFmtId="49" fontId="22" fillId="0" borderId="40" xfId="3" applyNumberFormat="1" applyFont="1" applyBorder="1" applyAlignment="1">
      <alignment vertical="top"/>
    </xf>
    <xf numFmtId="49" fontId="22" fillId="0" borderId="28" xfId="3" applyNumberFormat="1" applyFont="1" applyBorder="1" applyAlignment="1">
      <alignment vertical="top"/>
    </xf>
    <xf numFmtId="49" fontId="3" fillId="4" borderId="89" xfId="3" applyNumberFormat="1" applyFill="1" applyBorder="1" applyAlignment="1" applyProtection="1">
      <alignment vertical="top"/>
      <protection locked="0"/>
    </xf>
    <xf numFmtId="49" fontId="3" fillId="4" borderId="14" xfId="3" applyNumberFormat="1" applyFill="1" applyBorder="1" applyAlignment="1" applyProtection="1">
      <alignment vertical="top"/>
      <protection locked="0"/>
    </xf>
    <xf numFmtId="49" fontId="58" fillId="0" borderId="40" xfId="3" applyNumberFormat="1" applyFont="1" applyBorder="1" applyAlignment="1">
      <alignment vertical="top"/>
    </xf>
    <xf numFmtId="49" fontId="3" fillId="11" borderId="112" xfId="3" applyNumberFormat="1" applyFill="1" applyBorder="1"/>
    <xf numFmtId="49" fontId="3" fillId="11" borderId="113" xfId="3" applyNumberFormat="1" applyFill="1" applyBorder="1"/>
    <xf numFmtId="49" fontId="3" fillId="11" borderId="27" xfId="3" applyNumberFormat="1" applyFill="1" applyBorder="1"/>
    <xf numFmtId="49" fontId="58" fillId="0" borderId="22" xfId="3" applyNumberFormat="1" applyFont="1" applyBorder="1" applyAlignment="1">
      <alignment vertical="top"/>
    </xf>
    <xf numFmtId="49" fontId="3" fillId="6" borderId="114" xfId="3" applyNumberFormat="1" applyFill="1" applyBorder="1"/>
    <xf numFmtId="49" fontId="3" fillId="6" borderId="115" xfId="3" applyNumberFormat="1" applyFill="1" applyBorder="1"/>
    <xf numFmtId="49" fontId="3" fillId="6" borderId="22" xfId="3" applyNumberFormat="1" applyFill="1" applyBorder="1"/>
    <xf numFmtId="0" fontId="22" fillId="11" borderId="102" xfId="3" quotePrefix="1" applyFont="1" applyFill="1" applyBorder="1" applyAlignment="1">
      <alignment horizontal="center" wrapText="1"/>
    </xf>
    <xf numFmtId="0" fontId="22" fillId="11" borderId="102" xfId="3" applyFont="1" applyFill="1" applyBorder="1" applyAlignment="1">
      <alignment horizontal="center" wrapText="1"/>
    </xf>
    <xf numFmtId="0" fontId="22" fillId="6" borderId="102" xfId="3" applyFont="1" applyFill="1" applyBorder="1" applyAlignment="1">
      <alignment horizontal="center" wrapText="1"/>
    </xf>
    <xf numFmtId="0" fontId="22" fillId="6" borderId="102" xfId="3" quotePrefix="1" applyFont="1" applyFill="1" applyBorder="1" applyAlignment="1">
      <alignment horizontal="center" wrapText="1"/>
    </xf>
    <xf numFmtId="49" fontId="3" fillId="11" borderId="89" xfId="3" applyNumberFormat="1" applyFill="1" applyBorder="1"/>
    <xf numFmtId="49" fontId="3" fillId="11" borderId="14" xfId="3" applyNumberFormat="1" applyFill="1" applyBorder="1"/>
    <xf numFmtId="175" fontId="3" fillId="11" borderId="14" xfId="3" applyNumberFormat="1" applyFill="1" applyBorder="1"/>
    <xf numFmtId="14" fontId="3" fillId="6" borderId="14" xfId="3" applyNumberFormat="1" applyFill="1" applyBorder="1"/>
    <xf numFmtId="49" fontId="3" fillId="6" borderId="14" xfId="3" applyNumberFormat="1" applyFill="1" applyBorder="1" applyAlignment="1">
      <alignment horizontal="left"/>
    </xf>
    <xf numFmtId="49" fontId="3" fillId="11" borderId="14" xfId="3" applyNumberFormat="1" applyFill="1" applyBorder="1" applyAlignment="1">
      <alignment horizontal="center"/>
    </xf>
    <xf numFmtId="49" fontId="3" fillId="6" borderId="14" xfId="3" applyNumberFormat="1" applyFill="1" applyBorder="1"/>
    <xf numFmtId="175" fontId="3" fillId="11" borderId="14" xfId="3" applyNumberFormat="1" applyFill="1" applyBorder="1" applyAlignment="1">
      <alignment horizontal="center"/>
    </xf>
    <xf numFmtId="49" fontId="3" fillId="11" borderId="14" xfId="3" applyNumberFormat="1" applyFill="1" applyBorder="1" applyAlignment="1">
      <alignment horizontal="left"/>
    </xf>
    <xf numFmtId="174" fontId="3" fillId="11" borderId="14" xfId="3" applyNumberFormat="1" applyFill="1" applyBorder="1" applyAlignment="1">
      <alignment horizontal="center"/>
    </xf>
    <xf numFmtId="14" fontId="3" fillId="11" borderId="14" xfId="3" applyNumberFormat="1" applyFill="1" applyBorder="1"/>
    <xf numFmtId="2" fontId="3" fillId="11" borderId="14" xfId="3" applyNumberFormat="1" applyFill="1" applyBorder="1"/>
    <xf numFmtId="49" fontId="3" fillId="6" borderId="12" xfId="3" applyNumberFormat="1" applyFill="1" applyBorder="1"/>
    <xf numFmtId="49" fontId="3" fillId="11" borderId="116" xfId="3" applyNumberFormat="1" applyFill="1" applyBorder="1"/>
    <xf numFmtId="49" fontId="3" fillId="11" borderId="40" xfId="3" applyNumberFormat="1" applyFill="1" applyBorder="1"/>
    <xf numFmtId="49" fontId="22" fillId="0" borderId="99" xfId="3" applyNumberFormat="1" applyFont="1" applyBorder="1" applyAlignment="1">
      <alignment vertical="top"/>
    </xf>
    <xf numFmtId="14" fontId="3" fillId="6" borderId="99" xfId="3" applyNumberFormat="1" applyFill="1" applyBorder="1" applyAlignment="1">
      <alignment vertical="top"/>
    </xf>
    <xf numFmtId="14" fontId="3" fillId="6" borderId="28" xfId="3" applyNumberFormat="1" applyFill="1" applyBorder="1" applyAlignment="1">
      <alignment vertical="top"/>
    </xf>
    <xf numFmtId="14" fontId="3" fillId="6" borderId="22" xfId="3" applyNumberFormat="1" applyFill="1" applyBorder="1" applyAlignment="1">
      <alignment vertical="top"/>
    </xf>
    <xf numFmtId="14" fontId="3" fillId="6" borderId="114" xfId="3" applyNumberFormat="1" applyFill="1" applyBorder="1" applyAlignment="1">
      <alignment vertical="top"/>
    </xf>
    <xf numFmtId="0" fontId="22" fillId="9" borderId="102" xfId="3" applyFont="1" applyFill="1" applyBorder="1" applyAlignment="1">
      <alignment horizontal="center" wrapText="1"/>
    </xf>
    <xf numFmtId="49" fontId="43" fillId="9" borderId="14" xfId="3" applyNumberFormat="1" applyFont="1" applyFill="1" applyBorder="1"/>
    <xf numFmtId="14" fontId="6" fillId="11" borderId="14" xfId="3" applyNumberFormat="1" applyFont="1" applyFill="1" applyBorder="1" applyAlignment="1">
      <alignment horizontal="center" vertical="top"/>
    </xf>
    <xf numFmtId="14" fontId="3" fillId="6" borderId="12" xfId="3" applyNumberFormat="1" applyFill="1" applyBorder="1" applyAlignment="1">
      <alignment vertical="top"/>
    </xf>
    <xf numFmtId="49" fontId="3" fillId="11" borderId="89" xfId="3" applyNumberFormat="1" applyFill="1" applyBorder="1" applyAlignment="1">
      <alignment vertical="top"/>
    </xf>
    <xf numFmtId="49" fontId="3" fillId="11" borderId="27" xfId="3" applyNumberFormat="1" applyFill="1" applyBorder="1" applyAlignment="1">
      <alignment vertical="top"/>
    </xf>
    <xf numFmtId="49" fontId="22" fillId="0" borderId="12" xfId="3" applyNumberFormat="1" applyFont="1" applyBorder="1" applyAlignment="1">
      <alignment vertical="top"/>
    </xf>
    <xf numFmtId="0" fontId="22" fillId="11" borderId="117" xfId="3" applyFont="1" applyFill="1" applyBorder="1" applyAlignment="1">
      <alignment horizontal="center" wrapText="1"/>
    </xf>
    <xf numFmtId="14" fontId="3" fillId="6" borderId="115" xfId="3" applyNumberFormat="1" applyFill="1" applyBorder="1"/>
    <xf numFmtId="14" fontId="3" fillId="6" borderId="22" xfId="3" applyNumberFormat="1" applyFill="1" applyBorder="1"/>
    <xf numFmtId="14" fontId="3" fillId="6" borderId="114" xfId="3" applyNumberFormat="1" applyFill="1" applyBorder="1"/>
    <xf numFmtId="49" fontId="58" fillId="0" borderId="28" xfId="3" applyNumberFormat="1" applyFont="1" applyBorder="1" applyAlignment="1">
      <alignment vertical="top"/>
    </xf>
    <xf numFmtId="174" fontId="3" fillId="11" borderId="14" xfId="3" applyNumberFormat="1" applyFill="1" applyBorder="1"/>
    <xf numFmtId="14" fontId="3" fillId="11" borderId="14" xfId="3" applyNumberFormat="1" applyFill="1" applyBorder="1" applyAlignment="1">
      <alignment horizontal="right"/>
    </xf>
    <xf numFmtId="14" fontId="3" fillId="6" borderId="12" xfId="3" applyNumberFormat="1" applyFill="1" applyBorder="1"/>
    <xf numFmtId="49" fontId="3" fillId="11" borderId="113" xfId="3" quotePrefix="1" applyNumberFormat="1" applyFill="1" applyBorder="1" applyAlignment="1">
      <alignment horizontal="left"/>
    </xf>
    <xf numFmtId="14" fontId="3" fillId="11" borderId="115" xfId="3" applyNumberFormat="1" applyFill="1" applyBorder="1" applyAlignment="1">
      <alignment horizontal="right"/>
    </xf>
    <xf numFmtId="14" fontId="3" fillId="11" borderId="22" xfId="3" applyNumberFormat="1" applyFill="1" applyBorder="1" applyAlignment="1">
      <alignment horizontal="right"/>
    </xf>
    <xf numFmtId="14" fontId="3" fillId="11" borderId="114" xfId="3" applyNumberFormat="1" applyFill="1" applyBorder="1" applyAlignment="1">
      <alignment horizontal="right"/>
    </xf>
    <xf numFmtId="14" fontId="3" fillId="11" borderId="28" xfId="3" applyNumberFormat="1" applyFill="1" applyBorder="1" applyAlignment="1">
      <alignment horizontal="right"/>
    </xf>
    <xf numFmtId="14" fontId="3" fillId="11" borderId="12" xfId="3" applyNumberFormat="1" applyFill="1" applyBorder="1" applyAlignment="1">
      <alignment horizontal="right"/>
    </xf>
    <xf numFmtId="49" fontId="3" fillId="11" borderId="118" xfId="3" applyNumberFormat="1" applyFill="1" applyBorder="1"/>
    <xf numFmtId="14" fontId="3" fillId="6" borderId="117" xfId="3" applyNumberFormat="1" applyFill="1" applyBorder="1"/>
    <xf numFmtId="14" fontId="3" fillId="6" borderId="28" xfId="3" applyNumberFormat="1" applyFill="1" applyBorder="1"/>
    <xf numFmtId="49" fontId="22" fillId="12" borderId="14" xfId="3" applyNumberFormat="1" applyFont="1" applyFill="1" applyBorder="1" applyAlignment="1">
      <alignment horizontal="right"/>
    </xf>
    <xf numFmtId="49" fontId="3" fillId="11" borderId="14" xfId="3" applyNumberFormat="1" applyFill="1" applyBorder="1" applyAlignment="1">
      <alignment horizontal="right"/>
    </xf>
    <xf numFmtId="0" fontId="12" fillId="0" borderId="0" xfId="2" applyAlignment="1" applyProtection="1">
      <alignment horizontal="left"/>
      <protection locked="0"/>
    </xf>
    <xf numFmtId="0" fontId="4" fillId="0" borderId="0" xfId="0" applyFont="1" applyAlignment="1">
      <alignment horizontal="left"/>
    </xf>
    <xf numFmtId="0" fontId="0" fillId="10" borderId="119" xfId="0" applyFill="1" applyBorder="1" applyAlignment="1" applyProtection="1">
      <alignment horizontal="left"/>
      <protection locked="0"/>
    </xf>
    <xf numFmtId="0" fontId="0" fillId="4" borderId="120" xfId="0" applyFill="1" applyBorder="1" applyAlignment="1" applyProtection="1">
      <alignment horizontal="left"/>
      <protection locked="0"/>
    </xf>
    <xf numFmtId="0" fontId="0" fillId="10" borderId="119" xfId="0" applyFill="1" applyBorder="1" applyProtection="1">
      <protection locked="0"/>
    </xf>
    <xf numFmtId="0" fontId="0" fillId="4" borderId="120" xfId="0" applyFill="1" applyBorder="1" applyProtection="1">
      <protection locked="0"/>
    </xf>
    <xf numFmtId="0" fontId="0" fillId="10" borderId="121" xfId="0" applyFill="1" applyBorder="1" applyProtection="1">
      <protection locked="0"/>
    </xf>
    <xf numFmtId="0" fontId="0" fillId="4" borderId="122" xfId="0" applyFill="1" applyBorder="1" applyProtection="1">
      <protection locked="0"/>
    </xf>
    <xf numFmtId="0" fontId="4" fillId="0" borderId="3" xfId="0" applyFont="1" applyBorder="1"/>
    <xf numFmtId="0" fontId="4" fillId="0" borderId="68" xfId="5" applyFont="1" applyBorder="1"/>
    <xf numFmtId="0" fontId="4" fillId="21" borderId="1" xfId="5" applyFont="1" applyFill="1" applyBorder="1"/>
    <xf numFmtId="165" fontId="6" fillId="2" borderId="35" xfId="1" applyNumberFormat="1" applyFont="1" applyFill="1" applyBorder="1" applyAlignment="1" applyProtection="1">
      <alignment horizontal="center"/>
      <protection locked="0"/>
    </xf>
    <xf numFmtId="49" fontId="6" fillId="11" borderId="16" xfId="3" applyNumberFormat="1" applyFont="1" applyFill="1" applyBorder="1" applyAlignment="1">
      <alignment horizontal="center" wrapText="1"/>
    </xf>
    <xf numFmtId="49" fontId="6" fillId="11" borderId="92" xfId="3" applyNumberFormat="1" applyFont="1" applyFill="1" applyBorder="1" applyAlignment="1">
      <alignment horizontal="center" wrapText="1"/>
    </xf>
    <xf numFmtId="49" fontId="6" fillId="11" borderId="23" xfId="3" applyNumberFormat="1" applyFont="1" applyFill="1" applyBorder="1" applyAlignment="1">
      <alignment horizontal="center" wrapText="1"/>
    </xf>
    <xf numFmtId="49" fontId="6" fillId="11" borderId="55" xfId="3" applyNumberFormat="1" applyFont="1" applyFill="1" applyBorder="1" applyAlignment="1">
      <alignment horizontal="center" wrapText="1"/>
    </xf>
    <xf numFmtId="49" fontId="3" fillId="11" borderId="95" xfId="3" applyNumberFormat="1" applyFill="1" applyBorder="1"/>
    <xf numFmtId="49" fontId="3" fillId="11" borderId="16" xfId="3" applyNumberFormat="1" applyFill="1" applyBorder="1"/>
    <xf numFmtId="49" fontId="3" fillId="11" borderId="92" xfId="3" applyNumberFormat="1" applyFill="1" applyBorder="1" applyAlignment="1">
      <alignment horizontal="right"/>
    </xf>
    <xf numFmtId="49" fontId="3" fillId="11" borderId="93" xfId="3" applyNumberFormat="1" applyFill="1" applyBorder="1" applyAlignment="1">
      <alignment horizontal="right"/>
    </xf>
    <xf numFmtId="49" fontId="3" fillId="4" borderId="12" xfId="3" applyNumberFormat="1" applyFill="1" applyBorder="1" applyAlignment="1" applyProtection="1">
      <alignment vertical="top"/>
      <protection locked="0"/>
    </xf>
    <xf numFmtId="0" fontId="63" fillId="0" borderId="0" xfId="5" applyFont="1" applyAlignment="1" applyProtection="1">
      <alignment horizontal="right"/>
      <protection hidden="1"/>
    </xf>
    <xf numFmtId="0" fontId="64" fillId="0" borderId="0" xfId="0" applyFont="1" applyAlignment="1">
      <alignment horizontal="center"/>
    </xf>
    <xf numFmtId="165" fontId="4" fillId="2" borderId="40" xfId="4" applyNumberFormat="1" applyFont="1" applyFill="1" applyBorder="1" applyProtection="1">
      <protection locked="0"/>
    </xf>
    <xf numFmtId="49" fontId="6" fillId="11" borderId="27" xfId="3" applyNumberFormat="1" applyFont="1" applyFill="1" applyBorder="1"/>
    <xf numFmtId="49" fontId="6" fillId="6" borderId="23" xfId="3" applyNumberFormat="1" applyFont="1" applyFill="1" applyBorder="1"/>
    <xf numFmtId="165" fontId="6" fillId="11" borderId="23" xfId="3" applyNumberFormat="1" applyFont="1" applyFill="1" applyBorder="1" applyAlignment="1">
      <alignment horizontal="right"/>
    </xf>
    <xf numFmtId="49" fontId="6" fillId="11" borderId="23" xfId="3" applyNumberFormat="1" applyFont="1" applyFill="1" applyBorder="1" applyAlignment="1">
      <alignment horizontal="left"/>
    </xf>
    <xf numFmtId="14" fontId="6" fillId="6" borderId="22" xfId="3" applyNumberFormat="1" applyFont="1" applyFill="1" applyBorder="1"/>
    <xf numFmtId="1" fontId="6" fillId="11" borderId="23" xfId="3" applyNumberFormat="1" applyFont="1" applyFill="1" applyBorder="1" applyAlignment="1">
      <alignment horizontal="right"/>
    </xf>
    <xf numFmtId="165" fontId="65" fillId="11" borderId="23" xfId="3" applyNumberFormat="1" applyFont="1" applyFill="1" applyBorder="1" applyAlignment="1">
      <alignment horizontal="right"/>
    </xf>
    <xf numFmtId="1" fontId="65" fillId="11" borderId="23" xfId="3" applyNumberFormat="1" applyFont="1" applyFill="1" applyBorder="1" applyAlignment="1">
      <alignment horizontal="right"/>
    </xf>
    <xf numFmtId="0" fontId="22" fillId="9" borderId="123" xfId="3" applyFont="1" applyFill="1" applyBorder="1" applyAlignment="1">
      <alignment horizontal="center" vertical="top" wrapText="1"/>
    </xf>
    <xf numFmtId="0" fontId="22" fillId="0" borderId="0" xfId="3" applyFont="1" applyAlignment="1">
      <alignment horizontal="center" vertical="top" wrapText="1"/>
    </xf>
    <xf numFmtId="0" fontId="9" fillId="2" borderId="5" xfId="0" applyFont="1" applyFill="1" applyBorder="1" applyAlignment="1" applyProtection="1">
      <alignment horizontal="center"/>
      <protection locked="0"/>
    </xf>
    <xf numFmtId="2" fontId="18" fillId="0" borderId="43" xfId="1" applyNumberFormat="1" applyFont="1" applyBorder="1" applyAlignment="1" applyProtection="1">
      <alignment horizontal="center"/>
      <protection hidden="1"/>
    </xf>
    <xf numFmtId="165" fontId="4" fillId="2" borderId="22" xfId="1" applyNumberFormat="1" applyFont="1" applyFill="1" applyBorder="1" applyAlignment="1" applyProtection="1">
      <alignment horizontal="center"/>
      <protection locked="0"/>
    </xf>
    <xf numFmtId="0" fontId="3" fillId="0" borderId="25" xfId="1" applyFont="1" applyBorder="1" applyProtection="1">
      <protection hidden="1"/>
    </xf>
    <xf numFmtId="12" fontId="0" fillId="0" borderId="0" xfId="0" applyNumberFormat="1" applyAlignment="1">
      <alignment horizontal="left"/>
    </xf>
    <xf numFmtId="0" fontId="3" fillId="0" borderId="0" xfId="0" applyFont="1" applyAlignment="1" applyProtection="1">
      <alignment horizontal="right"/>
      <protection hidden="1"/>
    </xf>
    <xf numFmtId="0" fontId="3" fillId="0" borderId="0" xfId="0" applyFont="1" applyProtection="1">
      <protection hidden="1"/>
    </xf>
    <xf numFmtId="0" fontId="3" fillId="0" borderId="0" xfId="7" applyFont="1" applyAlignment="1" applyProtection="1">
      <alignment horizontal="center" vertical="center"/>
      <protection hidden="1"/>
    </xf>
    <xf numFmtId="165" fontId="3" fillId="0" borderId="0" xfId="0" applyNumberFormat="1" applyFont="1" applyAlignment="1" applyProtection="1">
      <alignment horizontal="center"/>
      <protection hidden="1"/>
    </xf>
    <xf numFmtId="1" fontId="3" fillId="0" borderId="0" xfId="0" applyNumberFormat="1" applyFont="1" applyAlignment="1" applyProtection="1">
      <alignment horizontal="center"/>
      <protection hidden="1"/>
    </xf>
    <xf numFmtId="165" fontId="4" fillId="2" borderId="65" xfId="7" applyNumberFormat="1" applyFont="1" applyFill="1" applyBorder="1" applyAlignment="1" applyProtection="1">
      <alignment horizontal="center" vertical="center"/>
      <protection locked="0"/>
    </xf>
    <xf numFmtId="165" fontId="4" fillId="2" borderId="54" xfId="7" applyNumberFormat="1" applyFont="1" applyFill="1" applyBorder="1" applyAlignment="1" applyProtection="1">
      <alignment horizontal="center" vertical="center"/>
      <protection locked="0"/>
    </xf>
    <xf numFmtId="165" fontId="4" fillId="22" borderId="62" xfId="0" applyNumberFormat="1" applyFont="1" applyFill="1" applyBorder="1" applyAlignment="1" applyProtection="1">
      <alignment horizontal="center" vertical="center"/>
      <protection hidden="1"/>
    </xf>
    <xf numFmtId="165" fontId="4" fillId="22" borderId="69" xfId="0" applyNumberFormat="1" applyFont="1" applyFill="1" applyBorder="1" applyAlignment="1" applyProtection="1">
      <alignment horizontal="center" vertical="center"/>
      <protection hidden="1"/>
    </xf>
    <xf numFmtId="0" fontId="4" fillId="0" borderId="0" xfId="2" applyFont="1" applyProtection="1">
      <protection locked="0"/>
    </xf>
    <xf numFmtId="0" fontId="4" fillId="0" borderId="0" xfId="0" applyFont="1" applyProtection="1">
      <protection locked="0"/>
    </xf>
    <xf numFmtId="1" fontId="4" fillId="0" borderId="0" xfId="0" applyNumberFormat="1" applyFont="1" applyAlignment="1">
      <alignment horizontal="left"/>
    </xf>
    <xf numFmtId="165" fontId="4" fillId="0" borderId="7" xfId="7" applyNumberFormat="1" applyFont="1" applyBorder="1" applyAlignment="1" applyProtection="1">
      <alignment horizontal="center" vertical="center"/>
      <protection hidden="1"/>
    </xf>
    <xf numFmtId="165" fontId="3" fillId="0" borderId="4" xfId="0" applyNumberFormat="1" applyFont="1" applyBorder="1" applyAlignment="1" applyProtection="1">
      <alignment horizontal="center"/>
      <protection hidden="1"/>
    </xf>
    <xf numFmtId="0" fontId="3" fillId="0" borderId="20" xfId="0" applyFont="1" applyBorder="1" applyAlignment="1" applyProtection="1">
      <alignment horizontal="right"/>
      <protection hidden="1"/>
    </xf>
    <xf numFmtId="0" fontId="3" fillId="0" borderId="49" xfId="7" applyFont="1" applyBorder="1" applyAlignment="1" applyProtection="1">
      <alignment horizontal="right"/>
      <protection hidden="1"/>
    </xf>
    <xf numFmtId="165" fontId="3" fillId="0" borderId="60" xfId="0" applyNumberFormat="1" applyFont="1" applyBorder="1" applyAlignment="1" applyProtection="1">
      <alignment horizontal="center"/>
      <protection hidden="1"/>
    </xf>
    <xf numFmtId="165" fontId="3" fillId="0" borderId="60" xfId="7" quotePrefix="1" applyNumberFormat="1" applyFont="1" applyBorder="1" applyAlignment="1" applyProtection="1">
      <alignment horizontal="center" vertical="center"/>
      <protection hidden="1"/>
    </xf>
    <xf numFmtId="0" fontId="4" fillId="0" borderId="85" xfId="7" quotePrefix="1" applyFont="1" applyBorder="1" applyAlignment="1" applyProtection="1">
      <alignment horizontal="center" vertical="center"/>
      <protection hidden="1"/>
    </xf>
    <xf numFmtId="165" fontId="4" fillId="0" borderId="21" xfId="7" applyNumberFormat="1" applyFont="1" applyBorder="1" applyAlignment="1" applyProtection="1">
      <alignment horizontal="center" vertical="center"/>
      <protection hidden="1"/>
    </xf>
    <xf numFmtId="0" fontId="3" fillId="0" borderId="41" xfId="7" applyFont="1" applyBorder="1" applyAlignment="1" applyProtection="1">
      <alignment horizontal="right"/>
      <protection hidden="1"/>
    </xf>
    <xf numFmtId="165" fontId="3" fillId="0" borderId="26" xfId="0" applyNumberFormat="1" applyFont="1" applyBorder="1" applyAlignment="1" applyProtection="1">
      <alignment horizontal="center"/>
      <protection hidden="1"/>
    </xf>
    <xf numFmtId="0" fontId="3" fillId="0" borderId="41" xfId="0" applyFont="1" applyBorder="1" applyAlignment="1" applyProtection="1">
      <alignment horizontal="right"/>
      <protection hidden="1"/>
    </xf>
    <xf numFmtId="1" fontId="3" fillId="0" borderId="26" xfId="0" applyNumberFormat="1" applyFont="1" applyBorder="1" applyAlignment="1" applyProtection="1">
      <alignment horizontal="center"/>
      <protection hidden="1"/>
    </xf>
    <xf numFmtId="165" fontId="3" fillId="0" borderId="64" xfId="7" quotePrefix="1" applyNumberFormat="1" applyFont="1" applyBorder="1" applyAlignment="1" applyProtection="1">
      <alignment horizontal="center" vertical="center"/>
      <protection hidden="1"/>
    </xf>
    <xf numFmtId="165" fontId="3" fillId="0" borderId="23" xfId="0" applyNumberFormat="1" applyFont="1" applyBorder="1" applyAlignment="1" applyProtection="1">
      <alignment horizontal="center"/>
      <protection hidden="1"/>
    </xf>
    <xf numFmtId="1" fontId="3" fillId="0" borderId="23" xfId="0" applyNumberFormat="1" applyFont="1" applyBorder="1" applyAlignment="1" applyProtection="1">
      <alignment horizontal="center"/>
      <protection hidden="1"/>
    </xf>
    <xf numFmtId="165" fontId="3" fillId="0" borderId="65" xfId="7" quotePrefix="1" applyNumberFormat="1" applyFont="1" applyBorder="1" applyAlignment="1" applyProtection="1">
      <alignment horizontal="center" vertical="center"/>
      <protection hidden="1"/>
    </xf>
    <xf numFmtId="1" fontId="3" fillId="0" borderId="51" xfId="7" applyNumberFormat="1" applyFont="1" applyBorder="1" applyAlignment="1" applyProtection="1">
      <alignment horizontal="center" vertical="center"/>
      <protection hidden="1"/>
    </xf>
    <xf numFmtId="165" fontId="3" fillId="0" borderId="56" xfId="0" applyNumberFormat="1" applyFont="1" applyBorder="1" applyAlignment="1" applyProtection="1">
      <alignment horizontal="center"/>
      <protection hidden="1"/>
    </xf>
    <xf numFmtId="165" fontId="3" fillId="0" borderId="50" xfId="0" applyNumberFormat="1" applyFont="1" applyBorder="1" applyAlignment="1" applyProtection="1">
      <alignment horizontal="center"/>
      <protection hidden="1"/>
    </xf>
    <xf numFmtId="165" fontId="66" fillId="0" borderId="9" xfId="0" applyNumberFormat="1" applyFont="1" applyBorder="1" applyProtection="1">
      <protection hidden="1"/>
    </xf>
    <xf numFmtId="165" fontId="4" fillId="22" borderId="38" xfId="0" applyNumberFormat="1" applyFont="1" applyFill="1" applyBorder="1" applyAlignment="1" applyProtection="1">
      <alignment horizontal="center" vertical="center"/>
      <protection hidden="1"/>
    </xf>
    <xf numFmtId="165" fontId="3" fillId="0" borderId="51" xfId="0" applyNumberFormat="1" applyFont="1" applyBorder="1" applyAlignment="1" applyProtection="1">
      <alignment horizontal="center"/>
      <protection hidden="1"/>
    </xf>
    <xf numFmtId="0" fontId="32" fillId="0" borderId="0" xfId="2" applyFont="1" applyProtection="1">
      <protection locked="0"/>
    </xf>
    <xf numFmtId="0" fontId="3" fillId="0" borderId="5" xfId="5" applyBorder="1" applyAlignment="1">
      <alignment horizontal="centerContinuous"/>
    </xf>
    <xf numFmtId="165" fontId="6" fillId="2" borderId="45" xfId="1" applyNumberFormat="1" applyFont="1" applyFill="1" applyBorder="1" applyAlignment="1" applyProtection="1">
      <alignment horizontal="center"/>
      <protection locked="0" hidden="1"/>
    </xf>
    <xf numFmtId="165" fontId="6" fillId="2" borderId="46" xfId="1" applyNumberFormat="1" applyFont="1" applyFill="1" applyBorder="1" applyAlignment="1" applyProtection="1">
      <alignment horizontal="center"/>
      <protection locked="0" hidden="1"/>
    </xf>
    <xf numFmtId="0" fontId="4" fillId="21" borderId="0" xfId="0" applyFont="1" applyFill="1" applyAlignment="1">
      <alignment horizontal="center"/>
    </xf>
    <xf numFmtId="165" fontId="4" fillId="21" borderId="0" xfId="0" applyNumberFormat="1" applyFont="1" applyFill="1" applyAlignment="1">
      <alignment horizontal="center"/>
    </xf>
    <xf numFmtId="0" fontId="3" fillId="23" borderId="8" xfId="8" applyFont="1" applyFill="1" applyBorder="1"/>
    <xf numFmtId="0" fontId="3" fillId="23" borderId="9" xfId="8" applyFont="1" applyFill="1" applyBorder="1"/>
    <xf numFmtId="17" fontId="22" fillId="23" borderId="33" xfId="8" quotePrefix="1" applyNumberFormat="1" applyFont="1" applyFill="1" applyBorder="1" applyAlignment="1">
      <alignment horizontal="right"/>
    </xf>
    <xf numFmtId="0" fontId="3" fillId="0" borderId="0" xfId="8" applyFont="1"/>
    <xf numFmtId="0" fontId="23" fillId="23" borderId="6" xfId="8" applyFont="1" applyFill="1" applyBorder="1" applyAlignment="1">
      <alignment horizontal="centerContinuous"/>
    </xf>
    <xf numFmtId="0" fontId="32" fillId="23" borderId="0" xfId="8" applyFont="1" applyFill="1" applyAlignment="1">
      <alignment horizontal="centerContinuous"/>
    </xf>
    <xf numFmtId="0" fontId="32" fillId="23" borderId="17" xfId="8" applyFont="1" applyFill="1" applyBorder="1" applyAlignment="1">
      <alignment horizontal="centerContinuous"/>
    </xf>
    <xf numFmtId="0" fontId="32" fillId="0" borderId="0" xfId="8" applyFont="1"/>
    <xf numFmtId="0" fontId="32" fillId="23" borderId="7" xfId="8" applyFont="1" applyFill="1" applyBorder="1"/>
    <xf numFmtId="0" fontId="32" fillId="23" borderId="4" xfId="8" applyFont="1" applyFill="1" applyBorder="1"/>
    <xf numFmtId="0" fontId="32" fillId="23" borderId="20" xfId="8" applyFont="1" applyFill="1" applyBorder="1"/>
    <xf numFmtId="0" fontId="68" fillId="0" borderId="0" xfId="8" applyFont="1" applyAlignment="1">
      <alignment horizontal="centerContinuous"/>
    </xf>
    <xf numFmtId="0" fontId="32" fillId="0" borderId="0" xfId="8" applyFont="1" applyAlignment="1">
      <alignment horizontal="centerContinuous"/>
    </xf>
    <xf numFmtId="0" fontId="3" fillId="0" borderId="0" xfId="9"/>
    <xf numFmtId="0" fontId="3" fillId="0" borderId="0" xfId="8" applyFont="1" applyAlignment="1">
      <alignment horizontal="centerContinuous"/>
    </xf>
    <xf numFmtId="0" fontId="69" fillId="0" borderId="0" xfId="8" applyFont="1"/>
    <xf numFmtId="0" fontId="32" fillId="0" borderId="0" xfId="8" applyFont="1" applyAlignment="1">
      <alignment horizontal="left"/>
    </xf>
    <xf numFmtId="0" fontId="32" fillId="0" borderId="0" xfId="9" applyFont="1"/>
    <xf numFmtId="0" fontId="70" fillId="0" borderId="0" xfId="8" applyFont="1"/>
    <xf numFmtId="0" fontId="69" fillId="0" borderId="0" xfId="9" applyFont="1"/>
    <xf numFmtId="0" fontId="71" fillId="0" borderId="0" xfId="9" applyFont="1"/>
    <xf numFmtId="0" fontId="70" fillId="0" borderId="1" xfId="9" applyFont="1" applyBorder="1" applyAlignment="1">
      <alignment horizontal="centerContinuous"/>
    </xf>
    <xf numFmtId="0" fontId="32" fillId="0" borderId="2" xfId="9" applyFont="1" applyBorder="1" applyAlignment="1">
      <alignment horizontal="centerContinuous"/>
    </xf>
    <xf numFmtId="0" fontId="70" fillId="0" borderId="2" xfId="9" applyFont="1" applyBorder="1" applyAlignment="1">
      <alignment horizontal="centerContinuous"/>
    </xf>
    <xf numFmtId="0" fontId="70" fillId="0" borderId="2" xfId="8" applyFont="1" applyBorder="1" applyAlignment="1">
      <alignment horizontal="centerContinuous"/>
    </xf>
    <xf numFmtId="0" fontId="70" fillId="0" borderId="3" xfId="9" applyFont="1" applyBorder="1" applyAlignment="1">
      <alignment horizontal="centerContinuous"/>
    </xf>
    <xf numFmtId="0" fontId="32" fillId="0" borderId="85" xfId="9" applyFont="1" applyBorder="1"/>
    <xf numFmtId="0" fontId="32" fillId="0" borderId="60" xfId="9" applyFont="1" applyBorder="1"/>
    <xf numFmtId="0" fontId="32" fillId="0" borderId="61" xfId="9" applyFont="1" applyBorder="1"/>
    <xf numFmtId="0" fontId="32" fillId="4" borderId="61" xfId="9" applyFont="1" applyFill="1" applyBorder="1" applyAlignment="1" applyProtection="1">
      <alignment horizontal="center"/>
      <protection locked="0"/>
    </xf>
    <xf numFmtId="0" fontId="32" fillId="4" borderId="49" xfId="9" applyFont="1" applyFill="1" applyBorder="1" applyAlignment="1" applyProtection="1">
      <alignment horizontal="center"/>
      <protection locked="0"/>
    </xf>
    <xf numFmtId="0" fontId="70" fillId="0" borderId="8" xfId="9" applyFont="1" applyBorder="1" applyAlignment="1">
      <alignment horizontal="centerContinuous"/>
    </xf>
    <xf numFmtId="0" fontId="32" fillId="0" borderId="9" xfId="9" applyFont="1" applyBorder="1" applyAlignment="1">
      <alignment horizontal="centerContinuous"/>
    </xf>
    <xf numFmtId="0" fontId="32" fillId="0" borderId="33" xfId="9" applyFont="1" applyBorder="1" applyAlignment="1">
      <alignment horizontal="centerContinuous"/>
    </xf>
    <xf numFmtId="0" fontId="70" fillId="0" borderId="62" xfId="8" applyFont="1" applyBorder="1" applyAlignment="1">
      <alignment horizontal="center"/>
    </xf>
    <xf numFmtId="0" fontId="70" fillId="0" borderId="85" xfId="8" applyFont="1" applyBorder="1" applyAlignment="1">
      <alignment horizontal="centerContinuous"/>
    </xf>
    <xf numFmtId="0" fontId="3" fillId="0" borderId="49" xfId="9" applyBorder="1" applyAlignment="1">
      <alignment horizontal="centerContinuous"/>
    </xf>
    <xf numFmtId="0" fontId="32" fillId="0" borderId="21" xfId="9" applyFont="1" applyBorder="1"/>
    <xf numFmtId="0" fontId="32" fillId="0" borderId="26" xfId="9" applyFont="1" applyBorder="1"/>
    <xf numFmtId="0" fontId="32" fillId="0" borderId="27" xfId="9" applyFont="1" applyBorder="1"/>
    <xf numFmtId="0" fontId="32" fillId="4" borderId="27" xfId="9" applyFont="1" applyFill="1" applyBorder="1" applyAlignment="1" applyProtection="1">
      <alignment horizontal="center"/>
      <protection locked="0"/>
    </xf>
    <xf numFmtId="0" fontId="32" fillId="4" borderId="41" xfId="9" applyFont="1" applyFill="1" applyBorder="1" applyAlignment="1" applyProtection="1">
      <alignment horizontal="center"/>
      <protection locked="0"/>
    </xf>
    <xf numFmtId="1" fontId="32" fillId="0" borderId="0" xfId="9" applyNumberFormat="1" applyFont="1"/>
    <xf numFmtId="0" fontId="70" fillId="0" borderId="6" xfId="9" applyFont="1" applyBorder="1" applyAlignment="1">
      <alignment horizontal="centerContinuous"/>
    </xf>
    <xf numFmtId="0" fontId="32" fillId="0" borderId="0" xfId="9" applyFont="1" applyAlignment="1">
      <alignment horizontal="centerContinuous"/>
    </xf>
    <xf numFmtId="0" fontId="32" fillId="0" borderId="17" xfId="9" applyFont="1" applyBorder="1" applyAlignment="1">
      <alignment horizontal="centerContinuous"/>
    </xf>
    <xf numFmtId="165" fontId="32" fillId="4" borderId="38" xfId="8" applyNumberFormat="1" applyFont="1" applyFill="1" applyBorder="1" applyAlignment="1" applyProtection="1">
      <alignment horizontal="center"/>
      <protection locked="0"/>
    </xf>
    <xf numFmtId="0" fontId="32" fillId="0" borderId="25" xfId="9" applyFont="1" applyBorder="1"/>
    <xf numFmtId="0" fontId="32" fillId="0" borderId="5" xfId="9" applyFont="1" applyBorder="1"/>
    <xf numFmtId="0" fontId="32" fillId="0" borderId="40" xfId="9" applyFont="1" applyBorder="1"/>
    <xf numFmtId="1" fontId="32" fillId="0" borderId="40" xfId="9" applyNumberFormat="1" applyFont="1" applyBorder="1" applyAlignment="1">
      <alignment horizontal="center"/>
    </xf>
    <xf numFmtId="1" fontId="32" fillId="0" borderId="24" xfId="9" applyNumberFormat="1" applyFont="1" applyBorder="1" applyAlignment="1">
      <alignment horizontal="center"/>
    </xf>
    <xf numFmtId="0" fontId="3" fillId="0" borderId="60" xfId="9" applyBorder="1" applyAlignment="1">
      <alignment horizontal="centerContinuous"/>
    </xf>
    <xf numFmtId="0" fontId="32" fillId="0" borderId="25" xfId="8" applyFont="1" applyBorder="1"/>
    <xf numFmtId="0" fontId="32" fillId="0" borderId="40" xfId="8" applyFont="1" applyBorder="1"/>
    <xf numFmtId="165" fontId="32" fillId="4" borderId="40" xfId="8" applyNumberFormat="1" applyFont="1" applyFill="1" applyBorder="1" applyAlignment="1" applyProtection="1">
      <alignment horizontal="center"/>
      <protection locked="0"/>
    </xf>
    <xf numFmtId="165" fontId="32" fillId="4" borderId="24" xfId="8" applyNumberFormat="1" applyFont="1" applyFill="1" applyBorder="1" applyAlignment="1" applyProtection="1">
      <alignment horizontal="center"/>
      <protection locked="0"/>
    </xf>
    <xf numFmtId="165" fontId="32" fillId="0" borderId="0" xfId="8" applyNumberFormat="1" applyFont="1"/>
    <xf numFmtId="0" fontId="70" fillId="0" borderId="7" xfId="9" applyFont="1" applyBorder="1" applyAlignment="1">
      <alignment horizontal="centerContinuous"/>
    </xf>
    <xf numFmtId="0" fontId="32" fillId="0" borderId="4" xfId="9" applyFont="1" applyBorder="1" applyAlignment="1">
      <alignment horizontal="centerContinuous"/>
    </xf>
    <xf numFmtId="0" fontId="32" fillId="0" borderId="20" xfId="9" applyFont="1" applyBorder="1" applyAlignment="1">
      <alignment horizontal="centerContinuous"/>
    </xf>
    <xf numFmtId="0" fontId="32" fillId="0" borderId="40" xfId="9" applyFont="1" applyBorder="1" applyAlignment="1">
      <alignment vertical="center"/>
    </xf>
    <xf numFmtId="0" fontId="72" fillId="0" borderId="40" xfId="8" applyFont="1" applyBorder="1"/>
    <xf numFmtId="0" fontId="70" fillId="0" borderId="1" xfId="9" applyFont="1" applyBorder="1"/>
    <xf numFmtId="0" fontId="70" fillId="0" borderId="63" xfId="9" applyFont="1" applyBorder="1"/>
    <xf numFmtId="0" fontId="70" fillId="0" borderId="63" xfId="9" applyFont="1" applyBorder="1" applyAlignment="1">
      <alignment horizontal="centerContinuous"/>
    </xf>
    <xf numFmtId="0" fontId="70" fillId="0" borderId="2" xfId="9" applyFont="1" applyBorder="1"/>
    <xf numFmtId="0" fontId="70" fillId="0" borderId="2" xfId="9" applyFont="1" applyBorder="1" applyAlignment="1">
      <alignment horizontal="center"/>
    </xf>
    <xf numFmtId="0" fontId="70" fillId="0" borderId="3" xfId="9" applyFont="1" applyBorder="1"/>
    <xf numFmtId="165" fontId="32" fillId="0" borderId="40" xfId="8" applyNumberFormat="1" applyFont="1" applyBorder="1" applyAlignment="1">
      <alignment horizontal="center"/>
    </xf>
    <xf numFmtId="165" fontId="32" fillId="0" borderId="24" xfId="8" applyNumberFormat="1" applyFont="1" applyBorder="1" applyAlignment="1">
      <alignment horizontal="center"/>
    </xf>
    <xf numFmtId="14" fontId="32" fillId="0" borderId="61" xfId="9" applyNumberFormat="1" applyFont="1" applyBorder="1"/>
    <xf numFmtId="0" fontId="32" fillId="0" borderId="40" xfId="8" applyFont="1" applyBorder="1" applyAlignment="1">
      <alignment vertical="center"/>
    </xf>
    <xf numFmtId="164" fontId="32" fillId="0" borderId="40" xfId="8" applyNumberFormat="1" applyFont="1" applyBorder="1" applyAlignment="1">
      <alignment horizontal="center"/>
    </xf>
    <xf numFmtId="164" fontId="32" fillId="0" borderId="24" xfId="8" applyNumberFormat="1" applyFont="1" applyBorder="1" applyAlignment="1">
      <alignment horizontal="center"/>
    </xf>
    <xf numFmtId="164" fontId="32" fillId="0" borderId="0" xfId="8" applyNumberFormat="1" applyFont="1"/>
    <xf numFmtId="14" fontId="32" fillId="0" borderId="40" xfId="8" applyNumberFormat="1" applyFont="1" applyBorder="1"/>
    <xf numFmtId="0" fontId="69" fillId="0" borderId="40" xfId="8" applyFont="1" applyBorder="1"/>
    <xf numFmtId="164" fontId="32" fillId="4" borderId="40" xfId="8" applyNumberFormat="1" applyFont="1" applyFill="1" applyBorder="1" applyAlignment="1" applyProtection="1">
      <alignment horizontal="center"/>
      <protection locked="0"/>
    </xf>
    <xf numFmtId="14" fontId="32" fillId="0" borderId="40" xfId="9" applyNumberFormat="1" applyFont="1" applyBorder="1"/>
    <xf numFmtId="165" fontId="32" fillId="0" borderId="40" xfId="9" applyNumberFormat="1" applyFont="1" applyBorder="1" applyAlignment="1">
      <alignment horizontal="center"/>
    </xf>
    <xf numFmtId="165" fontId="32" fillId="0" borderId="0" xfId="9" applyNumberFormat="1" applyFont="1"/>
    <xf numFmtId="1" fontId="32" fillId="0" borderId="0" xfId="7" applyNumberFormat="1" applyFont="1"/>
    <xf numFmtId="0" fontId="32" fillId="0" borderId="7" xfId="8" applyFont="1" applyBorder="1"/>
    <xf numFmtId="0" fontId="32" fillId="0" borderId="4" xfId="8" applyFont="1" applyBorder="1"/>
    <xf numFmtId="0" fontId="32" fillId="0" borderId="42" xfId="8" applyFont="1" applyBorder="1"/>
    <xf numFmtId="0" fontId="32" fillId="0" borderId="29" xfId="9" applyFont="1" applyBorder="1"/>
    <xf numFmtId="14" fontId="32" fillId="0" borderId="31" xfId="9" applyNumberFormat="1" applyFont="1" applyBorder="1"/>
    <xf numFmtId="14" fontId="32" fillId="4" borderId="56" xfId="9" applyNumberFormat="1" applyFont="1" applyFill="1" applyBorder="1" applyAlignment="1" applyProtection="1">
      <alignment horizontal="center"/>
      <protection locked="0"/>
    </xf>
    <xf numFmtId="14" fontId="32" fillId="4" borderId="31" xfId="9" applyNumberFormat="1" applyFont="1" applyFill="1" applyBorder="1" applyAlignment="1" applyProtection="1">
      <alignment horizontal="center"/>
      <protection locked="0"/>
    </xf>
    <xf numFmtId="18" fontId="32" fillId="4" borderId="56" xfId="9" applyNumberFormat="1" applyFont="1" applyFill="1" applyBorder="1" applyAlignment="1" applyProtection="1">
      <alignment horizontal="center"/>
      <protection locked="0"/>
    </xf>
    <xf numFmtId="18" fontId="32" fillId="4" borderId="31" xfId="9" applyNumberFormat="1" applyFont="1" applyFill="1" applyBorder="1" applyAlignment="1" applyProtection="1">
      <alignment horizontal="center"/>
      <protection locked="0"/>
    </xf>
    <xf numFmtId="0" fontId="63" fillId="0" borderId="0" xfId="8" applyFont="1" applyAlignment="1">
      <alignment horizontal="center"/>
    </xf>
    <xf numFmtId="0" fontId="73" fillId="0" borderId="0" xfId="8" applyFont="1" applyAlignment="1">
      <alignment horizontal="center"/>
    </xf>
    <xf numFmtId="165" fontId="32" fillId="0" borderId="4" xfId="8" applyNumberFormat="1" applyFont="1" applyBorder="1" applyAlignment="1">
      <alignment horizontal="center"/>
    </xf>
    <xf numFmtId="165" fontId="70" fillId="0" borderId="4" xfId="8" applyNumberFormat="1" applyFont="1" applyBorder="1" applyAlignment="1">
      <alignment horizontal="center"/>
    </xf>
    <xf numFmtId="0" fontId="32" fillId="0" borderId="39" xfId="8" applyFont="1" applyBorder="1"/>
    <xf numFmtId="2" fontId="70" fillId="0" borderId="37" xfId="8" applyNumberFormat="1" applyFont="1" applyBorder="1" applyAlignment="1">
      <alignment horizontal="center"/>
    </xf>
    <xf numFmtId="165" fontId="32" fillId="4" borderId="86" xfId="8" applyNumberFormat="1" applyFont="1" applyFill="1" applyBorder="1" applyAlignment="1" applyProtection="1">
      <alignment horizontal="center"/>
      <protection locked="0"/>
    </xf>
    <xf numFmtId="165" fontId="32" fillId="0" borderId="89" xfId="8" applyNumberFormat="1" applyFont="1" applyBorder="1" applyAlignment="1">
      <alignment horizontal="center"/>
    </xf>
    <xf numFmtId="165" fontId="70" fillId="0" borderId="104" xfId="8" applyNumberFormat="1" applyFont="1" applyBorder="1" applyAlignment="1">
      <alignment horizontal="center"/>
    </xf>
    <xf numFmtId="165" fontId="32" fillId="4" borderId="89" xfId="8" applyNumberFormat="1" applyFont="1" applyFill="1" applyBorder="1" applyAlignment="1" applyProtection="1">
      <alignment horizontal="center"/>
      <protection locked="0"/>
    </xf>
    <xf numFmtId="165" fontId="32" fillId="4" borderId="15" xfId="8" applyNumberFormat="1" applyFont="1" applyFill="1" applyBorder="1" applyAlignment="1" applyProtection="1">
      <alignment horizontal="center"/>
      <protection locked="0"/>
    </xf>
    <xf numFmtId="165" fontId="32" fillId="24" borderId="86" xfId="8" applyNumberFormat="1" applyFont="1" applyFill="1" applyBorder="1" applyAlignment="1" applyProtection="1">
      <alignment horizontal="center"/>
      <protection locked="0"/>
    </xf>
    <xf numFmtId="165" fontId="32" fillId="24" borderId="89" xfId="8" applyNumberFormat="1" applyFont="1" applyFill="1" applyBorder="1" applyAlignment="1" applyProtection="1">
      <alignment horizontal="center"/>
      <protection locked="0"/>
    </xf>
    <xf numFmtId="165" fontId="32" fillId="24" borderId="15" xfId="8" applyNumberFormat="1" applyFont="1" applyFill="1" applyBorder="1" applyAlignment="1" applyProtection="1">
      <alignment horizontal="center"/>
      <protection locked="0"/>
    </xf>
    <xf numFmtId="164" fontId="70" fillId="0" borderId="104" xfId="8" applyNumberFormat="1" applyFont="1" applyBorder="1" applyAlignment="1">
      <alignment horizontal="center"/>
    </xf>
    <xf numFmtId="165" fontId="32" fillId="0" borderId="86" xfId="8" applyNumberFormat="1" applyFont="1" applyBorder="1" applyAlignment="1">
      <alignment horizontal="center"/>
    </xf>
    <xf numFmtId="165" fontId="32" fillId="0" borderId="15" xfId="8" applyNumberFormat="1" applyFont="1" applyBorder="1" applyAlignment="1">
      <alignment horizontal="center"/>
    </xf>
    <xf numFmtId="164" fontId="32" fillId="0" borderId="86" xfId="8" applyNumberFormat="1" applyFont="1" applyBorder="1" applyAlignment="1">
      <alignment horizontal="center"/>
    </xf>
    <xf numFmtId="164" fontId="32" fillId="0" borderId="89" xfId="8" applyNumberFormat="1" applyFont="1" applyBorder="1" applyAlignment="1">
      <alignment horizontal="center"/>
    </xf>
    <xf numFmtId="164" fontId="32" fillId="0" borderId="15" xfId="8" applyNumberFormat="1" applyFont="1" applyBorder="1" applyAlignment="1">
      <alignment horizontal="center"/>
    </xf>
    <xf numFmtId="164" fontId="32" fillId="24" borderId="86" xfId="8" applyNumberFormat="1" applyFont="1" applyFill="1" applyBorder="1" applyAlignment="1" applyProtection="1">
      <alignment horizontal="center"/>
      <protection locked="0"/>
    </xf>
    <xf numFmtId="165" fontId="32" fillId="0" borderId="35" xfId="8" applyNumberFormat="1" applyFont="1" applyBorder="1" applyAlignment="1">
      <alignment horizontal="center"/>
    </xf>
    <xf numFmtId="165" fontId="32" fillId="0" borderId="31" xfId="8" applyNumberFormat="1" applyFont="1" applyBorder="1" applyAlignment="1">
      <alignment horizontal="center"/>
    </xf>
    <xf numFmtId="165" fontId="32" fillId="0" borderId="43" xfId="8" applyNumberFormat="1" applyFont="1" applyBorder="1" applyAlignment="1">
      <alignment horizontal="center"/>
    </xf>
    <xf numFmtId="165" fontId="70" fillId="0" borderId="67" xfId="8" applyNumberFormat="1" applyFont="1" applyBorder="1" applyAlignment="1">
      <alignment horizontal="center"/>
    </xf>
    <xf numFmtId="0" fontId="22" fillId="0" borderId="0" xfId="8" applyFont="1" applyAlignment="1">
      <alignment horizontal="center"/>
    </xf>
    <xf numFmtId="0" fontId="3" fillId="24" borderId="5" xfId="8" applyFont="1" applyFill="1" applyBorder="1" applyProtection="1">
      <protection locked="0"/>
    </xf>
    <xf numFmtId="0" fontId="3" fillId="4" borderId="5" xfId="8" applyFont="1" applyFill="1" applyBorder="1" applyProtection="1">
      <protection locked="0"/>
    </xf>
    <xf numFmtId="0" fontId="3" fillId="4" borderId="5" xfId="9" applyFill="1" applyBorder="1" applyProtection="1">
      <protection locked="0"/>
    </xf>
    <xf numFmtId="0" fontId="74" fillId="25" borderId="97" xfId="9" applyFont="1" applyFill="1" applyBorder="1" applyAlignment="1">
      <alignment horizontal="center" vertical="center"/>
    </xf>
    <xf numFmtId="0" fontId="75" fillId="25" borderId="82" xfId="9" applyFont="1" applyFill="1" applyBorder="1" applyAlignment="1">
      <alignment vertical="center"/>
    </xf>
    <xf numFmtId="0" fontId="76" fillId="25" borderId="82" xfId="9" applyFont="1" applyFill="1" applyBorder="1"/>
    <xf numFmtId="17" fontId="77" fillId="25" borderId="83" xfId="9" quotePrefix="1" applyNumberFormat="1" applyFont="1" applyFill="1" applyBorder="1" applyAlignment="1">
      <alignment horizontal="right" vertical="center"/>
    </xf>
    <xf numFmtId="0" fontId="78" fillId="11" borderId="0" xfId="9" applyFont="1" applyFill="1"/>
    <xf numFmtId="0" fontId="3" fillId="11" borderId="0" xfId="9" applyFill="1"/>
    <xf numFmtId="0" fontId="79" fillId="26" borderId="98" xfId="9" applyFont="1" applyFill="1" applyBorder="1" applyAlignment="1">
      <alignment horizontal="center" vertical="center"/>
    </xf>
    <xf numFmtId="0" fontId="80" fillId="26" borderId="0" xfId="9" applyFont="1" applyFill="1" applyAlignment="1">
      <alignment vertical="center"/>
    </xf>
    <xf numFmtId="0" fontId="3" fillId="26" borderId="0" xfId="9" applyFill="1"/>
    <xf numFmtId="0" fontId="3" fillId="26" borderId="128" xfId="9" applyFill="1" applyBorder="1"/>
    <xf numFmtId="0" fontId="3" fillId="26" borderId="129" xfId="9" applyFill="1" applyBorder="1"/>
    <xf numFmtId="0" fontId="3" fillId="26" borderId="130" xfId="9" applyFill="1" applyBorder="1"/>
    <xf numFmtId="0" fontId="81" fillId="26" borderId="131" xfId="9" applyFont="1" applyFill="1" applyBorder="1" applyAlignment="1">
      <alignment horizontal="right" vertical="center"/>
    </xf>
    <xf numFmtId="0" fontId="82" fillId="11" borderId="0" xfId="9" applyFont="1" applyFill="1"/>
    <xf numFmtId="0" fontId="83" fillId="27" borderId="14" xfId="9" applyFont="1" applyFill="1" applyBorder="1" applyAlignment="1">
      <alignment horizontal="center" vertical="center"/>
    </xf>
    <xf numFmtId="0" fontId="84" fillId="27" borderId="81" xfId="9" applyFont="1" applyFill="1" applyBorder="1" applyAlignment="1">
      <alignment horizontal="center" vertical="center"/>
    </xf>
    <xf numFmtId="0" fontId="83" fillId="27" borderId="97" xfId="9" applyFont="1" applyFill="1" applyBorder="1" applyAlignment="1">
      <alignment vertical="center"/>
    </xf>
    <xf numFmtId="0" fontId="83" fillId="27" borderId="96" xfId="9" applyFont="1" applyFill="1" applyBorder="1"/>
    <xf numFmtId="0" fontId="3" fillId="28" borderId="132" xfId="9" applyFill="1" applyBorder="1" applyAlignment="1">
      <alignment horizontal="right" vertical="center"/>
    </xf>
    <xf numFmtId="0" fontId="3" fillId="28" borderId="133" xfId="9" applyFill="1" applyBorder="1" applyAlignment="1">
      <alignment horizontal="center" vertical="center"/>
    </xf>
    <xf numFmtId="0" fontId="3" fillId="29" borderId="132" xfId="9" applyFill="1" applyBorder="1" applyAlignment="1">
      <alignment horizontal="right" vertical="center"/>
    </xf>
    <xf numFmtId="0" fontId="3" fillId="29" borderId="133" xfId="9" applyFill="1" applyBorder="1" applyAlignment="1">
      <alignment horizontal="center" vertical="center"/>
    </xf>
    <xf numFmtId="0" fontId="3" fillId="28" borderId="134" xfId="9" applyFill="1" applyBorder="1" applyAlignment="1">
      <alignment horizontal="right" vertical="center"/>
    </xf>
    <xf numFmtId="0" fontId="3" fillId="28" borderId="135" xfId="9" applyFill="1" applyBorder="1" applyAlignment="1">
      <alignment horizontal="center" vertical="center"/>
    </xf>
    <xf numFmtId="164" fontId="3" fillId="28" borderId="135" xfId="9" applyNumberFormat="1" applyFill="1" applyBorder="1" applyAlignment="1">
      <alignment horizontal="center" vertical="center"/>
    </xf>
    <xf numFmtId="1" fontId="3" fillId="28" borderId="135" xfId="9" applyNumberFormat="1" applyFill="1" applyBorder="1" applyAlignment="1">
      <alignment horizontal="center" vertical="center"/>
    </xf>
    <xf numFmtId="0" fontId="23" fillId="30" borderId="132" xfId="9" applyFont="1" applyFill="1" applyBorder="1" applyAlignment="1">
      <alignment horizontal="center"/>
    </xf>
    <xf numFmtId="164" fontId="86" fillId="30" borderId="136" xfId="9" applyNumberFormat="1" applyFont="1" applyFill="1" applyBorder="1" applyAlignment="1">
      <alignment horizontal="center" vertical="center"/>
    </xf>
    <xf numFmtId="0" fontId="3" fillId="28" borderId="137" xfId="9" applyFill="1" applyBorder="1" applyAlignment="1">
      <alignment horizontal="right" vertical="center"/>
    </xf>
    <xf numFmtId="0" fontId="23" fillId="30" borderId="134" xfId="9" applyFont="1" applyFill="1" applyBorder="1" applyAlignment="1">
      <alignment horizontal="center"/>
    </xf>
    <xf numFmtId="164" fontId="86" fillId="30" borderId="138" xfId="9" applyNumberFormat="1" applyFont="1" applyFill="1" applyBorder="1" applyAlignment="1">
      <alignment horizontal="center" vertical="center"/>
    </xf>
    <xf numFmtId="2" fontId="86" fillId="30" borderId="138" xfId="9" applyNumberFormat="1" applyFont="1" applyFill="1" applyBorder="1" applyAlignment="1">
      <alignment horizontal="center" vertical="center"/>
    </xf>
    <xf numFmtId="165" fontId="86" fillId="30" borderId="138" xfId="9" applyNumberFormat="1" applyFont="1" applyFill="1" applyBorder="1" applyAlignment="1">
      <alignment horizontal="center" vertical="center"/>
    </xf>
    <xf numFmtId="0" fontId="23" fillId="30" borderId="129" xfId="9" applyFont="1" applyFill="1" applyBorder="1" applyAlignment="1">
      <alignment horizontal="center" vertical="center"/>
    </xf>
    <xf numFmtId="164" fontId="86" fillId="30" borderId="139" xfId="9" applyNumberFormat="1" applyFont="1" applyFill="1" applyBorder="1" applyAlignment="1">
      <alignment horizontal="center" vertical="center"/>
    </xf>
    <xf numFmtId="0" fontId="22" fillId="27" borderId="140" xfId="9" applyFont="1" applyFill="1" applyBorder="1" applyAlignment="1">
      <alignment horizontal="center" vertical="center"/>
    </xf>
    <xf numFmtId="49" fontId="87" fillId="27" borderId="136" xfId="9" applyNumberFormat="1" applyFont="1" applyFill="1" applyBorder="1" applyAlignment="1">
      <alignment horizontal="center" vertical="center"/>
    </xf>
    <xf numFmtId="0" fontId="22" fillId="27" borderId="134" xfId="9" applyFont="1" applyFill="1" applyBorder="1" applyAlignment="1">
      <alignment horizontal="center" vertical="center"/>
    </xf>
    <xf numFmtId="165" fontId="87" fillId="27" borderId="138" xfId="9" applyNumberFormat="1" applyFont="1" applyFill="1" applyBorder="1" applyAlignment="1">
      <alignment horizontal="center" vertical="center"/>
    </xf>
    <xf numFmtId="180" fontId="87" fillId="27" borderId="138" xfId="10" applyNumberFormat="1" applyFont="1" applyFill="1" applyBorder="1" applyAlignment="1" applyProtection="1">
      <alignment horizontal="center" vertical="center"/>
    </xf>
    <xf numFmtId="0" fontId="22" fillId="27" borderId="129" xfId="9" applyFont="1" applyFill="1" applyBorder="1" applyAlignment="1">
      <alignment horizontal="center" vertical="center"/>
    </xf>
    <xf numFmtId="165" fontId="87" fillId="27" borderId="139" xfId="9" applyNumberFormat="1" applyFont="1" applyFill="1" applyBorder="1" applyAlignment="1">
      <alignment horizontal="center" vertical="center"/>
    </xf>
    <xf numFmtId="0" fontId="77" fillId="25" borderId="81" xfId="9" applyFont="1" applyFill="1" applyBorder="1" applyAlignment="1">
      <alignment vertical="center"/>
    </xf>
    <xf numFmtId="0" fontId="77" fillId="25" borderId="83" xfId="9" applyFont="1" applyFill="1" applyBorder="1" applyAlignment="1">
      <alignment vertical="center"/>
    </xf>
    <xf numFmtId="0" fontId="87" fillId="27" borderId="81" xfId="9" applyFont="1" applyFill="1" applyBorder="1" applyAlignment="1">
      <alignment horizontal="center" vertical="center"/>
    </xf>
    <xf numFmtId="0" fontId="87" fillId="27" borderId="83" xfId="9" applyFont="1" applyFill="1" applyBorder="1" applyAlignment="1">
      <alignment horizontal="center" vertical="center"/>
    </xf>
    <xf numFmtId="0" fontId="88" fillId="30" borderId="141" xfId="9" applyFont="1" applyFill="1" applyBorder="1" applyAlignment="1">
      <alignment horizontal="center" vertical="center"/>
    </xf>
    <xf numFmtId="164" fontId="88" fillId="30" borderId="142" xfId="9" applyNumberFormat="1" applyFont="1" applyFill="1" applyBorder="1" applyAlignment="1">
      <alignment horizontal="center" vertical="center"/>
    </xf>
    <xf numFmtId="0" fontId="22" fillId="28" borderId="143" xfId="9" applyFont="1" applyFill="1" applyBorder="1" applyAlignment="1">
      <alignment horizontal="center"/>
    </xf>
    <xf numFmtId="0" fontId="22" fillId="28" borderId="138" xfId="9" applyFont="1" applyFill="1" applyBorder="1" applyAlignment="1">
      <alignment horizontal="center"/>
    </xf>
    <xf numFmtId="2" fontId="35" fillId="5" borderId="143" xfId="9" applyNumberFormat="1" applyFont="1" applyFill="1" applyBorder="1"/>
    <xf numFmtId="164" fontId="35" fillId="5" borderId="138" xfId="9" applyNumberFormat="1" applyFont="1" applyFill="1" applyBorder="1"/>
    <xf numFmtId="2" fontId="35" fillId="5" borderId="144" xfId="9" applyNumberFormat="1" applyFont="1" applyFill="1" applyBorder="1"/>
    <xf numFmtId="164" fontId="35" fillId="5" borderId="139" xfId="9" applyNumberFormat="1" applyFont="1" applyFill="1" applyBorder="1"/>
    <xf numFmtId="0" fontId="3" fillId="29" borderId="134" xfId="9" applyFill="1" applyBorder="1" applyAlignment="1">
      <alignment horizontal="right" vertical="center"/>
    </xf>
    <xf numFmtId="164" fontId="3" fillId="29" borderId="135" xfId="9" applyNumberFormat="1" applyFill="1" applyBorder="1" applyAlignment="1">
      <alignment horizontal="center" vertical="center"/>
    </xf>
    <xf numFmtId="0" fontId="78" fillId="11" borderId="0" xfId="9" applyFont="1" applyFill="1" applyAlignment="1">
      <alignment horizontal="right"/>
    </xf>
    <xf numFmtId="1" fontId="3" fillId="29" borderId="135" xfId="9" applyNumberFormat="1" applyFill="1" applyBorder="1" applyAlignment="1">
      <alignment horizontal="center" vertical="center"/>
    </xf>
    <xf numFmtId="0" fontId="23" fillId="24" borderId="132" xfId="9" applyFont="1" applyFill="1" applyBorder="1" applyAlignment="1">
      <alignment horizontal="center"/>
    </xf>
    <xf numFmtId="164" fontId="86" fillId="24" borderId="136" xfId="9" applyNumberFormat="1" applyFont="1" applyFill="1" applyBorder="1" applyAlignment="1">
      <alignment horizontal="center" vertical="center"/>
    </xf>
    <xf numFmtId="0" fontId="3" fillId="24" borderId="137" xfId="9" applyFill="1" applyBorder="1" applyAlignment="1">
      <alignment horizontal="right" vertical="center"/>
    </xf>
    <xf numFmtId="164" fontId="3" fillId="24" borderId="145" xfId="9" applyNumberFormat="1" applyFill="1" applyBorder="1" applyAlignment="1">
      <alignment horizontal="center" vertical="center"/>
    </xf>
    <xf numFmtId="164" fontId="3" fillId="24" borderId="137" xfId="9" applyNumberFormat="1" applyFill="1" applyBorder="1" applyAlignment="1">
      <alignment horizontal="right" vertical="center"/>
    </xf>
    <xf numFmtId="0" fontId="3" fillId="24" borderId="134" xfId="9" applyFill="1" applyBorder="1" applyAlignment="1">
      <alignment horizontal="right"/>
    </xf>
    <xf numFmtId="0" fontId="3" fillId="24" borderId="135" xfId="9" applyFill="1" applyBorder="1" applyAlignment="1">
      <alignment horizontal="center" vertical="center"/>
    </xf>
    <xf numFmtId="0" fontId="3" fillId="24" borderId="134" xfId="9" applyFill="1" applyBorder="1" applyAlignment="1">
      <alignment horizontal="right" vertical="center"/>
    </xf>
    <xf numFmtId="1" fontId="3" fillId="24" borderId="135" xfId="9" applyNumberFormat="1" applyFill="1" applyBorder="1" applyAlignment="1">
      <alignment horizontal="center" vertical="center"/>
    </xf>
    <xf numFmtId="0" fontId="23" fillId="24" borderId="134" xfId="9" applyFont="1" applyFill="1" applyBorder="1" applyAlignment="1">
      <alignment horizontal="center"/>
    </xf>
    <xf numFmtId="164" fontId="86" fillId="24" borderId="138" xfId="9" applyNumberFormat="1" applyFont="1" applyFill="1" applyBorder="1" applyAlignment="1">
      <alignment horizontal="center" vertical="center"/>
    </xf>
    <xf numFmtId="2" fontId="86" fillId="24" borderId="138" xfId="9" applyNumberFormat="1" applyFont="1" applyFill="1" applyBorder="1" applyAlignment="1">
      <alignment horizontal="center" vertical="center"/>
    </xf>
    <xf numFmtId="0" fontId="23" fillId="24" borderId="98" xfId="9" applyFont="1" applyFill="1" applyBorder="1" applyAlignment="1">
      <alignment horizontal="center"/>
    </xf>
    <xf numFmtId="165" fontId="86" fillId="24" borderId="146" xfId="9" applyNumberFormat="1" applyFont="1" applyFill="1" applyBorder="1" applyAlignment="1">
      <alignment horizontal="center" vertical="center"/>
    </xf>
    <xf numFmtId="0" fontId="23" fillId="21" borderId="81" xfId="9" applyFont="1" applyFill="1" applyBorder="1" applyAlignment="1">
      <alignment horizontal="center" vertical="center"/>
    </xf>
    <xf numFmtId="165" fontId="86" fillId="21" borderId="96" xfId="9" applyNumberFormat="1" applyFont="1" applyFill="1" applyBorder="1" applyAlignment="1">
      <alignment horizontal="center" vertical="center"/>
    </xf>
    <xf numFmtId="49" fontId="87" fillId="27" borderId="92" xfId="9" applyNumberFormat="1" applyFont="1" applyFill="1" applyBorder="1" applyAlignment="1" applyProtection="1">
      <alignment horizontal="center" vertical="center"/>
      <protection locked="0"/>
    </xf>
    <xf numFmtId="0" fontId="22" fillId="27" borderId="92" xfId="9" applyFont="1" applyFill="1" applyBorder="1" applyAlignment="1">
      <alignment horizontal="center" vertical="center"/>
    </xf>
    <xf numFmtId="49" fontId="87" fillId="27" borderId="136" xfId="9" applyNumberFormat="1" applyFont="1" applyFill="1" applyBorder="1" applyAlignment="1" applyProtection="1">
      <alignment horizontal="center" vertical="center"/>
      <protection locked="0"/>
    </xf>
    <xf numFmtId="165" fontId="87" fillId="27" borderId="23" xfId="9" applyNumberFormat="1" applyFont="1" applyFill="1" applyBorder="1" applyAlignment="1" applyProtection="1">
      <alignment horizontal="center" vertical="center"/>
      <protection locked="0"/>
    </xf>
    <xf numFmtId="0" fontId="22" fillId="27" borderId="28" xfId="9" applyFont="1" applyFill="1" applyBorder="1" applyAlignment="1">
      <alignment horizontal="center" vertical="center"/>
    </xf>
    <xf numFmtId="165" fontId="87" fillId="27" borderId="138" xfId="9" applyNumberFormat="1" applyFont="1" applyFill="1" applyBorder="1" applyAlignment="1" applyProtection="1">
      <alignment horizontal="center" vertical="center"/>
      <protection locked="0"/>
    </xf>
    <xf numFmtId="10" fontId="87" fillId="27" borderId="23" xfId="10" applyNumberFormat="1" applyFont="1" applyFill="1" applyBorder="1" applyAlignment="1" applyProtection="1">
      <alignment horizontal="center" vertical="center"/>
      <protection locked="0"/>
    </xf>
    <xf numFmtId="10" fontId="87" fillId="27" borderId="138" xfId="10" applyNumberFormat="1" applyFont="1" applyFill="1" applyBorder="1" applyAlignment="1" applyProtection="1">
      <alignment horizontal="center" vertical="center"/>
      <protection locked="0"/>
    </xf>
    <xf numFmtId="165" fontId="87" fillId="27" borderId="23" xfId="9" applyNumberFormat="1" applyFont="1" applyFill="1" applyBorder="1" applyAlignment="1">
      <alignment horizontal="center" vertical="center"/>
    </xf>
    <xf numFmtId="165" fontId="87" fillId="27" borderId="93" xfId="9" applyNumberFormat="1" applyFont="1" applyFill="1" applyBorder="1" applyAlignment="1" applyProtection="1">
      <alignment horizontal="center" vertical="center"/>
      <protection locked="0"/>
    </xf>
    <xf numFmtId="0" fontId="22" fillId="27" borderId="147" xfId="9" applyFont="1" applyFill="1" applyBorder="1" applyAlignment="1">
      <alignment horizontal="center" vertical="center"/>
    </xf>
    <xf numFmtId="165" fontId="87" fillId="27" borderId="93" xfId="9" applyNumberFormat="1" applyFont="1" applyFill="1" applyBorder="1" applyAlignment="1">
      <alignment horizontal="center" vertical="center"/>
    </xf>
    <xf numFmtId="165" fontId="87" fillId="27" borderId="139" xfId="9" applyNumberFormat="1" applyFont="1" applyFill="1" applyBorder="1" applyAlignment="1" applyProtection="1">
      <alignment horizontal="center" vertical="center"/>
      <protection locked="0"/>
    </xf>
    <xf numFmtId="164" fontId="88" fillId="24" borderId="143" xfId="9" applyNumberFormat="1" applyFont="1" applyFill="1" applyBorder="1" applyAlignment="1">
      <alignment horizontal="center" vertical="center"/>
    </xf>
    <xf numFmtId="164" fontId="88" fillId="24" borderId="138" xfId="9" applyNumberFormat="1" applyFont="1" applyFill="1" applyBorder="1" applyAlignment="1">
      <alignment horizontal="center" vertical="center"/>
    </xf>
    <xf numFmtId="0" fontId="22" fillId="29" borderId="143" xfId="9" applyFont="1" applyFill="1" applyBorder="1" applyAlignment="1">
      <alignment horizontal="center"/>
    </xf>
    <xf numFmtId="0" fontId="22" fillId="29" borderId="138" xfId="9" applyFont="1" applyFill="1" applyBorder="1" applyAlignment="1">
      <alignment horizontal="center"/>
    </xf>
    <xf numFmtId="0" fontId="78" fillId="11" borderId="0" xfId="9" applyFont="1" applyFill="1" applyAlignment="1">
      <alignment horizontal="center"/>
    </xf>
    <xf numFmtId="164" fontId="35" fillId="5" borderId="143" xfId="9" applyNumberFormat="1" applyFont="1" applyFill="1" applyBorder="1"/>
    <xf numFmtId="181" fontId="35" fillId="5" borderId="138" xfId="9" applyNumberFormat="1" applyFont="1" applyFill="1" applyBorder="1"/>
    <xf numFmtId="164" fontId="35" fillId="31" borderId="143" xfId="9" applyNumberFormat="1" applyFont="1" applyFill="1" applyBorder="1"/>
    <xf numFmtId="181" fontId="35" fillId="31" borderId="138" xfId="9" applyNumberFormat="1" applyFont="1" applyFill="1" applyBorder="1"/>
    <xf numFmtId="165" fontId="78" fillId="11" borderId="0" xfId="9" applyNumberFormat="1" applyFont="1" applyFill="1"/>
    <xf numFmtId="165" fontId="78" fillId="11" borderId="0" xfId="9" applyNumberFormat="1" applyFont="1" applyFill="1" applyAlignment="1">
      <alignment horizontal="left"/>
    </xf>
    <xf numFmtId="1" fontId="78" fillId="11" borderId="0" xfId="9" applyNumberFormat="1" applyFont="1" applyFill="1"/>
    <xf numFmtId="164" fontId="35" fillId="5" borderId="144" xfId="9" applyNumberFormat="1" applyFont="1" applyFill="1" applyBorder="1"/>
    <xf numFmtId="181" fontId="35" fillId="5" borderId="139" xfId="9" applyNumberFormat="1" applyFont="1" applyFill="1" applyBorder="1"/>
    <xf numFmtId="164" fontId="35" fillId="31" borderId="144" xfId="9" applyNumberFormat="1" applyFont="1" applyFill="1" applyBorder="1"/>
    <xf numFmtId="181" fontId="35" fillId="31" borderId="139" xfId="9" applyNumberFormat="1" applyFont="1" applyFill="1" applyBorder="1"/>
    <xf numFmtId="0" fontId="70" fillId="0" borderId="0" xfId="9" applyFont="1" applyAlignment="1">
      <alignment horizontal="centerContinuous"/>
    </xf>
    <xf numFmtId="0" fontId="70" fillId="0" borderId="0" xfId="8" applyFont="1" applyAlignment="1">
      <alignment horizontal="centerContinuous"/>
    </xf>
    <xf numFmtId="0" fontId="93" fillId="0" borderId="0" xfId="0" applyFont="1" applyAlignment="1" applyProtection="1">
      <alignment horizontal="right" vertical="center"/>
      <protection hidden="1"/>
    </xf>
    <xf numFmtId="0" fontId="3" fillId="0" borderId="30" xfId="9" applyBorder="1"/>
    <xf numFmtId="1" fontId="32" fillId="0" borderId="127" xfId="8" applyNumberFormat="1" applyFont="1" applyBorder="1" applyAlignment="1" applyProtection="1">
      <alignment horizontal="center"/>
      <protection locked="0"/>
    </xf>
    <xf numFmtId="1" fontId="32" fillId="0" borderId="84" xfId="8" applyNumberFormat="1" applyFont="1" applyBorder="1" applyAlignment="1" applyProtection="1">
      <alignment horizontal="center"/>
      <protection locked="0"/>
    </xf>
    <xf numFmtId="1" fontId="32" fillId="0" borderId="17" xfId="8" applyNumberFormat="1" applyFont="1" applyBorder="1" applyAlignment="1" applyProtection="1">
      <alignment horizontal="center"/>
      <protection locked="0"/>
    </xf>
    <xf numFmtId="0" fontId="35" fillId="0" borderId="0" xfId="9" applyFont="1"/>
    <xf numFmtId="49" fontId="3" fillId="11" borderId="89" xfId="9" applyNumberFormat="1" applyFill="1" applyBorder="1"/>
    <xf numFmtId="49" fontId="3" fillId="6" borderId="14" xfId="9" applyNumberFormat="1" applyFill="1" applyBorder="1"/>
    <xf numFmtId="49" fontId="22" fillId="6" borderId="14" xfId="9" applyNumberFormat="1" applyFont="1" applyFill="1" applyBorder="1" applyAlignment="1">
      <alignment horizontal="right"/>
    </xf>
    <xf numFmtId="49" fontId="3" fillId="6" borderId="23" xfId="9" applyNumberFormat="1" applyFill="1" applyBorder="1" applyAlignment="1">
      <alignment horizontal="right"/>
    </xf>
    <xf numFmtId="49" fontId="3" fillId="11" borderId="14" xfId="9" applyNumberFormat="1" applyFill="1" applyBorder="1" applyAlignment="1">
      <alignment horizontal="right"/>
    </xf>
    <xf numFmtId="49" fontId="3" fillId="11" borderId="23" xfId="9" applyNumberFormat="1" applyFill="1" applyBorder="1" applyAlignment="1">
      <alignment horizontal="left"/>
    </xf>
    <xf numFmtId="49" fontId="3" fillId="11" borderId="27" xfId="9" applyNumberFormat="1" applyFill="1" applyBorder="1"/>
    <xf numFmtId="49" fontId="3" fillId="6" borderId="23" xfId="9" applyNumberFormat="1" applyFill="1" applyBorder="1"/>
    <xf numFmtId="49" fontId="22" fillId="6" borderId="23" xfId="9" applyNumberFormat="1" applyFont="1" applyFill="1" applyBorder="1" applyAlignment="1">
      <alignment horizontal="right"/>
    </xf>
    <xf numFmtId="49" fontId="3" fillId="11" borderId="23" xfId="9" applyNumberFormat="1" applyFill="1" applyBorder="1" applyAlignment="1">
      <alignment horizontal="right"/>
    </xf>
    <xf numFmtId="0" fontId="3" fillId="11" borderId="14" xfId="9" applyFill="1" applyBorder="1" applyAlignment="1">
      <alignment horizontal="right"/>
    </xf>
    <xf numFmtId="14" fontId="3" fillId="6" borderId="22" xfId="9" applyNumberFormat="1" applyFill="1" applyBorder="1"/>
    <xf numFmtId="14" fontId="3" fillId="6" borderId="12" xfId="9" applyNumberFormat="1" applyFill="1" applyBorder="1"/>
    <xf numFmtId="0" fontId="94" fillId="0" borderId="0" xfId="3" quotePrefix="1" applyFont="1" applyAlignment="1">
      <alignment horizontal="left"/>
    </xf>
    <xf numFmtId="0" fontId="3" fillId="0" borderId="0" xfId="2" applyFont="1" applyProtection="1">
      <protection locked="0"/>
    </xf>
    <xf numFmtId="164" fontId="32" fillId="24" borderId="11" xfId="8" applyNumberFormat="1" applyFont="1" applyFill="1" applyBorder="1" applyAlignment="1" applyProtection="1">
      <alignment horizontal="center"/>
      <protection locked="0"/>
    </xf>
    <xf numFmtId="164" fontId="32" fillId="24" borderId="89" xfId="8" applyNumberFormat="1" applyFont="1" applyFill="1" applyBorder="1" applyAlignment="1" applyProtection="1">
      <alignment horizontal="center"/>
      <protection locked="0"/>
    </xf>
    <xf numFmtId="164" fontId="32" fillId="24" borderId="23" xfId="8" applyNumberFormat="1" applyFont="1" applyFill="1" applyBorder="1" applyAlignment="1" applyProtection="1">
      <alignment horizontal="center"/>
      <protection locked="0"/>
    </xf>
    <xf numFmtId="0" fontId="95" fillId="0" borderId="0" xfId="0" applyFont="1" applyAlignment="1" applyProtection="1">
      <alignment horizontal="center"/>
      <protection hidden="1"/>
    </xf>
    <xf numFmtId="0" fontId="96" fillId="0" borderId="148" xfId="0" applyFont="1" applyBorder="1" applyAlignment="1">
      <alignment horizontal="center" vertical="center" wrapText="1"/>
    </xf>
    <xf numFmtId="0" fontId="96" fillId="0" borderId="131" xfId="0" applyFont="1" applyBorder="1" applyAlignment="1">
      <alignment horizontal="center" vertical="center" wrapText="1"/>
    </xf>
    <xf numFmtId="0" fontId="96" fillId="0" borderId="0" xfId="0" applyFont="1" applyAlignment="1">
      <alignment vertical="center"/>
    </xf>
    <xf numFmtId="0" fontId="32" fillId="0" borderId="0" xfId="9" applyFont="1" applyAlignment="1">
      <alignment horizontal="center"/>
    </xf>
    <xf numFmtId="0" fontId="70" fillId="0" borderId="0" xfId="9" applyFont="1"/>
    <xf numFmtId="164" fontId="32" fillId="0" borderId="0" xfId="8" applyNumberFormat="1" applyFont="1" applyAlignment="1">
      <alignment horizontal="center"/>
    </xf>
    <xf numFmtId="18" fontId="32" fillId="0" borderId="0" xfId="9" applyNumberFormat="1" applyFont="1"/>
    <xf numFmtId="164" fontId="3" fillId="0" borderId="0" xfId="9" applyNumberFormat="1" applyProtection="1">
      <protection locked="0"/>
    </xf>
    <xf numFmtId="18" fontId="32" fillId="0" borderId="0" xfId="9" applyNumberFormat="1" applyFont="1" applyAlignment="1">
      <alignment horizontal="center"/>
    </xf>
    <xf numFmtId="0" fontId="32" fillId="0" borderId="62" xfId="8" applyFont="1" applyBorder="1"/>
    <xf numFmtId="1" fontId="32" fillId="0" borderId="52" xfId="8" applyNumberFormat="1" applyFont="1" applyBorder="1" applyAlignment="1" applyProtection="1">
      <alignment horizontal="center"/>
      <protection locked="0"/>
    </xf>
    <xf numFmtId="1" fontId="32" fillId="0" borderId="61" xfId="8" applyNumberFormat="1" applyFont="1" applyBorder="1" applyAlignment="1" applyProtection="1">
      <alignment horizontal="center"/>
      <protection locked="0"/>
    </xf>
    <xf numFmtId="1" fontId="32" fillId="0" borderId="49" xfId="8" applyNumberFormat="1" applyFont="1" applyBorder="1" applyAlignment="1" applyProtection="1">
      <alignment horizontal="center"/>
      <protection locked="0"/>
    </xf>
    <xf numFmtId="2" fontId="70" fillId="0" borderId="62" xfId="8" applyNumberFormat="1" applyFont="1" applyBorder="1" applyAlignment="1">
      <alignment horizontal="center"/>
    </xf>
    <xf numFmtId="165" fontId="96" fillId="0" borderId="131" xfId="0" applyNumberFormat="1" applyFont="1" applyBorder="1" applyAlignment="1">
      <alignment horizontal="center" vertical="center" wrapText="1"/>
    </xf>
    <xf numFmtId="0" fontId="97" fillId="24" borderId="131" xfId="0" applyFont="1" applyFill="1" applyBorder="1" applyAlignment="1" applyProtection="1">
      <alignment horizontal="center" vertical="center" wrapText="1"/>
      <protection locked="0"/>
    </xf>
    <xf numFmtId="0" fontId="98" fillId="0" borderId="0" xfId="2" applyFont="1" applyProtection="1">
      <protection locked="0"/>
    </xf>
    <xf numFmtId="49" fontId="6" fillId="0" borderId="5" xfId="0" applyNumberFormat="1" applyFont="1" applyBorder="1" applyAlignment="1" applyProtection="1">
      <alignment horizontal="center"/>
      <protection locked="0"/>
    </xf>
    <xf numFmtId="49" fontId="6" fillId="0" borderId="26" xfId="0" applyNumberFormat="1" applyFont="1" applyBorder="1" applyAlignment="1" applyProtection="1">
      <alignment horizontal="center"/>
      <protection locked="0"/>
    </xf>
    <xf numFmtId="0" fontId="11" fillId="2" borderId="111" xfId="0" applyFont="1" applyFill="1" applyBorder="1" applyAlignment="1" applyProtection="1">
      <alignment horizontal="center"/>
      <protection locked="0"/>
    </xf>
    <xf numFmtId="0" fontId="11" fillId="2" borderId="49" xfId="0" applyFont="1" applyFill="1" applyBorder="1" applyAlignment="1" applyProtection="1">
      <alignment horizontal="center"/>
      <protection locked="0"/>
    </xf>
    <xf numFmtId="0" fontId="30" fillId="0" borderId="0" xfId="0" applyFont="1" applyAlignment="1" applyProtection="1">
      <alignment horizontal="center"/>
      <protection hidden="1"/>
    </xf>
    <xf numFmtId="0" fontId="6" fillId="2" borderId="22" xfId="1" applyFont="1" applyFill="1" applyBorder="1" applyAlignment="1" applyProtection="1">
      <alignment horizontal="center"/>
      <protection locked="0"/>
    </xf>
    <xf numFmtId="0" fontId="6" fillId="2" borderId="27" xfId="1" applyFont="1" applyFill="1" applyBorder="1" applyAlignment="1" applyProtection="1">
      <alignment horizontal="center"/>
      <protection locked="0"/>
    </xf>
    <xf numFmtId="0" fontId="6" fillId="2" borderId="111" xfId="0" applyFont="1" applyFill="1" applyBorder="1" applyAlignment="1" applyProtection="1">
      <alignment horizontal="center"/>
      <protection locked="0"/>
    </xf>
    <xf numFmtId="0" fontId="6" fillId="2" borderId="61" xfId="0" applyFont="1" applyFill="1" applyBorder="1" applyAlignment="1" applyProtection="1">
      <alignment horizontal="center"/>
      <protection locked="0"/>
    </xf>
    <xf numFmtId="0" fontId="6" fillId="2" borderId="22" xfId="0" applyFont="1" applyFill="1" applyBorder="1" applyAlignment="1" applyProtection="1">
      <alignment horizontal="center"/>
      <protection locked="0"/>
    </xf>
    <xf numFmtId="0" fontId="6" fillId="2" borderId="27" xfId="0" applyFont="1" applyFill="1" applyBorder="1" applyAlignment="1" applyProtection="1">
      <alignment horizontal="center"/>
      <protection locked="0"/>
    </xf>
    <xf numFmtId="0" fontId="6" fillId="2" borderId="111" xfId="1" applyFont="1" applyFill="1" applyBorder="1" applyAlignment="1" applyProtection="1">
      <alignment horizontal="center"/>
      <protection locked="0"/>
    </xf>
    <xf numFmtId="0" fontId="6" fillId="2" borderId="61" xfId="1" applyFont="1" applyFill="1" applyBorder="1" applyAlignment="1" applyProtection="1">
      <alignment horizontal="center"/>
      <protection locked="0"/>
    </xf>
    <xf numFmtId="0" fontId="29" fillId="0" borderId="0" xfId="0" applyFont="1" applyAlignment="1">
      <alignment horizontal="center"/>
    </xf>
    <xf numFmtId="2" fontId="6" fillId="0" borderId="22" xfId="1" applyNumberFormat="1" applyFont="1" applyBorder="1" applyAlignment="1" applyProtection="1">
      <alignment horizontal="center"/>
      <protection hidden="1"/>
    </xf>
    <xf numFmtId="2" fontId="6" fillId="0" borderId="41" xfId="1" applyNumberFormat="1" applyFont="1" applyBorder="1" applyAlignment="1" applyProtection="1">
      <alignment horizontal="center"/>
      <protection hidden="1"/>
    </xf>
    <xf numFmtId="0" fontId="6" fillId="2" borderId="85" xfId="1" applyFont="1" applyFill="1" applyBorder="1" applyAlignment="1" applyProtection="1">
      <alignment horizontal="left"/>
      <protection locked="0"/>
    </xf>
    <xf numFmtId="0" fontId="6" fillId="2" borderId="61" xfId="1" applyFont="1" applyFill="1" applyBorder="1" applyAlignment="1" applyProtection="1">
      <alignment horizontal="left"/>
      <protection locked="0"/>
    </xf>
    <xf numFmtId="0" fontId="6" fillId="2" borderId="21" xfId="1" applyFont="1" applyFill="1" applyBorder="1" applyAlignment="1" applyProtection="1">
      <alignment horizontal="left"/>
      <protection locked="0"/>
    </xf>
    <xf numFmtId="0" fontId="6" fillId="2" borderId="27" xfId="1" applyFont="1" applyFill="1" applyBorder="1" applyAlignment="1" applyProtection="1">
      <alignment horizontal="left"/>
      <protection locked="0"/>
    </xf>
    <xf numFmtId="14" fontId="6" fillId="2" borderId="5" xfId="0" applyNumberFormat="1" applyFont="1" applyFill="1" applyBorder="1" applyAlignment="1" applyProtection="1">
      <alignment horizontal="center"/>
      <protection locked="0"/>
    </xf>
    <xf numFmtId="0" fontId="6" fillId="2" borderId="56" xfId="0" applyFont="1" applyFill="1" applyBorder="1" applyAlignment="1" applyProtection="1">
      <alignment horizontal="center"/>
      <protection locked="0"/>
    </xf>
    <xf numFmtId="0" fontId="6" fillId="2" borderId="31" xfId="0" applyFont="1" applyFill="1" applyBorder="1" applyAlignment="1" applyProtection="1">
      <alignment horizontal="center"/>
      <protection locked="0"/>
    </xf>
    <xf numFmtId="0" fontId="6" fillId="2" borderId="22" xfId="5" applyFont="1" applyFill="1" applyBorder="1" applyAlignment="1" applyProtection="1">
      <alignment horizontal="center"/>
      <protection locked="0"/>
    </xf>
    <xf numFmtId="0" fontId="6" fillId="2" borderId="27" xfId="5" applyFont="1" applyFill="1" applyBorder="1" applyAlignment="1" applyProtection="1">
      <alignment horizontal="center"/>
      <protection locked="0"/>
    </xf>
    <xf numFmtId="0" fontId="11" fillId="0" borderId="1" xfId="0" applyFont="1" applyBorder="1" applyAlignment="1" applyProtection="1">
      <alignment horizontal="center"/>
      <protection hidden="1"/>
    </xf>
    <xf numFmtId="0" fontId="11" fillId="0" borderId="2" xfId="0" applyFont="1" applyBorder="1" applyAlignment="1" applyProtection="1">
      <alignment horizontal="center"/>
      <protection hidden="1"/>
    </xf>
    <xf numFmtId="0" fontId="11" fillId="0" borderId="3" xfId="0" applyFont="1" applyBorder="1" applyAlignment="1" applyProtection="1">
      <alignment horizontal="center"/>
      <protection hidden="1"/>
    </xf>
    <xf numFmtId="1" fontId="6" fillId="2" borderId="30" xfId="0" applyNumberFormat="1" applyFont="1" applyFill="1" applyBorder="1" applyAlignment="1" applyProtection="1">
      <alignment horizontal="center"/>
      <protection locked="0"/>
    </xf>
    <xf numFmtId="0" fontId="0" fillId="2" borderId="5" xfId="0" applyFill="1" applyBorder="1" applyAlignment="1" applyProtection="1">
      <alignment horizontal="center"/>
      <protection locked="0"/>
    </xf>
    <xf numFmtId="0" fontId="6" fillId="2" borderId="68" xfId="5" applyFont="1" applyFill="1" applyBorder="1" applyAlignment="1" applyProtection="1">
      <alignment horizontal="center"/>
      <protection locked="0"/>
    </xf>
    <xf numFmtId="0" fontId="6" fillId="2" borderId="2" xfId="5" applyFont="1" applyFill="1" applyBorder="1" applyAlignment="1" applyProtection="1">
      <alignment horizontal="center"/>
      <protection locked="0"/>
    </xf>
    <xf numFmtId="0" fontId="6" fillId="2" borderId="3" xfId="5" applyFont="1" applyFill="1" applyBorder="1" applyAlignment="1" applyProtection="1">
      <alignment horizontal="center"/>
      <protection locked="0"/>
    </xf>
    <xf numFmtId="0" fontId="6" fillId="2" borderId="1" xfId="5" applyFont="1" applyFill="1" applyBorder="1" applyAlignment="1" applyProtection="1">
      <alignment horizontal="center"/>
      <protection locked="0"/>
    </xf>
    <xf numFmtId="0" fontId="6" fillId="2" borderId="1" xfId="0" applyFont="1" applyFill="1" applyBorder="1" applyAlignment="1" applyProtection="1">
      <alignment horizontal="center"/>
      <protection locked="0"/>
    </xf>
    <xf numFmtId="0" fontId="6" fillId="2" borderId="3" xfId="0" applyFont="1" applyFill="1" applyBorder="1" applyAlignment="1" applyProtection="1">
      <alignment horizontal="center"/>
      <protection locked="0"/>
    </xf>
    <xf numFmtId="0" fontId="0" fillId="2" borderId="26" xfId="0" applyFill="1" applyBorder="1" applyAlignment="1" applyProtection="1">
      <alignment horizontal="center"/>
      <protection locked="0"/>
    </xf>
    <xf numFmtId="2" fontId="6" fillId="0" borderId="56" xfId="1" applyNumberFormat="1" applyFont="1" applyBorder="1" applyAlignment="1" applyProtection="1">
      <alignment horizontal="center"/>
      <protection hidden="1"/>
    </xf>
    <xf numFmtId="2" fontId="6" fillId="0" borderId="43" xfId="1" applyNumberFormat="1" applyFont="1" applyBorder="1" applyAlignment="1" applyProtection="1">
      <alignment horizontal="center"/>
      <protection hidden="1"/>
    </xf>
    <xf numFmtId="164" fontId="6" fillId="0" borderId="22" xfId="1" applyNumberFormat="1" applyFont="1" applyBorder="1" applyAlignment="1" applyProtection="1">
      <alignment horizontal="center"/>
      <protection hidden="1"/>
    </xf>
    <xf numFmtId="164" fontId="6" fillId="0" borderId="41" xfId="1" applyNumberFormat="1" applyFont="1" applyBorder="1" applyAlignment="1" applyProtection="1">
      <alignment horizontal="center"/>
      <protection hidden="1"/>
    </xf>
    <xf numFmtId="1" fontId="6" fillId="0" borderId="22" xfId="1" applyNumberFormat="1" applyFont="1" applyBorder="1" applyAlignment="1" applyProtection="1">
      <alignment horizontal="center"/>
      <protection hidden="1"/>
    </xf>
    <xf numFmtId="1" fontId="6" fillId="0" borderId="41" xfId="1" applyNumberFormat="1" applyFont="1" applyBorder="1" applyAlignment="1" applyProtection="1">
      <alignment horizontal="center"/>
      <protection hidden="1"/>
    </xf>
    <xf numFmtId="0" fontId="6" fillId="2" borderId="29" xfId="1" applyFont="1" applyFill="1" applyBorder="1" applyAlignment="1" applyProtection="1">
      <alignment horizontal="center"/>
      <protection locked="0"/>
    </xf>
    <xf numFmtId="0" fontId="6" fillId="2" borderId="31" xfId="1" applyFont="1" applyFill="1" applyBorder="1" applyAlignment="1" applyProtection="1">
      <alignment horizontal="center"/>
      <protection locked="0"/>
    </xf>
    <xf numFmtId="0" fontId="4" fillId="0" borderId="44" xfId="0" applyFont="1" applyBorder="1" applyAlignment="1">
      <alignment horizontal="center" vertical="center"/>
    </xf>
    <xf numFmtId="0" fontId="4" fillId="0" borderId="38" xfId="0" applyFont="1" applyBorder="1" applyAlignment="1">
      <alignment horizontal="center" vertical="center"/>
    </xf>
    <xf numFmtId="0" fontId="4" fillId="0" borderId="85" xfId="0" applyFont="1" applyBorder="1" applyAlignment="1">
      <alignment horizontal="center"/>
    </xf>
    <xf numFmtId="0" fontId="4" fillId="0" borderId="49" xfId="0" applyFont="1" applyBorder="1" applyAlignment="1">
      <alignment horizontal="center"/>
    </xf>
    <xf numFmtId="0" fontId="4" fillId="0" borderId="60" xfId="0" applyFont="1" applyBorder="1" applyAlignment="1">
      <alignment horizontal="center"/>
    </xf>
    <xf numFmtId="0" fontId="0" fillId="17" borderId="21" xfId="0" applyFill="1" applyBorder="1" applyAlignment="1">
      <alignment horizontal="center"/>
    </xf>
    <xf numFmtId="0" fontId="0" fillId="17" borderId="26" xfId="0" applyFill="1" applyBorder="1" applyAlignment="1">
      <alignment horizontal="center"/>
    </xf>
    <xf numFmtId="0" fontId="0" fillId="17" borderId="41" xfId="0" applyFill="1" applyBorder="1" applyAlignment="1">
      <alignment horizontal="center"/>
    </xf>
    <xf numFmtId="0" fontId="4" fillId="5" borderId="6" xfId="0" applyFont="1" applyFill="1" applyBorder="1" applyAlignment="1">
      <alignment horizontal="center"/>
    </xf>
    <xf numFmtId="0" fontId="4" fillId="5" borderId="0" xfId="0" applyFont="1" applyFill="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4" fillId="0" borderId="7" xfId="0" applyFont="1" applyBorder="1" applyAlignment="1">
      <alignment horizontal="center"/>
    </xf>
    <xf numFmtId="0" fontId="4" fillId="0" borderId="4" xfId="0" applyFont="1" applyBorder="1" applyAlignment="1">
      <alignment horizontal="center"/>
    </xf>
    <xf numFmtId="0" fontId="4" fillId="5" borderId="8" xfId="0" applyFont="1" applyFill="1" applyBorder="1" applyAlignment="1">
      <alignment horizontal="center"/>
    </xf>
    <xf numFmtId="0" fontId="4" fillId="5" borderId="9" xfId="0" applyFont="1" applyFill="1" applyBorder="1" applyAlignment="1">
      <alignment horizontal="center"/>
    </xf>
    <xf numFmtId="0" fontId="0" fillId="17" borderId="85" xfId="0" applyFill="1" applyBorder="1" applyAlignment="1">
      <alignment horizontal="center"/>
    </xf>
    <xf numFmtId="0" fontId="0" fillId="17" borderId="60" xfId="0" applyFill="1" applyBorder="1" applyAlignment="1">
      <alignment horizontal="center"/>
    </xf>
    <xf numFmtId="0" fontId="0" fillId="17" borderId="49" xfId="0" applyFill="1" applyBorder="1" applyAlignment="1">
      <alignment horizontal="center"/>
    </xf>
    <xf numFmtId="0" fontId="53" fillId="19" borderId="124" xfId="0" applyFont="1" applyFill="1" applyBorder="1" applyAlignment="1" applyProtection="1">
      <alignment horizontal="center" vertical="top" wrapText="1"/>
      <protection locked="0"/>
    </xf>
    <xf numFmtId="0" fontId="53" fillId="19" borderId="9" xfId="0" applyFont="1" applyFill="1" applyBorder="1" applyAlignment="1" applyProtection="1">
      <alignment horizontal="center" vertical="top" wrapText="1"/>
      <protection locked="0"/>
    </xf>
    <xf numFmtId="0" fontId="53" fillId="19" borderId="125" xfId="0" applyFont="1" applyFill="1" applyBorder="1" applyAlignment="1" applyProtection="1">
      <alignment horizontal="center" vertical="top" wrapText="1"/>
      <protection locked="0"/>
    </xf>
    <xf numFmtId="0" fontId="53" fillId="19" borderId="126" xfId="0" applyFont="1" applyFill="1" applyBorder="1" applyAlignment="1" applyProtection="1">
      <alignment horizontal="center" vertical="top" wrapText="1"/>
      <protection locked="0"/>
    </xf>
    <xf numFmtId="0" fontId="0" fillId="5" borderId="6" xfId="0" applyFill="1" applyBorder="1" applyAlignment="1">
      <alignment horizontal="center"/>
    </xf>
    <xf numFmtId="0" fontId="0" fillId="5" borderId="0" xfId="0" applyFill="1" applyAlignment="1">
      <alignment horizontal="center"/>
    </xf>
    <xf numFmtId="0" fontId="0" fillId="5" borderId="7" xfId="0" applyFill="1" applyBorder="1" applyAlignment="1">
      <alignment horizontal="center"/>
    </xf>
    <xf numFmtId="0" fontId="0" fillId="5" borderId="4" xfId="0" applyFill="1" applyBorder="1" applyAlignment="1">
      <alignment horizontal="center"/>
    </xf>
    <xf numFmtId="0" fontId="4" fillId="20" borderId="8" xfId="0" applyFont="1" applyFill="1" applyBorder="1" applyAlignment="1">
      <alignment horizontal="center"/>
    </xf>
    <xf numFmtId="0" fontId="4" fillId="20" borderId="9" xfId="0" applyFont="1" applyFill="1" applyBorder="1" applyAlignment="1">
      <alignment horizontal="center"/>
    </xf>
    <xf numFmtId="0" fontId="4" fillId="20" borderId="7" xfId="0" applyFont="1" applyFill="1" applyBorder="1" applyAlignment="1">
      <alignment horizontal="center"/>
    </xf>
    <xf numFmtId="0" fontId="4" fillId="20" borderId="4" xfId="0" applyFont="1" applyFill="1" applyBorder="1" applyAlignment="1">
      <alignment horizontal="center"/>
    </xf>
    <xf numFmtId="0" fontId="4" fillId="17" borderId="21" xfId="0" applyFont="1" applyFill="1" applyBorder="1" applyAlignment="1">
      <alignment horizontal="center"/>
    </xf>
    <xf numFmtId="0" fontId="4" fillId="17" borderId="26" xfId="0" applyFont="1" applyFill="1" applyBorder="1" applyAlignment="1">
      <alignment horizontal="center"/>
    </xf>
    <xf numFmtId="0" fontId="4" fillId="17" borderId="41" xfId="0" applyFont="1" applyFill="1" applyBorder="1" applyAlignment="1">
      <alignment horizontal="center"/>
    </xf>
    <xf numFmtId="0" fontId="4" fillId="0" borderId="1" xfId="0" applyFont="1" applyBorder="1" applyAlignment="1">
      <alignment horizontal="center"/>
    </xf>
    <xf numFmtId="0" fontId="4" fillId="0" borderId="3" xfId="0" applyFont="1" applyBorder="1" applyAlignment="1">
      <alignment horizontal="center"/>
    </xf>
    <xf numFmtId="0" fontId="4" fillId="0" borderId="21" xfId="0" applyFont="1" applyBorder="1"/>
    <xf numFmtId="0" fontId="0" fillId="0" borderId="26" xfId="0" applyBorder="1"/>
    <xf numFmtId="0" fontId="0" fillId="0" borderId="41" xfId="0" applyBorder="1"/>
    <xf numFmtId="0" fontId="4" fillId="0" borderId="29" xfId="0" applyFont="1" applyBorder="1"/>
    <xf numFmtId="0" fontId="0" fillId="0" borderId="30" xfId="0" applyBorder="1"/>
    <xf numFmtId="0" fontId="0" fillId="0" borderId="43" xfId="0" applyBorder="1"/>
    <xf numFmtId="0" fontId="4" fillId="0" borderId="2" xfId="0" applyFont="1" applyBorder="1" applyAlignment="1">
      <alignment horizontal="center"/>
    </xf>
    <xf numFmtId="0" fontId="4" fillId="0" borderId="85" xfId="0" applyFont="1" applyBorder="1"/>
    <xf numFmtId="0" fontId="0" fillId="0" borderId="60" xfId="0" applyBorder="1"/>
    <xf numFmtId="0" fontId="0" fillId="0" borderId="49" xfId="0" applyBorder="1"/>
    <xf numFmtId="0" fontId="4" fillId="17" borderId="29" xfId="0" applyFont="1" applyFill="1" applyBorder="1" applyAlignment="1">
      <alignment horizontal="center"/>
    </xf>
    <xf numFmtId="0" fontId="4" fillId="17" borderId="30" xfId="0" applyFont="1" applyFill="1" applyBorder="1" applyAlignment="1">
      <alignment horizontal="center"/>
    </xf>
    <xf numFmtId="0" fontId="4" fillId="17" borderId="43" xfId="0" applyFont="1" applyFill="1" applyBorder="1" applyAlignment="1">
      <alignment horizontal="center"/>
    </xf>
    <xf numFmtId="0" fontId="4" fillId="18" borderId="1" xfId="0" applyFont="1" applyFill="1" applyBorder="1" applyAlignment="1">
      <alignment horizontal="center"/>
    </xf>
    <xf numFmtId="0" fontId="4" fillId="18" borderId="2" xfId="0" applyFont="1" applyFill="1" applyBorder="1" applyAlignment="1">
      <alignment horizontal="center"/>
    </xf>
    <xf numFmtId="0" fontId="4" fillId="18" borderId="3" xfId="0" applyFont="1" applyFill="1" applyBorder="1" applyAlignment="1">
      <alignment horizontal="center"/>
    </xf>
    <xf numFmtId="0" fontId="4" fillId="0" borderId="44" xfId="0" applyFont="1" applyBorder="1" applyAlignment="1" applyProtection="1">
      <alignment horizontal="center" vertical="center" wrapText="1"/>
      <protection hidden="1"/>
    </xf>
    <xf numFmtId="0" fontId="4" fillId="0" borderId="38" xfId="0" applyFont="1" applyBorder="1" applyAlignment="1" applyProtection="1">
      <alignment horizontal="center" vertical="center" wrapText="1"/>
      <protection hidden="1"/>
    </xf>
    <xf numFmtId="0" fontId="4" fillId="0" borderId="1" xfId="0" applyFont="1" applyBorder="1" applyAlignment="1" applyProtection="1">
      <alignment horizontal="center" vertical="center"/>
      <protection hidden="1"/>
    </xf>
    <xf numFmtId="0" fontId="4" fillId="0" borderId="2" xfId="0" applyFont="1" applyBorder="1" applyAlignment="1" applyProtection="1">
      <alignment horizontal="center" vertical="center"/>
      <protection hidden="1"/>
    </xf>
    <xf numFmtId="0" fontId="4" fillId="0" borderId="3" xfId="0" applyFont="1" applyBorder="1" applyAlignment="1" applyProtection="1">
      <alignment horizontal="center" vertical="center"/>
      <protection hidden="1"/>
    </xf>
    <xf numFmtId="0" fontId="4" fillId="0" borderId="68" xfId="7" applyFont="1" applyBorder="1" applyAlignment="1" applyProtection="1">
      <alignment horizontal="center" vertical="center"/>
      <protection hidden="1"/>
    </xf>
    <xf numFmtId="0" fontId="4" fillId="0" borderId="63" xfId="7" applyFont="1" applyBorder="1" applyAlignment="1" applyProtection="1">
      <alignment horizontal="center" vertical="center"/>
      <protection hidden="1"/>
    </xf>
    <xf numFmtId="0" fontId="4" fillId="0" borderId="10" xfId="0" applyFont="1" applyBorder="1" applyAlignment="1" applyProtection="1">
      <alignment horizontal="center" vertical="center"/>
      <protection hidden="1"/>
    </xf>
    <xf numFmtId="0" fontId="4" fillId="2" borderId="5" xfId="0" applyFont="1" applyFill="1" applyBorder="1" applyAlignment="1" applyProtection="1">
      <alignment horizontal="center"/>
      <protection locked="0"/>
    </xf>
    <xf numFmtId="0" fontId="4" fillId="2" borderId="26" xfId="0" applyFont="1" applyFill="1" applyBorder="1" applyAlignment="1" applyProtection="1">
      <alignment horizontal="center"/>
      <protection locked="0"/>
    </xf>
    <xf numFmtId="14" fontId="9" fillId="2" borderId="4" xfId="0" applyNumberFormat="1" applyFont="1" applyFill="1" applyBorder="1" applyAlignment="1" applyProtection="1">
      <alignment horizontal="center"/>
      <protection locked="0"/>
    </xf>
    <xf numFmtId="0" fontId="6" fillId="2" borderId="4" xfId="5" applyFont="1" applyFill="1" applyBorder="1" applyAlignment="1" applyProtection="1">
      <alignment horizontal="center"/>
      <protection locked="0"/>
    </xf>
    <xf numFmtId="0" fontId="9" fillId="2" borderId="5" xfId="0" applyFont="1" applyFill="1" applyBorder="1" applyAlignment="1" applyProtection="1">
      <alignment horizontal="center"/>
      <protection locked="0"/>
    </xf>
    <xf numFmtId="14" fontId="9" fillId="2" borderId="26" xfId="0" applyNumberFormat="1" applyFont="1" applyFill="1" applyBorder="1" applyAlignment="1" applyProtection="1">
      <alignment horizontal="center"/>
      <protection locked="0"/>
    </xf>
    <xf numFmtId="0" fontId="1" fillId="0" borderId="78" xfId="0" applyFont="1" applyBorder="1" applyAlignment="1">
      <alignment horizontal="center"/>
    </xf>
    <xf numFmtId="0" fontId="1" fillId="0" borderId="79" xfId="0" applyFont="1" applyBorder="1" applyAlignment="1">
      <alignment horizontal="center"/>
    </xf>
    <xf numFmtId="0" fontId="1" fillId="0" borderId="80" xfId="0" applyFont="1" applyBorder="1" applyAlignment="1">
      <alignment horizontal="center"/>
    </xf>
    <xf numFmtId="0" fontId="0" fillId="0" borderId="78" xfId="0" applyBorder="1" applyAlignment="1">
      <alignment horizontal="center"/>
    </xf>
    <xf numFmtId="0" fontId="0" fillId="0" borderId="79" xfId="0" applyBorder="1" applyAlignment="1">
      <alignment horizontal="center"/>
    </xf>
    <xf numFmtId="0" fontId="0" fillId="0" borderId="80" xfId="0" applyBorder="1" applyAlignment="1">
      <alignment horizontal="center"/>
    </xf>
    <xf numFmtId="0" fontId="32" fillId="4" borderId="56" xfId="9" applyFont="1" applyFill="1" applyBorder="1" applyAlignment="1" applyProtection="1">
      <alignment horizontal="center"/>
      <protection locked="0"/>
    </xf>
    <xf numFmtId="0" fontId="32" fillId="4" borderId="30" xfId="9" applyFont="1" applyFill="1" applyBorder="1" applyAlignment="1" applyProtection="1">
      <alignment horizontal="center"/>
      <protection locked="0"/>
    </xf>
    <xf numFmtId="0" fontId="32" fillId="4" borderId="43" xfId="9" applyFont="1" applyFill="1" applyBorder="1" applyAlignment="1" applyProtection="1">
      <alignment horizontal="center"/>
      <protection locked="0"/>
    </xf>
    <xf numFmtId="14" fontId="32" fillId="4" borderId="22" xfId="9" applyNumberFormat="1" applyFont="1" applyFill="1" applyBorder="1" applyAlignment="1" applyProtection="1">
      <alignment horizontal="center"/>
      <protection locked="0"/>
    </xf>
    <xf numFmtId="14" fontId="32" fillId="4" borderId="27" xfId="9" applyNumberFormat="1" applyFont="1" applyFill="1" applyBorder="1" applyAlignment="1" applyProtection="1">
      <alignment horizontal="center"/>
      <protection locked="0"/>
    </xf>
    <xf numFmtId="18" fontId="32" fillId="4" borderId="22" xfId="9" applyNumberFormat="1" applyFont="1" applyFill="1" applyBorder="1" applyAlignment="1" applyProtection="1">
      <alignment horizontal="center"/>
      <protection locked="0"/>
    </xf>
    <xf numFmtId="18" fontId="32" fillId="4" borderId="27" xfId="9" applyNumberFormat="1" applyFont="1" applyFill="1" applyBorder="1" applyAlignment="1" applyProtection="1">
      <alignment horizontal="center"/>
      <protection locked="0"/>
    </xf>
    <xf numFmtId="0" fontId="32" fillId="4" borderId="22" xfId="9" applyFont="1" applyFill="1" applyBorder="1" applyAlignment="1" applyProtection="1">
      <alignment horizontal="center"/>
      <protection locked="0"/>
    </xf>
    <xf numFmtId="0" fontId="32" fillId="4" borderId="26" xfId="9" applyFont="1" applyFill="1" applyBorder="1" applyAlignment="1" applyProtection="1">
      <alignment horizontal="center"/>
      <protection locked="0"/>
    </xf>
    <xf numFmtId="0" fontId="32" fillId="4" borderId="41" xfId="9" applyFont="1" applyFill="1" applyBorder="1" applyAlignment="1" applyProtection="1">
      <alignment horizontal="center"/>
      <protection locked="0"/>
    </xf>
    <xf numFmtId="1" fontId="32" fillId="0" borderId="56" xfId="9" applyNumberFormat="1" applyFont="1" applyBorder="1" applyAlignment="1">
      <alignment horizontal="center"/>
    </xf>
    <xf numFmtId="1" fontId="32" fillId="0" borderId="43" xfId="9" applyNumberFormat="1" applyFont="1" applyBorder="1" applyAlignment="1">
      <alignment horizontal="center"/>
    </xf>
    <xf numFmtId="165" fontId="32" fillId="0" borderId="22" xfId="9" applyNumberFormat="1" applyFont="1" applyBorder="1" applyAlignment="1">
      <alignment horizontal="center"/>
    </xf>
    <xf numFmtId="165" fontId="32" fillId="0" borderId="41" xfId="9" applyNumberFormat="1" applyFont="1" applyBorder="1" applyAlignment="1">
      <alignment horizontal="center"/>
    </xf>
    <xf numFmtId="1" fontId="32" fillId="0" borderId="22" xfId="7" applyNumberFormat="1" applyFont="1" applyBorder="1" applyAlignment="1">
      <alignment horizontal="center"/>
    </xf>
    <xf numFmtId="1" fontId="32" fillId="0" borderId="41" xfId="7" applyNumberFormat="1" applyFont="1" applyBorder="1" applyAlignment="1">
      <alignment horizontal="center"/>
    </xf>
    <xf numFmtId="0" fontId="32" fillId="0" borderId="0" xfId="8" applyFont="1" applyAlignment="1">
      <alignment horizontal="left" vertical="top" wrapText="1"/>
    </xf>
    <xf numFmtId="0" fontId="32" fillId="4" borderId="29" xfId="8" applyFont="1" applyFill="1" applyBorder="1" applyAlignment="1" applyProtection="1">
      <alignment horizontal="center"/>
      <protection locked="0"/>
    </xf>
    <xf numFmtId="0" fontId="32" fillId="4" borderId="43" xfId="8" applyFont="1" applyFill="1" applyBorder="1" applyAlignment="1" applyProtection="1">
      <alignment horizontal="center"/>
      <protection locked="0"/>
    </xf>
    <xf numFmtId="0" fontId="32" fillId="4" borderId="30" xfId="8" applyFont="1" applyFill="1" applyBorder="1" applyAlignment="1" applyProtection="1">
      <alignment horizontal="center"/>
      <protection locked="0"/>
    </xf>
    <xf numFmtId="14" fontId="32" fillId="4" borderId="111" xfId="9" applyNumberFormat="1" applyFont="1" applyFill="1" applyBorder="1" applyAlignment="1" applyProtection="1">
      <alignment horizontal="center"/>
      <protection locked="0"/>
    </xf>
    <xf numFmtId="14" fontId="32" fillId="4" borderId="61" xfId="9" applyNumberFormat="1" applyFont="1" applyFill="1" applyBorder="1" applyAlignment="1" applyProtection="1">
      <alignment horizontal="center"/>
      <protection locked="0"/>
    </xf>
    <xf numFmtId="18" fontId="32" fillId="4" borderId="111" xfId="9" applyNumberFormat="1" applyFont="1" applyFill="1" applyBorder="1" applyAlignment="1" applyProtection="1">
      <alignment horizontal="center"/>
      <protection locked="0"/>
    </xf>
    <xf numFmtId="18" fontId="32" fillId="4" borderId="61" xfId="9" applyNumberFormat="1" applyFont="1" applyFill="1" applyBorder="1" applyAlignment="1" applyProtection="1">
      <alignment horizontal="center"/>
      <protection locked="0"/>
    </xf>
    <xf numFmtId="0" fontId="32" fillId="4" borderId="111" xfId="9" applyFont="1" applyFill="1" applyBorder="1" applyAlignment="1" applyProtection="1">
      <alignment horizontal="center"/>
      <protection locked="0"/>
    </xf>
    <xf numFmtId="0" fontId="32" fillId="4" borderId="60" xfId="9" applyFont="1" applyFill="1" applyBorder="1" applyAlignment="1" applyProtection="1">
      <alignment horizontal="center"/>
      <protection locked="0"/>
    </xf>
    <xf numFmtId="0" fontId="32" fillId="4" borderId="49" xfId="9" applyFont="1" applyFill="1" applyBorder="1" applyAlignment="1" applyProtection="1">
      <alignment horizontal="center"/>
      <protection locked="0"/>
    </xf>
    <xf numFmtId="0" fontId="75" fillId="25" borderId="82" xfId="9" applyFont="1" applyFill="1" applyBorder="1" applyAlignment="1">
      <alignment horizontal="center" vertical="center"/>
    </xf>
    <xf numFmtId="0" fontId="85" fillId="27" borderId="81" xfId="9" applyFont="1" applyFill="1" applyBorder="1" applyAlignment="1" applyProtection="1">
      <alignment horizontal="left" vertical="center"/>
      <protection locked="0"/>
    </xf>
    <xf numFmtId="0" fontId="85" fillId="27" borderId="82" xfId="9" applyFont="1" applyFill="1" applyBorder="1" applyAlignment="1" applyProtection="1">
      <alignment horizontal="left" vertical="center"/>
      <protection locked="0"/>
    </xf>
    <xf numFmtId="0" fontId="85" fillId="27" borderId="83" xfId="9" applyFont="1" applyFill="1" applyBorder="1" applyAlignment="1" applyProtection="1">
      <alignment horizontal="left" vertical="center"/>
      <protection locked="0"/>
    </xf>
    <xf numFmtId="0" fontId="90" fillId="25" borderId="98" xfId="9" applyFont="1" applyFill="1" applyBorder="1" applyAlignment="1">
      <alignment horizontal="center" vertical="center"/>
    </xf>
    <xf numFmtId="0" fontId="90" fillId="25" borderId="0" xfId="9" applyFont="1" applyFill="1" applyAlignment="1">
      <alignment horizontal="center" vertical="center"/>
    </xf>
    <xf numFmtId="0" fontId="90" fillId="25" borderId="130" xfId="9" applyFont="1" applyFill="1" applyBorder="1" applyAlignment="1">
      <alignment horizontal="center" vertical="center"/>
    </xf>
    <xf numFmtId="0" fontId="90" fillId="25" borderId="131" xfId="9" applyFont="1" applyFill="1" applyBorder="1" applyAlignment="1">
      <alignment horizontal="center" vertical="center"/>
    </xf>
    <xf numFmtId="0" fontId="87" fillId="27" borderId="132" xfId="9" applyFont="1" applyFill="1" applyBorder="1" applyAlignment="1">
      <alignment horizontal="center" vertical="center"/>
    </xf>
    <xf numFmtId="0" fontId="87" fillId="27" borderId="133" xfId="9" applyFont="1" applyFill="1" applyBorder="1" applyAlignment="1">
      <alignment horizontal="center" vertical="center"/>
    </xf>
    <xf numFmtId="0" fontId="96" fillId="0" borderId="81" xfId="0" applyFont="1" applyBorder="1" applyAlignment="1">
      <alignment horizontal="center" vertical="center" wrapText="1"/>
    </xf>
    <xf numFmtId="0" fontId="96" fillId="0" borderId="82" xfId="0" applyFont="1" applyBorder="1" applyAlignment="1">
      <alignment horizontal="center" vertical="center" wrapText="1"/>
    </xf>
    <xf numFmtId="0" fontId="96" fillId="0" borderId="83" xfId="0" applyFont="1" applyBorder="1" applyAlignment="1">
      <alignment horizontal="center" vertical="center" wrapText="1"/>
    </xf>
    <xf numFmtId="0" fontId="0" fillId="4" borderId="8" xfId="0" applyFill="1" applyBorder="1" applyAlignment="1">
      <alignment horizontal="center"/>
    </xf>
    <xf numFmtId="0" fontId="0" fillId="4" borderId="9" xfId="0" applyFill="1" applyBorder="1" applyAlignment="1">
      <alignment horizontal="center"/>
    </xf>
    <xf numFmtId="0" fontId="0" fillId="4" borderId="33" xfId="0" applyFill="1" applyBorder="1" applyAlignment="1">
      <alignment horizontal="center"/>
    </xf>
    <xf numFmtId="0" fontId="0" fillId="4" borderId="29" xfId="0" applyFill="1" applyBorder="1" applyAlignment="1">
      <alignment horizontal="right"/>
    </xf>
    <xf numFmtId="0" fontId="0" fillId="4" borderId="43" xfId="0" applyFill="1" applyBorder="1" applyAlignment="1">
      <alignment horizontal="right"/>
    </xf>
    <xf numFmtId="0" fontId="0" fillId="4" borderId="21" xfId="0" applyFill="1" applyBorder="1" applyAlignment="1">
      <alignment horizontal="right"/>
    </xf>
    <xf numFmtId="0" fontId="0" fillId="4" borderId="41" xfId="0" applyFill="1" applyBorder="1" applyAlignment="1">
      <alignment horizontal="right"/>
    </xf>
    <xf numFmtId="0" fontId="0" fillId="5" borderId="21" xfId="0" applyFill="1" applyBorder="1" applyAlignment="1">
      <alignment horizontal="center"/>
    </xf>
    <xf numFmtId="0" fontId="0" fillId="5" borderId="27" xfId="0" applyFill="1" applyBorder="1" applyAlignment="1">
      <alignment horizontal="center"/>
    </xf>
    <xf numFmtId="0" fontId="0" fillId="4" borderId="23" xfId="0" applyFill="1" applyBorder="1" applyAlignment="1">
      <alignment horizontal="center"/>
    </xf>
    <xf numFmtId="0" fontId="0" fillId="5" borderId="22" xfId="0" applyFill="1" applyBorder="1" applyAlignment="1">
      <alignment horizontal="center"/>
    </xf>
    <xf numFmtId="0" fontId="50" fillId="6" borderId="0" xfId="0" applyFont="1" applyFill="1" applyAlignment="1">
      <alignment horizontal="center"/>
    </xf>
    <xf numFmtId="0" fontId="51" fillId="6" borderId="0" xfId="0" applyFont="1" applyFill="1" applyAlignment="1">
      <alignment horizontal="center"/>
    </xf>
    <xf numFmtId="0" fontId="9" fillId="6" borderId="9" xfId="5" applyFont="1" applyFill="1" applyBorder="1" applyAlignment="1" applyProtection="1">
      <alignment horizontal="center"/>
      <protection hidden="1"/>
    </xf>
    <xf numFmtId="0" fontId="0" fillId="4" borderId="34" xfId="0" applyFill="1" applyBorder="1" applyAlignment="1">
      <alignment horizontal="center"/>
    </xf>
    <xf numFmtId="0" fontId="49" fillId="6" borderId="0" xfId="0" applyFont="1" applyFill="1" applyAlignment="1">
      <alignment horizontal="center"/>
    </xf>
    <xf numFmtId="0" fontId="0" fillId="5" borderId="1" xfId="0" applyFill="1" applyBorder="1" applyAlignment="1">
      <alignment horizontal="center"/>
    </xf>
    <xf numFmtId="0" fontId="0" fillId="5" borderId="2" xfId="0" applyFill="1" applyBorder="1" applyAlignment="1">
      <alignment horizontal="center"/>
    </xf>
    <xf numFmtId="0" fontId="0" fillId="5" borderId="3" xfId="0" applyFill="1" applyBorder="1" applyAlignment="1">
      <alignment horizontal="center"/>
    </xf>
    <xf numFmtId="0" fontId="49" fillId="6" borderId="9" xfId="0" applyFont="1" applyFill="1" applyBorder="1" applyAlignment="1">
      <alignment horizontal="center"/>
    </xf>
    <xf numFmtId="0" fontId="0" fillId="4" borderId="85" xfId="0" applyFill="1" applyBorder="1" applyAlignment="1">
      <alignment horizontal="center"/>
    </xf>
    <xf numFmtId="0" fontId="0" fillId="4" borderId="60" xfId="0" applyFill="1" applyBorder="1" applyAlignment="1">
      <alignment horizontal="center"/>
    </xf>
    <xf numFmtId="0" fontId="0" fillId="4" borderId="49" xfId="0" applyFill="1" applyBorder="1" applyAlignment="1">
      <alignment horizontal="center"/>
    </xf>
    <xf numFmtId="0" fontId="9" fillId="6" borderId="0" xfId="0" applyFont="1" applyFill="1" applyAlignment="1" applyProtection="1">
      <alignment horizontal="center"/>
      <protection hidden="1"/>
    </xf>
    <xf numFmtId="0" fontId="9" fillId="4" borderId="1" xfId="0" applyFont="1" applyFill="1" applyBorder="1" applyAlignment="1" applyProtection="1">
      <alignment horizontal="center"/>
      <protection hidden="1"/>
    </xf>
    <xf numFmtId="0" fontId="9" fillId="4" borderId="3" xfId="0" applyFont="1" applyFill="1" applyBorder="1" applyAlignment="1" applyProtection="1">
      <alignment horizontal="center"/>
      <protection hidden="1"/>
    </xf>
    <xf numFmtId="0" fontId="0" fillId="5" borderId="111" xfId="0" applyFill="1" applyBorder="1" applyAlignment="1">
      <alignment horizontal="center"/>
    </xf>
    <xf numFmtId="0" fontId="0" fillId="5" borderId="49" xfId="0" applyFill="1" applyBorder="1" applyAlignment="1">
      <alignment horizontal="center"/>
    </xf>
    <xf numFmtId="0" fontId="0" fillId="4" borderId="25" xfId="0" applyFill="1" applyBorder="1" applyAlignment="1">
      <alignment horizontal="right"/>
    </xf>
    <xf numFmtId="0" fontId="0" fillId="4" borderId="24" xfId="0" applyFill="1" applyBorder="1" applyAlignment="1">
      <alignment horizontal="right"/>
    </xf>
    <xf numFmtId="0" fontId="0" fillId="5" borderId="29" xfId="0" applyFill="1" applyBorder="1" applyAlignment="1">
      <alignment horizontal="center"/>
    </xf>
    <xf numFmtId="0" fontId="0" fillId="5" borderId="31" xfId="0" applyFill="1" applyBorder="1" applyAlignment="1">
      <alignment horizontal="center"/>
    </xf>
    <xf numFmtId="0" fontId="0" fillId="4" borderId="1" xfId="0" applyFill="1"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0" fillId="4" borderId="7" xfId="0" applyFill="1" applyBorder="1" applyAlignment="1">
      <alignment horizontal="center"/>
    </xf>
    <xf numFmtId="0" fontId="0" fillId="4" borderId="20" xfId="0" applyFill="1" applyBorder="1" applyAlignment="1">
      <alignment horizontal="center"/>
    </xf>
    <xf numFmtId="0" fontId="0" fillId="0" borderId="2" xfId="0" applyBorder="1"/>
    <xf numFmtId="0" fontId="0" fillId="0" borderId="3" xfId="0" applyBorder="1"/>
    <xf numFmtId="0" fontId="0" fillId="5" borderId="8" xfId="0" quotePrefix="1" applyFill="1" applyBorder="1" applyAlignment="1">
      <alignment horizontal="left"/>
    </xf>
    <xf numFmtId="0" fontId="0" fillId="0" borderId="9" xfId="0" applyBorder="1" applyAlignment="1">
      <alignment horizontal="left"/>
    </xf>
    <xf numFmtId="0" fontId="0" fillId="0" borderId="33" xfId="0" applyBorder="1" applyAlignment="1">
      <alignment horizontal="left"/>
    </xf>
    <xf numFmtId="0" fontId="0" fillId="5" borderId="56" xfId="0" applyFill="1" applyBorder="1" applyAlignment="1">
      <alignment horizontal="center"/>
    </xf>
    <xf numFmtId="0" fontId="0" fillId="5" borderId="41" xfId="0" applyFill="1" applyBorder="1" applyAlignment="1">
      <alignment horizontal="center"/>
    </xf>
    <xf numFmtId="0" fontId="0" fillId="5" borderId="43" xfId="0" applyFill="1" applyBorder="1" applyAlignment="1">
      <alignment horizontal="center"/>
    </xf>
    <xf numFmtId="0" fontId="0" fillId="4" borderId="51" xfId="0" applyFill="1" applyBorder="1" applyAlignment="1">
      <alignment horizontal="center"/>
    </xf>
    <xf numFmtId="0" fontId="33" fillId="7" borderId="99" xfId="3" quotePrefix="1" applyFont="1" applyFill="1" applyBorder="1" applyAlignment="1">
      <alignment horizontal="center" vertical="center" wrapText="1"/>
    </xf>
    <xf numFmtId="0" fontId="3" fillId="0" borderId="82" xfId="3" applyBorder="1" applyAlignment="1">
      <alignment horizontal="center" vertical="center"/>
    </xf>
    <xf numFmtId="0" fontId="3" fillId="0" borderId="83" xfId="3" applyBorder="1" applyAlignment="1">
      <alignment horizontal="center" vertical="center"/>
    </xf>
    <xf numFmtId="0" fontId="22" fillId="10" borderId="81" xfId="3" applyFont="1" applyFill="1" applyBorder="1" applyAlignment="1">
      <alignment vertical="center"/>
    </xf>
    <xf numFmtId="0" fontId="3" fillId="10" borderId="82" xfId="3" applyFill="1" applyBorder="1"/>
    <xf numFmtId="0" fontId="3" fillId="10" borderId="83" xfId="3" applyFill="1" applyBorder="1"/>
    <xf numFmtId="0" fontId="6" fillId="9" borderId="5" xfId="3" applyFont="1" applyFill="1" applyBorder="1" applyAlignment="1">
      <alignment horizontal="left"/>
    </xf>
    <xf numFmtId="0" fontId="6" fillId="0" borderId="5" xfId="3" applyFont="1" applyBorder="1"/>
    <xf numFmtId="0" fontId="3" fillId="9" borderId="26" xfId="3" applyFill="1" applyBorder="1" applyAlignment="1">
      <alignment horizontal="left"/>
    </xf>
    <xf numFmtId="0" fontId="3" fillId="0" borderId="26" xfId="3" applyBorder="1"/>
    <xf numFmtId="0" fontId="6" fillId="9" borderId="26" xfId="3" applyFont="1" applyFill="1" applyBorder="1" applyAlignment="1">
      <alignment horizontal="left"/>
    </xf>
    <xf numFmtId="0" fontId="6" fillId="0" borderId="26" xfId="3" applyFont="1" applyBorder="1"/>
    <xf numFmtId="0" fontId="6" fillId="9" borderId="5" xfId="3" applyFont="1" applyFill="1" applyBorder="1"/>
    <xf numFmtId="0" fontId="33" fillId="9" borderId="26" xfId="3" applyFont="1" applyFill="1" applyBorder="1" applyAlignment="1">
      <alignment horizontal="left"/>
    </xf>
    <xf numFmtId="0" fontId="33" fillId="0" borderId="26" xfId="3" applyFont="1" applyBorder="1"/>
    <xf numFmtId="0" fontId="3" fillId="9" borderId="5" xfId="3" applyFill="1" applyBorder="1"/>
  </cellXfs>
  <cellStyles count="11">
    <cellStyle name="Normal" xfId="0" builtinId="0"/>
    <cellStyle name="Normal 2" xfId="9" xr:uid="{00000000-0005-0000-0000-000001000000}"/>
    <cellStyle name="Normal_9.5MM (&lt;1.5 &quot;)" xfId="1" xr:uid="{00000000-0005-0000-0000-000002000000}"/>
    <cellStyle name="Normal_AKSURF" xfId="2" xr:uid="{00000000-0005-0000-0000-000003000000}"/>
    <cellStyle name="Normal_CONCPVMT_VER12_20060927" xfId="3" xr:uid="{00000000-0005-0000-0000-000004000000}"/>
    <cellStyle name="Normal_Gradation" xfId="4" xr:uid="{00000000-0005-0000-0000-000005000000}"/>
    <cellStyle name="Normal_Sheet1" xfId="5" xr:uid="{00000000-0005-0000-0000-000006000000}"/>
    <cellStyle name="Normal_TSR" xfId="8" xr:uid="{00000000-0005-0000-0000-000007000000}"/>
    <cellStyle name="Normal_vol" xfId="6" xr:uid="{00000000-0005-0000-0000-000008000000}"/>
    <cellStyle name="Normal_WRKSHEET.XLS_1" xfId="7" xr:uid="{00000000-0005-0000-0000-000009000000}"/>
    <cellStyle name="Percent 2" xfId="10" xr:uid="{00000000-0005-0000-0000-00000A000000}"/>
  </cellStyles>
  <dxfs count="150">
    <dxf>
      <font>
        <b val="0"/>
        <i val="0"/>
        <strike val="0"/>
        <condense val="0"/>
        <extend val="0"/>
        <outline val="0"/>
        <shadow val="0"/>
        <u val="none"/>
        <vertAlign val="baseline"/>
        <sz val="10"/>
        <color auto="1"/>
        <name val="Arial"/>
        <scheme val="none"/>
      </font>
      <numFmt numFmtId="19" formatCode="m/d/yyyy"/>
      <fill>
        <patternFill patternType="solid">
          <fgColor indexed="64"/>
          <bgColor indexed="22"/>
        </patternFill>
      </fill>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65" formatCode="0.0"/>
      <fill>
        <patternFill patternType="solid">
          <fgColor indexed="64"/>
          <bgColor indexed="44"/>
        </patternFill>
      </fill>
      <alignment horizontal="righ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165" formatCode="0.0"/>
      <fill>
        <patternFill patternType="solid">
          <fgColor indexed="64"/>
          <bgColor indexed="22"/>
        </patternFill>
      </fill>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Arial"/>
        <scheme val="none"/>
      </font>
      <numFmt numFmtId="30" formatCode="@"/>
      <fill>
        <patternFill patternType="solid">
          <fgColor indexed="64"/>
          <bgColor indexed="22"/>
        </patternFill>
      </fill>
      <alignment horizontal="righ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top" textRotation="0" wrapText="0" relative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44"/>
        </patternFill>
      </fill>
      <alignment horizontal="right" vertical="bottom" textRotation="0" wrapText="0" relativeIndent="0" justifyLastLine="0" shrinkToFit="0" readingOrder="0"/>
      <border diagonalUp="0" diagonalDown="0">
        <left style="thin">
          <color indexed="64"/>
        </left>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right style="thin">
          <color indexed="64"/>
        </right>
        <top style="thin">
          <color indexed="64"/>
        </top>
        <bottom style="medium">
          <color indexed="64"/>
        </bottom>
      </border>
    </dxf>
    <dxf>
      <border outline="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fill>
        <patternFill patternType="solid">
          <fgColor indexed="64"/>
          <bgColor indexed="22"/>
        </patternFill>
      </fill>
    </dxf>
    <dxf>
      <border outline="0">
        <bottom style="thin">
          <color indexed="64"/>
        </bottom>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top" textRotation="0" wrapText="0" relative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22"/>
        </patternFill>
      </fill>
      <border diagonalUp="0" diagonalDown="0">
        <left style="thin">
          <color indexed="64"/>
        </left>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indexed="44"/>
        </patternFill>
      </fill>
      <alignment horizontal="right" vertical="bottom" textRotation="0" wrapText="0" relativeIndent="0" justifyLastLine="0" shrinkToFit="0" readingOrder="0"/>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indexed="44"/>
        </patternFill>
      </fill>
      <alignment horizontal="right" vertical="bottom" textRotation="0" wrapText="0" relativeIndent="0" justifyLastLine="0" shrinkToFit="0" readingOrder="0"/>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right style="thin">
          <color indexed="64"/>
        </right>
        <top style="thin">
          <color indexed="64"/>
        </top>
        <bottom style="medium">
          <color indexed="64"/>
        </bottom>
      </border>
    </dxf>
    <dxf>
      <border outline="0">
        <left style="thin">
          <color indexed="64"/>
        </left>
        <right style="thin">
          <color indexed="64"/>
        </right>
        <top style="thin">
          <color indexed="64"/>
        </top>
        <bottom style="medium">
          <color indexed="64"/>
        </bottom>
      </border>
    </dxf>
    <dxf>
      <border outline="0">
        <bottom style="thin">
          <color indexed="64"/>
        </bottom>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top" textRotation="0" wrapText="0" relative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22"/>
        </patternFill>
      </fill>
      <border diagonalUp="0" diagonalDown="0">
        <left style="thin">
          <color indexed="64"/>
        </left>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44"/>
        </patternFill>
      </fill>
      <alignment horizontal="right" vertical="bottom" textRotation="0" wrapText="0" relativeIndent="0" justifyLastLine="0" shrinkToFit="0" readingOrder="0"/>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174" formatCode="mm/dd/yy;@"/>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174" formatCode="mm/dd/yy;@"/>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174" formatCode="mm/dd/yy;@"/>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numFmt numFmtId="30" formatCode="@"/>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right style="thin">
          <color indexed="64"/>
        </right>
        <top style="thin">
          <color indexed="64"/>
        </top>
        <bottom style="medium">
          <color indexed="64"/>
        </bottom>
      </border>
    </dxf>
    <dxf>
      <border outline="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fill>
        <patternFill patternType="solid">
          <fgColor indexed="64"/>
          <bgColor indexed="44"/>
        </patternFill>
      </fill>
    </dxf>
    <dxf>
      <border outline="0">
        <bottom style="thin">
          <color indexed="64"/>
        </bottom>
      </border>
    </dxf>
    <dxf>
      <font>
        <b/>
        <i val="0"/>
        <strike val="0"/>
        <condense val="0"/>
        <extend val="0"/>
        <outline val="0"/>
        <shadow val="0"/>
        <u val="none"/>
        <vertAlign val="baseline"/>
        <sz val="9"/>
        <color auto="1"/>
        <name val="Arial"/>
        <scheme val="none"/>
      </font>
      <numFmt numFmtId="30" formatCode="@"/>
      <fill>
        <patternFill patternType="none">
          <fgColor indexed="64"/>
          <bgColor indexed="65"/>
        </patternFill>
      </fill>
      <alignment horizontal="general" vertical="top" textRotation="0" wrapText="0" relative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22"/>
        </patternFill>
      </fill>
      <alignment horizontal="general" vertical="top" textRotation="0" wrapText="0" relative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right" vertical="top"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top" textRotation="0" wrapText="1" relative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top"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general" vertical="top"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general" vertical="top" textRotation="0" wrapText="0" relativeIndent="0" justifyLastLine="0" shrinkToFit="0" readingOrder="0"/>
      <border diagonalUp="0" diagonalDown="0">
        <left/>
        <right style="thin">
          <color indexed="64"/>
        </right>
        <top style="thin">
          <color indexed="64"/>
        </top>
        <bottom style="thin">
          <color indexed="64"/>
        </bottom>
      </border>
    </dxf>
    <dxf>
      <border outline="0">
        <left style="thin">
          <color indexed="64"/>
        </left>
        <right style="thin">
          <color indexed="64"/>
        </right>
        <top style="medium">
          <color indexed="64"/>
        </top>
        <bottom style="medium">
          <color indexed="64"/>
        </bottom>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top" textRotation="0" wrapText="0" relativeIndent="0" justifyLastLine="0" shrinkToFit="0" readingOrder="0"/>
      <border diagonalUp="0" diagonalDown="0" outline="0">
        <left style="thin">
          <color indexed="64"/>
        </left>
        <right style="thin">
          <color indexed="64"/>
        </right>
        <top/>
        <bottom/>
      </border>
    </dxf>
    <dxf>
      <numFmt numFmtId="19" formatCode="m/d/yyyy"/>
      <fill>
        <patternFill patternType="solid">
          <fgColor indexed="64"/>
          <bgColor indexed="22"/>
        </patternFill>
      </fill>
      <alignment horizontal="general" vertical="top" textRotation="0" wrapText="0" relativeIndent="0" justifyLastLine="0" shrinkToFit="0" readingOrder="0"/>
      <border diagonalUp="0" diagonalDown="0">
        <left style="thin">
          <color indexed="64"/>
        </left>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44"/>
        </patternFill>
      </fill>
      <alignment horizontal="center" vertical="top" textRotation="0" wrapText="0" relativeIndent="0" justifyLastLine="0" shrinkToFit="0" readingOrder="0"/>
      <border diagonalUp="0" diagonalDown="0">
        <left style="thin">
          <color indexed="64"/>
        </left>
        <right style="thin">
          <color indexed="64"/>
        </right>
        <top style="thin">
          <color indexed="64"/>
        </top>
        <bottom style="medium">
          <color indexed="64"/>
        </bottom>
      </border>
    </dxf>
    <dxf>
      <font>
        <b/>
        <i val="0"/>
        <strike val="0"/>
        <condense val="0"/>
        <extend val="0"/>
        <outline val="0"/>
        <shadow val="0"/>
        <u val="none"/>
        <vertAlign val="baseline"/>
        <sz val="10"/>
        <color indexed="12"/>
        <name val="Arial"/>
        <scheme val="none"/>
      </font>
      <numFmt numFmtId="30" formatCode="@"/>
      <fill>
        <patternFill patternType="solid">
          <fgColor indexed="64"/>
          <bgColor indexed="45"/>
        </patternFill>
      </fill>
      <border diagonalUp="0" diagonalDown="0">
        <left style="thin">
          <color indexed="64"/>
        </left>
        <right style="thin">
          <color indexed="64"/>
        </right>
        <top style="thin">
          <color indexed="64"/>
        </top>
        <bottom style="medium">
          <color indexed="64"/>
        </bottom>
      </border>
    </dxf>
    <dxf>
      <font>
        <b/>
        <i val="0"/>
        <strike val="0"/>
        <condense val="0"/>
        <extend val="0"/>
        <outline val="0"/>
        <shadow val="0"/>
        <u val="none"/>
        <vertAlign val="baseline"/>
        <sz val="10"/>
        <color indexed="12"/>
        <name val="Arial"/>
        <scheme val="none"/>
      </font>
      <numFmt numFmtId="30" formatCode="@"/>
      <fill>
        <patternFill patternType="solid">
          <fgColor indexed="64"/>
          <bgColor indexed="45"/>
        </patternFill>
      </fill>
      <border diagonalUp="0" diagonalDown="0">
        <left style="thin">
          <color indexed="64"/>
        </left>
        <right style="thin">
          <color indexed="64"/>
        </right>
        <top style="thin">
          <color indexed="64"/>
        </top>
        <bottom style="medium">
          <color indexed="64"/>
        </bottom>
      </border>
    </dxf>
    <dxf>
      <font>
        <b/>
        <i val="0"/>
        <strike val="0"/>
        <condense val="0"/>
        <extend val="0"/>
        <outline val="0"/>
        <shadow val="0"/>
        <u val="none"/>
        <vertAlign val="baseline"/>
        <sz val="10"/>
        <color indexed="12"/>
        <name val="Arial"/>
        <scheme val="none"/>
      </font>
      <numFmt numFmtId="30" formatCode="@"/>
      <fill>
        <patternFill patternType="solid">
          <fgColor indexed="64"/>
          <bgColor indexed="45"/>
        </patternFill>
      </fill>
      <border diagonalUp="0" diagonalDown="0">
        <left style="thin">
          <color indexed="64"/>
        </left>
        <right style="thin">
          <color indexed="64"/>
        </right>
        <top style="thin">
          <color indexed="64"/>
        </top>
        <bottom style="medium">
          <color indexed="64"/>
        </bottom>
      </border>
    </dxf>
    <dxf>
      <numFmt numFmtId="30" formatCode="@"/>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numFmt numFmtId="30" formatCode="@"/>
      <fill>
        <patternFill patternType="solid">
          <fgColor indexed="64"/>
          <bgColor indexed="44"/>
        </patternFill>
      </fill>
      <border diagonalUp="0" diagonalDown="0">
        <left/>
        <right style="thin">
          <color indexed="64"/>
        </right>
        <top style="thin">
          <color indexed="64"/>
        </top>
        <bottom style="medium">
          <color indexed="64"/>
        </bottom>
      </border>
    </dxf>
    <dxf>
      <border outline="0">
        <left style="thin">
          <color indexed="64"/>
        </left>
        <right style="thin">
          <color indexed="64"/>
        </right>
        <top style="medium">
          <color indexed="64"/>
        </top>
        <bottom style="medium">
          <color indexed="64"/>
        </bottom>
      </border>
    </dxf>
    <dxf>
      <font>
        <b/>
        <i val="0"/>
        <strike val="0"/>
        <condense val="0"/>
        <extend val="0"/>
        <outline val="0"/>
        <shadow val="0"/>
        <u val="none"/>
        <vertAlign val="baseline"/>
        <sz val="10"/>
        <color indexed="12"/>
        <name val="Arial"/>
        <scheme val="none"/>
      </font>
      <fill>
        <patternFill patternType="solid">
          <fgColor indexed="64"/>
          <bgColor indexed="45"/>
        </patternFill>
      </fill>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top" textRotation="0" wrapText="0" relative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2" formatCode="0.00"/>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numFmt numFmtId="174" formatCode="mm/dd/yy;@"/>
      <fill>
        <patternFill patternType="solid">
          <fgColor indexed="64"/>
          <bgColor indexed="44"/>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175" formatCode="#"/>
      <fill>
        <patternFill patternType="solid">
          <fgColor indexed="64"/>
          <bgColor indexed="44"/>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175" formatCode="#"/>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22"/>
        </patternFill>
      </fill>
      <border diagonalUp="0" diagonalDown="0" outline="0">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center" vertical="bottom" textRotation="0" wrapText="1" relativeIndent="0" justifyLastLine="0" shrinkToFit="0" readingOrder="0"/>
      <border diagonalUp="0" diagonalDown="0" outline="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175" formatCode="#"/>
      <fill>
        <patternFill patternType="solid">
          <fgColor indexed="64"/>
          <bgColor indexed="44"/>
        </patternFill>
      </fill>
      <border diagonalUp="0" diagonalDown="0" outline="0">
        <left style="thin">
          <color indexed="64"/>
        </left>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175" formatCode="#"/>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175" formatCode="#"/>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22"/>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175" formatCode="#"/>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thin">
          <color indexed="64"/>
        </top>
        <bottom style="medium">
          <color indexed="64"/>
        </bottom>
      </border>
    </dxf>
    <dxf>
      <numFmt numFmtId="30" formatCode="@"/>
      <fill>
        <patternFill patternType="solid">
          <fgColor indexed="64"/>
          <bgColor indexed="44"/>
        </patternFill>
      </fill>
      <border diagonalUp="0" diagonalDown="0">
        <left/>
        <right style="thin">
          <color indexed="64"/>
        </right>
        <top style="thin">
          <color indexed="64"/>
        </top>
        <bottom style="medium">
          <color indexed="64"/>
        </bottom>
      </border>
    </dxf>
    <dxf>
      <border outline="0">
        <left style="thin">
          <color indexed="64"/>
        </left>
        <right style="thin">
          <color indexed="64"/>
        </right>
        <top style="medium">
          <color indexed="64"/>
        </top>
        <bottom style="medium">
          <color indexed="64"/>
        </bottom>
      </border>
    </dxf>
    <dxf>
      <font>
        <b val="0"/>
        <i val="0"/>
        <strike val="0"/>
        <condense val="0"/>
        <extend val="0"/>
        <outline val="0"/>
        <shadow val="0"/>
        <u val="none"/>
        <vertAlign val="baseline"/>
        <sz val="10"/>
        <color auto="1"/>
        <name val="Arial"/>
        <scheme val="none"/>
      </font>
      <fill>
        <patternFill patternType="solid">
          <fgColor indexed="64"/>
          <bgColor indexed="22"/>
        </patternFill>
      </fill>
    </dxf>
    <dxf>
      <border outline="0">
        <bottom style="thin">
          <color indexed="64"/>
        </bottom>
      </border>
    </dxf>
    <dxf>
      <font>
        <b/>
        <i val="0"/>
        <strike val="0"/>
        <condense val="0"/>
        <extend val="0"/>
        <outline val="0"/>
        <shadow val="0"/>
        <u val="none"/>
        <vertAlign val="baseline"/>
        <sz val="9"/>
        <color auto="1"/>
        <name val="Arial"/>
        <scheme val="none"/>
      </font>
      <numFmt numFmtId="30" formatCode="@"/>
      <fill>
        <patternFill patternType="none">
          <fgColor indexed="64"/>
          <bgColor indexed="65"/>
        </patternFill>
      </fill>
      <alignment horizontal="general" vertical="top" textRotation="0" wrapText="0" relativeIndent="0" justifyLastLine="0" shrinkToFit="0" readingOrder="0"/>
      <border diagonalUp="0" diagonalDown="0" outline="0">
        <left style="thin">
          <color indexed="64"/>
        </left>
        <right style="thin">
          <color indexed="64"/>
        </right>
        <top/>
        <bottom/>
      </border>
    </dxf>
    <dxf>
      <numFmt numFmtId="30" formatCode="@"/>
    </dxf>
    <dxf>
      <numFmt numFmtId="30" formatCode="@"/>
    </dxf>
    <dxf>
      <numFmt numFmtId="30" formatCode="@"/>
    </dxf>
    <dxf>
      <font>
        <b val="0"/>
        <i val="0"/>
        <strike val="0"/>
        <condense val="0"/>
        <extend val="0"/>
        <outline val="0"/>
        <shadow val="0"/>
        <u val="none"/>
        <vertAlign val="baseline"/>
        <sz val="10"/>
        <color auto="1"/>
        <name val="Arial"/>
        <scheme val="none"/>
      </font>
      <numFmt numFmtId="30" formatCode="@"/>
      <alignment horizontal="center" vertical="bottom" textRotation="0" wrapText="0" relativeIndent="0" justifyLastLine="0" shrinkToFit="0" readingOrder="0"/>
    </dxf>
    <dxf>
      <font>
        <b val="0"/>
        <i val="0"/>
        <strike val="0"/>
        <condense val="0"/>
        <extend val="0"/>
        <outline val="0"/>
        <shadow val="0"/>
        <u val="none"/>
        <vertAlign val="baseline"/>
        <sz val="10"/>
        <color auto="1"/>
        <name val="Arial"/>
        <scheme val="none"/>
      </font>
      <numFmt numFmtId="30" formatCode="@"/>
    </dxf>
    <dxf>
      <font>
        <b/>
        <i val="0"/>
        <strike val="0"/>
        <condense val="0"/>
        <extend val="0"/>
        <outline val="0"/>
        <shadow val="0"/>
        <u val="none"/>
        <vertAlign val="baseline"/>
        <sz val="10"/>
        <color auto="1"/>
        <name val="Arial"/>
        <scheme val="none"/>
      </font>
      <numFmt numFmtId="30" formatCode="@"/>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val="0"/>
        <i val="0"/>
        <strike val="0"/>
        <condense val="0"/>
        <extend val="0"/>
        <outline val="0"/>
        <shadow val="0"/>
        <u val="none"/>
        <vertAlign val="baseline"/>
        <sz val="10"/>
        <color auto="1"/>
        <name val="Arial"/>
        <scheme val="none"/>
      </font>
      <numFmt numFmtId="0" formatCode="General"/>
      <fill>
        <patternFill patternType="solid">
          <fgColor indexed="64"/>
          <bgColor indexed="26"/>
        </patternFill>
      </fill>
      <alignment horizontal="general" vertical="top" textRotation="0" wrapText="0" relativeIndent="0" justifyLastLine="0" shrinkToFit="0" readingOrder="0"/>
      <border diagonalUp="0" diagonalDown="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30" formatCode="@"/>
      <fill>
        <patternFill patternType="solid">
          <fgColor indexed="64"/>
          <bgColor indexed="26"/>
        </patternFill>
      </fill>
      <alignment horizontal="general" vertical="top" textRotation="0" wrapText="0" relative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scheme val="none"/>
      </font>
      <numFmt numFmtId="30" formatCode="@"/>
      <fill>
        <patternFill patternType="solid">
          <fgColor indexed="64"/>
          <bgColor indexed="26"/>
        </patternFill>
      </fill>
      <alignment horizontal="general" vertical="top" textRotation="0" wrapText="0" relativeIndent="0" justifyLastLine="0" shrinkToFit="0" readingOrder="0"/>
      <border diagonalUp="0" diagonalDown="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top" textRotation="0" wrapText="0" relative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tempuri.org/XMLSchema.xsd'">
  <Schema ID="Schema2" Namespace="http://tempuri.org/XMLSchema.xsd">
    <xsd:schema xmlns:xsd="http://www.w3.org/2001/XMLSchema" xmlns="http://tempuri.org/XMLSchema.xsd" targetNamespace="http://tempuri.org/XMLSchema.xsd" elementFormDefault="qualified">
      <xsd:element name="MaterialDisciplines" type="MaterialDisciplinesType"/>
      <xsd:complexType name="MaterialDisciplinesType">
        <xsd:all>
          <xsd:element name="discipline" type="disciplineType" minOccurs="1"/>
          <xsd:element name="t_smpl" type="t_smplType" minOccurs="1"/>
          <xsd:element name="t_cont_smpl" type="t_cont_smplType" minOccurs="1"/>
          <xsd:element name="t_cont_smpl_itm" type="t_cont_smpl_itmType" minOccurs="1"/>
          <xsd:element name="t_rmrks_dtl" type="t_rmrks_dtlType" minOccurs="1"/>
          <xsd:element name="t_smpl_tst" type="t_smpl_tstType" minOccurs="1"/>
          <xsd:element name="t_smpl_tstr" type="t_smpl_tstrType" minOccurs="1"/>
          <xsd:element name="t_tst_rslt_hdr" type="t_tst_rslt_hdrType" minOccurs="1"/>
          <xsd:element name="t_tst_rslt_dtl" type="t_tst_rslt_dtlType" minOccurs="1"/>
          <xsd:element name="t_pcc" type="t_pccType" minOccurs="1"/>
          <xsd:element name="t_pcc_blnd" type="t_pcc_blndType" minOccurs="1"/>
          <xsd:element name="t_mix_dsn_grdn" type="t_mix_dsn_grdnType" minOccurs="1"/>
          <xsd:element name="t_superpave" type="t_superpaveType" minOccurs="1"/>
          <xsd:element name="t_bit_conc_mixblnd" type="t_bit_conc_mixblndType" minOccurs="1"/>
        </xsd:all>
      </xsd:complexType>
      <xsd:complexType name="disciplineType">
        <xsd:sequence>
          <xsd:element name="disciplineTable" minOccurs="1" maxOccurs="unbounded">
            <xsd:complexType>
              <xsd:sequence>
                <xsd:element name="discipline_id" type="xsd:string" minOccurs="1" nillable="false" form="qualified"/>
                <xsd:element name="discipline_version" type="xsd:string" minOccurs="1" nillable="false" form="qualified"/>
                <xsd:element name="replace_allowed_indicator" type="xsd:string" minOccurs="1" nillable="false" form="qualified"/>
                <xsd:element name="district" type="xsd:string" minOccurs="1" nillable="false" form="qualified"/>
                <xsd:element name="Filename" type="xsd:string" minOccurs="1" nillable="false" form="qualified"/>
              </xsd:sequence>
            </xsd:complexType>
          </xsd:element>
        </xsd:sequence>
      </xsd:complexType>
      <xsd:complexType name="t_smplType">
        <xsd:sequence>
          <xsd:element name="t_smplTable" minOccurs="1" maxOccurs="unbounded">
            <xsd:complexType>
              <xsd:sequence>
                <xsd:element name="smpl_id" type="xsd:string" minOccurs="1" nillable="false" form="qualified"/>
                <xsd:element name="acpt_meth_t" type="xsd:string" minOccurs="1" nillable="false" form="qualified"/>
                <xsd:element name="auth_by_cms_uid" type="xsd:string" minOccurs="1" nillable="false" form="qualified"/>
                <xsd:element name="auth_dt" type="xsd:string" minOccurs="1" nillable="false" form="qualified"/>
                <xsd:element name="cms_uid" type="xsd:string" minOccurs="1" nillable="false" form="qualified"/>
                <xsd:element name="cntrl_nbr" type="xsd:string" minOccurs="1" nillable="false" form="qualified"/>
                <xsd:element name="cntrl_t" type="xsd:string" minOccurs="1" nillable="false" form="qualified"/>
                <xsd:element name="geog_area_t" type="xsd:string" minOccurs="1" nillable="false" form="qualified"/>
                <xsd:element name="intd_use_txt" type="xsd:string" minOccurs="1" nillable="false" form="qualified"/>
                <xsd:element name="last_modfd_dt" type="xsd:string" minOccurs="1" nillable="false" form="qualified"/>
                <xsd:element name="last_modfd_uid" type="xsd:string" minOccurs="1" nillable="false" form="qualified"/>
                <xsd:element name="log_dt" type="xsd:string" minOccurs="1" nillable="false" form="qualified"/>
                <xsd:element name="matl_cd" type="xsd:string" minOccurs="1" nillable="false" form="qualified"/>
                <xsd:element name="offst" type="xsd:string" minOccurs="1" nillable="false" form="qualified"/>
                <xsd:element name="plant_id" type="xsd:string" minOccurs="1" nillable="false" form="qualified"/>
                <xsd:element name="prodr_supp_cd" type="xsd:string" minOccurs="1" nillable="false" form="qualified"/>
                <xsd:element name="rel_smpl_id" type="xsd:string" minOccurs="1" nillable="false" form="qualified"/>
                <xsd:element name="rmrks_id" type="xsd:string" minOccurs="1" nillable="false" form="qualified"/>
                <xsd:element name="smpl_dsn_t" type="xsd:string" minOccurs="1" nillable="false" form="qualified"/>
                <xsd:element name="smpl_dt" type="xsd:string" minOccurs="1" nillable="false" form="qualified"/>
                <xsd:element name="smpl_mix_id" type="xsd:string" minOccurs="1" nillable="false" form="qualified"/>
                <xsd:element name="smpl_t" type="xsd:string" minOccurs="1" nillable="false" form="qualified"/>
                <xsd:element name="smpld_by" type="xsd:string" minOccurs="1" nillable="false" form="qualified"/>
                <xsd:element name="sta" type="xsd:string" minOccurs="1" nillable="false" form="qualified"/>
                <xsd:element name="stat_t" type="xsd:string" minOccurs="1" nillable="false" form="qualified"/>
                <xsd:element name="witnes_by_cms_uid" type="xsd:string" minOccurs="1" nillable="false" form="qualified"/>
                <xsd:element name="prod_nm" type="xsd:string" minOccurs="1" nillable="false" form="qualified"/>
                <xsd:element name="plant_t" type="xsd:string" minOccurs="1" nillable="false" form="qualified"/>
                <xsd:element name="revise_smpl_id" type="xsd:string" minOccurs="1" nillable="false" form="qualified"/>
                <xsd:element name="smpl_origin" type="xsd:string" minOccurs="1" nillable="false" form="qualified"/>
                <xsd:element name="smpld_fr_txt" type="xsd:string" minOccurs="1" nillable="false" form="qualified"/>
                <xsd:element name="unt_t" type="xsd:string" minOccurs="1" nillable="false" form="qualified"/>
                <xsd:element name="mnfctr_cd" type="xsd:string" minOccurs="1" nillable="false" form="qualified"/>
                <xsd:element name="twn" type="xsd:string" minOccurs="1" nillable="false" form="qualified"/>
                <xsd:element name="buy_usa_ind" type="xsd:string" minOccurs="1" nillable="false" form="qualified"/>
                <xsd:element name="buy_usa_rqrdmt_t" type="xsd:string" minOccurs="1" nillable="false" form="qualified"/>
                <xsd:element name="repr_qty" type="xsd:string" minOccurs="1" nillable="false" form="qualified"/>
                <xsd:element name="ref" type="xsd:string" minOccurs="1" nillable="false" form="qualified"/>
                <xsd:element name="seal_nbr" type="xsd:string" minOccurs="1" nillable="false" form="qualified"/>
                <xsd:element name="smpl_sz" type="xsd:string" minOccurs="1" nillable="false" form="qualified"/>
                <xsd:element name="reqst_by_nm" type="xsd:string" minOccurs="1" nillable="false" form="qualified"/>
                <xsd:element name="std_rmrks_ind" type="xsd:string" minOccurs="1" nillable="false" form="qualified"/>
                <xsd:element name="smpl_lock_ind" type="xsd:string" minOccurs="1" nillable="false" form="qualified"/>
                <xsd:element name="dstnc_fnsh_grd" type="xsd:string" minOccurs="1" nillable="false" form="qualified"/>
                <xsd:element name="dstnc_fnsh_grd_unt" type="xsd:string" minOccurs="1" nillable="false" form="qualified"/>
                <xsd:element name="ref_doc" type="xsd:string" minOccurs="1" nillable="false" form="qualified"/>
                <xsd:element name="sz_unt_t" type="xsd:string" minOccurs="1" nillable="false" form="qualified"/>
                <xsd:element name="lock_type" type="xsd:string" minOccurs="1" nillable="false" form="qualified"/>
                <xsd:element name="locked_by" type="xsd:string" minOccurs="1" nillable="false" form="qualified"/>
                <xsd:element name="lock_dt" type="xsd:string" minOccurs="1" nillable="false" form="qualified"/>
                <xsd:element name="lev1_office_ind" type="xsd:string" minOccurs="1" nillable="false" form="qualified"/>
                <xsd:element name="lev2_office_nbr" type="xsd:string" minOccurs="1" nillable="false" form="qualified"/>
                <xsd:element name="lev3_office_nbr" type="xsd:string" minOccurs="1" nillable="false" form="qualified"/>
                <xsd:element name="lev4_office_nbr" type="xsd:string" minOccurs="1" nillable="false" form="qualified"/>
              </xsd:sequence>
            </xsd:complexType>
          </xsd:element>
        </xsd:sequence>
      </xsd:complexType>
      <xsd:complexType name="t_cont_smplType">
        <xsd:sequence>
          <xsd:element name="t_cont_smplTable" minOccurs="1" maxOccurs="unbounded">
            <xsd:complexType>
              <xsd:sequence>
                <xsd:element name="smpl_id" type="xsd:string" minOccurs="1" nillable="false" form="qualified"/>
                <xsd:element name="cont_id" type="xsd:string" minOccurs="1" nillable="false" form="qualified"/>
                <xsd:element name="prj_nbr" type="xsd:string" minOccurs="1" nillable="false" form="qualified"/>
                <xsd:element name="ln_itm_nbr" type="xsd:string" minOccurs="1" nillable="false" form="qualified"/>
                <xsd:element name="repr_qty"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complexType name="t_cont_smpl_itmType">
        <xsd:sequence>
          <xsd:element name="t_cont_smpl_itmTable" minOccurs="1" maxOccurs="unbounded">
            <xsd:complexType>
              <xsd:sequence>
                <xsd:element name="prj_nbr" type="xsd:string" minOccurs="1" nillable="false" form="qualified"/>
                <xsd:element name="ln_itm_nbr" type="xsd:string" minOccurs="1" nillable="false" form="qualified"/>
                <xsd:element name="repr_qty" type="xsd:string" minOccurs="1" nillable="false" form="qualified"/>
              </xsd:sequence>
            </xsd:complexType>
          </xsd:element>
        </xsd:sequence>
      </xsd:complexType>
      <xsd:complexType name="t_rmrks_dtlType">
        <xsd:sequence>
          <xsd:element name="t_rmrks_dtlTable" minOccurs="1" maxOccurs="unbounded">
            <xsd:complexType>
              <xsd:sequence>
                <xsd:element name="rmrks_id" type="xsd:string" minOccurs="1" nillable="false" form="qualified"/>
                <xsd:element name="rmrks_t" type="xsd:string" minOccurs="1" nillable="false" form="qualified"/>
                <xsd:element name="rmrks_sn" type="xsd:string" minOccurs="1" nillable="false" form="qualified"/>
                <xsd:element name="rmrks_txt_fld"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complexType name="t_smpl_tstType">
        <xsd:sequence>
          <xsd:element name="t_smpl_tstTable" minOccurs="1" maxOccurs="unbounded">
            <xsd:complexType>
              <xsd:sequence>
                <xsd:element name="smpl_id" type="xsd:string" minOccurs="1" nillable="false" form="qualified"/>
                <xsd:element name="tst_meth" type="xsd:string" minOccurs="1" nillable="false" form="qualified"/>
                <xsd:element name="smpl_tst_nbr" type="xsd:string" minOccurs="1" nillable="false" form="qualified"/>
                <xsd:element name="lab_id" type="xsd:string" minOccurs="1" nillable="false" form="qualified"/>
                <xsd:element name="chrg_amt" type="xsd:string" minOccurs="1" nillable="false" form="qualified"/>
                <xsd:element name="strt_dt" type="xsd:string" minOccurs="1" nillable="false" form="qualified"/>
                <xsd:element name="est_cmpl_dt" type="xsd:string" minOccurs="1" nillable="false" form="qualified"/>
                <xsd:element name="actl_cmpl_dt"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complexType name="t_smpl_tstrType">
        <xsd:sequence>
          <xsd:element name="t_smpl_tstrTable" minOccurs="1" maxOccurs="unbounded">
            <xsd:complexType>
              <xsd:sequence>
                <xsd:element name="smpl_id" type="xsd:string" minOccurs="1" nillable="false" form="qualified"/>
                <xsd:element name="tst_meth" type="xsd:string" minOccurs="1" nillable="false" form="qualified"/>
                <xsd:element name="smpl_tst_nbr" type="xsd:string" minOccurs="1" nillable="false" form="qualified"/>
                <xsd:element name="tst_id"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complexType name="t_tst_rslt_hdrType">
        <xsd:sequence>
          <xsd:element name="t_tst_rslt_hdrTable" minOccurs="1" maxOccurs="unbounded">
            <xsd:complexType>
              <xsd:sequence>
                <xsd:element name="smpl_id" type="xsd:string" minOccurs="1" nillable="false" form="qualified"/>
                <xsd:element name="tst_meth" type="xsd:string" minOccurs="1" nillable="false" form="qualified"/>
                <xsd:element name="smpl_tst_nbr" type="xsd:string" minOccurs="1" nillable="false" form="qualified"/>
                <xsd:element name="rmrks_id" type="xsd:string" minOccurs="1" nillable="false" form="qualified"/>
                <xsd:element name="effdt" type="xsd:string" minOccurs="1" nillable="false" form="qualified"/>
                <xsd:element name="last_modfd_dt" type="xsd:string" minOccurs="1" nillable="false" form="qualified"/>
                <xsd:element name="last_modfd_uid" type="xsd:string" minOccurs="1" nillable="false" form="qualified"/>
              </xsd:sequence>
            </xsd:complexType>
          </xsd:element>
        </xsd:sequence>
      </xsd:complexType>
      <xsd:complexType name="t_tst_rslt_dtlType">
        <xsd:sequence>
          <xsd:element name="t_tst_rslt_dtlTable" minOccurs="1" maxOccurs="unbounded">
            <xsd:complexType>
              <xsd:sequence>
                <xsd:element name="smpl_id" type="xsd:string" minOccurs="1" nillable="false" form="qualified"/>
                <xsd:element name="tst_meth" type="xsd:string" minOccurs="1" nillable="false" form="qualified"/>
                <xsd:element name="smpl_tst_nbr" type="xsd:string" minOccurs="1" nillable="false" form="qualified"/>
                <xsd:element name="tst_fld_sn" type="xsd:string" minOccurs="1" nillable="false" form="qualified"/>
                <xsd:element name="tst_strg_fld_val" type="xsd:string" minOccurs="1" nillable="false" form="qualified"/>
                <xsd:element name="tst_numrc_fld_val"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complexType name="t_pccType">
        <xsd:sequence>
          <xsd:element name="t_pccTable" minOccurs="1" maxOccurs="unbounded">
            <xsd:complexType>
              <xsd:sequence>
                <xsd:element name="mix_id" type="xsd:string" minOccurs="1" nillable="false" form="qualified"/>
                <xsd:element name="matl_cd" type="xsd:string" minOccurs="1" nillable="false" form="qualified"/>
                <xsd:element name="dsn_t" type="xsd:string" minOccurs="1" nillable="false" form="qualified"/>
                <xsd:element name="prodr_supp_cd" type="xsd:string" minOccurs="1" nillable="false" form="qualified"/>
                <xsd:element name="dsnr_nm" type="xsd:string" minOccurs="1" nillable="false" form="qualified"/>
                <xsd:element name="conc_clas_t" type="xsd:string" minOccurs="1" nillable="false" form="qualified"/>
                <xsd:element name="effdt" type="xsd:string" minOccurs="1" nillable="false" form="qualified"/>
                <xsd:element name="term_dt" type="xsd:string" minOccurs="1" nillable="false" form="qualified"/>
                <xsd:element name="apprd_dt" type="xsd:string" minOccurs="1" nillable="false" form="qualified"/>
                <xsd:element name="apprd_by_uid" type="xsd:string" minOccurs="1" nillable="false" form="qualified"/>
                <xsd:element name="min_avg_strgh_rqrd" type="xsd:string" minOccurs="1" nillable="false" form="qualified"/>
                <xsd:element name="dsn_strgh_spc" type="xsd:string" minOccurs="1" nillable="false" form="qualified"/>
                <xsd:element name="theo_unt_wt" type="xsd:string" minOccurs="1" nillable="false" form="qualified"/>
                <xsd:element name="theo_unt_wt_unt" type="xsd:string" minOccurs="1" nillable="false" form="qualified"/>
                <xsd:element name="h2o_cem_ratio" type="xsd:string" minOccurs="1" nillable="false" form="qualified"/>
                <xsd:element name="unt_wt_m" type="xsd:string" minOccurs="1" nillable="false" form="qualified"/>
                <xsd:element name="unt_wt_meas_unt" type="xsd:string" minOccurs="1" nillable="false" form="qualified"/>
                <xsd:element name="air_cntnt_m" type="xsd:string" minOccurs="1" nillable="false" form="qualified"/>
                <xsd:element name="slmp_m" type="xsd:string" minOccurs="1" nillable="false" form="qualified"/>
                <xsd:element name="slmp_meas_unt" type="xsd:string" minOccurs="1" nillable="false" form="qualified"/>
                <xsd:element name="rmrks_id"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complexType name="t_pcc_blndType">
        <xsd:sequence>
          <xsd:element name="t_pcc_blndTable" minOccurs="1" maxOccurs="unbounded">
            <xsd:complexType>
              <xsd:sequence>
                <xsd:element name="matl_cd" type="xsd:string" minOccurs="1" nillable="false" form="qualified"/>
                <xsd:element name="mix_id" type="xsd:string" minOccurs="1" nillable="false" form="qualified"/>
                <xsd:element name="dsn_t" type="xsd:string" minOccurs="1" nillable="false" form="qualified"/>
                <xsd:element name="prodr_supp_cd" type="xsd:string" minOccurs="1" nillable="false" form="qualified"/>
                <xsd:element name="smpl_id" type="xsd:string" minOccurs="1" nillable="false" form="qualified"/>
                <xsd:element name="brnd_nm" type="xsd:string" minOccurs="1" nillable="false" form="qualified"/>
                <xsd:element name="spc_gr" type="xsd:string" minOccurs="1" nillable="false" form="qualified"/>
                <xsd:element name="bulk_spc_gr_m" type="xsd:string" minOccurs="1" nillable="false" form="qualified"/>
                <xsd:element name="ssd_wt_m" type="xsd:string" minOccurs="1" nillable="false" form="qualified"/>
                <xsd:element name="abs_p" type="xsd:string" minOccurs="1" nillable="false" form="qualified"/>
                <xsd:element name="fine_moduls_m" type="xsd:string" minOccurs="1" nillable="false" form="qualified"/>
                <xsd:element name="mas" type="xsd:string" minOccurs="1" nillable="false" form="qualified"/>
                <xsd:element name="unt_t"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complexType name="t_mix_dsn_grdnType">
        <xsd:sequence>
          <xsd:element name="t_mix_dsn_grdnTable" minOccurs="1" maxOccurs="unbounded">
            <xsd:complexType>
              <xsd:sequence>
                <xsd:element name="matl_cd" type="xsd:string" minOccurs="1" nillable="false" form="qualified"/>
                <xsd:element name="matl_grdn_effdt" type="xsd:string" minOccurs="1" nillable="false" form="qualified"/>
                <xsd:element name="matl_grdn_sn" type="xsd:string" minOccurs="1" nillable="false" form="qualified"/>
                <xsd:element name="mix_id" type="xsd:string" minOccurs="1" nillable="false" form="qualified"/>
                <xsd:element name="dsn_t" type="xsd:string" minOccurs="1" nillable="false" form="qualified"/>
                <xsd:element name="sv_val" type="xsd:string" minOccurs="1" nillable="false" form="qualified"/>
                <xsd:element name="min_prod_tolrnc" type="xsd:string" minOccurs="1" nillable="false" form="qualified"/>
                <xsd:element name="max_prod_tolrnc"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complexType name="t_superpaveType">
        <xsd:sequence>
          <xsd:element name="t_superpaveTable" minOccurs="1" maxOccurs="unbounded">
            <xsd:complexType>
              <xsd:sequence>
                <xsd:element name="mix_id" type="xsd:string" minOccurs="1" nillable="false" form="qualified"/>
                <xsd:element name="dsn_t" type="xsd:string" minOccurs="1" nillable="false" form="qualified"/>
                <xsd:element name="matl_cd" type="xsd:string" minOccurs="1" nillable="false" form="qualified"/>
                <xsd:element name="prodr_supp_cd" type="xsd:string" minOccurs="1" nillable="false" form="qualified"/>
                <xsd:element name="dsnr_nm" type="xsd:string" minOccurs="1" nillable="false" form="qualified"/>
                <xsd:element name="asph_cem_t" type="xsd:string" minOccurs="1" nillable="false" form="qualified"/>
                <xsd:element name="mix_dsn_txt_t" type="xsd:string" minOccurs="1" nillable="false" form="qualified"/>
                <xsd:element name="effdt" type="xsd:string" minOccurs="1" nillable="false" form="qualified"/>
                <xsd:element name="term_dt" type="xsd:string" minOccurs="1" nillable="false" form="qualified"/>
                <xsd:element name="apprd_dt" type="xsd:string" minOccurs="1" nillable="false" form="qualified"/>
                <xsd:element name="apprd_by_uid" type="xsd:string" minOccurs="1" nillable="false" form="qualified"/>
                <xsd:element name="init_n_dnsty_m" type="xsd:string" minOccurs="1" nillable="false" form="qualified"/>
                <xsd:element name="max_n_dnsty_m" type="xsd:string" minOccurs="1" nillable="false" form="qualified"/>
                <xsd:element name="dsn_n_dnsty_m" type="xsd:string" minOccurs="1" nillable="false" form="qualified"/>
                <xsd:element name="init_n_gmm_p" type="xsd:string" minOccurs="1" nillable="false" form="qualified"/>
                <xsd:element name="max_n_gmm_p" type="xsd:string" minOccurs="1" nillable="false" form="qualified"/>
                <xsd:element name="esals_nbr" type="xsd:string" minOccurs="1" nillable="false" form="qualified"/>
                <xsd:element name="opt_ac_pct_tot_wt" type="xsd:string" minOccurs="1" nillable="false" form="qualified"/>
                <xsd:element name="dust_proprtn_p" type="xsd:string" minOccurs="1" nillable="false" form="qualified"/>
                <xsd:element name="vma_p" type="xsd:string" minOccurs="1" nillable="false" form="qualified"/>
                <xsd:element name="vfa_p" type="xsd:string" minOccurs="1" nillable="false" form="qualified"/>
                <xsd:element name="lotmn_tsr_m" type="xsd:string" minOccurs="1" nillable="false" form="qualified"/>
                <xsd:element name="sand_equiv_tst" type="xsd:string" minOccurs="1" nillable="false" form="qualified"/>
                <xsd:element name="max_spc_gr" type="xsd:string" minOccurs="1" nillable="false" form="qualified"/>
                <xsd:element name="bulk_spc_gr_m" type="xsd:string" minOccurs="1" nillable="false" form="qualified"/>
                <xsd:element name="mix_temp" type="xsd:string" minOccurs="1" nillable="false" form="qualified"/>
                <xsd:element name="mix_temp_unt" type="xsd:string" minOccurs="1" nillable="false" form="qualified"/>
                <xsd:element name="cmpct_temp" type="xsd:string" minOccurs="1" nillable="false" form="qualified"/>
                <xsd:element name="cmpct_temp_unt" type="xsd:string" minOccurs="1" nillable="false" form="qualified"/>
                <xsd:element name="high_air_temp" type="xsd:string" minOccurs="1" nillable="false" form="qualified"/>
                <xsd:element name="high_air_temp_unt" type="xsd:string" minOccurs="1" nillable="false" form="qualified"/>
                <xsd:element name="rmrks_id" type="xsd:string" minOccurs="1" nillable="false" form="qualified"/>
                <xsd:element name="last_modfd_uid" type="xsd:string" minOccurs="1" nillable="false" form="qualified"/>
                <xsd:element name="last_modfd_dt" type="xsd:string" minOccurs="1" nillable="false" form="qualified"/>
                <xsd:element name="air_voids_p" type="xsd:string" minOccurs="1" nillable="false" form="qualified"/>
              </xsd:sequence>
            </xsd:complexType>
          </xsd:element>
        </xsd:sequence>
      </xsd:complexType>
      <xsd:complexType name="t_bit_conc_mixblndType">
        <xsd:sequence>
          <xsd:element name="t_bit_conc_mixblndTable" minOccurs="1" maxOccurs="unbounded">
            <xsd:complexType>
              <xsd:sequence>
                <xsd:element name="mix_id" type="xsd:string" minOccurs="1" nillable="false" form="qualified"/>
                <xsd:element name="dsn_t" type="xsd:string" minOccurs="1" nillable="false" form="qualified"/>
                <xsd:element name="matl_cd" type="xsd:string" minOccurs="1" nillable="false" form="qualified"/>
                <xsd:element name="prodr_supp_cd" type="xsd:string" minOccurs="1" nillable="false" form="qualified"/>
                <xsd:element name="brnd_nm" type="xsd:string" minOccurs="1" nillable="false" form="qualified"/>
                <xsd:element name="blnd_p" type="xsd:string" minOccurs="1" nillable="false" form="qualified"/>
                <xsd:element name="bulk_spc_gr_m" type="xsd:string" minOccurs="1" nillable="false" form="qualified"/>
                <xsd:element name="aprnt_spc_gr_m" type="xsd:string" minOccurs="1" nillable="false" form="qualified"/>
                <xsd:element name="smpl_id"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schema>
  </Schema>
  <Map ID="5" Name="MaterialDisciplines_Map" RootElement="MaterialDisciplines" SchemaID="Schema2"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worksheet" Target="worksheets/sheet25.xml"/><Relationship Id="rId39"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0.xml"/><Relationship Id="rId34" Type="http://schemas.openxmlformats.org/officeDocument/2006/relationships/worksheet" Target="worksheets/sheet33.xml"/><Relationship Id="rId42" Type="http://schemas.openxmlformats.org/officeDocument/2006/relationships/styles" Target="styles.xml"/><Relationship Id="rId47" Type="http://schemas.openxmlformats.org/officeDocument/2006/relationships/customXml" Target="../customXml/item3.xml"/><Relationship Id="rId50" Type="http://schemas.openxmlformats.org/officeDocument/2006/relationships/xmlMaps" Target="xmlMap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worksheet" Target="worksheets/sheet24.xml"/><Relationship Id="rId33" Type="http://schemas.openxmlformats.org/officeDocument/2006/relationships/worksheet" Target="worksheets/sheet32.xml"/><Relationship Id="rId38" Type="http://schemas.openxmlformats.org/officeDocument/2006/relationships/externalLink" Target="externalLinks/externalLink2.xml"/><Relationship Id="rId46"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worksheet" Target="worksheets/sheet28.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worksheet" Target="worksheets/sheet23.xml"/><Relationship Id="rId32" Type="http://schemas.openxmlformats.org/officeDocument/2006/relationships/worksheet" Target="worksheets/sheet31.xml"/><Relationship Id="rId37" Type="http://schemas.openxmlformats.org/officeDocument/2006/relationships/externalLink" Target="externalLinks/externalLink1.xml"/><Relationship Id="rId40" Type="http://schemas.openxmlformats.org/officeDocument/2006/relationships/externalLink" Target="externalLinks/externalLink4.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worksheet" Target="worksheets/sheet22.xml"/><Relationship Id="rId28" Type="http://schemas.openxmlformats.org/officeDocument/2006/relationships/worksheet" Target="worksheets/sheet27.xml"/><Relationship Id="rId36" Type="http://schemas.openxmlformats.org/officeDocument/2006/relationships/dialogsheet" Target="dialogsheets/sheet1.xml"/><Relationship Id="rId49" Type="http://schemas.microsoft.com/office/2006/relationships/vbaProject" Target="vbaProject.bin"/><Relationship Id="rId10" Type="http://schemas.openxmlformats.org/officeDocument/2006/relationships/worksheet" Target="worksheets/sheet9.xml"/><Relationship Id="rId19" Type="http://schemas.openxmlformats.org/officeDocument/2006/relationships/worksheet" Target="worksheets/sheet18.xml"/><Relationship Id="rId31" Type="http://schemas.openxmlformats.org/officeDocument/2006/relationships/worksheet" Target="worksheets/sheet30.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worksheet" Target="worksheets/sheet21.xml"/><Relationship Id="rId27" Type="http://schemas.openxmlformats.org/officeDocument/2006/relationships/worksheet" Target="worksheets/sheet26.xml"/><Relationship Id="rId30" Type="http://schemas.openxmlformats.org/officeDocument/2006/relationships/worksheet" Target="worksheets/sheet29.xml"/><Relationship Id="rId35" Type="http://schemas.openxmlformats.org/officeDocument/2006/relationships/worksheet" Target="worksheets/sheet34.xml"/><Relationship Id="rId43" Type="http://schemas.openxmlformats.org/officeDocument/2006/relationships/sharedStrings" Target="sharedStrings.xml"/><Relationship Id="rId48" Type="http://schemas.openxmlformats.org/officeDocument/2006/relationships/customXml" Target="../customXml/item4.xml"/><Relationship Id="rId8" Type="http://schemas.openxmlformats.org/officeDocument/2006/relationships/chartsheet" Target="chart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Superpave Mixtures ( Gradation Analysis )</a:t>
            </a:r>
          </a:p>
        </c:rich>
      </c:tx>
      <c:layout>
        <c:manualLayout>
          <c:xMode val="edge"/>
          <c:yMode val="edge"/>
          <c:x val="0.34038267875125883"/>
          <c:y val="3.0383091149273449E-2"/>
        </c:manualLayout>
      </c:layout>
      <c:overlay val="0"/>
      <c:spPr>
        <a:noFill/>
        <a:ln w="25400">
          <a:noFill/>
        </a:ln>
      </c:spPr>
    </c:title>
    <c:autoTitleDeleted val="0"/>
    <c:plotArea>
      <c:layout>
        <c:manualLayout>
          <c:layoutTarget val="inner"/>
          <c:xMode val="edge"/>
          <c:yMode val="edge"/>
          <c:x val="6.2437059415911378E-2"/>
          <c:y val="0.14795244385733158"/>
          <c:w val="0.7210473313192346"/>
          <c:h val="0.79128137384412156"/>
        </c:manualLayout>
      </c:layout>
      <c:scatterChart>
        <c:scatterStyle val="lineMarker"/>
        <c:varyColors val="0"/>
        <c:ser>
          <c:idx val="0"/>
          <c:order val="0"/>
          <c:tx>
            <c:v>Maximum Density Line</c:v>
          </c:tx>
          <c:spPr>
            <a:ln w="28575">
              <a:noFill/>
            </a:ln>
          </c:spPr>
          <c:marker>
            <c:symbol val="diamond"/>
            <c:size val="5"/>
            <c:spPr>
              <a:solidFill>
                <a:srgbClr val="000080"/>
              </a:solidFill>
              <a:ln>
                <a:solidFill>
                  <a:srgbClr val="000080"/>
                </a:solidFill>
                <a:prstDash val="solid"/>
              </a:ln>
            </c:spPr>
          </c:marker>
          <c:trendline>
            <c:name>Maximum Density Line</c:name>
            <c:spPr>
              <a:ln w="25400">
                <a:solidFill>
                  <a:srgbClr val="000000"/>
                </a:solidFill>
                <a:prstDash val="solid"/>
              </a:ln>
            </c:spPr>
            <c:trendlineType val="poly"/>
            <c:order val="2"/>
            <c:dispRSqr val="0"/>
            <c:dispEq val="0"/>
          </c:trendline>
          <c:xVal>
            <c:numRef>
              <c:f>'.45 Data'!$B$34:$B$35</c:f>
              <c:numCache>
                <c:formatCode>General</c:formatCode>
                <c:ptCount val="2"/>
                <c:pt idx="0">
                  <c:v>0</c:v>
                </c:pt>
                <c:pt idx="1">
                  <c:v>#N/A</c:v>
                </c:pt>
              </c:numCache>
            </c:numRef>
          </c:xVal>
          <c:yVal>
            <c:numRef>
              <c:f>'.45 Data'!$C$34:$C$35</c:f>
              <c:numCache>
                <c:formatCode>General</c:formatCode>
                <c:ptCount val="2"/>
                <c:pt idx="0">
                  <c:v>0</c:v>
                </c:pt>
                <c:pt idx="1">
                  <c:v>100</c:v>
                </c:pt>
              </c:numCache>
            </c:numRef>
          </c:yVal>
          <c:smooth val="0"/>
          <c:extLst>
            <c:ext xmlns:c16="http://schemas.microsoft.com/office/drawing/2014/chart" uri="{C3380CC4-5D6E-409C-BE32-E72D297353CC}">
              <c16:uniqueId val="{00000000-FE90-4D19-BF9C-C8FE9B5BE21F}"/>
            </c:ext>
          </c:extLst>
        </c:ser>
        <c:ser>
          <c:idx val="1"/>
          <c:order val="1"/>
          <c:spPr>
            <a:ln w="3175">
              <a:solidFill>
                <a:srgbClr val="000000"/>
              </a:solidFill>
              <a:prstDash val="solid"/>
            </a:ln>
          </c:spPr>
          <c:marker>
            <c:symbol val="none"/>
          </c:marker>
          <c:xVal>
            <c:numRef>
              <c:f>'.45 Data'!$H$40:$H$41</c:f>
              <c:numCache>
                <c:formatCode>General</c:formatCode>
                <c:ptCount val="2"/>
                <c:pt idx="0">
                  <c:v>#N/A</c:v>
                </c:pt>
                <c:pt idx="1">
                  <c:v>#N/A</c:v>
                </c:pt>
              </c:numCache>
            </c:numRef>
          </c:xVal>
          <c:yVal>
            <c:numRef>
              <c:f>'.45 Data'!$I$40:$I$41</c:f>
              <c:numCache>
                <c:formatCode>General</c:formatCode>
                <c:ptCount val="2"/>
                <c:pt idx="0">
                  <c:v>0</c:v>
                </c:pt>
                <c:pt idx="1">
                  <c:v>100</c:v>
                </c:pt>
              </c:numCache>
            </c:numRef>
          </c:yVal>
          <c:smooth val="1"/>
          <c:extLst>
            <c:ext xmlns:c16="http://schemas.microsoft.com/office/drawing/2014/chart" uri="{C3380CC4-5D6E-409C-BE32-E72D297353CC}">
              <c16:uniqueId val="{00000001-FE90-4D19-BF9C-C8FE9B5BE21F}"/>
            </c:ext>
          </c:extLst>
        </c:ser>
        <c:ser>
          <c:idx val="2"/>
          <c:order val="2"/>
          <c:spPr>
            <a:ln w="3175">
              <a:solidFill>
                <a:srgbClr val="000000"/>
              </a:solidFill>
              <a:prstDash val="solid"/>
            </a:ln>
          </c:spPr>
          <c:marker>
            <c:symbol val="none"/>
          </c:marker>
          <c:xVal>
            <c:numRef>
              <c:f>'.45 Data'!$H$50:$H$51</c:f>
              <c:numCache>
                <c:formatCode>General</c:formatCode>
                <c:ptCount val="2"/>
                <c:pt idx="0">
                  <c:v>#N/A</c:v>
                </c:pt>
                <c:pt idx="1">
                  <c:v>#N/A</c:v>
                </c:pt>
              </c:numCache>
            </c:numRef>
          </c:xVal>
          <c:yVal>
            <c:numRef>
              <c:f>'.45 Data'!$I$40:$I$41</c:f>
              <c:numCache>
                <c:formatCode>General</c:formatCode>
                <c:ptCount val="2"/>
                <c:pt idx="0">
                  <c:v>0</c:v>
                </c:pt>
                <c:pt idx="1">
                  <c:v>100</c:v>
                </c:pt>
              </c:numCache>
            </c:numRef>
          </c:yVal>
          <c:smooth val="1"/>
          <c:extLst>
            <c:ext xmlns:c16="http://schemas.microsoft.com/office/drawing/2014/chart" uri="{C3380CC4-5D6E-409C-BE32-E72D297353CC}">
              <c16:uniqueId val="{00000002-FE90-4D19-BF9C-C8FE9B5BE21F}"/>
            </c:ext>
          </c:extLst>
        </c:ser>
        <c:ser>
          <c:idx val="3"/>
          <c:order val="3"/>
          <c:spPr>
            <a:ln w="12700">
              <a:solidFill>
                <a:srgbClr val="000000"/>
              </a:solidFill>
              <a:prstDash val="solid"/>
            </a:ln>
          </c:spPr>
          <c:marker>
            <c:symbol val="none"/>
          </c:marker>
          <c:xVal>
            <c:numRef>
              <c:f>'.45 Data'!$H$52:$H$53</c:f>
              <c:numCache>
                <c:formatCode>General</c:formatCode>
                <c:ptCount val="2"/>
                <c:pt idx="0">
                  <c:v>#N/A</c:v>
                </c:pt>
                <c:pt idx="1">
                  <c:v>#N/A</c:v>
                </c:pt>
              </c:numCache>
            </c:numRef>
          </c:xVal>
          <c:yVal>
            <c:numRef>
              <c:f>'.45 Data'!$I$40:$I$41</c:f>
              <c:numCache>
                <c:formatCode>General</c:formatCode>
                <c:ptCount val="2"/>
                <c:pt idx="0">
                  <c:v>0</c:v>
                </c:pt>
                <c:pt idx="1">
                  <c:v>100</c:v>
                </c:pt>
              </c:numCache>
            </c:numRef>
          </c:yVal>
          <c:smooth val="1"/>
          <c:extLst>
            <c:ext xmlns:c16="http://schemas.microsoft.com/office/drawing/2014/chart" uri="{C3380CC4-5D6E-409C-BE32-E72D297353CC}">
              <c16:uniqueId val="{00000003-FE90-4D19-BF9C-C8FE9B5BE21F}"/>
            </c:ext>
          </c:extLst>
        </c:ser>
        <c:ser>
          <c:idx val="4"/>
          <c:order val="4"/>
          <c:spPr>
            <a:ln w="12700">
              <a:solidFill>
                <a:srgbClr val="800080"/>
              </a:solidFill>
              <a:prstDash val="solid"/>
            </a:ln>
          </c:spPr>
          <c:marker>
            <c:symbol val="none"/>
          </c:marker>
          <c:dPt>
            <c:idx val="1"/>
            <c:bubble3D val="0"/>
            <c:spPr>
              <a:ln w="12700">
                <a:solidFill>
                  <a:srgbClr val="000000"/>
                </a:solidFill>
                <a:prstDash val="solid"/>
              </a:ln>
            </c:spPr>
            <c:extLst>
              <c:ext xmlns:c16="http://schemas.microsoft.com/office/drawing/2014/chart" uri="{C3380CC4-5D6E-409C-BE32-E72D297353CC}">
                <c16:uniqueId val="{00000005-FE90-4D19-BF9C-C8FE9B5BE21F}"/>
              </c:ext>
            </c:extLst>
          </c:dPt>
          <c:xVal>
            <c:numRef>
              <c:f>'.45 Data'!$H$54:$H$55</c:f>
              <c:numCache>
                <c:formatCode>General</c:formatCode>
                <c:ptCount val="2"/>
                <c:pt idx="0">
                  <c:v>#N/A</c:v>
                </c:pt>
                <c:pt idx="1">
                  <c:v>#N/A</c:v>
                </c:pt>
              </c:numCache>
            </c:numRef>
          </c:xVal>
          <c:yVal>
            <c:numRef>
              <c:f>'.45 Data'!$I$40:$I$41</c:f>
              <c:numCache>
                <c:formatCode>General</c:formatCode>
                <c:ptCount val="2"/>
                <c:pt idx="0">
                  <c:v>0</c:v>
                </c:pt>
                <c:pt idx="1">
                  <c:v>100</c:v>
                </c:pt>
              </c:numCache>
            </c:numRef>
          </c:yVal>
          <c:smooth val="1"/>
          <c:extLst>
            <c:ext xmlns:c16="http://schemas.microsoft.com/office/drawing/2014/chart" uri="{C3380CC4-5D6E-409C-BE32-E72D297353CC}">
              <c16:uniqueId val="{00000006-FE90-4D19-BF9C-C8FE9B5BE21F}"/>
            </c:ext>
          </c:extLst>
        </c:ser>
        <c:ser>
          <c:idx val="5"/>
          <c:order val="5"/>
          <c:spPr>
            <a:ln w="12700">
              <a:solidFill>
                <a:srgbClr val="000000"/>
              </a:solidFill>
              <a:prstDash val="solid"/>
            </a:ln>
          </c:spPr>
          <c:marker>
            <c:symbol val="none"/>
          </c:marker>
          <c:xVal>
            <c:numRef>
              <c:f>'.45 Data'!$H$56:$H$57</c:f>
              <c:numCache>
                <c:formatCode>General</c:formatCode>
                <c:ptCount val="2"/>
                <c:pt idx="0">
                  <c:v>#N/A</c:v>
                </c:pt>
                <c:pt idx="1">
                  <c:v>#N/A</c:v>
                </c:pt>
              </c:numCache>
            </c:numRef>
          </c:xVal>
          <c:yVal>
            <c:numRef>
              <c:f>'.45 Data'!$I$40:$I$41</c:f>
              <c:numCache>
                <c:formatCode>General</c:formatCode>
                <c:ptCount val="2"/>
                <c:pt idx="0">
                  <c:v>0</c:v>
                </c:pt>
                <c:pt idx="1">
                  <c:v>100</c:v>
                </c:pt>
              </c:numCache>
            </c:numRef>
          </c:yVal>
          <c:smooth val="1"/>
          <c:extLst>
            <c:ext xmlns:c16="http://schemas.microsoft.com/office/drawing/2014/chart" uri="{C3380CC4-5D6E-409C-BE32-E72D297353CC}">
              <c16:uniqueId val="{00000007-FE90-4D19-BF9C-C8FE9B5BE21F}"/>
            </c:ext>
          </c:extLst>
        </c:ser>
        <c:ser>
          <c:idx val="6"/>
          <c:order val="6"/>
          <c:spPr>
            <a:ln w="12700">
              <a:solidFill>
                <a:srgbClr val="000000"/>
              </a:solidFill>
              <a:prstDash val="solid"/>
            </a:ln>
          </c:spPr>
          <c:marker>
            <c:symbol val="none"/>
          </c:marker>
          <c:xVal>
            <c:numRef>
              <c:f>'.45 Data'!$H$58:$H$59</c:f>
              <c:numCache>
                <c:formatCode>General</c:formatCode>
                <c:ptCount val="2"/>
                <c:pt idx="0">
                  <c:v>#N/A</c:v>
                </c:pt>
                <c:pt idx="1">
                  <c:v>#N/A</c:v>
                </c:pt>
              </c:numCache>
            </c:numRef>
          </c:xVal>
          <c:yVal>
            <c:numRef>
              <c:f>'.45 Data'!$I$40:$I$41</c:f>
              <c:numCache>
                <c:formatCode>General</c:formatCode>
                <c:ptCount val="2"/>
                <c:pt idx="0">
                  <c:v>0</c:v>
                </c:pt>
                <c:pt idx="1">
                  <c:v>100</c:v>
                </c:pt>
              </c:numCache>
            </c:numRef>
          </c:yVal>
          <c:smooth val="1"/>
          <c:extLst>
            <c:ext xmlns:c16="http://schemas.microsoft.com/office/drawing/2014/chart" uri="{C3380CC4-5D6E-409C-BE32-E72D297353CC}">
              <c16:uniqueId val="{00000008-FE90-4D19-BF9C-C8FE9B5BE21F}"/>
            </c:ext>
          </c:extLst>
        </c:ser>
        <c:ser>
          <c:idx val="7"/>
          <c:order val="7"/>
          <c:spPr>
            <a:ln w="12700">
              <a:solidFill>
                <a:srgbClr val="000000"/>
              </a:solidFill>
              <a:prstDash val="solid"/>
            </a:ln>
          </c:spPr>
          <c:marker>
            <c:symbol val="none"/>
          </c:marker>
          <c:xVal>
            <c:numRef>
              <c:f>'.45 Data'!$H$60:$H$61</c:f>
              <c:numCache>
                <c:formatCode>General</c:formatCode>
                <c:ptCount val="2"/>
                <c:pt idx="0">
                  <c:v>#N/A</c:v>
                </c:pt>
                <c:pt idx="1">
                  <c:v>#N/A</c:v>
                </c:pt>
              </c:numCache>
            </c:numRef>
          </c:xVal>
          <c:yVal>
            <c:numRef>
              <c:f>'.45 Data'!$I$40:$I$41</c:f>
              <c:numCache>
                <c:formatCode>General</c:formatCode>
                <c:ptCount val="2"/>
                <c:pt idx="0">
                  <c:v>0</c:v>
                </c:pt>
                <c:pt idx="1">
                  <c:v>100</c:v>
                </c:pt>
              </c:numCache>
            </c:numRef>
          </c:yVal>
          <c:smooth val="1"/>
          <c:extLst>
            <c:ext xmlns:c16="http://schemas.microsoft.com/office/drawing/2014/chart" uri="{C3380CC4-5D6E-409C-BE32-E72D297353CC}">
              <c16:uniqueId val="{00000009-FE90-4D19-BF9C-C8FE9B5BE21F}"/>
            </c:ext>
          </c:extLst>
        </c:ser>
        <c:ser>
          <c:idx val="8"/>
          <c:order val="8"/>
          <c:spPr>
            <a:ln w="3175">
              <a:solidFill>
                <a:srgbClr val="000000"/>
              </a:solidFill>
              <a:prstDash val="solid"/>
            </a:ln>
          </c:spPr>
          <c:marker>
            <c:symbol val="none"/>
          </c:marker>
          <c:xVal>
            <c:numRef>
              <c:f>'.45 Data'!$H$62:$H$63</c:f>
              <c:numCache>
                <c:formatCode>General</c:formatCode>
                <c:ptCount val="2"/>
                <c:pt idx="0">
                  <c:v>#N/A</c:v>
                </c:pt>
                <c:pt idx="1">
                  <c:v>#N/A</c:v>
                </c:pt>
              </c:numCache>
            </c:numRef>
          </c:xVal>
          <c:yVal>
            <c:numRef>
              <c:f>'.45 Data'!$I$40:$I$41</c:f>
              <c:numCache>
                <c:formatCode>General</c:formatCode>
                <c:ptCount val="2"/>
                <c:pt idx="0">
                  <c:v>0</c:v>
                </c:pt>
                <c:pt idx="1">
                  <c:v>100</c:v>
                </c:pt>
              </c:numCache>
            </c:numRef>
          </c:yVal>
          <c:smooth val="1"/>
          <c:extLst>
            <c:ext xmlns:c16="http://schemas.microsoft.com/office/drawing/2014/chart" uri="{C3380CC4-5D6E-409C-BE32-E72D297353CC}">
              <c16:uniqueId val="{0000000A-FE90-4D19-BF9C-C8FE9B5BE21F}"/>
            </c:ext>
          </c:extLst>
        </c:ser>
        <c:ser>
          <c:idx val="9"/>
          <c:order val="9"/>
          <c:spPr>
            <a:ln w="12700">
              <a:solidFill>
                <a:srgbClr val="000000"/>
              </a:solidFill>
              <a:prstDash val="solid"/>
            </a:ln>
          </c:spPr>
          <c:marker>
            <c:symbol val="none"/>
          </c:marker>
          <c:xVal>
            <c:numRef>
              <c:f>'.45 Data'!$H$64:$H$65</c:f>
              <c:numCache>
                <c:formatCode>General</c:formatCode>
                <c:ptCount val="2"/>
                <c:pt idx="0">
                  <c:v>#N/A</c:v>
                </c:pt>
                <c:pt idx="1">
                  <c:v>#N/A</c:v>
                </c:pt>
              </c:numCache>
            </c:numRef>
          </c:xVal>
          <c:yVal>
            <c:numRef>
              <c:f>'.45 Data'!$I$40:$I$41</c:f>
              <c:numCache>
                <c:formatCode>General</c:formatCode>
                <c:ptCount val="2"/>
                <c:pt idx="0">
                  <c:v>0</c:v>
                </c:pt>
                <c:pt idx="1">
                  <c:v>100</c:v>
                </c:pt>
              </c:numCache>
            </c:numRef>
          </c:yVal>
          <c:smooth val="1"/>
          <c:extLst>
            <c:ext xmlns:c16="http://schemas.microsoft.com/office/drawing/2014/chart" uri="{C3380CC4-5D6E-409C-BE32-E72D297353CC}">
              <c16:uniqueId val="{0000000B-FE90-4D19-BF9C-C8FE9B5BE21F}"/>
            </c:ext>
          </c:extLst>
        </c:ser>
        <c:ser>
          <c:idx val="10"/>
          <c:order val="10"/>
          <c:spPr>
            <a:ln w="12700">
              <a:solidFill>
                <a:srgbClr val="000000"/>
              </a:solidFill>
              <a:prstDash val="solid"/>
            </a:ln>
          </c:spPr>
          <c:marker>
            <c:symbol val="none"/>
          </c:marker>
          <c:xVal>
            <c:numRef>
              <c:f>'.45 Data'!$H$44:$H$45</c:f>
              <c:numCache>
                <c:formatCode>General</c:formatCode>
                <c:ptCount val="2"/>
                <c:pt idx="0">
                  <c:v>#N/A</c:v>
                </c:pt>
                <c:pt idx="1">
                  <c:v>#N/A</c:v>
                </c:pt>
              </c:numCache>
            </c:numRef>
          </c:xVal>
          <c:yVal>
            <c:numRef>
              <c:f>'.45 Data'!$I$40:$I$41</c:f>
              <c:numCache>
                <c:formatCode>General</c:formatCode>
                <c:ptCount val="2"/>
                <c:pt idx="0">
                  <c:v>0</c:v>
                </c:pt>
                <c:pt idx="1">
                  <c:v>100</c:v>
                </c:pt>
              </c:numCache>
            </c:numRef>
          </c:yVal>
          <c:smooth val="1"/>
          <c:extLst>
            <c:ext xmlns:c16="http://schemas.microsoft.com/office/drawing/2014/chart" uri="{C3380CC4-5D6E-409C-BE32-E72D297353CC}">
              <c16:uniqueId val="{0000000C-FE90-4D19-BF9C-C8FE9B5BE21F}"/>
            </c:ext>
          </c:extLst>
        </c:ser>
        <c:ser>
          <c:idx val="11"/>
          <c:order val="11"/>
          <c:spPr>
            <a:ln w="12700">
              <a:solidFill>
                <a:srgbClr val="000000"/>
              </a:solidFill>
              <a:prstDash val="solid"/>
            </a:ln>
          </c:spPr>
          <c:marker>
            <c:symbol val="none"/>
          </c:marker>
          <c:xVal>
            <c:numRef>
              <c:f>'.45 Data'!$H$46:$H$47</c:f>
              <c:numCache>
                <c:formatCode>General</c:formatCode>
                <c:ptCount val="2"/>
                <c:pt idx="0">
                  <c:v>#N/A</c:v>
                </c:pt>
                <c:pt idx="1">
                  <c:v>#N/A</c:v>
                </c:pt>
              </c:numCache>
            </c:numRef>
          </c:xVal>
          <c:yVal>
            <c:numRef>
              <c:f>'.45 Data'!$I$40:$I$41</c:f>
              <c:numCache>
                <c:formatCode>General</c:formatCode>
                <c:ptCount val="2"/>
                <c:pt idx="0">
                  <c:v>0</c:v>
                </c:pt>
                <c:pt idx="1">
                  <c:v>100</c:v>
                </c:pt>
              </c:numCache>
            </c:numRef>
          </c:yVal>
          <c:smooth val="1"/>
          <c:extLst>
            <c:ext xmlns:c16="http://schemas.microsoft.com/office/drawing/2014/chart" uri="{C3380CC4-5D6E-409C-BE32-E72D297353CC}">
              <c16:uniqueId val="{0000000D-FE90-4D19-BF9C-C8FE9B5BE21F}"/>
            </c:ext>
          </c:extLst>
        </c:ser>
        <c:ser>
          <c:idx val="12"/>
          <c:order val="12"/>
          <c:spPr>
            <a:ln w="12700">
              <a:solidFill>
                <a:srgbClr val="000000"/>
              </a:solidFill>
              <a:prstDash val="solid"/>
            </a:ln>
          </c:spPr>
          <c:marker>
            <c:symbol val="none"/>
          </c:marker>
          <c:xVal>
            <c:numRef>
              <c:f>'.45 Data'!$H$48:$H$49</c:f>
              <c:numCache>
                <c:formatCode>General</c:formatCode>
                <c:ptCount val="2"/>
                <c:pt idx="0">
                  <c:v>#N/A</c:v>
                </c:pt>
                <c:pt idx="1">
                  <c:v>#N/A</c:v>
                </c:pt>
              </c:numCache>
            </c:numRef>
          </c:xVal>
          <c:yVal>
            <c:numRef>
              <c:f>'.45 Data'!$I$40:$I$41</c:f>
              <c:numCache>
                <c:formatCode>General</c:formatCode>
                <c:ptCount val="2"/>
                <c:pt idx="0">
                  <c:v>0</c:v>
                </c:pt>
                <c:pt idx="1">
                  <c:v>100</c:v>
                </c:pt>
              </c:numCache>
            </c:numRef>
          </c:yVal>
          <c:smooth val="1"/>
          <c:extLst>
            <c:ext xmlns:c16="http://schemas.microsoft.com/office/drawing/2014/chart" uri="{C3380CC4-5D6E-409C-BE32-E72D297353CC}">
              <c16:uniqueId val="{0000000E-FE90-4D19-BF9C-C8FE9B5BE21F}"/>
            </c:ext>
          </c:extLst>
        </c:ser>
        <c:ser>
          <c:idx val="14"/>
          <c:order val="13"/>
          <c:tx>
            <c:v>Sublot #1</c:v>
          </c:tx>
          <c:spPr>
            <a:ln w="25400">
              <a:solidFill>
                <a:srgbClr val="008000"/>
              </a:solidFill>
              <a:prstDash val="sysDash"/>
            </a:ln>
          </c:spPr>
          <c:marker>
            <c:symbol val="circle"/>
            <c:size val="5"/>
            <c:spPr>
              <a:solidFill>
                <a:srgbClr val="008000"/>
              </a:solidFill>
              <a:ln>
                <a:solidFill>
                  <a:srgbClr val="008000"/>
                </a:solidFill>
                <a:prstDash val="solid"/>
              </a:ln>
            </c:spPr>
          </c:marker>
          <c:xVal>
            <c:numRef>
              <c:f>'.45 Data'!$D$40:$D$53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0</c:v>
                </c:pt>
              </c:numCache>
            </c:numRef>
          </c:xVal>
          <c:yVal>
            <c:numRef>
              <c:f>'.45 Data'!$B$40:$B$53</c:f>
              <c:numCache>
                <c:formatCode>0.0</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formatCode="General">
                  <c:v>#N/A</c:v>
                </c:pt>
              </c:numCache>
            </c:numRef>
          </c:yVal>
          <c:smooth val="0"/>
          <c:extLst>
            <c:ext xmlns:c16="http://schemas.microsoft.com/office/drawing/2014/chart" uri="{C3380CC4-5D6E-409C-BE32-E72D297353CC}">
              <c16:uniqueId val="{0000000F-FE90-4D19-BF9C-C8FE9B5BE21F}"/>
            </c:ext>
          </c:extLst>
        </c:ser>
        <c:ser>
          <c:idx val="17"/>
          <c:order val="14"/>
          <c:tx>
            <c:v>Sublot #2</c:v>
          </c:tx>
          <c:spPr>
            <a:ln w="12700">
              <a:solidFill>
                <a:srgbClr val="000080"/>
              </a:solidFill>
              <a:prstDash val="sysDash"/>
            </a:ln>
          </c:spPr>
          <c:marker>
            <c:symbol val="circle"/>
            <c:size val="5"/>
            <c:spPr>
              <a:solidFill>
                <a:srgbClr val="000080"/>
              </a:solidFill>
              <a:ln>
                <a:solidFill>
                  <a:srgbClr val="000080"/>
                </a:solidFill>
                <a:prstDash val="solid"/>
              </a:ln>
            </c:spPr>
          </c:marker>
          <c:xVal>
            <c:numRef>
              <c:f>'.45 Data'!$D$58:$D$71</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0</c:v>
                </c:pt>
              </c:numCache>
            </c:numRef>
          </c:xVal>
          <c:yVal>
            <c:numRef>
              <c:f>'.45 Data'!$B$58:$B$71</c:f>
              <c:numCache>
                <c:formatCode>0.0</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formatCode="General">
                  <c:v>#N/A</c:v>
                </c:pt>
              </c:numCache>
            </c:numRef>
          </c:yVal>
          <c:smooth val="0"/>
          <c:extLst>
            <c:ext xmlns:c16="http://schemas.microsoft.com/office/drawing/2014/chart" uri="{C3380CC4-5D6E-409C-BE32-E72D297353CC}">
              <c16:uniqueId val="{00000010-FE90-4D19-BF9C-C8FE9B5BE21F}"/>
            </c:ext>
          </c:extLst>
        </c:ser>
        <c:ser>
          <c:idx val="18"/>
          <c:order val="15"/>
          <c:tx>
            <c:v>Sublot #3</c:v>
          </c:tx>
          <c:spPr>
            <a:ln w="3175">
              <a:solidFill>
                <a:srgbClr val="FF0000"/>
              </a:solidFill>
              <a:prstDash val="sysDash"/>
            </a:ln>
          </c:spPr>
          <c:marker>
            <c:symbol val="diamond"/>
            <c:size val="5"/>
            <c:spPr>
              <a:solidFill>
                <a:srgbClr val="FF0000"/>
              </a:solidFill>
              <a:ln>
                <a:solidFill>
                  <a:srgbClr val="FF0000"/>
                </a:solidFill>
                <a:prstDash val="solid"/>
              </a:ln>
            </c:spPr>
          </c:marker>
          <c:xVal>
            <c:numRef>
              <c:f>'.45 Data'!$D$76:$D$89</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0</c:v>
                </c:pt>
              </c:numCache>
            </c:numRef>
          </c:xVal>
          <c:yVal>
            <c:numRef>
              <c:f>'.45 Data'!$B$76:$B$89</c:f>
              <c:numCache>
                <c:formatCode>0.0</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formatCode="General">
                  <c:v>#N/A</c:v>
                </c:pt>
              </c:numCache>
            </c:numRef>
          </c:yVal>
          <c:smooth val="0"/>
          <c:extLst>
            <c:ext xmlns:c16="http://schemas.microsoft.com/office/drawing/2014/chart" uri="{C3380CC4-5D6E-409C-BE32-E72D297353CC}">
              <c16:uniqueId val="{00000011-FE90-4D19-BF9C-C8FE9B5BE21F}"/>
            </c:ext>
          </c:extLst>
        </c:ser>
        <c:ser>
          <c:idx val="19"/>
          <c:order val="16"/>
          <c:tx>
            <c:v>Sublot #4</c:v>
          </c:tx>
          <c:spPr>
            <a:ln w="12700">
              <a:solidFill>
                <a:srgbClr val="800080"/>
              </a:solidFill>
              <a:prstDash val="sysDash"/>
            </a:ln>
          </c:spPr>
          <c:marker>
            <c:symbol val="diamond"/>
            <c:size val="5"/>
            <c:spPr>
              <a:solidFill>
                <a:srgbClr val="800080"/>
              </a:solidFill>
              <a:ln>
                <a:solidFill>
                  <a:srgbClr val="800080"/>
                </a:solidFill>
                <a:prstDash val="solid"/>
              </a:ln>
            </c:spPr>
          </c:marker>
          <c:xVal>
            <c:numRef>
              <c:f>'.45 Data'!$D$94:$D$107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0</c:v>
                </c:pt>
              </c:numCache>
            </c:numRef>
          </c:xVal>
          <c:yVal>
            <c:numRef>
              <c:f>'.45 Data'!$B$94:$B$107</c:f>
              <c:numCache>
                <c:formatCode>0.0</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formatCode="General">
                  <c:v>#N/A</c:v>
                </c:pt>
              </c:numCache>
            </c:numRef>
          </c:yVal>
          <c:smooth val="0"/>
          <c:extLst>
            <c:ext xmlns:c16="http://schemas.microsoft.com/office/drawing/2014/chart" uri="{C3380CC4-5D6E-409C-BE32-E72D297353CC}">
              <c16:uniqueId val="{00000012-FE90-4D19-BF9C-C8FE9B5BE21F}"/>
            </c:ext>
          </c:extLst>
        </c:ser>
        <c:ser>
          <c:idx val="13"/>
          <c:order val="17"/>
          <c:tx>
            <c:v>Control Points</c:v>
          </c:tx>
          <c:spPr>
            <a:ln w="28575">
              <a:noFill/>
            </a:ln>
          </c:spPr>
          <c:marker>
            <c:symbol val="square"/>
            <c:size val="5"/>
            <c:spPr>
              <a:solidFill>
                <a:srgbClr val="FF0000"/>
              </a:solidFill>
              <a:ln>
                <a:solidFill>
                  <a:srgbClr val="FF0000"/>
                </a:solidFill>
                <a:prstDash val="solid"/>
              </a:ln>
            </c:spPr>
          </c:marker>
          <c:xVal>
            <c:numRef>
              <c:f>'.45 Data'!$F$41:$F$49</c:f>
              <c:numCache>
                <c:formatCode>General</c:formatCode>
                <c:ptCount val="9"/>
                <c:pt idx="0">
                  <c:v>#N/A</c:v>
                </c:pt>
                <c:pt idx="1">
                  <c:v>#N/A</c:v>
                </c:pt>
                <c:pt idx="2">
                  <c:v>#N/A</c:v>
                </c:pt>
                <c:pt idx="3">
                  <c:v>#N/A</c:v>
                </c:pt>
                <c:pt idx="4">
                  <c:v>#N/A</c:v>
                </c:pt>
                <c:pt idx="5">
                  <c:v>#N/A</c:v>
                </c:pt>
                <c:pt idx="6">
                  <c:v>#N/A</c:v>
                </c:pt>
                <c:pt idx="7">
                  <c:v>#N/A</c:v>
                </c:pt>
                <c:pt idx="8">
                  <c:v>#N/A</c:v>
                </c:pt>
              </c:numCache>
            </c:numRef>
          </c:xVal>
          <c:yVal>
            <c:numRef>
              <c:f>'.45 Data'!$G$41:$G$49</c:f>
              <c:numCache>
                <c:formatCode>General</c:formatCode>
                <c:ptCount val="9"/>
                <c:pt idx="0">
                  <c:v>#N/A</c:v>
                </c:pt>
                <c:pt idx="1">
                  <c:v>#N/A</c:v>
                </c:pt>
                <c:pt idx="2">
                  <c:v>#N/A</c:v>
                </c:pt>
                <c:pt idx="3">
                  <c:v>#N/A</c:v>
                </c:pt>
                <c:pt idx="4">
                  <c:v>#N/A</c:v>
                </c:pt>
                <c:pt idx="5">
                  <c:v>#N/A</c:v>
                </c:pt>
                <c:pt idx="6">
                  <c:v>#N/A</c:v>
                </c:pt>
                <c:pt idx="7">
                  <c:v>#N/A</c:v>
                </c:pt>
                <c:pt idx="8">
                  <c:v>#N/A</c:v>
                </c:pt>
              </c:numCache>
            </c:numRef>
          </c:yVal>
          <c:smooth val="0"/>
          <c:extLst>
            <c:ext xmlns:c16="http://schemas.microsoft.com/office/drawing/2014/chart" uri="{C3380CC4-5D6E-409C-BE32-E72D297353CC}">
              <c16:uniqueId val="{00000013-FE90-4D19-BF9C-C8FE9B5BE21F}"/>
            </c:ext>
          </c:extLst>
        </c:ser>
        <c:ser>
          <c:idx val="15"/>
          <c:order val="18"/>
          <c:tx>
            <c:v>Series14</c:v>
          </c:tx>
          <c:spPr>
            <a:ln w="28575">
              <a:noFill/>
            </a:ln>
          </c:spPr>
          <c:marker>
            <c:symbol val="plus"/>
            <c:size val="5"/>
            <c:spPr>
              <a:noFill/>
              <a:ln>
                <a:solidFill>
                  <a:srgbClr val="FFCC99"/>
                </a:solidFill>
                <a:prstDash val="solid"/>
              </a:ln>
            </c:spPr>
          </c:marker>
          <c:xVal>
            <c:numRef>
              <c:f>'.45 Data'!$H$52:$H$53</c:f>
              <c:numCache>
                <c:formatCode>General</c:formatCode>
                <c:ptCount val="2"/>
                <c:pt idx="0">
                  <c:v>#N/A</c:v>
                </c:pt>
                <c:pt idx="1">
                  <c:v>#N/A</c:v>
                </c:pt>
              </c:numCache>
            </c:numRef>
          </c:xVal>
          <c:yVal>
            <c:numRef>
              <c:f>'.45 Data'!$I$40:$I$41</c:f>
              <c:numCache>
                <c:formatCode>General</c:formatCode>
                <c:ptCount val="2"/>
                <c:pt idx="0">
                  <c:v>0</c:v>
                </c:pt>
                <c:pt idx="1">
                  <c:v>100</c:v>
                </c:pt>
              </c:numCache>
            </c:numRef>
          </c:yVal>
          <c:smooth val="0"/>
          <c:extLst>
            <c:ext xmlns:c16="http://schemas.microsoft.com/office/drawing/2014/chart" uri="{C3380CC4-5D6E-409C-BE32-E72D297353CC}">
              <c16:uniqueId val="{00000014-FE90-4D19-BF9C-C8FE9B5BE21F}"/>
            </c:ext>
          </c:extLst>
        </c:ser>
        <c:dLbls>
          <c:showLegendKey val="0"/>
          <c:showVal val="0"/>
          <c:showCatName val="0"/>
          <c:showSerName val="0"/>
          <c:showPercent val="0"/>
          <c:showBubbleSize val="0"/>
        </c:dLbls>
        <c:axId val="537625256"/>
        <c:axId val="1"/>
      </c:scatterChart>
      <c:valAx>
        <c:axId val="537625256"/>
        <c:scaling>
          <c:orientation val="minMax"/>
          <c:max val="5.8148229999999996"/>
          <c:min val="0"/>
        </c:scaling>
        <c:delete val="1"/>
        <c:axPos val="b"/>
        <c:title>
          <c:tx>
            <c:rich>
              <a:bodyPr/>
              <a:lstStyle/>
              <a:p>
                <a:pPr>
                  <a:defRPr sz="1000" b="1" i="0" u="none" strike="noStrike" baseline="0">
                    <a:solidFill>
                      <a:srgbClr val="000000"/>
                    </a:solidFill>
                    <a:latin typeface="MS Sans Serif"/>
                    <a:ea typeface="MS Sans Serif"/>
                    <a:cs typeface="MS Sans Serif"/>
                  </a:defRPr>
                </a:pPr>
                <a:r>
                  <a:rPr lang="en-US"/>
                  <a:t>Sieve Size (in.)</a:t>
                </a:r>
              </a:p>
            </c:rich>
          </c:tx>
          <c:layout>
            <c:manualLayout>
              <c:xMode val="edge"/>
              <c:yMode val="edge"/>
              <c:x val="0.35750251762336355"/>
              <c:y val="0.9696169088507266"/>
            </c:manualLayout>
          </c:layout>
          <c:overlay val="0"/>
          <c:spPr>
            <a:noFill/>
            <a:ln w="25400">
              <a:noFill/>
            </a:ln>
          </c:spPr>
        </c:title>
        <c:numFmt formatCode="General" sourceLinked="1"/>
        <c:majorTickMark val="out"/>
        <c:minorTickMark val="none"/>
        <c:tickLblPos val="nextTo"/>
        <c:crossAx val="1"/>
        <c:crosses val="autoZero"/>
        <c:crossBetween val="midCat"/>
        <c:majorUnit val="0.81482299999999996"/>
      </c:valAx>
      <c:valAx>
        <c:axId val="1"/>
        <c:scaling>
          <c:orientation val="minMax"/>
          <c:max val="100"/>
          <c:min val="0"/>
        </c:scaling>
        <c:delete val="0"/>
        <c:axPos val="l"/>
        <c:minorGridlines>
          <c:spPr>
            <a:ln w="3175">
              <a:solidFill>
                <a:srgbClr val="000000"/>
              </a:solidFill>
              <a:prstDash val="solid"/>
            </a:ln>
          </c:spPr>
        </c:minorGridlines>
        <c:title>
          <c:tx>
            <c:rich>
              <a:bodyPr/>
              <a:lstStyle/>
              <a:p>
                <a:pPr>
                  <a:defRPr sz="1000" b="1" i="0" u="none" strike="noStrike" baseline="0">
                    <a:solidFill>
                      <a:srgbClr val="000000"/>
                    </a:solidFill>
                    <a:latin typeface="MS Sans Serif"/>
                    <a:ea typeface="MS Sans Serif"/>
                    <a:cs typeface="MS Sans Serif"/>
                  </a:defRPr>
                </a:pPr>
                <a:r>
                  <a:rPr lang="en-US"/>
                  <a:t>Percent Passing</a:t>
                </a:r>
              </a:p>
            </c:rich>
          </c:tx>
          <c:layout>
            <c:manualLayout>
              <c:xMode val="edge"/>
              <c:yMode val="edge"/>
              <c:x val="1.812688821752266E-2"/>
              <c:y val="0.46499339498018494"/>
            </c:manualLayout>
          </c:layout>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n-US"/>
          </a:p>
        </c:txPr>
        <c:crossAx val="537625256"/>
        <c:crosses val="autoZero"/>
        <c:crossBetween val="midCat"/>
        <c:majorUnit val="10"/>
        <c:minorUnit val="2"/>
      </c:valAx>
      <c:spPr>
        <a:noFill/>
        <a:ln w="25400">
          <a:noFill/>
        </a:ln>
      </c:spPr>
    </c:plotArea>
    <c:legend>
      <c:legendPos val="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7"/>
        <c:txPr>
          <a:bodyPr/>
          <a:lstStyle/>
          <a:p>
            <a:pPr>
              <a:defRPr sz="710" b="0" i="0" u="none" strike="noStrike" baseline="0">
                <a:solidFill>
                  <a:srgbClr val="000000"/>
                </a:solidFill>
                <a:latin typeface="Arial"/>
                <a:ea typeface="Arial"/>
                <a:cs typeface="Arial"/>
              </a:defRPr>
            </a:pPr>
            <a:endParaRPr lang="en-US"/>
          </a:p>
        </c:txPr>
      </c:legendEntry>
      <c:layout>
        <c:manualLayout>
          <c:xMode val="edge"/>
          <c:yMode val="edge"/>
          <c:x val="0.80261832829808666"/>
          <c:y val="0.37120211360634081"/>
          <c:w val="0.19234642497482379"/>
          <c:h val="0.2826948480845442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PG Binder Test Results</a:t>
            </a:r>
          </a:p>
        </c:rich>
      </c:tx>
      <c:layout>
        <c:manualLayout>
          <c:xMode val="edge"/>
          <c:yMode val="edge"/>
          <c:x val="0.24651825207085881"/>
          <c:y val="4.7619047619047616E-2"/>
        </c:manualLayout>
      </c:layout>
      <c:overlay val="0"/>
      <c:spPr>
        <a:noFill/>
        <a:ln w="25400">
          <a:noFill/>
        </a:ln>
      </c:spPr>
    </c:title>
    <c:autoTitleDeleted val="0"/>
    <c:plotArea>
      <c:layout>
        <c:manualLayout>
          <c:layoutTarget val="inner"/>
          <c:xMode val="edge"/>
          <c:yMode val="edge"/>
          <c:x val="9.749310251260998E-2"/>
          <c:y val="0.13756649296899018"/>
          <c:w val="0.58078033925369088"/>
          <c:h val="0.65079533212253049"/>
        </c:manualLayout>
      </c:layout>
      <c:lineChart>
        <c:grouping val="standard"/>
        <c:varyColors val="0"/>
        <c:ser>
          <c:idx val="0"/>
          <c:order val="0"/>
          <c:spPr>
            <a:ln w="38100">
              <a:solidFill>
                <a:srgbClr val="FF0000"/>
              </a:solidFill>
              <a:prstDash val="lgDash"/>
            </a:ln>
          </c:spPr>
          <c:marker>
            <c:symbol val="dash"/>
            <c:size val="7"/>
            <c:spPr>
              <a:solidFill>
                <a:srgbClr val="FF0000"/>
              </a:solidFill>
              <a:ln>
                <a:solidFill>
                  <a:srgbClr val="FF0000"/>
                </a:solidFill>
                <a:prstDash val="solid"/>
              </a:ln>
            </c:spPr>
          </c:marker>
          <c:val>
            <c:numRef>
              <c:f>Calculations!$B$168:$B$171</c:f>
              <c:numCache>
                <c:formatCode>General</c:formatCode>
                <c:ptCount val="4"/>
                <c:pt idx="0">
                  <c:v>-0.5</c:v>
                </c:pt>
                <c:pt idx="1">
                  <c:v>-0.5</c:v>
                </c:pt>
                <c:pt idx="2">
                  <c:v>-0.5</c:v>
                </c:pt>
                <c:pt idx="3">
                  <c:v>-0.5</c:v>
                </c:pt>
              </c:numCache>
            </c:numRef>
          </c:val>
          <c:smooth val="0"/>
          <c:extLst>
            <c:ext xmlns:c16="http://schemas.microsoft.com/office/drawing/2014/chart" uri="{C3380CC4-5D6E-409C-BE32-E72D297353CC}">
              <c16:uniqueId val="{00000000-06EF-4EAE-9E33-5688F55972A6}"/>
            </c:ext>
          </c:extLst>
        </c:ser>
        <c:ser>
          <c:idx val="1"/>
          <c:order val="1"/>
          <c:tx>
            <c:v>100% Pay Range</c:v>
          </c:tx>
          <c:spPr>
            <a:ln w="38100">
              <a:solidFill>
                <a:srgbClr val="FF0000"/>
              </a:solidFill>
              <a:prstDash val="lgDash"/>
            </a:ln>
          </c:spPr>
          <c:marker>
            <c:symbol val="dash"/>
            <c:size val="7"/>
            <c:spPr>
              <a:solidFill>
                <a:srgbClr val="FF0000"/>
              </a:solidFill>
              <a:ln>
                <a:solidFill>
                  <a:srgbClr val="FF0000"/>
                </a:solidFill>
                <a:prstDash val="solid"/>
              </a:ln>
            </c:spPr>
          </c:marker>
          <c:val>
            <c:numRef>
              <c:f>Calculations!$C$168:$C$171</c:f>
              <c:numCache>
                <c:formatCode>General</c:formatCode>
                <c:ptCount val="4"/>
                <c:pt idx="0">
                  <c:v>0.5</c:v>
                </c:pt>
                <c:pt idx="1">
                  <c:v>0.5</c:v>
                </c:pt>
                <c:pt idx="2">
                  <c:v>0.5</c:v>
                </c:pt>
                <c:pt idx="3">
                  <c:v>0.5</c:v>
                </c:pt>
              </c:numCache>
            </c:numRef>
          </c:val>
          <c:smooth val="0"/>
          <c:extLst>
            <c:ext xmlns:c16="http://schemas.microsoft.com/office/drawing/2014/chart" uri="{C3380CC4-5D6E-409C-BE32-E72D297353CC}">
              <c16:uniqueId val="{00000001-06EF-4EAE-9E33-5688F55972A6}"/>
            </c:ext>
          </c:extLst>
        </c:ser>
        <c:ser>
          <c:idx val="2"/>
          <c:order val="2"/>
          <c:tx>
            <c:v>Target Binder Content</c:v>
          </c:tx>
          <c:spPr>
            <a:ln w="38100">
              <a:solidFill>
                <a:srgbClr val="00FF00"/>
              </a:solidFill>
              <a:prstDash val="solid"/>
            </a:ln>
          </c:spPr>
          <c:marker>
            <c:symbol val="none"/>
          </c:marker>
          <c:val>
            <c:numRef>
              <c:f>'Pay Values'!$A$13:$A$16</c:f>
              <c:numCache>
                <c:formatCode>0.0</c:formatCode>
                <c:ptCount val="4"/>
              </c:numCache>
            </c:numRef>
          </c:val>
          <c:smooth val="1"/>
          <c:extLst>
            <c:ext xmlns:c16="http://schemas.microsoft.com/office/drawing/2014/chart" uri="{C3380CC4-5D6E-409C-BE32-E72D297353CC}">
              <c16:uniqueId val="{00000002-06EF-4EAE-9E33-5688F55972A6}"/>
            </c:ext>
          </c:extLst>
        </c:ser>
        <c:ser>
          <c:idx val="3"/>
          <c:order val="3"/>
          <c:tx>
            <c:v>Test Results</c:v>
          </c:tx>
          <c:spPr>
            <a:ln w="38100">
              <a:solidFill>
                <a:srgbClr val="0000FF"/>
              </a:solidFill>
              <a:prstDash val="solid"/>
            </a:ln>
          </c:spPr>
          <c:marker>
            <c:symbol val="none"/>
          </c:marker>
          <c:val>
            <c:numRef>
              <c:f>'Pay Values'!$B$13:$B$16</c:f>
              <c:numCache>
                <c:formatCode>0.0</c:formatCode>
                <c:ptCount val="4"/>
                <c:pt idx="0">
                  <c:v>0</c:v>
                </c:pt>
                <c:pt idx="1">
                  <c:v>0</c:v>
                </c:pt>
                <c:pt idx="2">
                  <c:v>0</c:v>
                </c:pt>
                <c:pt idx="3">
                  <c:v>0</c:v>
                </c:pt>
              </c:numCache>
            </c:numRef>
          </c:val>
          <c:smooth val="0"/>
          <c:extLst>
            <c:ext xmlns:c16="http://schemas.microsoft.com/office/drawing/2014/chart" uri="{C3380CC4-5D6E-409C-BE32-E72D297353CC}">
              <c16:uniqueId val="{00000003-06EF-4EAE-9E33-5688F55972A6}"/>
            </c:ext>
          </c:extLst>
        </c:ser>
        <c:dLbls>
          <c:showLegendKey val="0"/>
          <c:showVal val="0"/>
          <c:showCatName val="0"/>
          <c:showSerName val="0"/>
          <c:showPercent val="0"/>
          <c:showBubbleSize val="0"/>
        </c:dLbls>
        <c:marker val="1"/>
        <c:smooth val="0"/>
        <c:axId val="538961984"/>
        <c:axId val="1"/>
      </c:lineChart>
      <c:catAx>
        <c:axId val="538961984"/>
        <c:scaling>
          <c:orientation val="minMax"/>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Sublot #</a:t>
                </a:r>
              </a:p>
            </c:rich>
          </c:tx>
          <c:layout>
            <c:manualLayout>
              <c:xMode val="edge"/>
              <c:yMode val="edge"/>
              <c:x val="0.33983316152333326"/>
              <c:y val="0.85979058173283895"/>
            </c:manualLayout>
          </c:layout>
          <c:overlay val="0"/>
          <c:spPr>
            <a:noFill/>
            <a:ln w="25400">
              <a:noFill/>
            </a:ln>
          </c:spPr>
        </c:title>
        <c:numFmt formatCode="General" sourceLinked="1"/>
        <c:majorTickMark val="none"/>
        <c:minorTickMark val="none"/>
        <c:tickLblPos val="nextTo"/>
        <c:spPr>
          <a:ln w="9525">
            <a:noFill/>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8"/>
          <c:min val="1"/>
        </c:scaling>
        <c:delete val="0"/>
        <c:axPos val="l"/>
        <c:majorGridlines>
          <c:spPr>
            <a:ln w="3175">
              <a:solidFill>
                <a:srgbClr val="000000"/>
              </a:solidFill>
              <a:prstDash val="solid"/>
            </a:ln>
          </c:spPr>
        </c:majorGridlines>
        <c:minorGridlines>
          <c:spPr>
            <a:ln w="3175">
              <a:solidFill>
                <a:srgbClr val="000000"/>
              </a:solidFill>
              <a:prstDash val="lgDashDot"/>
            </a:ln>
          </c:spPr>
        </c:minorGridlines>
        <c:title>
          <c:tx>
            <c:rich>
              <a:bodyPr/>
              <a:lstStyle/>
              <a:p>
                <a:pPr>
                  <a:defRPr sz="1200" b="1" i="0" u="none" strike="noStrike" baseline="0">
                    <a:solidFill>
                      <a:srgbClr val="000000"/>
                    </a:solidFill>
                    <a:latin typeface="Arial"/>
                    <a:ea typeface="Arial"/>
                    <a:cs typeface="Arial"/>
                  </a:defRPr>
                </a:pPr>
                <a:r>
                  <a:rPr lang="en-US"/>
                  <a:t>% PG Binder</a:t>
                </a:r>
              </a:p>
            </c:rich>
          </c:tx>
          <c:layout>
            <c:manualLayout>
              <c:xMode val="edge"/>
              <c:yMode val="edge"/>
              <c:x val="3.4818941504178275E-2"/>
              <c:y val="0.325397658626005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38961984"/>
        <c:crosses val="autoZero"/>
        <c:crossBetween val="midCat"/>
        <c:minorUnit val="0.5"/>
      </c:valAx>
      <c:spPr>
        <a:solidFill>
          <a:srgbClr val="FFFFCC"/>
        </a:solidFill>
        <a:ln w="12700">
          <a:solidFill>
            <a:srgbClr val="808080"/>
          </a:solidFill>
          <a:prstDash val="solid"/>
        </a:ln>
      </c:spPr>
    </c:plotArea>
    <c:legend>
      <c:legendPos val="r"/>
      <c:legendEntry>
        <c:idx val="0"/>
        <c:delete val="1"/>
      </c:legendEntry>
      <c:layout>
        <c:manualLayout>
          <c:xMode val="edge"/>
          <c:yMode val="edge"/>
          <c:x val="0.69916478406772975"/>
          <c:y val="0.17724923273479704"/>
          <c:w val="0.28969373953603994"/>
          <c:h val="0.58730297601688686"/>
        </c:manualLayout>
      </c:layout>
      <c:overlay val="0"/>
      <c:spPr>
        <a:solidFill>
          <a:srgbClr val="FFFFFF"/>
        </a:solidFill>
        <a:ln w="3175">
          <a:solidFill>
            <a:srgbClr val="000000"/>
          </a:solidFill>
          <a:prstDash val="solid"/>
        </a:ln>
      </c:spPr>
      <c:txPr>
        <a:bodyPr/>
        <a:lstStyle/>
        <a:p>
          <a:pPr>
            <a:defRPr sz="85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CFFFF"/>
    </a:solidFill>
    <a:ln w="3175">
      <a:solidFill>
        <a:srgbClr val="000000"/>
      </a:solidFill>
      <a:prstDash val="solid"/>
    </a:ln>
  </c:spPr>
  <c:txPr>
    <a:bodyPr/>
    <a:lstStyle/>
    <a:p>
      <a:pPr>
        <a:defRPr sz="1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 Air Voids</a:t>
            </a:r>
          </a:p>
        </c:rich>
      </c:tx>
      <c:layout>
        <c:manualLayout>
          <c:xMode val="edge"/>
          <c:yMode val="edge"/>
          <c:x val="0.43532684283727396"/>
          <c:y val="3.5031847133757961E-2"/>
        </c:manualLayout>
      </c:layout>
      <c:overlay val="0"/>
      <c:spPr>
        <a:noFill/>
        <a:ln w="25400">
          <a:noFill/>
        </a:ln>
      </c:spPr>
    </c:title>
    <c:autoTitleDeleted val="0"/>
    <c:plotArea>
      <c:layout>
        <c:manualLayout>
          <c:layoutTarget val="inner"/>
          <c:xMode val="edge"/>
          <c:yMode val="edge"/>
          <c:x val="9.7357440890125171E-2"/>
          <c:y val="0.21019108280254778"/>
          <c:w val="0.67315716272600834"/>
          <c:h val="0.56369426751592355"/>
        </c:manualLayout>
      </c:layout>
      <c:lineChart>
        <c:grouping val="standard"/>
        <c:varyColors val="0"/>
        <c:ser>
          <c:idx val="0"/>
          <c:order val="0"/>
          <c:tx>
            <c:v>Test Results</c:v>
          </c:tx>
          <c:spPr>
            <a:ln w="38100">
              <a:solidFill>
                <a:srgbClr val="0000FF"/>
              </a:solidFill>
              <a:prstDash val="solid"/>
            </a:ln>
          </c:spPr>
          <c:marker>
            <c:symbol val="none"/>
          </c:marker>
          <c:val>
            <c:numRef>
              <c:f>'Pay Values'!$F$13:$F$16</c:f>
              <c:numCache>
                <c:formatCode>0.0</c:formatCode>
                <c:ptCount val="4"/>
                <c:pt idx="0">
                  <c:v>0</c:v>
                </c:pt>
                <c:pt idx="1">
                  <c:v>0</c:v>
                </c:pt>
                <c:pt idx="2">
                  <c:v>0</c:v>
                </c:pt>
                <c:pt idx="3">
                  <c:v>0</c:v>
                </c:pt>
              </c:numCache>
            </c:numRef>
          </c:val>
          <c:smooth val="0"/>
          <c:extLst>
            <c:ext xmlns:c16="http://schemas.microsoft.com/office/drawing/2014/chart" uri="{C3380CC4-5D6E-409C-BE32-E72D297353CC}">
              <c16:uniqueId val="{00000000-718B-4FBC-9AEA-2BCC48BC1E65}"/>
            </c:ext>
          </c:extLst>
        </c:ser>
        <c:ser>
          <c:idx val="1"/>
          <c:order val="1"/>
          <c:tx>
            <c:v>Target Va</c:v>
          </c:tx>
          <c:spPr>
            <a:ln w="38100">
              <a:solidFill>
                <a:srgbClr val="FF0000"/>
              </a:solidFill>
              <a:prstDash val="solid"/>
            </a:ln>
          </c:spPr>
          <c:marker>
            <c:symbol val="none"/>
          </c:marker>
          <c:val>
            <c:numRef>
              <c:f>Calculations!$B$174:$B$177</c:f>
              <c:numCache>
                <c:formatCode>General</c:formatCode>
                <c:ptCount val="4"/>
                <c:pt idx="0">
                  <c:v>4</c:v>
                </c:pt>
                <c:pt idx="1">
                  <c:v>4</c:v>
                </c:pt>
                <c:pt idx="2">
                  <c:v>4</c:v>
                </c:pt>
                <c:pt idx="3">
                  <c:v>4</c:v>
                </c:pt>
              </c:numCache>
            </c:numRef>
          </c:val>
          <c:smooth val="0"/>
          <c:extLst>
            <c:ext xmlns:c16="http://schemas.microsoft.com/office/drawing/2014/chart" uri="{C3380CC4-5D6E-409C-BE32-E72D297353CC}">
              <c16:uniqueId val="{00000001-718B-4FBC-9AEA-2BCC48BC1E65}"/>
            </c:ext>
          </c:extLst>
        </c:ser>
        <c:dLbls>
          <c:showLegendKey val="0"/>
          <c:showVal val="0"/>
          <c:showCatName val="0"/>
          <c:showSerName val="0"/>
          <c:showPercent val="0"/>
          <c:showBubbleSize val="0"/>
        </c:dLbls>
        <c:smooth val="0"/>
        <c:axId val="538961000"/>
        <c:axId val="1"/>
      </c:lineChart>
      <c:catAx>
        <c:axId val="538961000"/>
        <c:scaling>
          <c:orientation val="minMax"/>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Sublot #</a:t>
                </a:r>
              </a:p>
            </c:rich>
          </c:tx>
          <c:layout>
            <c:manualLayout>
              <c:xMode val="edge"/>
              <c:yMode val="edge"/>
              <c:x val="0.38664812239221141"/>
              <c:y val="0.85987261146496818"/>
            </c:manualLayout>
          </c:layout>
          <c:overlay val="0"/>
          <c:spPr>
            <a:noFill/>
            <a:ln w="25400">
              <a:noFill/>
            </a:ln>
          </c:spPr>
        </c:title>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8"/>
        </c:scaling>
        <c:delete val="0"/>
        <c:axPos val="l"/>
        <c:majorGridlines>
          <c:spPr>
            <a:ln w="3175">
              <a:solidFill>
                <a:srgbClr val="000000"/>
              </a:solidFill>
              <a:prstDash val="solid"/>
            </a:ln>
          </c:spPr>
        </c:majorGridlines>
        <c:minorGridlines>
          <c:spPr>
            <a:ln w="12700">
              <a:solidFill>
                <a:srgbClr val="000000"/>
              </a:solidFill>
              <a:prstDash val="lgDashDot"/>
            </a:ln>
          </c:spPr>
        </c:minorGridlines>
        <c:title>
          <c:tx>
            <c:rich>
              <a:bodyPr/>
              <a:lstStyle/>
              <a:p>
                <a:pPr>
                  <a:defRPr sz="1200" b="1" i="0" u="none" strike="noStrike" baseline="0">
                    <a:solidFill>
                      <a:srgbClr val="000000"/>
                    </a:solidFill>
                    <a:latin typeface="Arial"/>
                    <a:ea typeface="Arial"/>
                    <a:cs typeface="Arial"/>
                  </a:defRPr>
                </a:pPr>
                <a:r>
                  <a:rPr lang="en-US"/>
                  <a:t>% Va</a:t>
                </a:r>
              </a:p>
            </c:rich>
          </c:tx>
          <c:layout>
            <c:manualLayout>
              <c:xMode val="edge"/>
              <c:yMode val="edge"/>
              <c:x val="2.2253129346314324E-2"/>
              <c:y val="0.41719745222929938"/>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38961000"/>
        <c:crosses val="autoZero"/>
        <c:crossBetween val="midCat"/>
        <c:minorUnit val="0.5"/>
      </c:valAx>
      <c:spPr>
        <a:solidFill>
          <a:srgbClr val="FFFFCC"/>
        </a:solidFill>
        <a:ln w="12700">
          <a:solidFill>
            <a:srgbClr val="808080"/>
          </a:solidFill>
          <a:prstDash val="solid"/>
        </a:ln>
      </c:spPr>
    </c:plotArea>
    <c:legend>
      <c:legendPos val="r"/>
      <c:layout>
        <c:manualLayout>
          <c:xMode val="edge"/>
          <c:yMode val="edge"/>
          <c:x val="0.79276773296244785"/>
          <c:y val="0.4140127388535032"/>
          <c:w val="0.19610570236439495"/>
          <c:h val="0.1560509554140127"/>
        </c:manualLayout>
      </c:layout>
      <c:overlay val="0"/>
      <c:spPr>
        <a:solidFill>
          <a:srgbClr val="FFFFFF"/>
        </a:solidFill>
        <a:ln w="3175">
          <a:solidFill>
            <a:srgbClr val="000000"/>
          </a:solidFill>
          <a:prstDash val="solid"/>
        </a:ln>
      </c:spPr>
      <c:txPr>
        <a:bodyPr/>
        <a:lstStyle/>
        <a:p>
          <a:pPr>
            <a:defRPr sz="85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CFFFF"/>
    </a:solidFill>
    <a:ln w="3175">
      <a:solidFill>
        <a:srgbClr val="000000"/>
      </a:solidFill>
      <a:prstDash val="solid"/>
    </a:ln>
  </c:spPr>
  <c:txPr>
    <a:bodyPr/>
    <a:lstStyle/>
    <a:p>
      <a:pPr>
        <a:defRPr sz="1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VMA</a:t>
            </a:r>
          </a:p>
        </c:rich>
      </c:tx>
      <c:layout>
        <c:manualLayout>
          <c:xMode val="edge"/>
          <c:yMode val="edge"/>
          <c:x val="0.47257443030591639"/>
          <c:y val="3.367875647668394E-2"/>
        </c:manualLayout>
      </c:layout>
      <c:overlay val="0"/>
      <c:spPr>
        <a:noFill/>
        <a:ln w="25400">
          <a:noFill/>
        </a:ln>
      </c:spPr>
    </c:title>
    <c:autoTitleDeleted val="0"/>
    <c:plotArea>
      <c:layout>
        <c:manualLayout>
          <c:layoutTarget val="inner"/>
          <c:xMode val="edge"/>
          <c:yMode val="edge"/>
          <c:x val="0.12798892403542"/>
          <c:y val="0.12435233160621761"/>
          <c:w val="0.57524692231304164"/>
          <c:h val="0.72279792746113991"/>
        </c:manualLayout>
      </c:layout>
      <c:lineChart>
        <c:grouping val="standard"/>
        <c:varyColors val="0"/>
        <c:ser>
          <c:idx val="0"/>
          <c:order val="0"/>
          <c:tx>
            <c:v>Test Results</c:v>
          </c:tx>
          <c:spPr>
            <a:ln w="25400">
              <a:solidFill>
                <a:srgbClr val="0000FF"/>
              </a:solidFill>
              <a:prstDash val="solid"/>
            </a:ln>
          </c:spPr>
          <c:marker>
            <c:symbol val="none"/>
          </c:marker>
          <c:val>
            <c:numRef>
              <c:f>'Pay Values'!$I$13:$I$16</c:f>
              <c:numCache>
                <c:formatCode>0.0</c:formatCode>
                <c:ptCount val="4"/>
                <c:pt idx="0">
                  <c:v>0</c:v>
                </c:pt>
                <c:pt idx="1">
                  <c:v>0</c:v>
                </c:pt>
                <c:pt idx="2">
                  <c:v>0</c:v>
                </c:pt>
                <c:pt idx="3">
                  <c:v>0</c:v>
                </c:pt>
              </c:numCache>
            </c:numRef>
          </c:val>
          <c:smooth val="0"/>
          <c:extLst>
            <c:ext xmlns:c16="http://schemas.microsoft.com/office/drawing/2014/chart" uri="{C3380CC4-5D6E-409C-BE32-E72D297353CC}">
              <c16:uniqueId val="{00000000-3687-493E-857B-BB555C5E8755}"/>
            </c:ext>
          </c:extLst>
        </c:ser>
        <c:ser>
          <c:idx val="1"/>
          <c:order val="1"/>
          <c:tx>
            <c:v>Target VMA</c:v>
          </c:tx>
          <c:spPr>
            <a:ln w="38100">
              <a:solidFill>
                <a:srgbClr val="FF0000"/>
              </a:solidFill>
              <a:prstDash val="solid"/>
            </a:ln>
          </c:spPr>
          <c:marker>
            <c:symbol val="none"/>
          </c:marker>
          <c:val>
            <c:numRef>
              <c:f>'Pay Values'!$H$13:$H$16</c:f>
              <c:numCache>
                <c:formatCode>0.0</c:formatCode>
                <c:ptCount val="4"/>
              </c:numCache>
            </c:numRef>
          </c:val>
          <c:smooth val="0"/>
          <c:extLst>
            <c:ext xmlns:c16="http://schemas.microsoft.com/office/drawing/2014/chart" uri="{C3380CC4-5D6E-409C-BE32-E72D297353CC}">
              <c16:uniqueId val="{00000001-3687-493E-857B-BB555C5E8755}"/>
            </c:ext>
          </c:extLst>
        </c:ser>
        <c:dLbls>
          <c:showLegendKey val="0"/>
          <c:showVal val="0"/>
          <c:showCatName val="0"/>
          <c:showSerName val="0"/>
          <c:showPercent val="0"/>
          <c:showBubbleSize val="0"/>
        </c:dLbls>
        <c:smooth val="0"/>
        <c:axId val="642238760"/>
        <c:axId val="1"/>
      </c:lineChart>
      <c:catAx>
        <c:axId val="642238760"/>
        <c:scaling>
          <c:orientation val="minMax"/>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Sublot #</a:t>
                </a:r>
              </a:p>
            </c:rich>
          </c:tx>
          <c:layout>
            <c:manualLayout>
              <c:xMode val="edge"/>
              <c:yMode val="edge"/>
              <c:x val="0.36708905057753854"/>
              <c:y val="0.91450777202072542"/>
            </c:manualLayout>
          </c:layout>
          <c:overlay val="0"/>
          <c:spPr>
            <a:noFill/>
            <a:ln w="25400">
              <a:noFill/>
            </a:ln>
          </c:spPr>
        </c:title>
        <c:numFmt formatCode="General"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At val="8"/>
        <c:auto val="1"/>
        <c:lblAlgn val="ctr"/>
        <c:lblOffset val="100"/>
        <c:tickLblSkip val="1"/>
        <c:tickMarkSkip val="1"/>
        <c:noMultiLvlLbl val="0"/>
      </c:catAx>
      <c:valAx>
        <c:axId val="1"/>
        <c:scaling>
          <c:orientation val="minMax"/>
          <c:max val="20"/>
          <c:min val="8"/>
        </c:scaling>
        <c:delete val="0"/>
        <c:axPos val="l"/>
        <c:majorGridlines>
          <c:spPr>
            <a:ln w="3175">
              <a:solidFill>
                <a:srgbClr val="000000"/>
              </a:solidFill>
              <a:prstDash val="solid"/>
            </a:ln>
          </c:spPr>
        </c:majorGridlines>
        <c:minorGridlines>
          <c:spPr>
            <a:ln w="12700">
              <a:solidFill>
                <a:srgbClr val="000000"/>
              </a:solidFill>
              <a:prstDash val="lgDashDot"/>
            </a:ln>
          </c:spPr>
        </c:minorGridlines>
        <c:title>
          <c:tx>
            <c:rich>
              <a:bodyPr/>
              <a:lstStyle/>
              <a:p>
                <a:pPr>
                  <a:defRPr sz="1200" b="1" i="0" u="none" strike="noStrike" baseline="0">
                    <a:solidFill>
                      <a:srgbClr val="000000"/>
                    </a:solidFill>
                    <a:latin typeface="Arial"/>
                    <a:ea typeface="Arial"/>
                    <a:cs typeface="Arial"/>
                  </a:defRPr>
                </a:pPr>
                <a:r>
                  <a:rPr lang="en-US"/>
                  <a:t>% VMA</a:t>
                </a:r>
              </a:p>
            </c:rich>
          </c:tx>
          <c:layout>
            <c:manualLayout>
              <c:xMode val="edge"/>
              <c:yMode val="edge"/>
              <c:x val="4.360056258790436E-2"/>
              <c:y val="0.40673575129533679"/>
            </c:manualLayout>
          </c:layout>
          <c:overlay val="0"/>
          <c:spPr>
            <a:noFill/>
            <a:ln w="25400">
              <a:noFill/>
            </a:ln>
          </c:spPr>
        </c:title>
        <c:numFmt formatCode="0.0" sourceLinked="1"/>
        <c:majorTickMark val="none"/>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42238760"/>
        <c:crosses val="autoZero"/>
        <c:crossBetween val="midCat"/>
        <c:majorUnit val="1"/>
        <c:minorUnit val="0.5"/>
      </c:valAx>
      <c:spPr>
        <a:solidFill>
          <a:srgbClr val="FFFFCC"/>
        </a:solidFill>
        <a:ln w="12700">
          <a:solidFill>
            <a:srgbClr val="808080"/>
          </a:solidFill>
          <a:prstDash val="solid"/>
        </a:ln>
      </c:spPr>
    </c:plotArea>
    <c:legend>
      <c:legendPos val="r"/>
      <c:layout>
        <c:manualLayout>
          <c:xMode val="edge"/>
          <c:yMode val="edge"/>
          <c:x val="0.79043703925195008"/>
          <c:y val="0.42746113989637308"/>
          <c:w val="0.19831253160865436"/>
          <c:h val="0.1269430051813471"/>
        </c:manualLayout>
      </c:layout>
      <c:overlay val="0"/>
      <c:spPr>
        <a:solidFill>
          <a:srgbClr val="FFFFFF"/>
        </a:solidFill>
        <a:ln w="3175">
          <a:solidFill>
            <a:srgbClr val="000000"/>
          </a:solidFill>
          <a:prstDash val="solid"/>
        </a:ln>
      </c:spPr>
      <c:txPr>
        <a:bodyPr/>
        <a:lstStyle/>
        <a:p>
          <a:pPr>
            <a:defRPr sz="85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CFFFF"/>
    </a:solidFill>
    <a:ln w="3175">
      <a:solidFill>
        <a:srgbClr val="000000"/>
      </a:solidFill>
      <a:prstDash val="solid"/>
    </a:ln>
  </c:spPr>
  <c:txPr>
    <a:bodyPr/>
    <a:lstStyle/>
    <a:p>
      <a:pPr>
        <a:defRPr sz="1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Density</a:t>
            </a:r>
          </a:p>
        </c:rich>
      </c:tx>
      <c:layout>
        <c:manualLayout>
          <c:xMode val="edge"/>
          <c:yMode val="edge"/>
          <c:x val="0.44632827676201492"/>
          <c:y val="5.1724137931034482E-2"/>
        </c:manualLayout>
      </c:layout>
      <c:overlay val="0"/>
      <c:spPr>
        <a:noFill/>
        <a:ln w="25400">
          <a:noFill/>
        </a:ln>
      </c:spPr>
    </c:title>
    <c:autoTitleDeleted val="0"/>
    <c:plotArea>
      <c:layout>
        <c:manualLayout>
          <c:layoutTarget val="inner"/>
          <c:xMode val="edge"/>
          <c:yMode val="edge"/>
          <c:x val="0.10593234950502833"/>
          <c:y val="0.1330050860686938"/>
          <c:w val="0.70621566336685559"/>
          <c:h val="0.73152797337781594"/>
        </c:manualLayout>
      </c:layout>
      <c:lineChart>
        <c:grouping val="standard"/>
        <c:varyColors val="0"/>
        <c:ser>
          <c:idx val="0"/>
          <c:order val="0"/>
          <c:tx>
            <c:v>M/L Core Result</c:v>
          </c:tx>
          <c:spPr>
            <a:ln w="38100">
              <a:solidFill>
                <a:srgbClr val="0000FF"/>
              </a:solidFill>
              <a:prstDash val="solid"/>
            </a:ln>
          </c:spPr>
          <c:marker>
            <c:symbol val="none"/>
          </c:marker>
          <c:val>
            <c:numRef>
              <c:f>Calculations!$B$180:$B$195</c:f>
              <c:numCache>
                <c:formatCod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0-64FA-485C-B72E-7F8A2F639549}"/>
            </c:ext>
          </c:extLst>
        </c:ser>
        <c:dLbls>
          <c:showLegendKey val="0"/>
          <c:showVal val="0"/>
          <c:showCatName val="0"/>
          <c:showSerName val="0"/>
          <c:showPercent val="0"/>
          <c:showBubbleSize val="0"/>
        </c:dLbls>
        <c:smooth val="0"/>
        <c:axId val="642237776"/>
        <c:axId val="1"/>
      </c:lineChart>
      <c:catAx>
        <c:axId val="642237776"/>
        <c:scaling>
          <c:orientation val="minMax"/>
        </c:scaling>
        <c:delete val="0"/>
        <c:axPos val="b"/>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Core #'s</a:t>
                </a:r>
              </a:p>
            </c:rich>
          </c:tx>
          <c:layout>
            <c:manualLayout>
              <c:xMode val="edge"/>
              <c:yMode val="edge"/>
              <c:x val="0.41666725981286235"/>
              <c:y val="0.9187202461761244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00"/>
          <c:min val="85"/>
        </c:scaling>
        <c:delete val="0"/>
        <c:axPos val="l"/>
        <c:majorGridlines>
          <c:spPr>
            <a:ln w="3175">
              <a:solidFill>
                <a:srgbClr val="000000"/>
              </a:solidFill>
              <a:prstDash val="solid"/>
            </a:ln>
          </c:spPr>
        </c:majorGridlines>
        <c:minorGridlines>
          <c:spPr>
            <a:ln w="3175">
              <a:solidFill>
                <a:srgbClr val="000000"/>
              </a:solidFill>
              <a:prstDash val="lgDashDot"/>
            </a:ln>
          </c:spPr>
        </c:minorGridlines>
        <c:title>
          <c:tx>
            <c:rich>
              <a:bodyPr/>
              <a:lstStyle/>
              <a:p>
                <a:pPr>
                  <a:defRPr sz="800" b="1" i="0" u="none" strike="noStrike" baseline="0">
                    <a:solidFill>
                      <a:srgbClr val="000000"/>
                    </a:solidFill>
                    <a:latin typeface="Arial"/>
                    <a:ea typeface="Arial"/>
                    <a:cs typeface="Arial"/>
                  </a:defRPr>
                </a:pPr>
                <a:r>
                  <a:rPr lang="en-US"/>
                  <a:t>% Solid</a:t>
                </a:r>
              </a:p>
            </c:rich>
          </c:tx>
          <c:layout>
            <c:manualLayout>
              <c:xMode val="edge"/>
              <c:yMode val="edge"/>
              <c:x val="1.5536723163841809E-2"/>
              <c:y val="0.44581332505850557"/>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642237776"/>
        <c:crosses val="autoZero"/>
        <c:crossBetween val="midCat"/>
        <c:majorUnit val="1"/>
        <c:minorUnit val="0.5"/>
      </c:valAx>
      <c:spPr>
        <a:solidFill>
          <a:srgbClr val="FFFFCC"/>
        </a:solidFill>
        <a:ln w="12700">
          <a:solidFill>
            <a:srgbClr val="808080"/>
          </a:solidFill>
          <a:prstDash val="solid"/>
        </a:ln>
      </c:spPr>
    </c:plotArea>
    <c:legend>
      <c:legendPos val="r"/>
      <c:legendEntry>
        <c:idx val="0"/>
        <c:txPr>
          <a:bodyPr/>
          <a:lstStyle/>
          <a:p>
            <a:pPr>
              <a:defRPr sz="570" b="1" i="0" u="none" strike="noStrike" baseline="0">
                <a:solidFill>
                  <a:srgbClr val="000000"/>
                </a:solidFill>
                <a:latin typeface="Arial"/>
                <a:ea typeface="Arial"/>
                <a:cs typeface="Arial"/>
              </a:defRPr>
            </a:pPr>
            <a:endParaRPr lang="en-US"/>
          </a:p>
        </c:txPr>
      </c:legendEntry>
      <c:layout>
        <c:manualLayout>
          <c:xMode val="edge"/>
          <c:yMode val="edge"/>
          <c:wMode val="edge"/>
          <c:hMode val="edge"/>
          <c:x val="0.8262723727330693"/>
          <c:y val="0.41133056643781596"/>
          <c:w val="0.99435176535136494"/>
          <c:h val="0.58867072650401453"/>
        </c:manualLayout>
      </c:layout>
      <c:overlay val="0"/>
      <c:spPr>
        <a:solidFill>
          <a:srgbClr val="FFFFFF"/>
        </a:solidFill>
        <a:ln w="3175">
          <a:solidFill>
            <a:srgbClr val="000000"/>
          </a:solidFill>
          <a:prstDash val="solid"/>
        </a:ln>
      </c:spPr>
      <c:txPr>
        <a:bodyPr/>
        <a:lstStyle/>
        <a:p>
          <a:pPr>
            <a:defRPr sz="570" b="1" i="0" u="none" strike="noStrike" baseline="0">
              <a:solidFill>
                <a:srgbClr val="0000FF"/>
              </a:solidFill>
              <a:latin typeface="Arial"/>
              <a:ea typeface="Arial"/>
              <a:cs typeface="Arial"/>
            </a:defRPr>
          </a:pPr>
          <a:endParaRPr lang="en-US"/>
        </a:p>
      </c:txPr>
    </c:legend>
    <c:plotVisOnly val="1"/>
    <c:dispBlanksAs val="gap"/>
    <c:showDLblsOverMax val="0"/>
  </c:chart>
  <c:spPr>
    <a:solidFill>
      <a:srgbClr val="CCFFFF"/>
    </a:solidFill>
    <a:ln w="3175">
      <a:solidFill>
        <a:srgbClr val="000000"/>
      </a:solidFill>
      <a:prstDash val="solid"/>
    </a:ln>
  </c:spPr>
  <c:txPr>
    <a:bodyPr/>
    <a:lstStyle/>
    <a:p>
      <a:pPr>
        <a:defRPr sz="1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Joint Density</a:t>
            </a:r>
          </a:p>
        </c:rich>
      </c:tx>
      <c:layout>
        <c:manualLayout>
          <c:xMode val="edge"/>
          <c:yMode val="edge"/>
          <c:x val="0.3371431571053618"/>
          <c:y val="5.3921825948227059E-2"/>
        </c:manualLayout>
      </c:layout>
      <c:overlay val="0"/>
      <c:spPr>
        <a:noFill/>
        <a:ln w="25400">
          <a:noFill/>
        </a:ln>
      </c:spPr>
    </c:title>
    <c:autoTitleDeleted val="0"/>
    <c:plotArea>
      <c:layout>
        <c:manualLayout>
          <c:layoutTarget val="inner"/>
          <c:xMode val="edge"/>
          <c:yMode val="edge"/>
          <c:x val="0.11714293885528659"/>
          <c:y val="0.17156903810757054"/>
          <c:w val="0.63000043945343154"/>
          <c:h val="0.65441333106744759"/>
        </c:manualLayout>
      </c:layout>
      <c:lineChart>
        <c:grouping val="standard"/>
        <c:varyColors val="0"/>
        <c:ser>
          <c:idx val="0"/>
          <c:order val="0"/>
          <c:tx>
            <c:v>Joint Core Results</c:v>
          </c:tx>
          <c:spPr>
            <a:ln w="38100">
              <a:solidFill>
                <a:srgbClr val="0000FF"/>
              </a:solidFill>
              <a:prstDash val="solid"/>
            </a:ln>
          </c:spPr>
          <c:marker>
            <c:symbol val="none"/>
          </c:marker>
          <c:val>
            <c:numRef>
              <c:f>Calculations!$D$180:$D$187</c:f>
              <c:numCache>
                <c:formatCode>0.0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0-7169-4A31-9224-EE42B8B4AFF7}"/>
            </c:ext>
          </c:extLst>
        </c:ser>
        <c:dLbls>
          <c:showLegendKey val="0"/>
          <c:showVal val="0"/>
          <c:showCatName val="0"/>
          <c:showSerName val="0"/>
          <c:showPercent val="0"/>
          <c:showBubbleSize val="0"/>
        </c:dLbls>
        <c:smooth val="0"/>
        <c:axId val="642237120"/>
        <c:axId val="1"/>
      </c:lineChart>
      <c:catAx>
        <c:axId val="642237120"/>
        <c:scaling>
          <c:orientation val="minMax"/>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Core #'s</a:t>
                </a:r>
              </a:p>
            </c:rich>
          </c:tx>
          <c:layout>
            <c:manualLayout>
              <c:xMode val="edge"/>
              <c:yMode val="edge"/>
              <c:x val="0.38285744281964751"/>
              <c:y val="0.8921589213113065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00"/>
          <c:min val="85"/>
        </c:scaling>
        <c:delete val="0"/>
        <c:axPos val="l"/>
        <c:majorGridlines>
          <c:spPr>
            <a:ln w="3175">
              <a:solidFill>
                <a:srgbClr val="000000"/>
              </a:solidFill>
              <a:prstDash val="solid"/>
            </a:ln>
          </c:spPr>
        </c:majorGridlines>
        <c:minorGridlines>
          <c:spPr>
            <a:ln w="3175">
              <a:solidFill>
                <a:srgbClr val="000000"/>
              </a:solidFill>
              <a:prstDash val="lgDashDot"/>
            </a:ln>
          </c:spPr>
        </c:minorGridlines>
        <c:title>
          <c:tx>
            <c:rich>
              <a:bodyPr/>
              <a:lstStyle/>
              <a:p>
                <a:pPr>
                  <a:defRPr sz="1200" b="1" i="0" u="none" strike="noStrike" baseline="0">
                    <a:solidFill>
                      <a:srgbClr val="000000"/>
                    </a:solidFill>
                    <a:latin typeface="Arial"/>
                    <a:ea typeface="Arial"/>
                    <a:cs typeface="Arial"/>
                  </a:defRPr>
                </a:pPr>
                <a:r>
                  <a:rPr lang="en-US"/>
                  <a:t>% Solid</a:t>
                </a:r>
              </a:p>
            </c:rich>
          </c:tx>
          <c:layout>
            <c:manualLayout>
              <c:xMode val="edge"/>
              <c:yMode val="edge"/>
              <c:x val="2.2857142857142857E-2"/>
              <c:y val="0.4191186763419277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642237120"/>
        <c:crosses val="autoZero"/>
        <c:crossBetween val="midCat"/>
        <c:majorUnit val="1"/>
        <c:minorUnit val="0.5"/>
      </c:valAx>
      <c:spPr>
        <a:solidFill>
          <a:srgbClr val="FFFFCC"/>
        </a:solidFill>
        <a:ln w="12700">
          <a:solidFill>
            <a:srgbClr val="808080"/>
          </a:solidFill>
          <a:prstDash val="solid"/>
        </a:ln>
      </c:spPr>
    </c:plotArea>
    <c:legend>
      <c:legendPos val="r"/>
      <c:layout>
        <c:manualLayout>
          <c:xMode val="edge"/>
          <c:yMode val="edge"/>
          <c:wMode val="edge"/>
          <c:hMode val="edge"/>
          <c:x val="0.76857202849643791"/>
          <c:y val="0.47058926457722194"/>
          <c:w val="0.98857217847769019"/>
          <c:h val="0.52451109052544898"/>
        </c:manualLayout>
      </c:layout>
      <c:overlay val="0"/>
      <c:spPr>
        <a:solidFill>
          <a:srgbClr val="FFFFFF"/>
        </a:solidFill>
        <a:ln w="3175">
          <a:solidFill>
            <a:srgbClr val="000000"/>
          </a:solidFill>
          <a:prstDash val="solid"/>
        </a:ln>
      </c:spPr>
      <c:txPr>
        <a:bodyPr/>
        <a:lstStyle/>
        <a:p>
          <a:pPr>
            <a:defRPr sz="71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CFFFF"/>
    </a:solidFill>
    <a:ln w="3175">
      <a:solidFill>
        <a:srgbClr val="000000"/>
      </a:solidFill>
      <a:prstDash val="solid"/>
    </a:ln>
  </c:spPr>
  <c:txPr>
    <a:bodyPr/>
    <a:lstStyle/>
    <a:p>
      <a:pPr>
        <a:defRPr sz="18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1"/>
  <sheetViews>
    <sheetView workbookViewId="0"/>
  </sheetViews>
  <pageMargins left="0.25" right="0.25" top="0.25" bottom="0.25" header="0.5" footer="0.5"/>
  <pageSetup orientation="landscape" horizontalDpi="300" r:id="rId1"/>
  <headerFooter alignWithMargins="0"/>
  <drawing r:id="rId2"/>
</chartsheet>
</file>

<file path=xl/ctrlProps/ctrlProp1.xml><?xml version="1.0" encoding="utf-8"?>
<formControlPr xmlns="http://schemas.microsoft.com/office/spreadsheetml/2009/9/main" objectType="Drop" dropLines="10" dropStyle="combo" dx="22" fmlaLink="Calculations!$J$1" fmlaRange="Calculations!$B$1:$B$14" noThreeD="1" sel="0" val="0"/>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firstButton="1" fmlaLink="Calculations!$H$12"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Drop" dropStyle="combo" dx="22" fmlaLink="Calculations!$D$147" fmlaRange="Calculations!$B$147:$B$161" noThreeD="1" sel="0" val="7"/>
</file>

<file path=xl/ctrlProps/ctrlProp6.xml><?xml version="1.0" encoding="utf-8"?>
<formControlPr xmlns="http://schemas.microsoft.com/office/spreadsheetml/2009/9/main" objectType="Drop" dropStyle="combo" dx="22" fmlaLink="Calculations!$AD$1" fmlaRange="Calculations!$AA$1:$AA$11" noThreeD="1" sel="0" val="0"/>
</file>

<file path=xl/ctrlProps/ctrlProp7.xml><?xml version="1.0" encoding="utf-8"?>
<formControlPr xmlns="http://schemas.microsoft.com/office/spreadsheetml/2009/9/main" objectType="CheckBox" fmlaLink="Calculations!$M$11" lockText="1" noThreeD="1"/>
</file>

<file path=xl/ctrlProps/ctrlProp8.xml><?xml version="1.0" encoding="utf-8"?>
<formControlPr xmlns="http://schemas.microsoft.com/office/spreadsheetml/2009/9/main" objectType="Drop" dropStyle="combo" dx="22" fmlaLink="Calculations!$D$15" fmlaRange="Calculations!$C$15:$C$18" noThreeD="1" sel="0" val="0"/>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Radio" firstButton="1" fmlaLink="Calculations!$L$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CheckBox" fmlaLink="Calculations!$M$1" lockText="1" noThreeD="1"/>
</file>

<file path=xl/ctrlProps/ctrlProp15.xml><?xml version="1.0" encoding="utf-8"?>
<formControlPr xmlns="http://schemas.microsoft.com/office/spreadsheetml/2009/9/main" objectType="CheckBox" fmlaLink="Calculations!$M$2" lockText="1" noThreeD="1"/>
</file>

<file path=xl/ctrlProps/ctrlProp16.xml><?xml version="1.0" encoding="utf-8"?>
<formControlPr xmlns="http://schemas.microsoft.com/office/spreadsheetml/2009/9/main" objectType="CheckBox" checked="Checked" fmlaLink="Calculations!$C$20" lockText="1" noThreeD="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Radio" firstButton="1" fmlaLink="Calculations!$L$2"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Drop" dropStyle="combo" dx="22" fmlaLink="Calculations!$AP$33" fmlaRange="Calculations!$AK$33:$AK$37" noThreeD="1" sel="0" val="0"/>
</file>

<file path=xl/ctrlProps/ctrlProp23.xml><?xml version="1.0" encoding="utf-8"?>
<formControlPr xmlns="http://schemas.microsoft.com/office/spreadsheetml/2009/9/main" objectType="Drop" dropStyle="combo" dx="22" fmlaLink="Calculations!$AP$34" fmlaRange="Calculations!$AK$33:$AK$37" noThreeD="1" sel="0" val="0"/>
</file>

<file path=xl/ctrlProps/ctrlProp24.xml><?xml version="1.0" encoding="utf-8"?>
<formControlPr xmlns="http://schemas.microsoft.com/office/spreadsheetml/2009/9/main" objectType="Drop" dropStyle="combo" dx="22" fmlaLink="Calculations!$AP$35" fmlaRange="Calculations!$AK$33:$AK$37" noThreeD="1" sel="0" val="0"/>
</file>

<file path=xl/ctrlProps/ctrlProp25.xml><?xml version="1.0" encoding="utf-8"?>
<formControlPr xmlns="http://schemas.microsoft.com/office/spreadsheetml/2009/9/main" objectType="Drop" dropStyle="combo" dx="22" fmlaLink="Calculations!$AP$36" fmlaRange="Calculations!$AK$33:$AK$37" noThreeD="1" sel="0" val="0"/>
</file>

<file path=xl/ctrlProps/ctrlProp26.xml><?xml version="1.0" encoding="utf-8"?>
<formControlPr xmlns="http://schemas.microsoft.com/office/spreadsheetml/2009/9/main" objectType="Drop" dropStyle="combo" dx="22" fmlaLink="Calculations!$AP$37" fmlaRange="Calculations!$AK$33:$AK$37" noThreeD="1" sel="0" val="0"/>
</file>

<file path=xl/ctrlProps/ctrlProp27.xml><?xml version="1.0" encoding="utf-8"?>
<formControlPr xmlns="http://schemas.microsoft.com/office/spreadsheetml/2009/9/main" objectType="Drop" dropStyle="combo" dx="22" fmlaLink="Calculations!$AP$38" fmlaRange="Calculations!$AK$33:$AK$37" noThreeD="1" sel="0" val="0"/>
</file>

<file path=xl/ctrlProps/ctrlProp28.xml><?xml version="1.0" encoding="utf-8"?>
<formControlPr xmlns="http://schemas.microsoft.com/office/spreadsheetml/2009/9/main" objectType="Drop" dropStyle="combo" dx="22" fmlaLink="Calculations!$AP$39" fmlaRange="Calculations!$AK$33:$AK$37" noThreeD="1" sel="0" val="0"/>
</file>

<file path=xl/ctrlProps/ctrlProp29.xml><?xml version="1.0" encoding="utf-8"?>
<formControlPr xmlns="http://schemas.microsoft.com/office/spreadsheetml/2009/9/main" objectType="Drop" dropStyle="combo" dx="22" fmlaLink="Calculations!$AP$40" fmlaRange="Calculations!$AK$33:$AK$37" noThreeD="1" sel="0" val="0"/>
</file>

<file path=xl/ctrlProps/ctrlProp30.xml><?xml version="1.0" encoding="utf-8"?>
<formControlPr xmlns="http://schemas.microsoft.com/office/spreadsheetml/2009/9/main" objectType="Drop" dropStyle="combo" dx="22" fmlaLink="Calculations!$AP$41" fmlaRange="Calculations!$AK$33:$AK$37" noThreeD="1" sel="0" val="0"/>
</file>

<file path=xl/ctrlProps/ctrlProp31.xml><?xml version="1.0" encoding="utf-8"?>
<formControlPr xmlns="http://schemas.microsoft.com/office/spreadsheetml/2009/9/main" objectType="Drop" dropStyle="combo" dx="22" fmlaLink="Calculations!$AP$42" fmlaRange="Calculations!$AK$33:$AK$37" noThreeD="1" sel="0" val="0"/>
</file>

<file path=xl/dialogsheets/_rels/sheet1.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34.bin"/></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2400-000000000000}">
  <sheetViews>
    <sheetView showRowColHeaders="0" showZeros="0" showOutlineSymbols="0" workbookViewId="0"/>
  </sheetViews>
  <sheetFormatPr defaultColWidth="1" defaultRowHeight="5.25" customHeight="1"/>
  <sheetProtection password="9F99" sheet="1" objects="1" scenarios="1"/>
  <pageMargins left="0.75" right="0.75" top="1" bottom="1" header="0.5" footer="0.5"/>
  <pageSetup orientation="portrait" r:id="rId1"/>
  <headerFooter alignWithMargins="0">
    <oddHeader>&amp;A</oddHeader>
    <oddFooter>Page &amp;P</oddFooter>
  </headerFooter>
  <legacyDrawing r:id="rId2"/>
</dialogsheet>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 Id="rId4"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676275</xdr:colOff>
          <xdr:row>4</xdr:row>
          <xdr:rowOff>19050</xdr:rowOff>
        </xdr:from>
        <xdr:to>
          <xdr:col>2</xdr:col>
          <xdr:colOff>76200</xdr:colOff>
          <xdr:row>5</xdr:row>
          <xdr:rowOff>38100</xdr:rowOff>
        </xdr:to>
        <xdr:sp macro="" textlink="">
          <xdr:nvSpPr>
            <xdr:cNvPr id="1040" name="Drop Dow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6</xdr:row>
          <xdr:rowOff>9525</xdr:rowOff>
        </xdr:from>
        <xdr:to>
          <xdr:col>0</xdr:col>
          <xdr:colOff>1019175</xdr:colOff>
          <xdr:row>8</xdr:row>
          <xdr:rowOff>76200</xdr:rowOff>
        </xdr:to>
        <xdr:sp macro="" textlink="">
          <xdr:nvSpPr>
            <xdr:cNvPr id="1100" name="Group Box 76"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Density Options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6</xdr:row>
          <xdr:rowOff>38100</xdr:rowOff>
        </xdr:from>
        <xdr:to>
          <xdr:col>0</xdr:col>
          <xdr:colOff>828675</xdr:colOff>
          <xdr:row>7</xdr:row>
          <xdr:rowOff>76200</xdr:rowOff>
        </xdr:to>
        <xdr:sp macro="" textlink="">
          <xdr:nvSpPr>
            <xdr:cNvPr id="1101" name="Option Button 77"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Option 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7</xdr:row>
          <xdr:rowOff>47625</xdr:rowOff>
        </xdr:from>
        <xdr:to>
          <xdr:col>0</xdr:col>
          <xdr:colOff>790575</xdr:colOff>
          <xdr:row>8</xdr:row>
          <xdr:rowOff>76200</xdr:rowOff>
        </xdr:to>
        <xdr:sp macro="" textlink="">
          <xdr:nvSpPr>
            <xdr:cNvPr id="1102" name="Option Button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Option 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1019175</xdr:colOff>
          <xdr:row>46</xdr:row>
          <xdr:rowOff>0</xdr:rowOff>
        </xdr:to>
        <xdr:sp macro="" textlink="">
          <xdr:nvSpPr>
            <xdr:cNvPr id="1129" name="Drop Down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0</xdr:rowOff>
        </xdr:from>
        <xdr:to>
          <xdr:col>4</xdr:col>
          <xdr:colOff>0</xdr:colOff>
          <xdr:row>5</xdr:row>
          <xdr:rowOff>9525</xdr:rowOff>
        </xdr:to>
        <xdr:sp macro="" textlink="">
          <xdr:nvSpPr>
            <xdr:cNvPr id="1132" name="Drop Dow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1019175</xdr:colOff>
          <xdr:row>6</xdr:row>
          <xdr:rowOff>123825</xdr:rowOff>
        </xdr:from>
        <xdr:to>
          <xdr:col>1</xdr:col>
          <xdr:colOff>1200150</xdr:colOff>
          <xdr:row>7</xdr:row>
          <xdr:rowOff>161925</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Joint Density Applies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542925</xdr:colOff>
          <xdr:row>5</xdr:row>
          <xdr:rowOff>38100</xdr:rowOff>
        </xdr:from>
        <xdr:to>
          <xdr:col>4</xdr:col>
          <xdr:colOff>695325</xdr:colOff>
          <xdr:row>6</xdr:row>
          <xdr:rowOff>0</xdr:rowOff>
        </xdr:to>
        <xdr:sp macro="" textlink="">
          <xdr:nvSpPr>
            <xdr:cNvPr id="1144" name="ComboBox1"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733425</xdr:colOff>
          <xdr:row>7</xdr:row>
          <xdr:rowOff>152400</xdr:rowOff>
        </xdr:from>
        <xdr:to>
          <xdr:col>5</xdr:col>
          <xdr:colOff>600075</xdr:colOff>
          <xdr:row>8</xdr:row>
          <xdr:rowOff>180975</xdr:rowOff>
        </xdr:to>
        <xdr:sp macro="" textlink="">
          <xdr:nvSpPr>
            <xdr:cNvPr id="1145" name="ComboBox2"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6</xdr:row>
          <xdr:rowOff>0</xdr:rowOff>
        </xdr:from>
        <xdr:to>
          <xdr:col>6</xdr:col>
          <xdr:colOff>371475</xdr:colOff>
          <xdr:row>7</xdr:row>
          <xdr:rowOff>47625</xdr:rowOff>
        </xdr:to>
        <xdr:sp macro="" textlink="">
          <xdr:nvSpPr>
            <xdr:cNvPr id="1146" name="cbAcceptMeth"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209550</xdr:rowOff>
        </xdr:from>
        <xdr:to>
          <xdr:col>6</xdr:col>
          <xdr:colOff>0</xdr:colOff>
          <xdr:row>3</xdr:row>
          <xdr:rowOff>0</xdr:rowOff>
        </xdr:to>
        <xdr:sp macro="" textlink="">
          <xdr:nvSpPr>
            <xdr:cNvPr id="1147" name="cbLotNum"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962025</xdr:colOff>
          <xdr:row>3</xdr:row>
          <xdr:rowOff>0</xdr:rowOff>
        </xdr:from>
        <xdr:to>
          <xdr:col>5</xdr:col>
          <xdr:colOff>28575</xdr:colOff>
          <xdr:row>4</xdr:row>
          <xdr:rowOff>28575</xdr:rowOff>
        </xdr:to>
        <xdr:sp macro="" textlink="">
          <xdr:nvSpPr>
            <xdr:cNvPr id="1151" name="ComboBox3"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xdr:row>
          <xdr:rowOff>9525</xdr:rowOff>
        </xdr:from>
        <xdr:to>
          <xdr:col>9</xdr:col>
          <xdr:colOff>85725</xdr:colOff>
          <xdr:row>4</xdr:row>
          <xdr:rowOff>38100</xdr:rowOff>
        </xdr:to>
        <xdr:sp macro="" textlink="">
          <xdr:nvSpPr>
            <xdr:cNvPr id="1154" name="Drop Down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0</xdr:rowOff>
        </xdr:from>
        <xdr:to>
          <xdr:col>2</xdr:col>
          <xdr:colOff>0</xdr:colOff>
          <xdr:row>46</xdr:row>
          <xdr:rowOff>28575</xdr:rowOff>
        </xdr:to>
        <xdr:sp macro="" textlink="">
          <xdr:nvSpPr>
            <xdr:cNvPr id="1155" name="ComboBox4"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34</xdr:row>
          <xdr:rowOff>0</xdr:rowOff>
        </xdr:from>
        <xdr:to>
          <xdr:col>7</xdr:col>
          <xdr:colOff>0</xdr:colOff>
          <xdr:row>39</xdr:row>
          <xdr:rowOff>0</xdr:rowOff>
        </xdr:to>
        <xdr:sp macro="" textlink="">
          <xdr:nvSpPr>
            <xdr:cNvPr id="1173" name="Group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35</xdr:row>
          <xdr:rowOff>0</xdr:rowOff>
        </xdr:from>
        <xdr:to>
          <xdr:col>5</xdr:col>
          <xdr:colOff>723900</xdr:colOff>
          <xdr:row>36</xdr:row>
          <xdr:rowOff>66675</xdr:rowOff>
        </xdr:to>
        <xdr:sp macro="" textlink="">
          <xdr:nvSpPr>
            <xdr:cNvPr id="1174" name="Option Button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Sublot # 1</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904875</xdr:colOff>
          <xdr:row>35</xdr:row>
          <xdr:rowOff>0</xdr:rowOff>
        </xdr:from>
        <xdr:to>
          <xdr:col>6</xdr:col>
          <xdr:colOff>609600</xdr:colOff>
          <xdr:row>36</xdr:row>
          <xdr:rowOff>66675</xdr:rowOff>
        </xdr:to>
        <xdr:sp macro="" textlink="">
          <xdr:nvSpPr>
            <xdr:cNvPr id="1175" name="Option Button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Sublot # 2</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35</xdr:row>
          <xdr:rowOff>142875</xdr:rowOff>
        </xdr:from>
        <xdr:to>
          <xdr:col>5</xdr:col>
          <xdr:colOff>714375</xdr:colOff>
          <xdr:row>37</xdr:row>
          <xdr:rowOff>66675</xdr:rowOff>
        </xdr:to>
        <xdr:sp macro="" textlink="">
          <xdr:nvSpPr>
            <xdr:cNvPr id="1176" name="Option Button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Sublot # 3</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904875</xdr:colOff>
          <xdr:row>35</xdr:row>
          <xdr:rowOff>142875</xdr:rowOff>
        </xdr:from>
        <xdr:to>
          <xdr:col>6</xdr:col>
          <xdr:colOff>600075</xdr:colOff>
          <xdr:row>37</xdr:row>
          <xdr:rowOff>66675</xdr:rowOff>
        </xdr:to>
        <xdr:sp macro="" textlink="">
          <xdr:nvSpPr>
            <xdr:cNvPr id="1177" name="Option Button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Sublot #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37</xdr:row>
          <xdr:rowOff>85725</xdr:rowOff>
        </xdr:from>
        <xdr:to>
          <xdr:col>6</xdr:col>
          <xdr:colOff>485775</xdr:colOff>
          <xdr:row>38</xdr:row>
          <xdr:rowOff>104775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Same Equipment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39</xdr:row>
          <xdr:rowOff>0</xdr:rowOff>
        </xdr:from>
        <xdr:to>
          <xdr:col>7</xdr:col>
          <xdr:colOff>0</xdr:colOff>
          <xdr:row>44</xdr:row>
          <xdr:rowOff>0</xdr:rowOff>
        </xdr:to>
        <xdr:grpSp>
          <xdr:nvGrpSpPr>
            <xdr:cNvPr id="1269" name="Group 165">
              <a:extLst>
                <a:ext uri="{FF2B5EF4-FFF2-40B4-BE49-F238E27FC236}">
                  <a16:creationId xmlns:a16="http://schemas.microsoft.com/office/drawing/2014/main" id="{00000000-0008-0000-0000-0000F5040000}"/>
                </a:ext>
              </a:extLst>
            </xdr:cNvPr>
            <xdr:cNvGrpSpPr>
              <a:grpSpLocks/>
            </xdr:cNvGrpSpPr>
          </xdr:nvGrpSpPr>
          <xdr:grpSpPr bwMode="auto">
            <a:xfrm>
              <a:off x="5514975" y="7477125"/>
              <a:ext cx="1647825" cy="1000125"/>
              <a:chOff x="579" y="785"/>
              <a:chExt cx="173" cy="105"/>
            </a:xfrm>
          </xdr:grpSpPr>
          <xdr:sp macro="" textlink="">
            <xdr:nvSpPr>
              <xdr:cNvPr id="1180" name="Group Box 156"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579" y="785"/>
                <a:ext cx="173" cy="105"/>
              </a:xfrm>
              <a:prstGeom prst="rect">
                <a:avLst/>
              </a:prstGeom>
              <a:noFill/>
              <a:ln w="9525">
                <a:miter lim="800000"/>
                <a:headEnd/>
                <a:tailEnd/>
              </a:ln>
              <a:extLst>
                <a:ext uri="{909E8E84-426E-40DD-AFC4-6F175D3DCCD1}">
                  <a14:hiddenFill>
                    <a:noFill/>
                  </a14:hiddenFill>
                </a:ext>
              </a:extLst>
            </xdr:spPr>
          </xdr:sp>
          <xdr:sp macro="" textlink="">
            <xdr:nvSpPr>
              <xdr:cNvPr id="1181" name="Option Button 157" hidden="1">
                <a:extLst>
                  <a:ext uri="{63B3BB69-23CF-44E3-9099-C40C66FF867C}">
                    <a14:compatExt spid="_x0000_s1181"/>
                  </a:ext>
                  <a:ext uri="{FF2B5EF4-FFF2-40B4-BE49-F238E27FC236}">
                    <a16:creationId xmlns:a16="http://schemas.microsoft.com/office/drawing/2014/main" id="{00000000-0008-0000-0000-00009D040000}"/>
                  </a:ext>
                </a:extLst>
              </xdr:cNvPr>
              <xdr:cNvSpPr/>
            </xdr:nvSpPr>
            <xdr:spPr bwMode="auto">
              <a:xfrm>
                <a:off x="580" y="805"/>
                <a:ext cx="75" cy="28"/>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Sublot # 1</a:t>
                </a:r>
              </a:p>
            </xdr:txBody>
          </xdr:sp>
          <xdr:sp macro="" textlink="">
            <xdr:nvSpPr>
              <xdr:cNvPr id="1182" name="Option Button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674" y="805"/>
                <a:ext cx="73" cy="28"/>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Sublot # 2</a:t>
                </a:r>
              </a:p>
            </xdr:txBody>
          </xdr:sp>
          <xdr:sp macro="" textlink="">
            <xdr:nvSpPr>
              <xdr:cNvPr id="1183" name="Option Button 159" hidden="1">
                <a:extLst>
                  <a:ext uri="{63B3BB69-23CF-44E3-9099-C40C66FF867C}">
                    <a14:compatExt spid="_x0000_s1183"/>
                  </a:ext>
                  <a:ext uri="{FF2B5EF4-FFF2-40B4-BE49-F238E27FC236}">
                    <a16:creationId xmlns:a16="http://schemas.microsoft.com/office/drawing/2014/main" id="{00000000-0008-0000-0000-00009F040000}"/>
                  </a:ext>
                </a:extLst>
              </xdr:cNvPr>
              <xdr:cNvSpPr/>
            </xdr:nvSpPr>
            <xdr:spPr bwMode="auto">
              <a:xfrm>
                <a:off x="580" y="821"/>
                <a:ext cx="75" cy="3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Sublot # 3</a:t>
                </a:r>
              </a:p>
            </xdr:txBody>
          </xdr:sp>
          <xdr:sp macro="" textlink="">
            <xdr:nvSpPr>
              <xdr:cNvPr id="1184" name="Option Button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674" y="821"/>
                <a:ext cx="71" cy="3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Sublot # 4</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42</xdr:row>
          <xdr:rowOff>85725</xdr:rowOff>
        </xdr:from>
        <xdr:to>
          <xdr:col>6</xdr:col>
          <xdr:colOff>485775</xdr:colOff>
          <xdr:row>43</xdr:row>
          <xdr:rowOff>95250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Same Equipment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552450</xdr:colOff>
          <xdr:row>7</xdr:row>
          <xdr:rowOff>142875</xdr:rowOff>
        </xdr:from>
        <xdr:to>
          <xdr:col>7</xdr:col>
          <xdr:colOff>57150</xdr:colOff>
          <xdr:row>8</xdr:row>
          <xdr:rowOff>171450</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Warm-Mix Asphalt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22</xdr:row>
          <xdr:rowOff>133350</xdr:rowOff>
        </xdr:from>
        <xdr:to>
          <xdr:col>2</xdr:col>
          <xdr:colOff>514350</xdr:colOff>
          <xdr:row>24</xdr:row>
          <xdr:rowOff>28575</xdr:rowOff>
        </xdr:to>
        <xdr:sp macro="" textlink="">
          <xdr:nvSpPr>
            <xdr:cNvPr id="1192" name="CheckBox1"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4</xdr:row>
          <xdr:rowOff>180975</xdr:rowOff>
        </xdr:from>
        <xdr:to>
          <xdr:col>3</xdr:col>
          <xdr:colOff>0</xdr:colOff>
          <xdr:row>6</xdr:row>
          <xdr:rowOff>38100</xdr:rowOff>
        </xdr:to>
        <xdr:sp macro="" textlink="">
          <xdr:nvSpPr>
            <xdr:cNvPr id="14337" name="ComboBox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6</xdr:col>
          <xdr:colOff>28575</xdr:colOff>
          <xdr:row>6</xdr:row>
          <xdr:rowOff>38100</xdr:rowOff>
        </xdr:to>
        <xdr:sp macro="" textlink="">
          <xdr:nvSpPr>
            <xdr:cNvPr id="14338" name="ComboBox2" hidden="1">
              <a:extLst>
                <a:ext uri="{63B3BB69-23CF-44E3-9099-C40C66FF867C}">
                  <a14:compatExt spid="_x0000_s14338"/>
                </a:ext>
                <a:ext uri="{FF2B5EF4-FFF2-40B4-BE49-F238E27FC236}">
                  <a16:creationId xmlns:a16="http://schemas.microsoft.com/office/drawing/2014/main" id="{00000000-0008-0000-03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xdr:row>
          <xdr:rowOff>9525</xdr:rowOff>
        </xdr:from>
        <xdr:to>
          <xdr:col>3</xdr:col>
          <xdr:colOff>0</xdr:colOff>
          <xdr:row>8</xdr:row>
          <xdr:rowOff>66675</xdr:rowOff>
        </xdr:to>
        <xdr:sp macro="" textlink="">
          <xdr:nvSpPr>
            <xdr:cNvPr id="14339" name="ComboBox3" hidden="1">
              <a:extLst>
                <a:ext uri="{63B3BB69-23CF-44E3-9099-C40C66FF867C}">
                  <a14:compatExt spid="_x0000_s14339"/>
                </a:ext>
                <a:ext uri="{FF2B5EF4-FFF2-40B4-BE49-F238E27FC236}">
                  <a16:creationId xmlns:a16="http://schemas.microsoft.com/office/drawing/2014/main" id="{00000000-0008-0000-03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28575</xdr:rowOff>
        </xdr:from>
        <xdr:to>
          <xdr:col>6</xdr:col>
          <xdr:colOff>38100</xdr:colOff>
          <xdr:row>8</xdr:row>
          <xdr:rowOff>66675</xdr:rowOff>
        </xdr:to>
        <xdr:sp macro="" textlink="">
          <xdr:nvSpPr>
            <xdr:cNvPr id="14340" name="ComboBox4" hidden="1">
              <a:extLst>
                <a:ext uri="{63B3BB69-23CF-44E3-9099-C40C66FF867C}">
                  <a14:compatExt spid="_x0000_s14340"/>
                </a:ext>
                <a:ext uri="{FF2B5EF4-FFF2-40B4-BE49-F238E27FC236}">
                  <a16:creationId xmlns:a16="http://schemas.microsoft.com/office/drawing/2014/main" id="{00000000-0008-0000-03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19</xdr:row>
          <xdr:rowOff>0</xdr:rowOff>
        </xdr:from>
        <xdr:to>
          <xdr:col>10</xdr:col>
          <xdr:colOff>0</xdr:colOff>
          <xdr:row>20</xdr:row>
          <xdr:rowOff>38100</xdr:rowOff>
        </xdr:to>
        <xdr:sp macro="" textlink="">
          <xdr:nvSpPr>
            <xdr:cNvPr id="2049" name="Drop Down 1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19</xdr:row>
          <xdr:rowOff>0</xdr:rowOff>
        </xdr:from>
        <xdr:to>
          <xdr:col>13</xdr:col>
          <xdr:colOff>0</xdr:colOff>
          <xdr:row>20</xdr:row>
          <xdr:rowOff>38100</xdr:rowOff>
        </xdr:to>
        <xdr:sp macro="" textlink="">
          <xdr:nvSpPr>
            <xdr:cNvPr id="2050" name="Drop Down 1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25</xdr:row>
          <xdr:rowOff>95250</xdr:rowOff>
        </xdr:from>
        <xdr:to>
          <xdr:col>3</xdr:col>
          <xdr:colOff>628650</xdr:colOff>
          <xdr:row>26</xdr:row>
          <xdr:rowOff>47625</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25</xdr:row>
          <xdr:rowOff>95250</xdr:rowOff>
        </xdr:from>
        <xdr:to>
          <xdr:col>6</xdr:col>
          <xdr:colOff>628650</xdr:colOff>
          <xdr:row>26</xdr:row>
          <xdr:rowOff>47625</xdr:rowOff>
        </xdr:to>
        <xdr:sp macro="" textlink="">
          <xdr:nvSpPr>
            <xdr:cNvPr id="3075" name="Drop Down 2" hidden="1">
              <a:extLst>
                <a:ext uri="{63B3BB69-23CF-44E3-9099-C40C66FF867C}">
                  <a14:compatExt spid="_x0000_s3075"/>
                </a:ext>
                <a:ext uri="{FF2B5EF4-FFF2-40B4-BE49-F238E27FC236}">
                  <a16:creationId xmlns:a16="http://schemas.microsoft.com/office/drawing/2014/main" id="{00000000-0008-0000-0600-000003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25</xdr:row>
          <xdr:rowOff>95250</xdr:rowOff>
        </xdr:from>
        <xdr:to>
          <xdr:col>9</xdr:col>
          <xdr:colOff>628650</xdr:colOff>
          <xdr:row>26</xdr:row>
          <xdr:rowOff>47625</xdr:rowOff>
        </xdr:to>
        <xdr:sp macro="" textlink="">
          <xdr:nvSpPr>
            <xdr:cNvPr id="3076" name="Drop Down 3" hidden="1">
              <a:extLst>
                <a:ext uri="{63B3BB69-23CF-44E3-9099-C40C66FF867C}">
                  <a14:compatExt spid="_x0000_s3076"/>
                </a:ext>
                <a:ext uri="{FF2B5EF4-FFF2-40B4-BE49-F238E27FC236}">
                  <a16:creationId xmlns:a16="http://schemas.microsoft.com/office/drawing/2014/main" id="{00000000-0008-0000-0600-000004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25</xdr:row>
          <xdr:rowOff>95250</xdr:rowOff>
        </xdr:from>
        <xdr:to>
          <xdr:col>12</xdr:col>
          <xdr:colOff>628650</xdr:colOff>
          <xdr:row>26</xdr:row>
          <xdr:rowOff>47625</xdr:rowOff>
        </xdr:to>
        <xdr:sp macro="" textlink="">
          <xdr:nvSpPr>
            <xdr:cNvPr id="3077" name="Drop Down 4" hidden="1">
              <a:extLst>
                <a:ext uri="{63B3BB69-23CF-44E3-9099-C40C66FF867C}">
                  <a14:compatExt spid="_x0000_s3077"/>
                </a:ext>
                <a:ext uri="{FF2B5EF4-FFF2-40B4-BE49-F238E27FC236}">
                  <a16:creationId xmlns:a16="http://schemas.microsoft.com/office/drawing/2014/main" id="{00000000-0008-0000-0600-000005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absoluteAnchor>
    <xdr:pos x="0" y="0"/>
    <xdr:ext cx="9496425" cy="72104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0.15125</cdr:x>
      <cdr:y>0.9445</cdr:y>
    </cdr:from>
    <cdr:to>
      <cdr:x>0.1785</cdr:x>
      <cdr:y>0.96825</cdr:y>
    </cdr:to>
    <cdr:sp macro="" textlink="">
      <cdr:nvSpPr>
        <cdr:cNvPr id="4097" name="Text 17"/>
        <cdr:cNvSpPr txBox="1">
          <a:spLocks xmlns:a="http://schemas.openxmlformats.org/drawingml/2006/main" noChangeArrowheads="1"/>
        </cdr:cNvSpPr>
      </cdr:nvSpPr>
      <cdr:spPr bwMode="auto">
        <a:xfrm xmlns:a="http://schemas.openxmlformats.org/drawingml/2006/main">
          <a:off x="1430572" y="6810246"/>
          <a:ext cx="257739" cy="17124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#30</a:t>
          </a:r>
        </a:p>
      </cdr:txBody>
    </cdr:sp>
  </cdr:relSizeAnchor>
  <cdr:relSizeAnchor xmlns:cdr="http://schemas.openxmlformats.org/drawingml/2006/chartDrawing">
    <cdr:from>
      <cdr:x>0.18075</cdr:x>
      <cdr:y>0.9435</cdr:y>
    </cdr:from>
    <cdr:to>
      <cdr:x>0.209</cdr:x>
      <cdr:y>0.95925</cdr:y>
    </cdr:to>
    <cdr:sp macro="" textlink="">
      <cdr:nvSpPr>
        <cdr:cNvPr id="4098" name="Text 18"/>
        <cdr:cNvSpPr txBox="1">
          <a:spLocks xmlns:a="http://schemas.openxmlformats.org/drawingml/2006/main" noChangeArrowheads="1"/>
        </cdr:cNvSpPr>
      </cdr:nvSpPr>
      <cdr:spPr bwMode="auto">
        <a:xfrm xmlns:a="http://schemas.openxmlformats.org/drawingml/2006/main">
          <a:off x="1709592" y="6803036"/>
          <a:ext cx="267198" cy="11356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#16</a:t>
          </a:r>
        </a:p>
      </cdr:txBody>
    </cdr:sp>
  </cdr:relSizeAnchor>
  <cdr:relSizeAnchor xmlns:cdr="http://schemas.openxmlformats.org/drawingml/2006/chartDrawing">
    <cdr:from>
      <cdr:x>0.227</cdr:x>
      <cdr:y>0.9435</cdr:y>
    </cdr:from>
    <cdr:to>
      <cdr:x>0.25325</cdr:x>
      <cdr:y>0.966</cdr:y>
    </cdr:to>
    <cdr:sp macro="" textlink="">
      <cdr:nvSpPr>
        <cdr:cNvPr id="4099" name="Text 19"/>
        <cdr:cNvSpPr txBox="1">
          <a:spLocks xmlns:a="http://schemas.openxmlformats.org/drawingml/2006/main" noChangeArrowheads="1"/>
        </cdr:cNvSpPr>
      </cdr:nvSpPr>
      <cdr:spPr bwMode="auto">
        <a:xfrm xmlns:a="http://schemas.openxmlformats.org/drawingml/2006/main">
          <a:off x="2147040" y="6803036"/>
          <a:ext cx="248281" cy="162235"/>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#8</a:t>
          </a:r>
        </a:p>
      </cdr:txBody>
    </cdr:sp>
  </cdr:relSizeAnchor>
  <cdr:relSizeAnchor xmlns:cdr="http://schemas.openxmlformats.org/drawingml/2006/chartDrawing">
    <cdr:from>
      <cdr:x>0.0905</cdr:x>
      <cdr:y>0.9445</cdr:y>
    </cdr:from>
    <cdr:to>
      <cdr:x>0.12175</cdr:x>
      <cdr:y>0.96025</cdr:y>
    </cdr:to>
    <cdr:sp macro="" textlink="">
      <cdr:nvSpPr>
        <cdr:cNvPr id="4100" name="Text 22"/>
        <cdr:cNvSpPr txBox="1">
          <a:spLocks xmlns:a="http://schemas.openxmlformats.org/drawingml/2006/main" noChangeArrowheads="1"/>
        </cdr:cNvSpPr>
      </cdr:nvSpPr>
      <cdr:spPr bwMode="auto">
        <a:xfrm xmlns:a="http://schemas.openxmlformats.org/drawingml/2006/main">
          <a:off x="855978" y="6810246"/>
          <a:ext cx="295573" cy="113565"/>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#200</a:t>
          </a:r>
        </a:p>
      </cdr:txBody>
    </cdr:sp>
  </cdr:relSizeAnchor>
  <cdr:relSizeAnchor xmlns:cdr="http://schemas.openxmlformats.org/drawingml/2006/chartDrawing">
    <cdr:from>
      <cdr:x>0.1165</cdr:x>
      <cdr:y>0.9435</cdr:y>
    </cdr:from>
    <cdr:to>
      <cdr:x>0.15875</cdr:x>
      <cdr:y>0.95925</cdr:y>
    </cdr:to>
    <cdr:sp macro="" textlink="">
      <cdr:nvSpPr>
        <cdr:cNvPr id="4101" name="Text 23"/>
        <cdr:cNvSpPr txBox="1">
          <a:spLocks xmlns:a="http://schemas.openxmlformats.org/drawingml/2006/main" noChangeArrowheads="1"/>
        </cdr:cNvSpPr>
      </cdr:nvSpPr>
      <cdr:spPr bwMode="auto">
        <a:xfrm xmlns:a="http://schemas.openxmlformats.org/drawingml/2006/main">
          <a:off x="1101895" y="6803036"/>
          <a:ext cx="399614" cy="11356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#50</a:t>
          </a:r>
        </a:p>
      </cdr:txBody>
    </cdr:sp>
  </cdr:relSizeAnchor>
  <cdr:relSizeAnchor xmlns:cdr="http://schemas.openxmlformats.org/drawingml/2006/chartDrawing">
    <cdr:from>
      <cdr:x>0.55925</cdr:x>
      <cdr:y>0.946</cdr:y>
    </cdr:from>
    <cdr:to>
      <cdr:x>0.5945</cdr:x>
      <cdr:y>0.9605</cdr:y>
    </cdr:to>
    <cdr:sp macro="" textlink="">
      <cdr:nvSpPr>
        <cdr:cNvPr id="4102" name="Text 25"/>
        <cdr:cNvSpPr txBox="1">
          <a:spLocks xmlns:a="http://schemas.openxmlformats.org/drawingml/2006/main" noChangeArrowheads="1"/>
        </cdr:cNvSpPr>
      </cdr:nvSpPr>
      <cdr:spPr bwMode="auto">
        <a:xfrm xmlns:a="http://schemas.openxmlformats.org/drawingml/2006/main">
          <a:off x="5289568" y="6821062"/>
          <a:ext cx="333406" cy="10455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1</a:t>
          </a:r>
        </a:p>
      </cdr:txBody>
    </cdr:sp>
  </cdr:relSizeAnchor>
  <cdr:relSizeAnchor xmlns:cdr="http://schemas.openxmlformats.org/drawingml/2006/chartDrawing">
    <cdr:from>
      <cdr:x>0.6595</cdr:x>
      <cdr:y>0.946</cdr:y>
    </cdr:from>
    <cdr:to>
      <cdr:x>0.69575</cdr:x>
      <cdr:y>0.96725</cdr:y>
    </cdr:to>
    <cdr:sp macro="" textlink="">
      <cdr:nvSpPr>
        <cdr:cNvPr id="4103" name="Text 26"/>
        <cdr:cNvSpPr txBox="1">
          <a:spLocks xmlns:a="http://schemas.openxmlformats.org/drawingml/2006/main" noChangeArrowheads="1"/>
        </cdr:cNvSpPr>
      </cdr:nvSpPr>
      <cdr:spPr bwMode="auto">
        <a:xfrm xmlns:a="http://schemas.openxmlformats.org/drawingml/2006/main">
          <a:off x="6237765" y="6821062"/>
          <a:ext cx="342865" cy="15322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1 1/2</a:t>
          </a:r>
        </a:p>
      </cdr:txBody>
    </cdr:sp>
  </cdr:relSizeAnchor>
  <cdr:relSizeAnchor xmlns:cdr="http://schemas.openxmlformats.org/drawingml/2006/chartDrawing">
    <cdr:from>
      <cdr:x>0.7475</cdr:x>
      <cdr:y>0.949</cdr:y>
    </cdr:from>
    <cdr:to>
      <cdr:x>0.77475</cdr:x>
      <cdr:y>0.9755</cdr:y>
    </cdr:to>
    <cdr:sp macro="" textlink="">
      <cdr:nvSpPr>
        <cdr:cNvPr id="4104" name="Text 27"/>
        <cdr:cNvSpPr txBox="1">
          <a:spLocks xmlns:a="http://schemas.openxmlformats.org/drawingml/2006/main" noChangeArrowheads="1"/>
        </cdr:cNvSpPr>
      </cdr:nvSpPr>
      <cdr:spPr bwMode="auto">
        <a:xfrm xmlns:a="http://schemas.openxmlformats.org/drawingml/2006/main">
          <a:off x="7070098" y="6842693"/>
          <a:ext cx="257739" cy="191077"/>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2</a:t>
          </a:r>
        </a:p>
      </cdr:txBody>
    </cdr:sp>
  </cdr:relSizeAnchor>
  <cdr:relSizeAnchor xmlns:cdr="http://schemas.openxmlformats.org/drawingml/2006/chartDrawing">
    <cdr:from>
      <cdr:x>0.49875</cdr:x>
      <cdr:y>0.9445</cdr:y>
    </cdr:from>
    <cdr:to>
      <cdr:x>0.534</cdr:x>
      <cdr:y>0.959</cdr:y>
    </cdr:to>
    <cdr:sp macro="" textlink="">
      <cdr:nvSpPr>
        <cdr:cNvPr id="4105" name="Text 28"/>
        <cdr:cNvSpPr txBox="1">
          <a:spLocks xmlns:a="http://schemas.openxmlformats.org/drawingml/2006/main" noChangeArrowheads="1"/>
        </cdr:cNvSpPr>
      </cdr:nvSpPr>
      <cdr:spPr bwMode="auto">
        <a:xfrm xmlns:a="http://schemas.openxmlformats.org/drawingml/2006/main">
          <a:off x="4717340" y="6810246"/>
          <a:ext cx="333406" cy="10455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3/4</a:t>
          </a:r>
        </a:p>
      </cdr:txBody>
    </cdr:sp>
  </cdr:relSizeAnchor>
  <cdr:relSizeAnchor xmlns:cdr="http://schemas.openxmlformats.org/drawingml/2006/chartDrawing">
    <cdr:from>
      <cdr:x>0.42375</cdr:x>
      <cdr:y>0.946</cdr:y>
    </cdr:from>
    <cdr:to>
      <cdr:x>0.457</cdr:x>
      <cdr:y>0.9605</cdr:y>
    </cdr:to>
    <cdr:sp macro="" textlink="">
      <cdr:nvSpPr>
        <cdr:cNvPr id="4106" name="Text 29"/>
        <cdr:cNvSpPr txBox="1">
          <a:spLocks xmlns:a="http://schemas.openxmlformats.org/drawingml/2006/main" noChangeArrowheads="1"/>
        </cdr:cNvSpPr>
      </cdr:nvSpPr>
      <cdr:spPr bwMode="auto">
        <a:xfrm xmlns:a="http://schemas.openxmlformats.org/drawingml/2006/main">
          <a:off x="4007965" y="6821062"/>
          <a:ext cx="314490" cy="10455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1/2</a:t>
          </a:r>
        </a:p>
      </cdr:txBody>
    </cdr:sp>
  </cdr:relSizeAnchor>
  <cdr:relSizeAnchor xmlns:cdr="http://schemas.openxmlformats.org/drawingml/2006/chartDrawing">
    <cdr:from>
      <cdr:x>0.29475</cdr:x>
      <cdr:y>0.9445</cdr:y>
    </cdr:from>
    <cdr:to>
      <cdr:x>0.328</cdr:x>
      <cdr:y>0.975</cdr:y>
    </cdr:to>
    <cdr:sp macro="" textlink="">
      <cdr:nvSpPr>
        <cdr:cNvPr id="4107" name="Text 11"/>
        <cdr:cNvSpPr txBox="1">
          <a:spLocks xmlns:a="http://schemas.openxmlformats.org/drawingml/2006/main" noChangeArrowheads="1"/>
        </cdr:cNvSpPr>
      </cdr:nvSpPr>
      <cdr:spPr bwMode="auto">
        <a:xfrm xmlns:a="http://schemas.openxmlformats.org/drawingml/2006/main">
          <a:off x="2787841" y="6810246"/>
          <a:ext cx="314490" cy="21991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#4</a:t>
          </a:r>
        </a:p>
      </cdr:txBody>
    </cdr:sp>
  </cdr:relSizeAnchor>
  <cdr:relSizeAnchor xmlns:cdr="http://schemas.openxmlformats.org/drawingml/2006/chartDrawing">
    <cdr:from>
      <cdr:x>0.38325</cdr:x>
      <cdr:y>0.9445</cdr:y>
    </cdr:from>
    <cdr:to>
      <cdr:x>0.4165</cdr:x>
      <cdr:y>0.96575</cdr:y>
    </cdr:to>
    <cdr:sp macro="" textlink="">
      <cdr:nvSpPr>
        <cdr:cNvPr id="4108" name="Text 12"/>
        <cdr:cNvSpPr txBox="1">
          <a:spLocks xmlns:a="http://schemas.openxmlformats.org/drawingml/2006/main" noChangeArrowheads="1"/>
        </cdr:cNvSpPr>
      </cdr:nvSpPr>
      <cdr:spPr bwMode="auto">
        <a:xfrm xmlns:a="http://schemas.openxmlformats.org/drawingml/2006/main">
          <a:off x="3624903" y="6810246"/>
          <a:ext cx="314489" cy="15322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3/8</a:t>
          </a:r>
        </a:p>
      </cdr:txBody>
    </cdr:sp>
  </cdr:relSizeAnchor>
</c:userShapes>
</file>

<file path=xl/drawings/drawing7.xml><?xml version="1.0" encoding="utf-8"?>
<xdr:wsDr xmlns:xdr="http://schemas.openxmlformats.org/drawingml/2006/spreadsheetDrawing" xmlns:a="http://schemas.openxmlformats.org/drawingml/2006/main">
  <xdr:twoCellAnchor>
    <xdr:from>
      <xdr:col>0</xdr:col>
      <xdr:colOff>209550</xdr:colOff>
      <xdr:row>1</xdr:row>
      <xdr:rowOff>9525</xdr:rowOff>
    </xdr:from>
    <xdr:to>
      <xdr:col>11</xdr:col>
      <xdr:colOff>342900</xdr:colOff>
      <xdr:row>23</xdr:row>
      <xdr:rowOff>47625</xdr:rowOff>
    </xdr:to>
    <xdr:graphicFrame macro="">
      <xdr:nvGraphicFramePr>
        <xdr:cNvPr id="1092796" name="Chart 2">
          <a:extLst>
            <a:ext uri="{FF2B5EF4-FFF2-40B4-BE49-F238E27FC236}">
              <a16:creationId xmlns:a16="http://schemas.microsoft.com/office/drawing/2014/main" id="{00000000-0008-0000-0800-0000BCAC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209550</xdr:colOff>
      <xdr:row>24</xdr:row>
      <xdr:rowOff>76200</xdr:rowOff>
    </xdr:from>
    <xdr:to>
      <xdr:col>11</xdr:col>
      <xdr:colOff>352425</xdr:colOff>
      <xdr:row>42</xdr:row>
      <xdr:rowOff>152400</xdr:rowOff>
    </xdr:to>
    <xdr:graphicFrame macro="">
      <xdr:nvGraphicFramePr>
        <xdr:cNvPr id="1092797" name="Chart 3">
          <a:extLst>
            <a:ext uri="{FF2B5EF4-FFF2-40B4-BE49-F238E27FC236}">
              <a16:creationId xmlns:a16="http://schemas.microsoft.com/office/drawing/2014/main" id="{00000000-0008-0000-0800-0000BDAC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247650</xdr:colOff>
      <xdr:row>45</xdr:row>
      <xdr:rowOff>9525</xdr:rowOff>
    </xdr:from>
    <xdr:to>
      <xdr:col>11</xdr:col>
      <xdr:colOff>314325</xdr:colOff>
      <xdr:row>67</xdr:row>
      <xdr:rowOff>123825</xdr:rowOff>
    </xdr:to>
    <xdr:graphicFrame macro="">
      <xdr:nvGraphicFramePr>
        <xdr:cNvPr id="1092798" name="Chart 4">
          <a:extLst>
            <a:ext uri="{FF2B5EF4-FFF2-40B4-BE49-F238E27FC236}">
              <a16:creationId xmlns:a16="http://schemas.microsoft.com/office/drawing/2014/main" id="{00000000-0008-0000-0800-0000BEAC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247650</xdr:colOff>
      <xdr:row>70</xdr:row>
      <xdr:rowOff>9525</xdr:rowOff>
    </xdr:from>
    <xdr:to>
      <xdr:col>11</xdr:col>
      <xdr:colOff>285750</xdr:colOff>
      <xdr:row>93</xdr:row>
      <xdr:rowOff>152400</xdr:rowOff>
    </xdr:to>
    <xdr:graphicFrame macro="">
      <xdr:nvGraphicFramePr>
        <xdr:cNvPr id="1092799" name="Chart 5">
          <a:extLst>
            <a:ext uri="{FF2B5EF4-FFF2-40B4-BE49-F238E27FC236}">
              <a16:creationId xmlns:a16="http://schemas.microsoft.com/office/drawing/2014/main" id="{00000000-0008-0000-0800-0000BFAC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285750</xdr:colOff>
      <xdr:row>96</xdr:row>
      <xdr:rowOff>0</xdr:rowOff>
    </xdr:from>
    <xdr:to>
      <xdr:col>11</xdr:col>
      <xdr:colOff>247650</xdr:colOff>
      <xdr:row>120</xdr:row>
      <xdr:rowOff>0</xdr:rowOff>
    </xdr:to>
    <xdr:graphicFrame macro="">
      <xdr:nvGraphicFramePr>
        <xdr:cNvPr id="1092800" name="Chart 6">
          <a:extLst>
            <a:ext uri="{FF2B5EF4-FFF2-40B4-BE49-F238E27FC236}">
              <a16:creationId xmlns:a16="http://schemas.microsoft.com/office/drawing/2014/main" id="{00000000-0008-0000-0800-0000C0AC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24</xdr:row>
          <xdr:rowOff>85725</xdr:rowOff>
        </xdr:from>
        <xdr:to>
          <xdr:col>8</xdr:col>
          <xdr:colOff>571500</xdr:colOff>
          <xdr:row>25</xdr:row>
          <xdr:rowOff>133350</xdr:rowOff>
        </xdr:to>
        <xdr:sp macro="" textlink="">
          <xdr:nvSpPr>
            <xdr:cNvPr id="5121" name="Drop Down 7" hidden="1">
              <a:extLst>
                <a:ext uri="{63B3BB69-23CF-44E3-9099-C40C66FF867C}">
                  <a14:compatExt spid="_x0000_s5121"/>
                </a:ext>
                <a:ext uri="{FF2B5EF4-FFF2-40B4-BE49-F238E27FC236}">
                  <a16:creationId xmlns:a16="http://schemas.microsoft.com/office/drawing/2014/main" id="{00000000-0008-0000-0A00-00000114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24</xdr:row>
          <xdr:rowOff>85725</xdr:rowOff>
        </xdr:from>
        <xdr:to>
          <xdr:col>8</xdr:col>
          <xdr:colOff>571500</xdr:colOff>
          <xdr:row>25</xdr:row>
          <xdr:rowOff>133350</xdr:rowOff>
        </xdr:to>
        <xdr:sp macro="" textlink="">
          <xdr:nvSpPr>
            <xdr:cNvPr id="6145" name="Drop Down 8" hidden="1">
              <a:extLst>
                <a:ext uri="{63B3BB69-23CF-44E3-9099-C40C66FF867C}">
                  <a14:compatExt spid="_x0000_s6145"/>
                </a:ext>
                <a:ext uri="{FF2B5EF4-FFF2-40B4-BE49-F238E27FC236}">
                  <a16:creationId xmlns:a16="http://schemas.microsoft.com/office/drawing/2014/main" id="{00000000-0008-0000-0B00-0000011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24</xdr:row>
          <xdr:rowOff>85725</xdr:rowOff>
        </xdr:from>
        <xdr:to>
          <xdr:col>8</xdr:col>
          <xdr:colOff>571500</xdr:colOff>
          <xdr:row>25</xdr:row>
          <xdr:rowOff>133350</xdr:rowOff>
        </xdr:to>
        <xdr:sp macro="" textlink="">
          <xdr:nvSpPr>
            <xdr:cNvPr id="7169" name="Drop Down 9" hidden="1">
              <a:extLst>
                <a:ext uri="{63B3BB69-23CF-44E3-9099-C40C66FF867C}">
                  <a14:compatExt spid="_x0000_s7169"/>
                </a:ext>
                <a:ext uri="{FF2B5EF4-FFF2-40B4-BE49-F238E27FC236}">
                  <a16:creationId xmlns:a16="http://schemas.microsoft.com/office/drawing/2014/main" id="{00000000-0008-0000-0C00-0000011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24</xdr:row>
          <xdr:rowOff>85725</xdr:rowOff>
        </xdr:from>
        <xdr:to>
          <xdr:col>8</xdr:col>
          <xdr:colOff>571500</xdr:colOff>
          <xdr:row>25</xdr:row>
          <xdr:rowOff>133350</xdr:rowOff>
        </xdr:to>
        <xdr:sp macro="" textlink="">
          <xdr:nvSpPr>
            <xdr:cNvPr id="8193" name="Drop Down 10" hidden="1">
              <a:extLst>
                <a:ext uri="{63B3BB69-23CF-44E3-9099-C40C66FF867C}">
                  <a14:compatExt spid="_x0000_s8193"/>
                </a:ext>
                <a:ext uri="{FF2B5EF4-FFF2-40B4-BE49-F238E27FC236}">
                  <a16:creationId xmlns:a16="http://schemas.microsoft.com/office/drawing/2014/main" id="{00000000-0008-0000-0D00-00000120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11</xdr:row>
          <xdr:rowOff>152400</xdr:rowOff>
        </xdr:from>
        <xdr:to>
          <xdr:col>8</xdr:col>
          <xdr:colOff>428625</xdr:colOff>
          <xdr:row>13</xdr:row>
          <xdr:rowOff>19050</xdr:rowOff>
        </xdr:to>
        <xdr:sp macro="" textlink="">
          <xdr:nvSpPr>
            <xdr:cNvPr id="40961" name="ComboBox1" hidden="1">
              <a:extLst>
                <a:ext uri="{63B3BB69-23CF-44E3-9099-C40C66FF867C}">
                  <a14:compatExt spid="_x0000_s40961"/>
                </a:ext>
                <a:ext uri="{FF2B5EF4-FFF2-40B4-BE49-F238E27FC236}">
                  <a16:creationId xmlns:a16="http://schemas.microsoft.com/office/drawing/2014/main" id="{00000000-0008-0000-11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133350</xdr:colOff>
      <xdr:row>1</xdr:row>
      <xdr:rowOff>142875</xdr:rowOff>
    </xdr:from>
    <xdr:to>
      <xdr:col>2</xdr:col>
      <xdr:colOff>66675</xdr:colOff>
      <xdr:row>2</xdr:row>
      <xdr:rowOff>53975</xdr:rowOff>
    </xdr:to>
    <xdr:pic>
      <xdr:nvPicPr>
        <xdr:cNvPr id="2" name="Picture 1" descr="PTE_Jan 26.png">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srcRect l="16532" r="15323"/>
        <a:stretch>
          <a:fillRect/>
        </a:stretch>
      </xdr:blipFill>
      <xdr:spPr>
        <a:xfrm>
          <a:off x="133350" y="476250"/>
          <a:ext cx="1609725" cy="7874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180975</xdr:colOff>
          <xdr:row>1</xdr:row>
          <xdr:rowOff>247650</xdr:rowOff>
        </xdr:from>
        <xdr:to>
          <xdr:col>15</xdr:col>
          <xdr:colOff>104775</xdr:colOff>
          <xdr:row>1</xdr:row>
          <xdr:rowOff>676275</xdr:rowOff>
        </xdr:to>
        <xdr:sp macro="" textlink="">
          <xdr:nvSpPr>
            <xdr:cNvPr id="41985" name="Label1" hidden="1">
              <a:extLst>
                <a:ext uri="{63B3BB69-23CF-44E3-9099-C40C66FF867C}">
                  <a14:compatExt spid="_x0000_s41985"/>
                </a:ext>
                <a:ext uri="{FF2B5EF4-FFF2-40B4-BE49-F238E27FC236}">
                  <a16:creationId xmlns:a16="http://schemas.microsoft.com/office/drawing/2014/main" id="{00000000-0008-0000-1200-000001A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371475</xdr:rowOff>
        </xdr:from>
        <xdr:to>
          <xdr:col>5</xdr:col>
          <xdr:colOff>0</xdr:colOff>
          <xdr:row>1</xdr:row>
          <xdr:rowOff>752475</xdr:rowOff>
        </xdr:to>
        <xdr:sp macro="" textlink="">
          <xdr:nvSpPr>
            <xdr:cNvPr id="41986" name="cbLoadData" hidden="1">
              <a:extLst>
                <a:ext uri="{63B3BB69-23CF-44E3-9099-C40C66FF867C}">
                  <a14:compatExt spid="_x0000_s41986"/>
                </a:ext>
                <a:ext uri="{FF2B5EF4-FFF2-40B4-BE49-F238E27FC236}">
                  <a16:creationId xmlns:a16="http://schemas.microsoft.com/office/drawing/2014/main" id="{00000000-0008-0000-1200-000002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133350</xdr:colOff>
      <xdr:row>1</xdr:row>
      <xdr:rowOff>142875</xdr:rowOff>
    </xdr:from>
    <xdr:to>
      <xdr:col>2</xdr:col>
      <xdr:colOff>66675</xdr:colOff>
      <xdr:row>2</xdr:row>
      <xdr:rowOff>53975</xdr:rowOff>
    </xdr:to>
    <xdr:pic>
      <xdr:nvPicPr>
        <xdr:cNvPr id="2" name="Picture 1" descr="PTE_Jan 26.png">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srcRect l="16532" r="15323"/>
        <a:stretch>
          <a:fillRect/>
        </a:stretch>
      </xdr:blipFill>
      <xdr:spPr>
        <a:xfrm>
          <a:off x="133350" y="476250"/>
          <a:ext cx="1609725" cy="7874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180975</xdr:colOff>
          <xdr:row>1</xdr:row>
          <xdr:rowOff>247650</xdr:rowOff>
        </xdr:from>
        <xdr:to>
          <xdr:col>15</xdr:col>
          <xdr:colOff>104775</xdr:colOff>
          <xdr:row>1</xdr:row>
          <xdr:rowOff>676275</xdr:rowOff>
        </xdr:to>
        <xdr:sp macro="" textlink="">
          <xdr:nvSpPr>
            <xdr:cNvPr id="65537" name="Label1" hidden="1">
              <a:extLst>
                <a:ext uri="{63B3BB69-23CF-44E3-9099-C40C66FF867C}">
                  <a14:compatExt spid="_x0000_s65537"/>
                </a:ext>
                <a:ext uri="{FF2B5EF4-FFF2-40B4-BE49-F238E27FC236}">
                  <a16:creationId xmlns:a16="http://schemas.microsoft.com/office/drawing/2014/main" id="{00000000-0008-0000-1300-00000100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371475</xdr:rowOff>
        </xdr:from>
        <xdr:to>
          <xdr:col>5</xdr:col>
          <xdr:colOff>0</xdr:colOff>
          <xdr:row>1</xdr:row>
          <xdr:rowOff>752475</xdr:rowOff>
        </xdr:to>
        <xdr:sp macro="" textlink="">
          <xdr:nvSpPr>
            <xdr:cNvPr id="65538" name="cbLoadData" hidden="1">
              <a:extLst>
                <a:ext uri="{63B3BB69-23CF-44E3-9099-C40C66FF867C}">
                  <a14:compatExt spid="_x0000_s65538"/>
                </a:ext>
                <a:ext uri="{FF2B5EF4-FFF2-40B4-BE49-F238E27FC236}">
                  <a16:creationId xmlns:a16="http://schemas.microsoft.com/office/drawing/2014/main" id="{00000000-0008-0000-1300-000002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133350</xdr:colOff>
      <xdr:row>1</xdr:row>
      <xdr:rowOff>142875</xdr:rowOff>
    </xdr:from>
    <xdr:to>
      <xdr:col>2</xdr:col>
      <xdr:colOff>66675</xdr:colOff>
      <xdr:row>2</xdr:row>
      <xdr:rowOff>53975</xdr:rowOff>
    </xdr:to>
    <xdr:pic>
      <xdr:nvPicPr>
        <xdr:cNvPr id="2" name="Picture 1" descr="PTE_Jan 26.png">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srcRect l="16532" r="15323"/>
        <a:stretch>
          <a:fillRect/>
        </a:stretch>
      </xdr:blipFill>
      <xdr:spPr>
        <a:xfrm>
          <a:off x="133350" y="476250"/>
          <a:ext cx="1609725" cy="7874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180975</xdr:colOff>
          <xdr:row>1</xdr:row>
          <xdr:rowOff>247650</xdr:rowOff>
        </xdr:from>
        <xdr:to>
          <xdr:col>15</xdr:col>
          <xdr:colOff>104775</xdr:colOff>
          <xdr:row>1</xdr:row>
          <xdr:rowOff>676275</xdr:rowOff>
        </xdr:to>
        <xdr:sp macro="" textlink="">
          <xdr:nvSpPr>
            <xdr:cNvPr id="66561" name="Label1" hidden="1">
              <a:extLst>
                <a:ext uri="{63B3BB69-23CF-44E3-9099-C40C66FF867C}">
                  <a14:compatExt spid="_x0000_s66561"/>
                </a:ext>
                <a:ext uri="{FF2B5EF4-FFF2-40B4-BE49-F238E27FC236}">
                  <a16:creationId xmlns:a16="http://schemas.microsoft.com/office/drawing/2014/main" id="{00000000-0008-0000-1400-00000104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371475</xdr:rowOff>
        </xdr:from>
        <xdr:to>
          <xdr:col>5</xdr:col>
          <xdr:colOff>0</xdr:colOff>
          <xdr:row>1</xdr:row>
          <xdr:rowOff>752475</xdr:rowOff>
        </xdr:to>
        <xdr:sp macro="" textlink="">
          <xdr:nvSpPr>
            <xdr:cNvPr id="66562" name="cbLoadData" hidden="1">
              <a:extLst>
                <a:ext uri="{63B3BB69-23CF-44E3-9099-C40C66FF867C}">
                  <a14:compatExt spid="_x0000_s66562"/>
                </a:ext>
                <a:ext uri="{FF2B5EF4-FFF2-40B4-BE49-F238E27FC236}">
                  <a16:creationId xmlns:a16="http://schemas.microsoft.com/office/drawing/2014/main" id="{00000000-0008-0000-1400-000002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133350</xdr:colOff>
      <xdr:row>1</xdr:row>
      <xdr:rowOff>142875</xdr:rowOff>
    </xdr:from>
    <xdr:to>
      <xdr:col>2</xdr:col>
      <xdr:colOff>66675</xdr:colOff>
      <xdr:row>2</xdr:row>
      <xdr:rowOff>53975</xdr:rowOff>
    </xdr:to>
    <xdr:pic>
      <xdr:nvPicPr>
        <xdr:cNvPr id="2" name="Picture 1" descr="PTE_Jan 26.png">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cstate="print"/>
        <a:srcRect l="16532" r="15323"/>
        <a:stretch>
          <a:fillRect/>
        </a:stretch>
      </xdr:blipFill>
      <xdr:spPr>
        <a:xfrm>
          <a:off x="133350" y="476250"/>
          <a:ext cx="1609725" cy="7874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180975</xdr:colOff>
          <xdr:row>1</xdr:row>
          <xdr:rowOff>247650</xdr:rowOff>
        </xdr:from>
        <xdr:to>
          <xdr:col>15</xdr:col>
          <xdr:colOff>104775</xdr:colOff>
          <xdr:row>1</xdr:row>
          <xdr:rowOff>676275</xdr:rowOff>
        </xdr:to>
        <xdr:sp macro="" textlink="">
          <xdr:nvSpPr>
            <xdr:cNvPr id="67585" name="Label1" hidden="1">
              <a:extLst>
                <a:ext uri="{63B3BB69-23CF-44E3-9099-C40C66FF867C}">
                  <a14:compatExt spid="_x0000_s67585"/>
                </a:ext>
                <a:ext uri="{FF2B5EF4-FFF2-40B4-BE49-F238E27FC236}">
                  <a16:creationId xmlns:a16="http://schemas.microsoft.com/office/drawing/2014/main" id="{00000000-0008-0000-1500-0000010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371475</xdr:rowOff>
        </xdr:from>
        <xdr:to>
          <xdr:col>5</xdr:col>
          <xdr:colOff>0</xdr:colOff>
          <xdr:row>1</xdr:row>
          <xdr:rowOff>752475</xdr:rowOff>
        </xdr:to>
        <xdr:sp macro="" textlink="">
          <xdr:nvSpPr>
            <xdr:cNvPr id="67586" name="cbLoadData" hidden="1">
              <a:extLst>
                <a:ext uri="{63B3BB69-23CF-44E3-9099-C40C66FF867C}">
                  <a14:compatExt spid="_x0000_s67586"/>
                </a:ext>
                <a:ext uri="{FF2B5EF4-FFF2-40B4-BE49-F238E27FC236}">
                  <a16:creationId xmlns:a16="http://schemas.microsoft.com/office/drawing/2014/main" id="{00000000-0008-0000-1500-000002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11</xdr:row>
          <xdr:rowOff>152400</xdr:rowOff>
        </xdr:from>
        <xdr:to>
          <xdr:col>8</xdr:col>
          <xdr:colOff>428625</xdr:colOff>
          <xdr:row>13</xdr:row>
          <xdr:rowOff>19050</xdr:rowOff>
        </xdr:to>
        <xdr:sp macro="" textlink="">
          <xdr:nvSpPr>
            <xdr:cNvPr id="43009" name="ComboBox1" hidden="1">
              <a:extLst>
                <a:ext uri="{63B3BB69-23CF-44E3-9099-C40C66FF867C}">
                  <a14:compatExt spid="_x0000_s43009"/>
                </a:ext>
                <a:ext uri="{FF2B5EF4-FFF2-40B4-BE49-F238E27FC236}">
                  <a16:creationId xmlns:a16="http://schemas.microsoft.com/office/drawing/2014/main" id="{00000000-0008-0000-16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kymsoffice-my.sharepoint.com/Users/Tate.Sallee/Downloads/MIXPACK2019_VER11_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Documents%20and%20Settings\bradp\Desktop\Kentucky\Kentucky_SM_Materials\Committees\technical_committee\Applet\disciplines\STRCONC_Structural%20Concrete%20QC-QA\Structural_QC-QA_Spreadsheet_BGP_060124.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N:\Documents%20and%20Settings\MBlack\Desktop\CONCPVMT_ZLot_060508%20with%20data.xl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850%20IDEAL-CT%20Workbook%20V1.03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sign Data"/>
      <sheetName val="Rand. #'s (cont.)"/>
      <sheetName val="Polish-Resistant Data"/>
      <sheetName val="Recycle Data"/>
      <sheetName val="Project Items"/>
      <sheetName val="1-Pt. Check"/>
      <sheetName val="Graphs"/>
      <sheetName val="0.45 Power Chart"/>
      <sheetName val="0.45 Power Chart-Master Range"/>
      <sheetName val="TSR"/>
      <sheetName val="Performance Specimens"/>
      <sheetName val="KYCT Data"/>
      <sheetName val="Hamburg Data"/>
      <sheetName val="Error"/>
      <sheetName val="Chart Data"/>
      <sheetName val="Workbook Edits"/>
      <sheetName val="discipline"/>
      <sheetName val="AMMIXPACK"/>
      <sheetName val="t_smpl"/>
      <sheetName val="t_cont_smpl"/>
      <sheetName val="t_rmks_dtl"/>
      <sheetName val="t_smpl_tst"/>
      <sheetName val="t_smpl_tstr"/>
      <sheetName val="t_tst_rslt_hdr"/>
      <sheetName val="t_tst_rslt_dtl"/>
      <sheetName val="t_superpave"/>
      <sheetName val="t_bit_conc_mixblnd"/>
      <sheetName val="RndGenerat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AR2" t="str">
            <v>Dol. #10's Unwashed</v>
          </cell>
          <cell r="AV2" t="str">
            <v>LU00642</v>
          </cell>
        </row>
        <row r="3">
          <cell r="AR3" t="str">
            <v>Dol. #10's Washed</v>
          </cell>
          <cell r="AV3" t="str">
            <v>LU01210</v>
          </cell>
        </row>
        <row r="4">
          <cell r="AR4" t="str">
            <v>Dol. #11's Unwashed</v>
          </cell>
          <cell r="AV4" t="str">
            <v>LU02210</v>
          </cell>
        </row>
        <row r="5">
          <cell r="AR5" t="str">
            <v>Dol. #11's Washed</v>
          </cell>
          <cell r="AV5" t="str">
            <v>LU03210</v>
          </cell>
        </row>
        <row r="6">
          <cell r="AR6" t="str">
            <v>Dolomite #67's</v>
          </cell>
          <cell r="AV6" t="str">
            <v>LU04210</v>
          </cell>
        </row>
        <row r="7">
          <cell r="AR7" t="str">
            <v>Dolomite #67's Class A</v>
          </cell>
          <cell r="AV7" t="str">
            <v>LU05210</v>
          </cell>
        </row>
        <row r="8">
          <cell r="AR8" t="str">
            <v>Dolomite #67's Class B</v>
          </cell>
          <cell r="AV8" t="str">
            <v>LU06210</v>
          </cell>
        </row>
        <row r="9">
          <cell r="AR9" t="str">
            <v>Dolomite #68's</v>
          </cell>
          <cell r="AV9" t="str">
            <v>LU07210</v>
          </cell>
        </row>
        <row r="10">
          <cell r="AR10" t="str">
            <v>Dolomite #68's Class A</v>
          </cell>
          <cell r="AV10" t="str">
            <v>LU08210</v>
          </cell>
        </row>
        <row r="11">
          <cell r="AR11" t="str">
            <v>Dolomite #68's Class B</v>
          </cell>
          <cell r="AV11" t="str">
            <v>LU09210</v>
          </cell>
        </row>
        <row r="12">
          <cell r="AR12" t="str">
            <v>Dolomite #78's</v>
          </cell>
          <cell r="AV12" t="str">
            <v>LU10210</v>
          </cell>
        </row>
        <row r="13">
          <cell r="AR13" t="str">
            <v>Dolomite #78's Class A</v>
          </cell>
          <cell r="AV13" t="str">
            <v>LU11210</v>
          </cell>
        </row>
        <row r="14">
          <cell r="AR14" t="str">
            <v>Dolomite #78's Class B</v>
          </cell>
          <cell r="AV14" t="str">
            <v>LU12210</v>
          </cell>
        </row>
        <row r="15">
          <cell r="AR15" t="str">
            <v>Dolomite #8's</v>
          </cell>
        </row>
        <row r="16">
          <cell r="AR16" t="str">
            <v>Dolomite #8's Class A</v>
          </cell>
        </row>
        <row r="17">
          <cell r="AR17" t="str">
            <v>Dolomite #8's Class B</v>
          </cell>
        </row>
        <row r="18">
          <cell r="AR18" t="str">
            <v>Dolomite #9M's</v>
          </cell>
        </row>
        <row r="19">
          <cell r="AR19" t="str">
            <v>Dolomite #9M's Class A</v>
          </cell>
        </row>
        <row r="20">
          <cell r="AR20" t="str">
            <v>Dolomite #9M's Class B</v>
          </cell>
        </row>
        <row r="21">
          <cell r="AR21" t="str">
            <v>Dolomite Comb.-NSG</v>
          </cell>
        </row>
        <row r="22">
          <cell r="AR22" t="str">
            <v>Dolomite NSG Class A</v>
          </cell>
        </row>
        <row r="23">
          <cell r="AR23" t="str">
            <v>Dolomite NSG Class B</v>
          </cell>
        </row>
        <row r="24">
          <cell r="AR24" t="str">
            <v>Dol. NSG Fine (Unwashed)</v>
          </cell>
        </row>
        <row r="25">
          <cell r="AR25" t="str">
            <v>Dol. NSG Fine (Washed)</v>
          </cell>
        </row>
        <row r="26">
          <cell r="AR26" t="str">
            <v>Dolomite NSG-Coarse</v>
          </cell>
        </row>
        <row r="27">
          <cell r="AR27" t="str">
            <v>Dol. Sand (Unwashed)</v>
          </cell>
        </row>
        <row r="28">
          <cell r="AR28" t="str">
            <v>Dol. Sand (Washed)</v>
          </cell>
        </row>
        <row r="29">
          <cell r="AR29" t="str">
            <v>Dolomite Sand Class A</v>
          </cell>
        </row>
        <row r="30">
          <cell r="AR30" t="str">
            <v>Dolomite Sand Class B</v>
          </cell>
        </row>
        <row r="31">
          <cell r="AR31" t="str">
            <v>Granite #67's</v>
          </cell>
        </row>
        <row r="32">
          <cell r="AR32" t="str">
            <v>Granite #78's</v>
          </cell>
        </row>
        <row r="33">
          <cell r="AR33" t="str">
            <v>Granite #8's</v>
          </cell>
        </row>
        <row r="34">
          <cell r="AR34" t="str">
            <v>Granite #9M's</v>
          </cell>
        </row>
        <row r="35">
          <cell r="AR35" t="str">
            <v>Granite Sand</v>
          </cell>
        </row>
        <row r="36">
          <cell r="AR36" t="str">
            <v>Gravel #57's</v>
          </cell>
        </row>
        <row r="37">
          <cell r="AR37" t="str">
            <v>Gravel #67's</v>
          </cell>
        </row>
        <row r="38">
          <cell r="AR38" t="str">
            <v>Gravel #78's</v>
          </cell>
        </row>
        <row r="39">
          <cell r="AR39" t="str">
            <v>Gravel #8's</v>
          </cell>
        </row>
        <row r="40">
          <cell r="AR40" t="str">
            <v>Gravel #9M's</v>
          </cell>
        </row>
        <row r="41">
          <cell r="AR41" t="str">
            <v>Gravel Sand-Crushed</v>
          </cell>
        </row>
        <row r="42">
          <cell r="AR42" t="str">
            <v>LS #10's (Unwashed)</v>
          </cell>
        </row>
        <row r="43">
          <cell r="AR43" t="str">
            <v>LS #10's (Washed)</v>
          </cell>
        </row>
        <row r="44">
          <cell r="AR44" t="str">
            <v>LS #11's (Unwashed)</v>
          </cell>
        </row>
        <row r="45">
          <cell r="AR45" t="str">
            <v>LS #11's (Washed)</v>
          </cell>
        </row>
        <row r="46">
          <cell r="AR46" t="str">
            <v>Limestone #357's</v>
          </cell>
        </row>
        <row r="47">
          <cell r="AR47" t="str">
            <v>Limestone #467's</v>
          </cell>
        </row>
        <row r="48">
          <cell r="AR48" t="str">
            <v>Limestone #4's</v>
          </cell>
        </row>
        <row r="49">
          <cell r="AR49" t="str">
            <v>Limestone #57's</v>
          </cell>
        </row>
        <row r="50">
          <cell r="AR50" t="str">
            <v>Limestone #5's</v>
          </cell>
        </row>
        <row r="51">
          <cell r="AR51" t="str">
            <v>Limestone #67's</v>
          </cell>
        </row>
        <row r="52">
          <cell r="AR52" t="str">
            <v>LS #67's Class A</v>
          </cell>
        </row>
        <row r="53">
          <cell r="AR53" t="str">
            <v>LS #67's Class B</v>
          </cell>
        </row>
        <row r="54">
          <cell r="AR54" t="str">
            <v>Limestone #68's</v>
          </cell>
        </row>
        <row r="55">
          <cell r="AR55" t="str">
            <v>LS #68's Class A</v>
          </cell>
        </row>
        <row r="56">
          <cell r="AR56" t="str">
            <v>LS #68's Class B</v>
          </cell>
        </row>
        <row r="57">
          <cell r="AR57" t="str">
            <v>Limestone #78's</v>
          </cell>
        </row>
        <row r="58">
          <cell r="AR58" t="str">
            <v>LS #78's Class A</v>
          </cell>
        </row>
        <row r="59">
          <cell r="AR59" t="str">
            <v>LS #78's Class B</v>
          </cell>
        </row>
        <row r="60">
          <cell r="AR60" t="str">
            <v>Limestone #8's</v>
          </cell>
        </row>
        <row r="61">
          <cell r="AR61" t="str">
            <v>LS #8's Class A</v>
          </cell>
        </row>
        <row r="62">
          <cell r="AR62" t="str">
            <v>LS #8's Class B</v>
          </cell>
        </row>
        <row r="63">
          <cell r="AR63" t="str">
            <v>Limestone #9M's</v>
          </cell>
        </row>
        <row r="64">
          <cell r="AR64" t="str">
            <v>LS #9M's Class A</v>
          </cell>
        </row>
        <row r="65">
          <cell r="AR65" t="str">
            <v>LS #9M's Class B</v>
          </cell>
        </row>
        <row r="66">
          <cell r="AR66" t="str">
            <v>LS Combined-NSG</v>
          </cell>
        </row>
        <row r="67">
          <cell r="AR67" t="str">
            <v>Limestone DGA</v>
          </cell>
        </row>
        <row r="68">
          <cell r="AR68" t="str">
            <v>LS NSG Class A</v>
          </cell>
        </row>
        <row r="69">
          <cell r="AR69" t="str">
            <v>LS NSG Class B</v>
          </cell>
        </row>
        <row r="70">
          <cell r="AR70" t="str">
            <v>LS NSG-Coarse</v>
          </cell>
        </row>
        <row r="71">
          <cell r="AR71" t="str">
            <v>LS NSG-Fine (Unwashed)</v>
          </cell>
        </row>
        <row r="72">
          <cell r="AR72" t="str">
            <v>LS NSG-Fine (Washed)</v>
          </cell>
        </row>
        <row r="73">
          <cell r="AR73" t="str">
            <v>LSS (Unwashed)</v>
          </cell>
        </row>
        <row r="74">
          <cell r="AR74" t="str">
            <v>LSS (Washed)</v>
          </cell>
        </row>
        <row r="75">
          <cell r="AR75" t="str">
            <v>LSS Anti-Skid A (Unwashed)</v>
          </cell>
        </row>
        <row r="76">
          <cell r="AR76" t="str">
            <v>LSS Anti-Skid A (Washed)</v>
          </cell>
        </row>
        <row r="77">
          <cell r="AR77" t="str">
            <v>LSS Anti-Skid B (Unwashed)</v>
          </cell>
        </row>
        <row r="78">
          <cell r="AR78" t="str">
            <v>LSS Anti-Skid B (Washed)</v>
          </cell>
        </row>
        <row r="79">
          <cell r="AR79" t="str">
            <v>Mineral Filler</v>
          </cell>
        </row>
        <row r="80">
          <cell r="AR80" t="str">
            <v>Natural Sand</v>
          </cell>
        </row>
        <row r="81">
          <cell r="AR81" t="str">
            <v>Natural Rock Asphalt</v>
          </cell>
        </row>
        <row r="82">
          <cell r="AR82" t="str">
            <v>Coarse RAP</v>
          </cell>
        </row>
        <row r="83">
          <cell r="AR83" t="str">
            <v>Intermediate RAP</v>
          </cell>
        </row>
        <row r="84">
          <cell r="AR84" t="str">
            <v>Fine RAP</v>
          </cell>
        </row>
        <row r="85">
          <cell r="AR85" t="str">
            <v>Quartzite #8's Class A</v>
          </cell>
        </row>
        <row r="86">
          <cell r="AR86" t="str">
            <v>Quartzite #9M's Class A</v>
          </cell>
        </row>
        <row r="87">
          <cell r="AR87" t="str">
            <v>Quartzite Sand (Unwashed) Class A</v>
          </cell>
        </row>
        <row r="88">
          <cell r="AR88" t="str">
            <v>Quartzite Sand (Washed) Class A</v>
          </cell>
        </row>
        <row r="89">
          <cell r="AR89" t="str">
            <v>ROM</v>
          </cell>
        </row>
        <row r="90">
          <cell r="AR90" t="str">
            <v>Sandst. #78’s Class A</v>
          </cell>
        </row>
        <row r="91">
          <cell r="AR91" t="str">
            <v>Sandst. #8’s Class A</v>
          </cell>
        </row>
        <row r="92">
          <cell r="AR92" t="str">
            <v>Sandst. #9-M’s Class A</v>
          </cell>
        </row>
        <row r="93">
          <cell r="AR93" t="str">
            <v>Sandst. #11’s Class A</v>
          </cell>
        </row>
        <row r="94">
          <cell r="AR94" t="str">
            <v>Sandst. Sand (Unwashed) Class A</v>
          </cell>
        </row>
        <row r="95">
          <cell r="AR95" t="str">
            <v>Sandst. Sand (Washed) Class A</v>
          </cell>
        </row>
        <row r="96">
          <cell r="AR96" t="str">
            <v>Shingles</v>
          </cell>
        </row>
        <row r="97">
          <cell r="AR97" t="str">
            <v>Siltstone #67's</v>
          </cell>
        </row>
        <row r="98">
          <cell r="AR98" t="str">
            <v>Siltstone #78's</v>
          </cell>
        </row>
        <row r="99">
          <cell r="AR99" t="str">
            <v>Siltstone #8's</v>
          </cell>
        </row>
        <row r="100">
          <cell r="AR100" t="str">
            <v>Siltstone #9M's</v>
          </cell>
        </row>
        <row r="101">
          <cell r="AR101" t="str">
            <v>Siltsone Sand</v>
          </cell>
        </row>
        <row r="102">
          <cell r="AR102" t="str">
            <v>Slag #57's</v>
          </cell>
        </row>
        <row r="103">
          <cell r="AR103" t="str">
            <v>Slag #67's Class A</v>
          </cell>
        </row>
        <row r="104">
          <cell r="AR104" t="str">
            <v>Slag #67's Class B</v>
          </cell>
        </row>
        <row r="105">
          <cell r="AR105" t="str">
            <v>Slag #68's Class A</v>
          </cell>
        </row>
        <row r="106">
          <cell r="AR106" t="str">
            <v>Slag #68's Class B</v>
          </cell>
        </row>
        <row r="107">
          <cell r="AR107" t="str">
            <v>Slag #78's Class A</v>
          </cell>
        </row>
        <row r="108">
          <cell r="AR108" t="str">
            <v>Slag #78's Class B</v>
          </cell>
        </row>
        <row r="109">
          <cell r="AR109" t="str">
            <v>Slag #8's Class A</v>
          </cell>
        </row>
        <row r="110">
          <cell r="AR110" t="str">
            <v>Slag #8's Class B</v>
          </cell>
        </row>
        <row r="111">
          <cell r="AR111" t="str">
            <v>Slag #9M's Class A</v>
          </cell>
        </row>
        <row r="112">
          <cell r="AR112" t="str">
            <v>Slag #9M's Class B</v>
          </cell>
        </row>
        <row r="113">
          <cell r="AR113" t="str">
            <v>Slag NSG Class A</v>
          </cell>
        </row>
        <row r="114">
          <cell r="AR114" t="str">
            <v>Slag NSG Class B</v>
          </cell>
        </row>
        <row r="115">
          <cell r="AR115" t="str">
            <v>Slag Sand Class A</v>
          </cell>
        </row>
        <row r="116">
          <cell r="AR116" t="str">
            <v>Slag Sand Class B</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Details"/>
      <sheetName val="SM Mapping"/>
      <sheetName val="Template &quot;Conc Plastic Tests&quot;"/>
      <sheetName val="Template &quot;Conc Comp Strength&quot;"/>
      <sheetName val="Drop Downs and Tables"/>
    </sheetNames>
    <sheetDataSet>
      <sheetData sheetId="0"/>
      <sheetData sheetId="1"/>
      <sheetData sheetId="2"/>
      <sheetData sheetId="3"/>
      <sheetData sheetId="4"/>
      <sheetData sheetId="5">
        <row r="23">
          <cell r="A23" t="str">
            <v>YES</v>
          </cell>
        </row>
        <row r="24">
          <cell r="A24" t="str">
            <v>NO</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Project Items"/>
      <sheetName val="Start-Up"/>
      <sheetName val="Early_Break"/>
      <sheetName val="QC-QA_Acpt"/>
      <sheetName val="discipline"/>
      <sheetName val="t_smpl"/>
      <sheetName val="t_cont_smpl"/>
      <sheetName val="t_smpl_tst"/>
      <sheetName val="t_smpl_tstr"/>
      <sheetName val="t_tst_rslt_hdr"/>
      <sheetName val="t_tst_rslt_dtl"/>
      <sheetName val="t_rmks_dtl"/>
      <sheetName val="COCONCPLAS"/>
      <sheetName val="COCONCCOMP"/>
      <sheetName val="Drop_Downs_and_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DEAL-CT Data"/>
      <sheetName val="Stability vs. Flow"/>
      <sheetName val="Revisions"/>
      <sheetName val="Help Text"/>
      <sheetName val="Specimen 1 Report (old)"/>
      <sheetName val="IDEAL-CT Report"/>
    </sheetNames>
    <sheetDataSet>
      <sheetData sheetId="0" refreshError="1"/>
      <sheetData sheetId="1" refreshError="1"/>
      <sheetData sheetId="2">
        <row r="1">
          <cell r="A1" t="str">
            <v>V1.03</v>
          </cell>
        </row>
      </sheetData>
      <sheetData sheetId="3" refreshError="1"/>
      <sheetData sheetId="4" refreshError="1"/>
      <sheetData sheetId="5">
        <row r="6">
          <cell r="Q6">
            <v>1</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0000000}" name="List1" displayName="List1" ref="A5:C99" tableType="xml" insertRowShift="1" totalsRowShown="0" headerRowDxfId="149" headerRowBorderDxfId="148" tableBorderDxfId="147" totalsRowBorderDxfId="146" headerRowCellStyle="Normal_CONCPVMT_VER12_20060927">
  <autoFilter ref="A5:C99" xr:uid="{00000000-0009-0000-0100-000009000000}"/>
  <tableColumns count="3">
    <tableColumn id="1" xr3:uid="{00000000-0010-0000-0000-000001000000}" uniqueName="ns1:prj_nbr" name="prj_nbr" dataDxfId="145" dataCellStyle="Normal_CONCPVMT_VER12_20060927">
      <xmlColumnPr mapId="5" xpath="/ns1:MaterialDisciplines/ns1:t_cont_smpl_itm/ns1:t_cont_smpl_itmTable/ns1:prj_nbr" xmlDataType="string"/>
    </tableColumn>
    <tableColumn id="2" xr3:uid="{00000000-0010-0000-0000-000002000000}" uniqueName="ns1:ln_itm_nbr" name="ln_itm_nbr" dataDxfId="144" dataCellStyle="Normal_CONCPVMT_VER12_20060927">
      <xmlColumnPr mapId="5" xpath="/ns1:MaterialDisciplines/ns1:t_cont_smpl_itm/ns1:t_cont_smpl_itmTable/ns1:ln_itm_nbr" xmlDataType="string"/>
    </tableColumn>
    <tableColumn id="3" xr3:uid="{00000000-0010-0000-0000-000003000000}" uniqueName="ns1:repr_qty" name="repr_qty" dataDxfId="143" dataCellStyle="Normal_CONCPVMT_VER12_20060927">
      <xmlColumnPr mapId="5" xpath="/ns1:MaterialDisciplines/ns1:t_cont_smpl_itm/ns1:t_cont_smpl_itmTable/ns1:repr_qty" xmlDataType="string"/>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List1" displayName="List1_1" ref="A1:E2" tableType="xml" totalsRowShown="0" headerRowDxfId="126" headerRowCellStyle="Normal_CONCPVMT_VER12_20060927" dataCellStyle="Normal_CONCPVMT_VER12_20060927">
  <autoFilter ref="A1:E2" xr:uid="{00000000-0009-0000-0100-000001000000}"/>
  <tableColumns count="5">
    <tableColumn id="1" xr3:uid="{00000000-0010-0000-0100-000001000000}" uniqueName="ns1:discipline_id" name="discipline_id" dataDxfId="125" dataCellStyle="Normal_CONCPVMT_VER12_20060927">
      <xmlColumnPr mapId="5" xpath="/ns1:MaterialDisciplines/ns1:discipline/ns1:disciplineTable/ns1:discipline_id" xmlDataType="string"/>
    </tableColumn>
    <tableColumn id="2" xr3:uid="{00000000-0010-0000-0100-000002000000}" uniqueName="ns1:discipline_version" name="discipline_version" dataDxfId="124" dataCellStyle="Normal_CONCPVMT_VER12_20060927">
      <xmlColumnPr mapId="5" xpath="/ns1:MaterialDisciplines/ns1:discipline/ns1:disciplineTable/ns1:discipline_version" xmlDataType="string"/>
    </tableColumn>
    <tableColumn id="3" xr3:uid="{00000000-0010-0000-0100-000003000000}" uniqueName="ns1:replace_allowed_indicator" name="replace_allowed_indicator" dataDxfId="123" dataCellStyle="Normal_CONCPVMT_VER12_20060927">
      <xmlColumnPr mapId="5" xpath="/ns1:MaterialDisciplines/ns1:discipline/ns1:disciplineTable/ns1:replace_allowed_indicator" xmlDataType="string"/>
    </tableColumn>
    <tableColumn id="4" xr3:uid="{00000000-0010-0000-0100-000004000000}" uniqueName="ns1:district" name="district" dataDxfId="122" dataCellStyle="Normal_CONCPVMT_VER12_20060927">
      <calculatedColumnFormula>LEFT('Pay Values'!B3,2)</calculatedColumnFormula>
      <xmlColumnPr mapId="5" xpath="/ns1:MaterialDisciplines/ns1:discipline/ns1:disciplineTable/ns1:district" xmlDataType="string"/>
    </tableColumn>
    <tableColumn id="5" xr3:uid="{00000000-0010-0000-0100-000005000000}" uniqueName="ns1:Filename" name="Filename" dataDxfId="121" dataCellStyle="Normal_CONCPVMT_VER12_20060927">
      <calculatedColumnFormula>'Pay Values'!B3</calculatedColumnFormula>
      <xmlColumnPr mapId="5" xpath="/ns1:MaterialDisciplines/ns1:discipline/ns1:disciplineTable/ns1:Filename" xmlDataType="string"/>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List1" displayName="List1_2" ref="B7:BC14" tableType="xml" insertRowShift="1" totalsRowShown="0" headerRowDxfId="120" dataDxfId="118" headerRowBorderDxfId="119" tableBorderDxfId="117" headerRowCellStyle="Normal_CONCPVMT_VER12_20060927" dataCellStyle="Normal_CONCPVMT_VER12_20060927">
  <autoFilter ref="B7:BC14" xr:uid="{00000000-0009-0000-0100-000002000000}"/>
  <tableColumns count="54">
    <tableColumn id="1" xr3:uid="{00000000-0010-0000-0200-000001000000}" uniqueName="ns1:smpl_id" name="smpl_id" dataDxfId="116" dataCellStyle="Normal_CONCPVMT_VER12_20060927">
      <xmlColumnPr mapId="5" xpath="/ns1:MaterialDisciplines/ns1:t_smpl/ns1:t_smplTable/ns1:smpl_id" xmlDataType="string"/>
    </tableColumn>
    <tableColumn id="2" xr3:uid="{00000000-0010-0000-0200-000002000000}" uniqueName="ns1:acpt_meth_t" name="acpt_meth_t" dataDxfId="115" dataCellStyle="Normal_CONCPVMT_VER12_20060927">
      <xmlColumnPr mapId="5" xpath="/ns1:MaterialDisciplines/ns1:t_smpl/ns1:t_smplTable/ns1:acpt_meth_t" xmlDataType="string"/>
    </tableColumn>
    <tableColumn id="3" xr3:uid="{00000000-0010-0000-0200-000003000000}" uniqueName="ns1:auth_by_cms_uid" name="auth_by_cms_uid" dataDxfId="114" dataCellStyle="Normal_CONCPVMT_VER12_20060927">
      <xmlColumnPr mapId="5" xpath="/ns1:MaterialDisciplines/ns1:t_smpl/ns1:t_smplTable/ns1:auth_by_cms_uid" xmlDataType="string"/>
    </tableColumn>
    <tableColumn id="4" xr3:uid="{00000000-0010-0000-0200-000004000000}" uniqueName="ns1:auth_dt" name="auth_dt" dataDxfId="113" dataCellStyle="Normal_CONCPVMT_VER12_20060927">
      <xmlColumnPr mapId="5" xpath="/ns1:MaterialDisciplines/ns1:t_smpl/ns1:t_smplTable/ns1:auth_dt" xmlDataType="string"/>
    </tableColumn>
    <tableColumn id="5" xr3:uid="{00000000-0010-0000-0200-000005000000}" uniqueName="ns1:cms_uid" name="cms_uid" dataDxfId="112" dataCellStyle="Normal_CONCPVMT_VER12_20060927">
      <xmlColumnPr mapId="5" xpath="/ns1:MaterialDisciplines/ns1:t_smpl/ns1:t_smplTable/ns1:cms_uid" xmlDataType="string"/>
    </tableColumn>
    <tableColumn id="6" xr3:uid="{00000000-0010-0000-0200-000006000000}" uniqueName="ns1:cntrl_nbr" name="cntrl_nbr" dataDxfId="111" dataCellStyle="Normal_CONCPVMT_VER12_20060927">
      <xmlColumnPr mapId="5" xpath="/ns1:MaterialDisciplines/ns1:t_smpl/ns1:t_smplTable/ns1:cntrl_nbr" xmlDataType="string"/>
    </tableColumn>
    <tableColumn id="7" xr3:uid="{00000000-0010-0000-0200-000007000000}" uniqueName="ns1:cntrl_t" name="cntrl_t" dataDxfId="110" dataCellStyle="Normal_CONCPVMT_VER12_20060927">
      <xmlColumnPr mapId="5" xpath="/ns1:MaterialDisciplines/ns1:t_smpl/ns1:t_smplTable/ns1:cntrl_t" xmlDataType="string"/>
    </tableColumn>
    <tableColumn id="8" xr3:uid="{00000000-0010-0000-0200-000008000000}" uniqueName="ns1:geog_area_t" name="geog_area_t" dataDxfId="109" dataCellStyle="Normal_CONCPVMT_VER12_20060927">
      <xmlColumnPr mapId="5" xpath="/ns1:MaterialDisciplines/ns1:t_smpl/ns1:t_smplTable/ns1:geog_area_t" xmlDataType="string"/>
    </tableColumn>
    <tableColumn id="9" xr3:uid="{00000000-0010-0000-0200-000009000000}" uniqueName="ns1:intd_use_txt" name="intd_use_txt" dataDxfId="108" dataCellStyle="Normal_CONCPVMT_VER12_20060927">
      <xmlColumnPr mapId="5" xpath="/ns1:MaterialDisciplines/ns1:t_smpl/ns1:t_smplTable/ns1:intd_use_txt" xmlDataType="string"/>
    </tableColumn>
    <tableColumn id="10" xr3:uid="{00000000-0010-0000-0200-00000A000000}" uniqueName="ns1:last_modfd_dt" name="last_modfd_dt" dataDxfId="107" dataCellStyle="Normal_CONCPVMT_VER12_20060927">
      <xmlColumnPr mapId="5" xpath="/ns1:MaterialDisciplines/ns1:t_smpl/ns1:t_smplTable/ns1:last_modfd_dt" xmlDataType="string"/>
    </tableColumn>
    <tableColumn id="11" xr3:uid="{00000000-0010-0000-0200-00000B000000}" uniqueName="ns1:last_modfd_uid" name="last_modfd_uid" dataDxfId="106" dataCellStyle="Normal_CONCPVMT_VER12_20060927">
      <xmlColumnPr mapId="5" xpath="/ns1:MaterialDisciplines/ns1:t_smpl/ns1:t_smplTable/ns1:last_modfd_uid" xmlDataType="string"/>
    </tableColumn>
    <tableColumn id="12" xr3:uid="{00000000-0010-0000-0200-00000C000000}" uniqueName="ns1:log_dt" name="log_dt" dataDxfId="105" dataCellStyle="Normal_CONCPVMT_VER12_20060927">
      <xmlColumnPr mapId="5" xpath="/ns1:MaterialDisciplines/ns1:t_smpl/ns1:t_smplTable/ns1:log_dt" xmlDataType="string"/>
    </tableColumn>
    <tableColumn id="13" xr3:uid="{00000000-0010-0000-0200-00000D000000}" uniqueName="ns1:matl_cd" name="matl_cd" dataDxfId="104" dataCellStyle="Normal_CONCPVMT_VER12_20060927">
      <xmlColumnPr mapId="5" xpath="/ns1:MaterialDisciplines/ns1:t_smpl/ns1:t_smplTable/ns1:matl_cd" xmlDataType="string"/>
    </tableColumn>
    <tableColumn id="14" xr3:uid="{00000000-0010-0000-0200-00000E000000}" uniqueName="ns1:offst" name="offst" dataDxfId="103" dataCellStyle="Normal_CONCPVMT_VER12_20060927">
      <xmlColumnPr mapId="5" xpath="/ns1:MaterialDisciplines/ns1:t_smpl/ns1:t_smplTable/ns1:offst" xmlDataType="string"/>
    </tableColumn>
    <tableColumn id="15" xr3:uid="{00000000-0010-0000-0200-00000F000000}" uniqueName="ns1:plant_id" name="plant_id" dataDxfId="102" dataCellStyle="Normal_CONCPVMT_VER12_20060927">
      <xmlColumnPr mapId="5" xpath="/ns1:MaterialDisciplines/ns1:t_smpl/ns1:t_smplTable/ns1:plant_id" xmlDataType="string"/>
    </tableColumn>
    <tableColumn id="16" xr3:uid="{00000000-0010-0000-0200-000010000000}" uniqueName="ns1:prodr_supp_cd" name="prodr_supp_cd" dataDxfId="101" dataCellStyle="Normal_CONCPVMT_VER12_20060927">
      <xmlColumnPr mapId="5" xpath="/ns1:MaterialDisciplines/ns1:t_smpl/ns1:t_smplTable/ns1:prodr_supp_cd" xmlDataType="string"/>
    </tableColumn>
    <tableColumn id="17" xr3:uid="{00000000-0010-0000-0200-000011000000}" uniqueName="ns1:rel_smpl_id" name="rel_smpl_id" dataDxfId="100" dataCellStyle="Normal_CONCPVMT_VER12_20060927">
      <xmlColumnPr mapId="5" xpath="/ns1:MaterialDisciplines/ns1:t_smpl/ns1:t_smplTable/ns1:rel_smpl_id" xmlDataType="string"/>
    </tableColumn>
    <tableColumn id="18" xr3:uid="{00000000-0010-0000-0200-000012000000}" uniqueName="ns1:rmrks_id" name="rmrks_id" dataDxfId="99" dataCellStyle="Normal_CONCPVMT_VER12_20060927">
      <xmlColumnPr mapId="5" xpath="/ns1:MaterialDisciplines/ns1:t_smpl/ns1:t_smplTable/ns1:rmrks_id" xmlDataType="string"/>
    </tableColumn>
    <tableColumn id="19" xr3:uid="{00000000-0010-0000-0200-000013000000}" uniqueName="ns1:smpl_dsn_t" name="smpl_dsn_t" dataDxfId="98" dataCellStyle="Normal_CONCPVMT_VER12_20060927">
      <xmlColumnPr mapId="5" xpath="/ns1:MaterialDisciplines/ns1:t_smpl/ns1:t_smplTable/ns1:smpl_dsn_t" xmlDataType="string"/>
    </tableColumn>
    <tableColumn id="20" xr3:uid="{00000000-0010-0000-0200-000014000000}" uniqueName="ns1:smpl_dt" name="smpl_dt" dataDxfId="97" dataCellStyle="Normal_CONCPVMT_VER12_20060927">
      <xmlColumnPr mapId="5" xpath="/ns1:MaterialDisciplines/ns1:t_smpl/ns1:t_smplTable/ns1:smpl_dt" xmlDataType="string"/>
    </tableColumn>
    <tableColumn id="21" xr3:uid="{00000000-0010-0000-0200-000015000000}" uniqueName="ns1:smpl_mix_id" name="smpl_mix_id" dataDxfId="96" dataCellStyle="Normal_CONCPVMT_VER12_20060927">
      <xmlColumnPr mapId="5" xpath="/ns1:MaterialDisciplines/ns1:t_smpl/ns1:t_smplTable/ns1:smpl_mix_id" xmlDataType="string"/>
    </tableColumn>
    <tableColumn id="22" xr3:uid="{00000000-0010-0000-0200-000016000000}" uniqueName="ns1:smpl_t" name="smpl_t" dataDxfId="95" dataCellStyle="Normal_CONCPVMT_VER12_20060927">
      <xmlColumnPr mapId="5" xpath="/ns1:MaterialDisciplines/ns1:t_smpl/ns1:t_smplTable/ns1:smpl_t" xmlDataType="string"/>
    </tableColumn>
    <tableColumn id="23" xr3:uid="{00000000-0010-0000-0200-000017000000}" uniqueName="ns1:smpld_by" name="smpld_by" dataDxfId="94" dataCellStyle="Normal_CONCPVMT_VER12_20060927">
      <xmlColumnPr mapId="5" xpath="/ns1:MaterialDisciplines/ns1:t_smpl/ns1:t_smplTable/ns1:smpld_by" xmlDataType="string"/>
    </tableColumn>
    <tableColumn id="24" xr3:uid="{00000000-0010-0000-0200-000018000000}" uniqueName="ns1:sta" name="sta" dataDxfId="93" dataCellStyle="Normal_CONCPVMT_VER12_20060927">
      <xmlColumnPr mapId="5" xpath="/ns1:MaterialDisciplines/ns1:t_smpl/ns1:t_smplTable/ns1:sta" xmlDataType="string"/>
    </tableColumn>
    <tableColumn id="25" xr3:uid="{00000000-0010-0000-0200-000019000000}" uniqueName="ns1:stat_t" name="stat_t" dataDxfId="92" dataCellStyle="Normal_CONCPVMT_VER12_20060927">
      <xmlColumnPr mapId="5" xpath="/ns1:MaterialDisciplines/ns1:t_smpl/ns1:t_smplTable/ns1:stat_t" xmlDataType="string"/>
    </tableColumn>
    <tableColumn id="26" xr3:uid="{00000000-0010-0000-0200-00001A000000}" uniqueName="ns1:witnes_by_cms_uid" name="witnes_by_cms_uid" dataDxfId="91" dataCellStyle="Normal_CONCPVMT_VER12_20060927">
      <xmlColumnPr mapId="5" xpath="/ns1:MaterialDisciplines/ns1:t_smpl/ns1:t_smplTable/ns1:witnes_by_cms_uid" xmlDataType="string"/>
    </tableColumn>
    <tableColumn id="27" xr3:uid="{00000000-0010-0000-0200-00001B000000}" uniqueName="ns1:prod_nm" name="prod_nm" dataDxfId="90" dataCellStyle="Normal_CONCPVMT_VER12_20060927">
      <xmlColumnPr mapId="5" xpath="/ns1:MaterialDisciplines/ns1:t_smpl/ns1:t_smplTable/ns1:prod_nm" xmlDataType="string"/>
    </tableColumn>
    <tableColumn id="28" xr3:uid="{00000000-0010-0000-0200-00001C000000}" uniqueName="ns1:plant_t" name="plant_t" dataDxfId="89" dataCellStyle="Normal_CONCPVMT_VER12_20060927">
      <xmlColumnPr mapId="5" xpath="/ns1:MaterialDisciplines/ns1:t_smpl/ns1:t_smplTable/ns1:plant_t" xmlDataType="string"/>
    </tableColumn>
    <tableColumn id="29" xr3:uid="{00000000-0010-0000-0200-00001D000000}" uniqueName="ns1:revise_smpl_id" name="revise_smpl_id" dataDxfId="88" dataCellStyle="Normal_CONCPVMT_VER12_20060927">
      <xmlColumnPr mapId="5" xpath="/ns1:MaterialDisciplines/ns1:t_smpl/ns1:t_smplTable/ns1:revise_smpl_id" xmlDataType="string"/>
    </tableColumn>
    <tableColumn id="30" xr3:uid="{00000000-0010-0000-0200-00001E000000}" uniqueName="ns1:smpl_origin" name="smpl_origin" dataDxfId="87" dataCellStyle="Normal_CONCPVMT_VER12_20060927">
      <xmlColumnPr mapId="5" xpath="/ns1:MaterialDisciplines/ns1:t_smpl/ns1:t_smplTable/ns1:smpl_origin" xmlDataType="string"/>
    </tableColumn>
    <tableColumn id="31" xr3:uid="{00000000-0010-0000-0200-00001F000000}" uniqueName="ns1:smpld_fr_txt" name="smpld_fr_txt" dataDxfId="86" dataCellStyle="Normal_CONCPVMT_VER12_20060927">
      <xmlColumnPr mapId="5" xpath="/ns1:MaterialDisciplines/ns1:t_smpl/ns1:t_smplTable/ns1:smpld_fr_txt" xmlDataType="string"/>
    </tableColumn>
    <tableColumn id="32" xr3:uid="{00000000-0010-0000-0200-000020000000}" uniqueName="ns1:unt_t" name="unt_t" dataDxfId="85" dataCellStyle="Normal_CONCPVMT_VER12_20060927">
      <xmlColumnPr mapId="5" xpath="/ns1:MaterialDisciplines/ns1:t_smpl/ns1:t_smplTable/ns1:unt_t" xmlDataType="string"/>
    </tableColumn>
    <tableColumn id="33" xr3:uid="{00000000-0010-0000-0200-000021000000}" uniqueName="ns1:mnfctr_cd" name="mnfctr_cd" dataDxfId="84" dataCellStyle="Normal_CONCPVMT_VER12_20060927">
      <xmlColumnPr mapId="5" xpath="/ns1:MaterialDisciplines/ns1:t_smpl/ns1:t_smplTable/ns1:mnfctr_cd" xmlDataType="string"/>
    </tableColumn>
    <tableColumn id="34" xr3:uid="{00000000-0010-0000-0200-000022000000}" uniqueName="ns1:twn" name="twn" dataDxfId="83" dataCellStyle="Normal_CONCPVMT_VER12_20060927">
      <xmlColumnPr mapId="5" xpath="/ns1:MaterialDisciplines/ns1:t_smpl/ns1:t_smplTable/ns1:twn" xmlDataType="string"/>
    </tableColumn>
    <tableColumn id="35" xr3:uid="{00000000-0010-0000-0200-000023000000}" uniqueName="ns1:buy_usa_ind" name="buy_usa_ind" dataDxfId="82" dataCellStyle="Normal_CONCPVMT_VER12_20060927">
      <xmlColumnPr mapId="5" xpath="/ns1:MaterialDisciplines/ns1:t_smpl/ns1:t_smplTable/ns1:buy_usa_ind" xmlDataType="string"/>
    </tableColumn>
    <tableColumn id="36" xr3:uid="{00000000-0010-0000-0200-000024000000}" uniqueName="ns1:buy_usa_rqrdmt_t" name="buy_usa_rqrdmt_t" dataDxfId="81" dataCellStyle="Normal_CONCPVMT_VER12_20060927">
      <xmlColumnPr mapId="5" xpath="/ns1:MaterialDisciplines/ns1:t_smpl/ns1:t_smplTable/ns1:buy_usa_rqrdmt_t" xmlDataType="string"/>
    </tableColumn>
    <tableColumn id="37" xr3:uid="{00000000-0010-0000-0200-000025000000}" uniqueName="ns1:repr_qty" name="repr_qty" dataDxfId="80" dataCellStyle="Normal_CONCPVMT_VER12_20060927">
      <xmlColumnPr mapId="5" xpath="/ns1:MaterialDisciplines/ns1:t_smpl/ns1:t_smplTable/ns1:repr_qty" xmlDataType="string"/>
    </tableColumn>
    <tableColumn id="38" xr3:uid="{00000000-0010-0000-0200-000026000000}" uniqueName="ns1:ref" name="ref" dataDxfId="79" dataCellStyle="Normal_CONCPVMT_VER12_20060927">
      <xmlColumnPr mapId="5" xpath="/ns1:MaterialDisciplines/ns1:t_smpl/ns1:t_smplTable/ns1:ref" xmlDataType="string"/>
    </tableColumn>
    <tableColumn id="39" xr3:uid="{00000000-0010-0000-0200-000027000000}" uniqueName="ns1:seal_nbr" name="seal_nbr" dataDxfId="78" dataCellStyle="Normal_CONCPVMT_VER12_20060927">
      <xmlColumnPr mapId="5" xpath="/ns1:MaterialDisciplines/ns1:t_smpl/ns1:t_smplTable/ns1:seal_nbr" xmlDataType="string"/>
    </tableColumn>
    <tableColumn id="40" xr3:uid="{00000000-0010-0000-0200-000028000000}" uniqueName="ns1:smpl_sz" name="smpl_sz" dataDxfId="77" dataCellStyle="Normal_CONCPVMT_VER12_20060927">
      <xmlColumnPr mapId="5" xpath="/ns1:MaterialDisciplines/ns1:t_smpl/ns1:t_smplTable/ns1:smpl_sz" xmlDataType="string"/>
    </tableColumn>
    <tableColumn id="41" xr3:uid="{00000000-0010-0000-0200-000029000000}" uniqueName="ns1:reqst_by_nm" name="reqst_by_nm" dataDxfId="76" dataCellStyle="Normal_CONCPVMT_VER12_20060927">
      <xmlColumnPr mapId="5" xpath="/ns1:MaterialDisciplines/ns1:t_smpl/ns1:t_smplTable/ns1:reqst_by_nm" xmlDataType="string"/>
    </tableColumn>
    <tableColumn id="42" xr3:uid="{00000000-0010-0000-0200-00002A000000}" uniqueName="ns1:std_rmrks_ind" name="std_rmrks_ind" dataDxfId="75" dataCellStyle="Normal_CONCPVMT_VER12_20060927">
      <xmlColumnPr mapId="5" xpath="/ns1:MaterialDisciplines/ns1:t_smpl/ns1:t_smplTable/ns1:std_rmrks_ind" xmlDataType="string"/>
    </tableColumn>
    <tableColumn id="43" xr3:uid="{00000000-0010-0000-0200-00002B000000}" uniqueName="ns1:smpl_lock_ind" name="smpl_lock_ind" dataDxfId="74" dataCellStyle="Normal_CONCPVMT_VER12_20060927">
      <xmlColumnPr mapId="5" xpath="/ns1:MaterialDisciplines/ns1:t_smpl/ns1:t_smplTable/ns1:smpl_lock_ind" xmlDataType="string"/>
    </tableColumn>
    <tableColumn id="44" xr3:uid="{00000000-0010-0000-0200-00002C000000}" uniqueName="ns1:dstnc_fnsh_grd" name="dstnc_fnsh_grd" dataDxfId="73" dataCellStyle="Normal_CONCPVMT_VER12_20060927">
      <xmlColumnPr mapId="5" xpath="/ns1:MaterialDisciplines/ns1:t_smpl/ns1:t_smplTable/ns1:dstnc_fnsh_grd" xmlDataType="string"/>
    </tableColumn>
    <tableColumn id="45" xr3:uid="{00000000-0010-0000-0200-00002D000000}" uniqueName="ns1:dstnc_fnsh_grd_unt" name="dstnc_fnsh_grd_unt" dataDxfId="72" dataCellStyle="Normal_CONCPVMT_VER12_20060927">
      <xmlColumnPr mapId="5" xpath="/ns1:MaterialDisciplines/ns1:t_smpl/ns1:t_smplTable/ns1:dstnc_fnsh_grd_unt" xmlDataType="string"/>
    </tableColumn>
    <tableColumn id="46" xr3:uid="{00000000-0010-0000-0200-00002E000000}" uniqueName="ns1:ref_doc" name="ref_doc" dataDxfId="71" dataCellStyle="Normal_CONCPVMT_VER12_20060927">
      <xmlColumnPr mapId="5" xpath="/ns1:MaterialDisciplines/ns1:t_smpl/ns1:t_smplTable/ns1:ref_doc" xmlDataType="string"/>
    </tableColumn>
    <tableColumn id="47" xr3:uid="{00000000-0010-0000-0200-00002F000000}" uniqueName="ns1:sz_unt_t" name="sz_unt_t" dataDxfId="70" dataCellStyle="Normal_CONCPVMT_VER12_20060927">
      <xmlColumnPr mapId="5" xpath="/ns1:MaterialDisciplines/ns1:t_smpl/ns1:t_smplTable/ns1:sz_unt_t" xmlDataType="string"/>
    </tableColumn>
    <tableColumn id="48" xr3:uid="{00000000-0010-0000-0200-000030000000}" uniqueName="ns1:lock_type" name="lock_type" dataDxfId="69" dataCellStyle="Normal_CONCPVMT_VER12_20060927">
      <xmlColumnPr mapId="5" xpath="/ns1:MaterialDisciplines/ns1:t_smpl/ns1:t_smplTable/ns1:lock_type" xmlDataType="string"/>
    </tableColumn>
    <tableColumn id="49" xr3:uid="{00000000-0010-0000-0200-000031000000}" uniqueName="ns1:locked_by" name="locked_by" dataDxfId="68" dataCellStyle="Normal_CONCPVMT_VER12_20060927">
      <xmlColumnPr mapId="5" xpath="/ns1:MaterialDisciplines/ns1:t_smpl/ns1:t_smplTable/ns1:locked_by" xmlDataType="string"/>
    </tableColumn>
    <tableColumn id="50" xr3:uid="{00000000-0010-0000-0200-000032000000}" uniqueName="ns1:lock_dt" name="lock_dt" dataDxfId="67" dataCellStyle="Normal_CONCPVMT_VER12_20060927">
      <xmlColumnPr mapId="5" xpath="/ns1:MaterialDisciplines/ns1:t_smpl/ns1:t_smplTable/ns1:lock_dt" xmlDataType="string"/>
    </tableColumn>
    <tableColumn id="51" xr3:uid="{00000000-0010-0000-0200-000033000000}" uniqueName="ns1:lev1_office_ind" name="lev1_office_ind" dataDxfId="66" dataCellStyle="Normal_CONCPVMT_VER12_20060927">
      <xmlColumnPr mapId="5" xpath="/ns1:MaterialDisciplines/ns1:t_smpl/ns1:t_smplTable/ns1:lev1_office_ind" xmlDataType="string"/>
    </tableColumn>
    <tableColumn id="52" xr3:uid="{00000000-0010-0000-0200-000034000000}" uniqueName="ns1:lev2_office_nbr" name="lev2_office_nbr" dataDxfId="65" dataCellStyle="Normal_CONCPVMT_VER12_20060927">
      <xmlColumnPr mapId="5" xpath="/ns1:MaterialDisciplines/ns1:t_smpl/ns1:t_smplTable/ns1:lev2_office_nbr" xmlDataType="string"/>
    </tableColumn>
    <tableColumn id="53" xr3:uid="{00000000-0010-0000-0200-000035000000}" uniqueName="ns1:lev3_office_nbr" name="lev3_office_nbr" dataDxfId="64" dataCellStyle="Normal_CONCPVMT_VER12_20060927">
      <xmlColumnPr mapId="5" xpath="/ns1:MaterialDisciplines/ns1:t_smpl/ns1:t_smplTable/ns1:lev3_office_nbr" xmlDataType="string"/>
    </tableColumn>
    <tableColumn id="54" xr3:uid="{00000000-0010-0000-0200-000036000000}" uniqueName="ns1:lev4_office_nbr" name="lev4_office_nbr" dataDxfId="63" dataCellStyle="Normal_CONCPVMT_VER12_20060927">
      <xmlColumnPr mapId="5" xpath="/ns1:MaterialDisciplines/ns1:t_smpl/ns1:t_smplTable/ns1:lev4_office_nbr" xmlDataType="string"/>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List1" displayName="List1_3" ref="B7:H14" tableType="xml" totalsRowShown="0" headerRowDxfId="62" dataDxfId="61" tableBorderDxfId="60" headerRowCellStyle="Normal_CONCPVMT_VER12_20060927" dataCellStyle="Normal_CONCPVMT_VER12_20060927">
  <autoFilter ref="B7:H14" xr:uid="{00000000-0009-0000-0100-000003000000}"/>
  <tableColumns count="7">
    <tableColumn id="1" xr3:uid="{00000000-0010-0000-0300-000001000000}" uniqueName="ns1:smpl_id" name="smpl_id" dataDxfId="59" dataCellStyle="Normal_CONCPVMT_VER12_20060927">
      <calculatedColumnFormula>t_smpl!B8</calculatedColumnFormula>
      <xmlColumnPr mapId="5" xpath="/ns1:MaterialDisciplines/ns1:t_cont_smpl/ns1:t_cont_smplTable/ns1:smpl_id" xmlDataType="string"/>
    </tableColumn>
    <tableColumn id="2" xr3:uid="{00000000-0010-0000-0300-000002000000}" uniqueName="ns1:cont_id" name="cont_id" dataDxfId="58" dataCellStyle="Normal_CONCPVMT_VER12_20060927">
      <xmlColumnPr mapId="5" xpath="/ns1:MaterialDisciplines/ns1:t_cont_smpl/ns1:t_cont_smplTable/ns1:cont_id" xmlDataType="string"/>
    </tableColumn>
    <tableColumn id="3" xr3:uid="{00000000-0010-0000-0300-000003000000}" uniqueName="ns1:prj_nbr" name="prj_nbr" dataDxfId="57" dataCellStyle="Normal_CONCPVMT_VER12_20060927">
      <xmlColumnPr mapId="5" xpath="/ns1:MaterialDisciplines/ns1:t_cont_smpl/ns1:t_cont_smplTable/ns1:prj_nbr" xmlDataType="string"/>
    </tableColumn>
    <tableColumn id="4" xr3:uid="{00000000-0010-0000-0300-000004000000}" uniqueName="ns1:ln_itm_nbr" name="ln_itm_nbr" dataDxfId="56" dataCellStyle="Normal_CONCPVMT_VER12_20060927">
      <xmlColumnPr mapId="5" xpath="/ns1:MaterialDisciplines/ns1:t_cont_smpl/ns1:t_cont_smplTable/ns1:ln_itm_nbr" xmlDataType="string"/>
    </tableColumn>
    <tableColumn id="5" xr3:uid="{00000000-0010-0000-0300-000005000000}" uniqueName="ns1:repr_qty" name="repr_qty" dataDxfId="55" dataCellStyle="Normal_CONCPVMT_VER12_20060927">
      <xmlColumnPr mapId="5" xpath="/ns1:MaterialDisciplines/ns1:t_cont_smpl/ns1:t_cont_smplTable/ns1:repr_qty" xmlDataType="string"/>
    </tableColumn>
    <tableColumn id="6" xr3:uid="{00000000-0010-0000-0300-000006000000}" uniqueName="ns1:last_modfd_uid" name="last_modfd_uid" dataDxfId="54" dataCellStyle="Normal_CONCPVMT_VER12_20060927">
      <xmlColumnPr mapId="5" xpath="/ns1:MaterialDisciplines/ns1:t_cont_smpl/ns1:t_cont_smplTable/ns1:last_modfd_uid" xmlDataType="string"/>
    </tableColumn>
    <tableColumn id="7" xr3:uid="{00000000-0010-0000-0300-000007000000}" uniqueName="ns1:last_modfd_dt" name="last_modfd_dt" dataDxfId="53" dataCellStyle="Normal_CONCPVMT_VER12_20060927">
      <xmlColumnPr mapId="5" xpath="/ns1:MaterialDisciplines/ns1:t_cont_smpl/ns1:t_cont_smplTable/ns1:last_modfd_dt" xmlDataType="string"/>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List1" displayName="List1_4" ref="B7:G357" tableType="xml" totalsRowShown="0" headerRowDxfId="52" tableBorderDxfId="51" headerRowCellStyle="Normal_CONCPVMT_VER12_20060927">
  <autoFilter ref="B7:G357" xr:uid="{00000000-0009-0000-0100-000004000000}"/>
  <tableColumns count="6">
    <tableColumn id="1" xr3:uid="{00000000-0010-0000-0400-000001000000}" uniqueName="ns1:rmrks_id" name="rmrks_id" dataDxfId="50" dataCellStyle="Normal_CONCPVMT_VER12_20060927">
      <xmlColumnPr mapId="5" xpath="/ns1:MaterialDisciplines/ns1:t_rmrks_dtl/ns1:t_rmrks_dtlTable/ns1:rmrks_id" xmlDataType="string"/>
    </tableColumn>
    <tableColumn id="2" xr3:uid="{00000000-0010-0000-0400-000002000000}" uniqueName="ns1:rmrks_t" name="rmrks_t" dataDxfId="49" dataCellStyle="Normal_CONCPVMT_VER12_20060927">
      <xmlColumnPr mapId="5" xpath="/ns1:MaterialDisciplines/ns1:t_rmrks_dtl/ns1:t_rmrks_dtlTable/ns1:rmrks_t" xmlDataType="string"/>
    </tableColumn>
    <tableColumn id="3" xr3:uid="{00000000-0010-0000-0400-000003000000}" uniqueName="ns1:rmrks_sn" name="rmrks_sn" dataDxfId="48" dataCellStyle="Normal_CONCPVMT_VER12_20060927">
      <calculatedColumnFormula>D7+1</calculatedColumnFormula>
      <xmlColumnPr mapId="5" xpath="/ns1:MaterialDisciplines/ns1:t_rmrks_dtl/ns1:t_rmrks_dtlTable/ns1:rmrks_sn" xmlDataType="string"/>
    </tableColumn>
    <tableColumn id="4" xr3:uid="{00000000-0010-0000-0400-000004000000}" uniqueName="ns1:rmrks_txt_fld" name="rmrks_txt_fld" dataDxfId="47" dataCellStyle="Normal_CONCPVMT_VER12_20060927">
      <xmlColumnPr mapId="5" xpath="/ns1:MaterialDisciplines/ns1:t_rmrks_dtl/ns1:t_rmrks_dtlTable/ns1:rmrks_txt_fld" xmlDataType="string"/>
    </tableColumn>
    <tableColumn id="5" xr3:uid="{00000000-0010-0000-0400-000005000000}" uniqueName="ns1:last_modfd_uid" name="last_modfd_uid" dataDxfId="46" dataCellStyle="Normal_CONCPVMT_VER12_20060927">
      <calculatedColumnFormula>F7</calculatedColumnFormula>
      <xmlColumnPr mapId="5" xpath="/ns1:MaterialDisciplines/ns1:t_rmrks_dtl/ns1:t_rmrks_dtlTable/ns1:last_modfd_uid" xmlDataType="string"/>
    </tableColumn>
    <tableColumn id="6" xr3:uid="{00000000-0010-0000-0400-000006000000}" uniqueName="ns1:last_modfd_dt" name="last_modfd_dt" dataDxfId="45" dataCellStyle="Normal_CONCPVMT_VER12_20060927">
      <xmlColumnPr mapId="5" xpath="/ns1:MaterialDisciplines/ns1:t_rmrks_dtl/ns1:t_rmrks_dtlTable/ns1:last_modfd_dt" xmlDataType="string"/>
    </tableColumn>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List1" displayName="List1_5" ref="B7:K14" tableType="xml" totalsRowShown="0" headerRowDxfId="44" dataDxfId="42" headerRowBorderDxfId="43" tableBorderDxfId="41" headerRowCellStyle="Normal_CONCPVMT_VER12_20060927" dataCellStyle="Normal_CONCPVMT_VER12_20060927">
  <autoFilter ref="B7:K14" xr:uid="{00000000-0009-0000-0100-000005000000}"/>
  <tableColumns count="10">
    <tableColumn id="1" xr3:uid="{00000000-0010-0000-0500-000001000000}" uniqueName="ns1:smpl_id" name="smpl_id" dataDxfId="40" dataCellStyle="Normal_CONCPVMT_VER12_20060927">
      <calculatedColumnFormula>t_smpl!B8</calculatedColumnFormula>
      <xmlColumnPr mapId="5" xpath="/ns1:MaterialDisciplines/ns1:t_smpl_tst/ns1:t_smpl_tstTable/ns1:smpl_id" xmlDataType="string"/>
    </tableColumn>
    <tableColumn id="2" xr3:uid="{00000000-0010-0000-0500-000002000000}" uniqueName="ns1:tst_meth" name="tst_meth" dataDxfId="39" dataCellStyle="Normal_CONCPVMT_VER12_20060927">
      <xmlColumnPr mapId="5" xpath="/ns1:MaterialDisciplines/ns1:t_smpl_tst/ns1:t_smpl_tstTable/ns1:tst_meth" xmlDataType="string"/>
    </tableColumn>
    <tableColumn id="3" xr3:uid="{00000000-0010-0000-0500-000003000000}" uniqueName="ns1:smpl_tst_nbr" name="smpl_tst_nbr" dataDxfId="38" dataCellStyle="Normal_CONCPVMT_VER12_20060927">
      <xmlColumnPr mapId="5" xpath="/ns1:MaterialDisciplines/ns1:t_smpl_tst/ns1:t_smpl_tstTable/ns1:smpl_tst_nbr" xmlDataType="string"/>
    </tableColumn>
    <tableColumn id="4" xr3:uid="{00000000-0010-0000-0500-000004000000}" uniqueName="ns1:lab_id" name="lab_id" dataDxfId="37" dataCellStyle="Normal_CONCPVMT_VER12_20060927">
      <xmlColumnPr mapId="5" xpath="/ns1:MaterialDisciplines/ns1:t_smpl_tst/ns1:t_smpl_tstTable/ns1:lab_id" xmlDataType="string"/>
    </tableColumn>
    <tableColumn id="5" xr3:uid="{00000000-0010-0000-0500-000005000000}" uniqueName="ns1:chrg_amt" name="chrg_amt" dataDxfId="36" dataCellStyle="Normal_CONCPVMT_VER12_20060927">
      <xmlColumnPr mapId="5" xpath="/ns1:MaterialDisciplines/ns1:t_smpl_tst/ns1:t_smpl_tstTable/ns1:chrg_amt" xmlDataType="string"/>
    </tableColumn>
    <tableColumn id="6" xr3:uid="{00000000-0010-0000-0500-000006000000}" uniqueName="ns1:strt_dt" name="strt_dt" dataDxfId="35" dataCellStyle="Normal_CONCPVMT_VER12_20060927">
      <xmlColumnPr mapId="5" xpath="/ns1:MaterialDisciplines/ns1:t_smpl_tst/ns1:t_smpl_tstTable/ns1:strt_dt" xmlDataType="string"/>
    </tableColumn>
    <tableColumn id="7" xr3:uid="{00000000-0010-0000-0500-000007000000}" uniqueName="ns1:est_cmpl_dt" name="est_cmpl_dt" dataDxfId="34" dataCellStyle="Normal_CONCPVMT_VER12_20060927">
      <xmlColumnPr mapId="5" xpath="/ns1:MaterialDisciplines/ns1:t_smpl_tst/ns1:t_smpl_tstTable/ns1:est_cmpl_dt" xmlDataType="string"/>
    </tableColumn>
    <tableColumn id="8" xr3:uid="{00000000-0010-0000-0500-000008000000}" uniqueName="ns1:actl_cmpl_dt" name="actl_cmpl_dt" dataDxfId="33" dataCellStyle="Normal_CONCPVMT_VER12_20060927">
      <xmlColumnPr mapId="5" xpath="/ns1:MaterialDisciplines/ns1:t_smpl_tst/ns1:t_smpl_tstTable/ns1:actl_cmpl_dt" xmlDataType="string"/>
    </tableColumn>
    <tableColumn id="9" xr3:uid="{00000000-0010-0000-0500-000009000000}" uniqueName="ns1:last_modfd_uid" name="last_modfd_uid" dataDxfId="32" dataCellStyle="Normal_CONCPVMT_VER12_20060927">
      <xmlColumnPr mapId="5" xpath="/ns1:MaterialDisciplines/ns1:t_smpl_tst/ns1:t_smpl_tstTable/ns1:last_modfd_uid" xmlDataType="string"/>
    </tableColumn>
    <tableColumn id="10" xr3:uid="{00000000-0010-0000-0500-00000A000000}" uniqueName="ns1:last_modfd_dt" name="last_modfd_dt" dataDxfId="31" dataCellStyle="Normal_CONCPVMT_VER12_20060927">
      <xmlColumnPr mapId="5" xpath="/ns1:MaterialDisciplines/ns1:t_smpl_tst/ns1:t_smpl_tstTable/ns1:last_modfd_dt" xmlDataType="string"/>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List1" displayName="List1_6" ref="B7:G14" tableType="xml" totalsRowShown="0" headerRowDxfId="30" headerRowBorderDxfId="29" tableBorderDxfId="28" headerRowCellStyle="Normal_CONCPVMT_VER12_20060927">
  <autoFilter ref="B7:G14" xr:uid="{00000000-0009-0000-0100-000006000000}"/>
  <tableColumns count="6">
    <tableColumn id="1" xr3:uid="{00000000-0010-0000-0600-000001000000}" uniqueName="ns1:smpl_id" name="smpl_id" dataDxfId="27" dataCellStyle="Normal_CONCPVMT_VER12_20060927">
      <calculatedColumnFormula>t_smpl!B8</calculatedColumnFormula>
      <xmlColumnPr mapId="5" xpath="/ns1:MaterialDisciplines/ns1:t_smpl_tstr/ns1:t_smpl_tstrTable/ns1:smpl_id" xmlDataType="string"/>
    </tableColumn>
    <tableColumn id="2" xr3:uid="{00000000-0010-0000-0600-000002000000}" uniqueName="ns1:tst_meth" name="tst_meth" dataDxfId="26" dataCellStyle="Normal_CONCPVMT_VER12_20060927">
      <xmlColumnPr mapId="5" xpath="/ns1:MaterialDisciplines/ns1:t_smpl_tstr/ns1:t_smpl_tstrTable/ns1:tst_meth" xmlDataType="string"/>
    </tableColumn>
    <tableColumn id="3" xr3:uid="{00000000-0010-0000-0600-000003000000}" uniqueName="ns1:smpl_tst_nbr" name="smpl_tst_nbr" dataDxfId="25" dataCellStyle="Normal_CONCPVMT_VER12_20060927">
      <xmlColumnPr mapId="5" xpath="/ns1:MaterialDisciplines/ns1:t_smpl_tstr/ns1:t_smpl_tstrTable/ns1:smpl_tst_nbr" xmlDataType="string"/>
    </tableColumn>
    <tableColumn id="4" xr3:uid="{00000000-0010-0000-0600-000004000000}" uniqueName="ns1:tst_id" name="tst_id" dataDxfId="24" dataCellStyle="Normal_CONCPVMT_VER12_20060927">
      <xmlColumnPr mapId="5" xpath="/ns1:MaterialDisciplines/ns1:t_smpl_tstr/ns1:t_smpl_tstrTable/ns1:tst_id" xmlDataType="string"/>
    </tableColumn>
    <tableColumn id="5" xr3:uid="{00000000-0010-0000-0600-000005000000}" uniqueName="ns1:last_modfd_uid" name="last_modfd_uid" dataDxfId="23" dataCellStyle="Normal_CONCPVMT_VER12_20060927">
      <xmlColumnPr mapId="5" xpath="/ns1:MaterialDisciplines/ns1:t_smpl_tstr/ns1:t_smpl_tstrTable/ns1:last_modfd_uid" xmlDataType="string"/>
    </tableColumn>
    <tableColumn id="6" xr3:uid="{00000000-0010-0000-0600-000006000000}" uniqueName="ns1:last_modfd_dt" name="last_modfd_dt" dataDxfId="22" dataCellStyle="Normal_CONCPVMT_VER12_20060927">
      <xmlColumnPr mapId="5" xpath="/ns1:MaterialDisciplines/ns1:t_smpl_tstr/ns1:t_smpl_tstrTable/ns1:last_modfd_dt" xmlDataType="string"/>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7000000}" name="List1" displayName="List1_7" ref="B7:H14" tableType="xml" totalsRowShown="0" headerRowDxfId="21" dataDxfId="19" headerRowBorderDxfId="20" tableBorderDxfId="18" headerRowCellStyle="Normal_CONCPVMT_VER12_20060927" dataCellStyle="Normal_CONCPVMT_VER12_20060927">
  <autoFilter ref="B7:H14" xr:uid="{00000000-0009-0000-0100-000007000000}"/>
  <tableColumns count="7">
    <tableColumn id="1" xr3:uid="{00000000-0010-0000-0700-000001000000}" uniqueName="ns1:smpl_id" name="smpl_id" dataDxfId="17" dataCellStyle="Normal_CONCPVMT_VER12_20060927">
      <calculatedColumnFormula>t_smpl!B8</calculatedColumnFormula>
      <xmlColumnPr mapId="5" xpath="/ns1:MaterialDisciplines/ns1:t_tst_rslt_hdr/ns1:t_tst_rslt_hdrTable/ns1:smpl_id" xmlDataType="string"/>
    </tableColumn>
    <tableColumn id="2" xr3:uid="{00000000-0010-0000-0700-000002000000}" uniqueName="ns1:tst_meth" name="tst_meth" dataDxfId="16" dataCellStyle="Normal_CONCPVMT_VER12_20060927">
      <xmlColumnPr mapId="5" xpath="/ns1:MaterialDisciplines/ns1:t_tst_rslt_hdr/ns1:t_tst_rslt_hdrTable/ns1:tst_meth" xmlDataType="string"/>
    </tableColumn>
    <tableColumn id="3" xr3:uid="{00000000-0010-0000-0700-000003000000}" uniqueName="ns1:smpl_tst_nbr" name="smpl_tst_nbr" dataDxfId="15" dataCellStyle="Normal_CONCPVMT_VER12_20060927">
      <xmlColumnPr mapId="5" xpath="/ns1:MaterialDisciplines/ns1:t_tst_rslt_hdr/ns1:t_tst_rslt_hdrTable/ns1:smpl_tst_nbr" xmlDataType="string"/>
    </tableColumn>
    <tableColumn id="4" xr3:uid="{00000000-0010-0000-0700-000004000000}" uniqueName="ns1:rmrks_id" name="rmrks_id" dataDxfId="14" dataCellStyle="Normal_CONCPVMT_VER12_20060927">
      <xmlColumnPr mapId="5" xpath="/ns1:MaterialDisciplines/ns1:t_tst_rslt_hdr/ns1:t_tst_rslt_hdrTable/ns1:rmrks_id" xmlDataType="string"/>
    </tableColumn>
    <tableColumn id="5" xr3:uid="{00000000-0010-0000-0700-000005000000}" uniqueName="ns1:effdt" name="effdt" dataDxfId="13" dataCellStyle="Normal_CONCPVMT_VER12_20060927">
      <xmlColumnPr mapId="5" xpath="/ns1:MaterialDisciplines/ns1:t_tst_rslt_hdr/ns1:t_tst_rslt_hdrTable/ns1:effdt" xmlDataType="string"/>
    </tableColumn>
    <tableColumn id="6" xr3:uid="{00000000-0010-0000-0700-000006000000}" uniqueName="ns1:last_modfd_dt" name="last_modfd_dt" dataDxfId="12" dataCellStyle="Normal_CONCPVMT_VER12_20060927">
      <xmlColumnPr mapId="5" xpath="/ns1:MaterialDisciplines/ns1:t_tst_rslt_hdr/ns1:t_tst_rslt_hdrTable/ns1:last_modfd_dt" xmlDataType="string"/>
    </tableColumn>
    <tableColumn id="7" xr3:uid="{00000000-0010-0000-0700-000007000000}" uniqueName="ns1:last_modfd_uid" name="last_modfd_uid" dataDxfId="11" dataCellStyle="Normal_CONCPVMT_VER12_20060927">
      <xmlColumnPr mapId="5" xpath="/ns1:MaterialDisciplines/ns1:t_tst_rslt_hdr/ns1:t_tst_rslt_hdrTable/ns1:last_modfd_uid" xmlDataType="string"/>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8000000}" name="List1" displayName="List1_8" ref="B7:I1477" tableType="xml" totalsRowShown="0" headerRowDxfId="10" headerRowBorderDxfId="9" tableBorderDxfId="8" headerRowCellStyle="Normal_CONCPVMT_VER12_20060927">
  <autoFilter ref="B7:I1477" xr:uid="{00000000-0009-0000-0100-000008000000}"/>
  <tableColumns count="8">
    <tableColumn id="1" xr3:uid="{00000000-0010-0000-0800-000001000000}" uniqueName="ns1:smpl_id" name="smpl_id" dataDxfId="7" dataCellStyle="Normal_CONCPVMT_VER12_20060927">
      <xmlColumnPr mapId="5" xpath="/ns1:MaterialDisciplines/ns1:t_tst_rslt_dtl/ns1:t_tst_rslt_dtlTable/ns1:smpl_id" xmlDataType="string"/>
    </tableColumn>
    <tableColumn id="2" xr3:uid="{00000000-0010-0000-0800-000002000000}" uniqueName="ns1:tst_meth" name="tst_meth" dataDxfId="6" dataCellStyle="Normal_CONCPVMT_VER12_20060927">
      <xmlColumnPr mapId="5" xpath="/ns1:MaterialDisciplines/ns1:t_tst_rslt_dtl/ns1:t_tst_rslt_dtlTable/ns1:tst_meth" xmlDataType="string"/>
    </tableColumn>
    <tableColumn id="3" xr3:uid="{00000000-0010-0000-0800-000003000000}" uniqueName="ns1:smpl_tst_nbr" name="smpl_tst_nbr" dataDxfId="5" dataCellStyle="Normal_CONCPVMT_VER12_20060927">
      <xmlColumnPr mapId="5" xpath="/ns1:MaterialDisciplines/ns1:t_tst_rslt_dtl/ns1:t_tst_rslt_dtlTable/ns1:smpl_tst_nbr" xmlDataType="string"/>
    </tableColumn>
    <tableColumn id="4" xr3:uid="{00000000-0010-0000-0800-000004000000}" uniqueName="ns1:tst_fld_sn" name="tst_fld_sn" dataDxfId="4" dataCellStyle="Normal_CONCPVMT_VER12_20060927">
      <xmlColumnPr mapId="5" xpath="/ns1:MaterialDisciplines/ns1:t_tst_rslt_dtl/ns1:t_tst_rslt_dtlTable/ns1:tst_fld_sn" xmlDataType="string"/>
    </tableColumn>
    <tableColumn id="5" xr3:uid="{00000000-0010-0000-0800-000005000000}" uniqueName="ns1:tst_strg_fld_val" name="tst_strg_fld_val" dataDxfId="3" dataCellStyle="Normal_CONCPVMT_VER12_20060927">
      <xmlColumnPr mapId="5" xpath="/ns1:MaterialDisciplines/ns1:t_tst_rslt_dtl/ns1:t_tst_rslt_dtlTable/ns1:tst_strg_fld_val" xmlDataType="string"/>
    </tableColumn>
    <tableColumn id="6" xr3:uid="{00000000-0010-0000-0800-000006000000}" uniqueName="ns1:tst_numrc_fld_val" name="tst_numrc_fld_val" dataDxfId="2" dataCellStyle="Normal_CONCPVMT_VER12_20060927">
      <xmlColumnPr mapId="5" xpath="/ns1:MaterialDisciplines/ns1:t_tst_rslt_dtl/ns1:t_tst_rslt_dtlTable/ns1:tst_numrc_fld_val" xmlDataType="string"/>
    </tableColumn>
    <tableColumn id="7" xr3:uid="{00000000-0010-0000-0800-000007000000}" uniqueName="ns1:last_modfd_uid" name="last_modfd_uid" dataDxfId="1" dataCellStyle="Normal_CONCPVMT_VER12_20060927">
      <xmlColumnPr mapId="5" xpath="/ns1:MaterialDisciplines/ns1:t_tst_rslt_dtl/ns1:t_tst_rslt_dtlTable/ns1:last_modfd_uid" xmlDataType="string"/>
    </tableColumn>
    <tableColumn id="8" xr3:uid="{00000000-0010-0000-0800-000008000000}" uniqueName="ns1:last_modfd_dt" name="last_modfd_dt" dataDxfId="0" dataCellStyle="Normal_CONCPVMT_VER12_20060927">
      <xmlColumnPr mapId="5" xpath="/ns1:MaterialDisciplines/ns1:t_tst_rslt_dtl/ns1:t_tst_rslt_dtlTable/ns1:last_modfd_dt" xmlDataType="string"/>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1.xml"/><Relationship Id="rId26" Type="http://schemas.openxmlformats.org/officeDocument/2006/relationships/ctrlProp" Target="../ctrlProps/ctrlProp9.xml"/><Relationship Id="rId3" Type="http://schemas.openxmlformats.org/officeDocument/2006/relationships/vmlDrawing" Target="../drawings/vmlDrawing1.vml"/><Relationship Id="rId21" Type="http://schemas.openxmlformats.org/officeDocument/2006/relationships/ctrlProp" Target="../ctrlProps/ctrlProp4.xml"/><Relationship Id="rId34" Type="http://schemas.openxmlformats.org/officeDocument/2006/relationships/ctrlProp" Target="../ctrlProps/ctrlProp17.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8.xml"/><Relationship Id="rId33" Type="http://schemas.openxmlformats.org/officeDocument/2006/relationships/ctrlProp" Target="../ctrlProps/ctrlProp16.xml"/><Relationship Id="rId38" Type="http://schemas.openxmlformats.org/officeDocument/2006/relationships/ctrlProp" Target="../ctrlProps/ctrlProp21.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3.xml"/><Relationship Id="rId29" Type="http://schemas.openxmlformats.org/officeDocument/2006/relationships/ctrlProp" Target="../ctrlProps/ctrlProp12.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7.xml"/><Relationship Id="rId32" Type="http://schemas.openxmlformats.org/officeDocument/2006/relationships/ctrlProp" Target="../ctrlProps/ctrlProp15.xml"/><Relationship Id="rId37" Type="http://schemas.openxmlformats.org/officeDocument/2006/relationships/ctrlProp" Target="../ctrlProps/ctrlProp20.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6.xml"/><Relationship Id="rId28" Type="http://schemas.openxmlformats.org/officeDocument/2006/relationships/ctrlProp" Target="../ctrlProps/ctrlProp11.xml"/><Relationship Id="rId36" Type="http://schemas.openxmlformats.org/officeDocument/2006/relationships/ctrlProp" Target="../ctrlProps/ctrlProp19.xml"/><Relationship Id="rId10" Type="http://schemas.openxmlformats.org/officeDocument/2006/relationships/control" Target="../activeX/activeX4.xml"/><Relationship Id="rId19" Type="http://schemas.openxmlformats.org/officeDocument/2006/relationships/ctrlProp" Target="../ctrlProps/ctrlProp2.xml"/><Relationship Id="rId31"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5.xml"/><Relationship Id="rId27" Type="http://schemas.openxmlformats.org/officeDocument/2006/relationships/ctrlProp" Target="../ctrlProps/ctrlProp10.xml"/><Relationship Id="rId30" Type="http://schemas.openxmlformats.org/officeDocument/2006/relationships/ctrlProp" Target="../ctrlProps/ctrlProp13.xml"/><Relationship Id="rId35"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3.vml"/><Relationship Id="rId7" Type="http://schemas.openxmlformats.org/officeDocument/2006/relationships/image" Target="../media/image9.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9.xml"/><Relationship Id="rId11" Type="http://schemas.openxmlformats.org/officeDocument/2006/relationships/image" Target="../media/image11.emf"/><Relationship Id="rId5" Type="http://schemas.openxmlformats.org/officeDocument/2006/relationships/image" Target="../media/image8.emf"/><Relationship Id="rId10" Type="http://schemas.openxmlformats.org/officeDocument/2006/relationships/control" Target="../activeX/activeX11.xml"/><Relationship Id="rId4" Type="http://schemas.openxmlformats.org/officeDocument/2006/relationships/control" Target="../activeX/activeX8.xml"/><Relationship Id="rId9" Type="http://schemas.openxmlformats.org/officeDocument/2006/relationships/image" Target="../media/image10.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7.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3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trlProp" Target="../ctrlProps/ctrlProp3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7.bin"/><Relationship Id="rId5" Type="http://schemas.openxmlformats.org/officeDocument/2006/relationships/image" Target="../media/image12.emf"/><Relationship Id="rId4" Type="http://schemas.openxmlformats.org/officeDocument/2006/relationships/control" Target="../activeX/activeX12.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11.vml"/><Relationship Id="rId7" Type="http://schemas.openxmlformats.org/officeDocument/2006/relationships/image" Target="../media/image14.emf"/><Relationship Id="rId2" Type="http://schemas.openxmlformats.org/officeDocument/2006/relationships/drawing" Target="../drawings/drawing13.xml"/><Relationship Id="rId1" Type="http://schemas.openxmlformats.org/officeDocument/2006/relationships/printerSettings" Target="../printerSettings/printerSettings18.bin"/><Relationship Id="rId6" Type="http://schemas.openxmlformats.org/officeDocument/2006/relationships/control" Target="../activeX/activeX14.xml"/><Relationship Id="rId5" Type="http://schemas.openxmlformats.org/officeDocument/2006/relationships/image" Target="../media/image13.emf"/><Relationship Id="rId4" Type="http://schemas.openxmlformats.org/officeDocument/2006/relationships/control" Target="../activeX/activeX13.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12.vml"/><Relationship Id="rId7" Type="http://schemas.openxmlformats.org/officeDocument/2006/relationships/image" Target="../media/image17.emf"/><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13.vml"/><Relationship Id="rId7" Type="http://schemas.openxmlformats.org/officeDocument/2006/relationships/image" Target="../media/image19.emf"/><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14.vml"/><Relationship Id="rId7" Type="http://schemas.openxmlformats.org/officeDocument/2006/relationships/image" Target="../media/image21.emf"/><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ontrol" Target="../activeX/activeX20.xml"/><Relationship Id="rId5" Type="http://schemas.openxmlformats.org/officeDocument/2006/relationships/image" Target="../media/image20.emf"/><Relationship Id="rId4" Type="http://schemas.openxmlformats.org/officeDocument/2006/relationships/control" Target="../activeX/activeX1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12.emf"/><Relationship Id="rId4" Type="http://schemas.openxmlformats.org/officeDocument/2006/relationships/control" Target="../activeX/activeX2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6.vml"/><Relationship Id="rId1" Type="http://schemas.openxmlformats.org/officeDocument/2006/relationships/printerSettings" Target="../printerSettings/printerSettings26.bin"/><Relationship Id="rId4" Type="http://schemas.openxmlformats.org/officeDocument/2006/relationships/comments" Target="../comments6.xml"/></Relationships>
</file>

<file path=xl/worksheets/_rels/sheet2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7.vml"/><Relationship Id="rId1" Type="http://schemas.openxmlformats.org/officeDocument/2006/relationships/printerSettings" Target="../printerSettings/printerSettings27.bin"/><Relationship Id="rId4" Type="http://schemas.openxmlformats.org/officeDocument/2006/relationships/comments" Target="../comments7.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18.vml"/><Relationship Id="rId1" Type="http://schemas.openxmlformats.org/officeDocument/2006/relationships/printerSettings" Target="../printerSettings/printerSettings28.bin"/><Relationship Id="rId4" Type="http://schemas.openxmlformats.org/officeDocument/2006/relationships/comments" Target="../comments8.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19.vml"/><Relationship Id="rId1" Type="http://schemas.openxmlformats.org/officeDocument/2006/relationships/printerSettings" Target="../printerSettings/printerSettings29.bin"/><Relationship Id="rId4" Type="http://schemas.openxmlformats.org/officeDocument/2006/relationships/comments" Target="../comments9.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0.vml"/><Relationship Id="rId1" Type="http://schemas.openxmlformats.org/officeDocument/2006/relationships/printerSettings" Target="../printerSettings/printerSettings30.bin"/><Relationship Id="rId4" Type="http://schemas.openxmlformats.org/officeDocument/2006/relationships/comments" Target="../comments10.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21.vml"/><Relationship Id="rId1" Type="http://schemas.openxmlformats.org/officeDocument/2006/relationships/printerSettings" Target="../printerSettings/printerSettings31.bin"/><Relationship Id="rId4" Type="http://schemas.openxmlformats.org/officeDocument/2006/relationships/comments" Target="../comments11.xml"/></Relationships>
</file>

<file path=xl/worksheets/_rels/sheet33.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22.vml"/><Relationship Id="rId1" Type="http://schemas.openxmlformats.org/officeDocument/2006/relationships/printerSettings" Target="../printerSettings/printerSettings32.bin"/><Relationship Id="rId4" Type="http://schemas.openxmlformats.org/officeDocument/2006/relationships/comments" Target="../comments12.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IU68"/>
  <sheetViews>
    <sheetView showGridLines="0" tabSelected="1" workbookViewId="0"/>
  </sheetViews>
  <sheetFormatPr defaultRowHeight="11.65" customHeight="1"/>
  <cols>
    <col min="1" max="1" width="15.42578125" style="4" customWidth="1"/>
    <col min="2" max="2" width="20.42578125" style="4" customWidth="1"/>
    <col min="3" max="4" width="14.7109375" style="4" customWidth="1"/>
    <col min="5" max="5" width="17.42578125" style="4" customWidth="1"/>
    <col min="6" max="6" width="14.7109375" style="4" customWidth="1"/>
    <col min="7" max="7" width="10" style="4" customWidth="1"/>
    <col min="8" max="8" width="8.85546875" style="4" customWidth="1"/>
    <col min="9" max="9" width="7.5703125" style="4" customWidth="1"/>
    <col min="10" max="11" width="9.5703125" style="4" customWidth="1"/>
    <col min="12" max="16384" width="9.140625" style="4"/>
  </cols>
  <sheetData>
    <row r="1" spans="1:255" ht="18.75">
      <c r="A1" s="2" t="s">
        <v>717</v>
      </c>
      <c r="B1" s="3"/>
      <c r="C1" s="3"/>
      <c r="D1" s="3"/>
      <c r="E1" s="3"/>
      <c r="F1" s="3"/>
      <c r="G1" s="3"/>
      <c r="H1" s="3"/>
      <c r="I1" s="3"/>
      <c r="J1" s="3"/>
      <c r="K1" s="1216" t="s">
        <v>3479</v>
      </c>
      <c r="BK1" s="4" t="s">
        <v>1589</v>
      </c>
    </row>
    <row r="2" spans="1:255" ht="18.75">
      <c r="A2" s="2" t="s">
        <v>1629</v>
      </c>
      <c r="B2" s="3"/>
      <c r="C2" s="3"/>
      <c r="D2" s="3"/>
      <c r="E2" s="3"/>
      <c r="F2" s="3"/>
      <c r="G2" s="3"/>
      <c r="H2" s="3"/>
      <c r="I2" s="3"/>
      <c r="J2" s="3"/>
      <c r="K2" s="3"/>
    </row>
    <row r="3" spans="1:255" ht="14.25">
      <c r="A3" s="655" t="s">
        <v>1086</v>
      </c>
      <c r="B3" s="1229"/>
      <c r="C3" s="659" t="s">
        <v>915</v>
      </c>
      <c r="D3" s="978"/>
      <c r="E3" s="6" t="s">
        <v>1630</v>
      </c>
      <c r="F3" s="1269">
        <f>VALUE(Calculations!BK1)</f>
        <v>0</v>
      </c>
      <c r="G3" s="5"/>
      <c r="H3" s="5" t="s">
        <v>1631</v>
      </c>
      <c r="I3" s="1571"/>
      <c r="J3" s="1571"/>
      <c r="K3" s="1571"/>
      <c r="IR3" s="1"/>
      <c r="IS3" s="1"/>
      <c r="IT3" s="1"/>
      <c r="IU3" s="1"/>
    </row>
    <row r="4" spans="1:255" ht="14.25">
      <c r="A4" s="658" t="s">
        <v>914</v>
      </c>
      <c r="B4" s="1022"/>
      <c r="C4" s="6"/>
      <c r="D4" s="260"/>
      <c r="E4" s="971" t="s">
        <v>1516</v>
      </c>
      <c r="F4" s="514"/>
      <c r="G4" s="5"/>
      <c r="H4" s="564" t="s">
        <v>1097</v>
      </c>
      <c r="IO4" s="1"/>
      <c r="IP4" s="1"/>
      <c r="IQ4" s="1"/>
      <c r="IR4" s="1"/>
    </row>
    <row r="5" spans="1:255" ht="14.25">
      <c r="A5" s="6" t="s">
        <v>1633</v>
      </c>
      <c r="B5" s="1025" t="str">
        <f>IF(Calculations!J1=0,"",LOOKUP(Calculations!J1,Calculations!A1:A14,Calculations!B1:B14))</f>
        <v/>
      </c>
      <c r="C5" s="564" t="s">
        <v>1639</v>
      </c>
      <c r="D5" s="260"/>
      <c r="E5" s="6" t="s">
        <v>1634</v>
      </c>
      <c r="F5" s="1090">
        <v>50</v>
      </c>
      <c r="G5" s="7"/>
      <c r="H5" s="963" t="s">
        <v>81</v>
      </c>
      <c r="I5" s="1542"/>
      <c r="J5" s="1542"/>
      <c r="K5" s="1542"/>
      <c r="IR5" s="1"/>
      <c r="IS5" s="1"/>
      <c r="IT5" s="1"/>
      <c r="IU5" s="1"/>
    </row>
    <row r="6" spans="1:255" ht="20.25" customHeight="1">
      <c r="A6" s="656" t="s">
        <v>1087</v>
      </c>
      <c r="B6" s="6"/>
      <c r="C6" s="1017" t="e">
        <f>VLOOKUP(D6,'Producer supplier'!B3:C106,2,FALSE)</f>
        <v>#N/A</v>
      </c>
      <c r="D6" s="725" t="e">
        <v>#N/A</v>
      </c>
      <c r="E6" s="726"/>
      <c r="F6" s="728" t="s">
        <v>1588</v>
      </c>
      <c r="G6" s="7"/>
      <c r="H6" s="963" t="s">
        <v>80</v>
      </c>
      <c r="I6" s="1543"/>
      <c r="J6" s="1543"/>
      <c r="K6" s="1543"/>
      <c r="IR6" s="1"/>
      <c r="IS6" s="1"/>
      <c r="IT6" s="1"/>
      <c r="IU6" s="1"/>
    </row>
    <row r="7" spans="1:255" ht="14.25">
      <c r="A7" s="6"/>
      <c r="B7" s="6"/>
      <c r="C7" s="448" t="s">
        <v>1636</v>
      </c>
      <c r="D7" s="1578"/>
      <c r="E7" s="1578"/>
      <c r="F7" s="9"/>
      <c r="G7" s="7"/>
      <c r="H7" s="657" t="s">
        <v>1088</v>
      </c>
      <c r="I7" s="8"/>
      <c r="J7" s="8"/>
      <c r="K7" s="8"/>
      <c r="IR7" s="1"/>
      <c r="IS7" s="1"/>
      <c r="IT7" s="1"/>
      <c r="IU7" s="1"/>
    </row>
    <row r="8" spans="1:255" ht="15">
      <c r="A8" s="10"/>
      <c r="B8"/>
      <c r="C8" s="260"/>
      <c r="D8"/>
      <c r="E8" s="372" t="s">
        <v>1637</v>
      </c>
      <c r="F8" s="6"/>
      <c r="G8" s="6"/>
      <c r="H8" s="5" t="s">
        <v>1638</v>
      </c>
      <c r="I8" s="1562"/>
      <c r="J8" s="1562"/>
      <c r="K8" s="1562"/>
      <c r="IR8" s="1"/>
      <c r="IS8" s="1"/>
      <c r="IT8" s="1"/>
      <c r="IU8" s="1"/>
    </row>
    <row r="9" spans="1:255" ht="15" thickBot="1">
      <c r="A9" s="11"/>
      <c r="B9" s="727" t="s">
        <v>86</v>
      </c>
      <c r="C9" s="1016" t="e">
        <f>VLOOKUP(D9,Calculations!BB3:BF349,5,FALSE)</f>
        <v>#N/A</v>
      </c>
      <c r="D9" s="1023"/>
      <c r="E9" s="724"/>
      <c r="F9" s="46"/>
      <c r="G9" s="46"/>
      <c r="H9" s="5" t="s">
        <v>1640</v>
      </c>
      <c r="I9" s="1570"/>
      <c r="J9" s="1570"/>
      <c r="K9" s="1570"/>
      <c r="IR9" s="1"/>
      <c r="IS9" s="1"/>
      <c r="IT9" s="1"/>
      <c r="IU9" s="1"/>
    </row>
    <row r="10" spans="1:255" ht="15.75" thickTop="1" thickBot="1">
      <c r="A10" s="13" t="s">
        <v>1641</v>
      </c>
      <c r="B10" s="14"/>
      <c r="C10" s="14"/>
      <c r="D10" s="15"/>
      <c r="E10" s="723" t="s">
        <v>1642</v>
      </c>
      <c r="F10" s="14"/>
      <c r="G10" s="15"/>
      <c r="H10" s="13" t="s">
        <v>1643</v>
      </c>
      <c r="I10" s="14"/>
      <c r="J10" s="14"/>
      <c r="K10" s="15"/>
      <c r="L10" s="1"/>
      <c r="IR10" s="1"/>
      <c r="IS10" s="1"/>
      <c r="IT10" s="1"/>
      <c r="IU10" s="1"/>
    </row>
    <row r="11" spans="1:255" ht="13.5" thickTop="1">
      <c r="A11" s="200" t="s">
        <v>1644</v>
      </c>
      <c r="B11" s="203" t="s">
        <v>1645</v>
      </c>
      <c r="C11" s="204" t="s">
        <v>1646</v>
      </c>
      <c r="D11" s="206" t="s">
        <v>1647</v>
      </c>
      <c r="E11" s="200" t="s">
        <v>1648</v>
      </c>
      <c r="F11" s="203" t="s">
        <v>1645</v>
      </c>
      <c r="G11" s="207" t="s">
        <v>1647</v>
      </c>
      <c r="H11" s="200" t="s">
        <v>1649</v>
      </c>
      <c r="I11" s="203" t="s">
        <v>1645</v>
      </c>
      <c r="J11" s="204" t="s">
        <v>1646</v>
      </c>
      <c r="K11" s="206" t="s">
        <v>1647</v>
      </c>
      <c r="L11" s="1"/>
      <c r="IR11" s="1"/>
      <c r="IS11" s="1"/>
      <c r="IT11" s="1"/>
      <c r="IU11" s="1"/>
    </row>
    <row r="12" spans="1:255" ht="13.5" thickBot="1">
      <c r="A12" s="201" t="s">
        <v>1650</v>
      </c>
      <c r="B12" s="202" t="s">
        <v>1650</v>
      </c>
      <c r="C12" s="205" t="s">
        <v>1651</v>
      </c>
      <c r="D12" s="199" t="s">
        <v>1652</v>
      </c>
      <c r="E12" s="201" t="s">
        <v>1653</v>
      </c>
      <c r="F12" s="202" t="s">
        <v>1654</v>
      </c>
      <c r="G12" s="208" t="s">
        <v>1652</v>
      </c>
      <c r="H12" s="201" t="s">
        <v>1655</v>
      </c>
      <c r="I12" s="202" t="s">
        <v>1655</v>
      </c>
      <c r="J12" s="205" t="s">
        <v>1656</v>
      </c>
      <c r="K12" s="199" t="s">
        <v>1652</v>
      </c>
      <c r="L12" s="1"/>
      <c r="IR12" s="1"/>
      <c r="IS12" s="1"/>
      <c r="IT12" s="1"/>
      <c r="IU12" s="1"/>
    </row>
    <row r="13" spans="1:255" ht="13.5" thickTop="1">
      <c r="A13" s="515"/>
      <c r="B13" s="221" t="str">
        <f>IF(Calculations!H13=1,"",IF(Gradation!D33="",Gradation!D34,Gradation!D33))</f>
        <v/>
      </c>
      <c r="C13" s="222" t="str">
        <f>IF(B13="","",(B13-A13))</f>
        <v/>
      </c>
      <c r="D13" s="223" t="str">
        <f>IF(B13="","",IF(AND(F3=1,ROUND(ABS(C13),1)&lt;=0.7),100,IF(ROUND(ABS(C13),1)&lt;=0.5,100,IF(ROUND(ABS(C13),1)&lt;=0.6,95,IF(ROUND(ABS(C13),1)&lt;=0.7,90,"MCL")))))</f>
        <v/>
      </c>
      <c r="E13" s="224" t="str">
        <f>IF(Calculations!H13=1,"",IF(Calculations!J1=0,"",LOOKUP(Calculations!J1,Calculations!A1:A14,Calculations!F1:F14)))</f>
        <v/>
      </c>
      <c r="F13" s="221" t="str">
        <f>IF(Calculations!H13=1,"",IF(Calculations!J1&lt;=5,Superpave!J14,IF(Calculations!J1=14,Superpave!J14,"")))</f>
        <v/>
      </c>
      <c r="G13" s="653" t="str">
        <f>IF(F13="","",IF(Calculations!H13=1,"",IF(AND(F3=1,Calculations!AH9&gt;=90),100,Calculations!AH9)))</f>
        <v/>
      </c>
      <c r="H13" s="1270"/>
      <c r="I13" s="245" t="str">
        <f>IF(Calculations!H13=1,"",IF(Calculations!J1&lt;=5,Superpave!M14,IF(Calculations!J1=14,Superpave!M14,"")))</f>
        <v/>
      </c>
      <c r="J13" s="225" t="str">
        <f>IF(I13="","",(I13-H13))</f>
        <v/>
      </c>
      <c r="K13" s="226" t="str">
        <f>IF(AND(F3=1,Calculations!E54&gt;=90,Calculations!E54&lt;&gt;""),100,IF(J13="","",Calculations!E54))</f>
        <v/>
      </c>
      <c r="L13" s="1"/>
      <c r="IR13" s="1"/>
      <c r="IS13" s="1"/>
      <c r="IT13" s="1"/>
      <c r="IU13" s="1"/>
    </row>
    <row r="14" spans="1:255" ht="12.75">
      <c r="A14" s="515"/>
      <c r="B14" s="221" t="str">
        <f>IF(Calculations!H13=1,"",IF(Gradation!G33="",Gradation!G34,Gradation!G33))</f>
        <v/>
      </c>
      <c r="C14" s="222" t="str">
        <f>IF(B14="","",(B14-A14))</f>
        <v/>
      </c>
      <c r="D14" s="223" t="str">
        <f>IF(B14="","",IF(ROUND(ABS(C14),1)&lt;=0.5,100,IF(ROUND(ABS(C14),1)&lt;=0.6,95,IF(ROUND(ABS(C14),1)&lt;=0.7,90,"MCL"))))</f>
        <v/>
      </c>
      <c r="E14" s="227" t="str">
        <f>E13</f>
        <v/>
      </c>
      <c r="F14" s="228" t="str">
        <f>IF(Calculations!H13=1,"",IF(Calculations!J1&lt;=5,Superpave!J20,IF(Calculations!J1=14,Superpave!J20,"")))</f>
        <v/>
      </c>
      <c r="G14" s="653" t="str">
        <f>IF(Calculations!H13=1,"",IF(F14="","",Calculations!AJ9))</f>
        <v/>
      </c>
      <c r="H14" s="1270"/>
      <c r="I14" s="245" t="str">
        <f>IF(Calculations!H13=1,"",IF(Calculations!J1&lt;=5,Superpave!M20,IF(Calculations!J1=14,Superpave!M20,"")))</f>
        <v/>
      </c>
      <c r="J14" s="225" t="str">
        <f>IF(I14="","",(I14-H14))</f>
        <v/>
      </c>
      <c r="K14" s="226" t="str">
        <f>Calculations!F54</f>
        <v/>
      </c>
      <c r="L14" s="1"/>
      <c r="IR14" s="1"/>
      <c r="IS14" s="1"/>
      <c r="IT14" s="1"/>
      <c r="IU14" s="1"/>
    </row>
    <row r="15" spans="1:255" ht="12.75">
      <c r="A15" s="515"/>
      <c r="B15" s="221" t="str">
        <f>IF(Calculations!H13=1,"",IF(Gradation!J33="",Gradation!J34,Gradation!J33))</f>
        <v/>
      </c>
      <c r="C15" s="222" t="str">
        <f>IF(B15="","",(B15-A15))</f>
        <v/>
      </c>
      <c r="D15" s="223" t="str">
        <f>IF(B15="","",IF(ROUND(ABS(C15),1)&lt;=0.5,100,IF(ROUND(ABS(C15),1)&lt;=0.6,95,IF(ROUND(ABS(C15),1)&lt;=0.7,90,"MCL"))))</f>
        <v/>
      </c>
      <c r="E15" s="227" t="str">
        <f>E13</f>
        <v/>
      </c>
      <c r="F15" s="228" t="str">
        <f>IF(Calculations!H13=1,"",IF(Calculations!J1&lt;=5,Superpave!J26,IF(Calculations!J1=14,Superpave!J26,"")))</f>
        <v/>
      </c>
      <c r="G15" s="653" t="str">
        <f>IF(Calculations!H13=1,"",IF(F15="","",Calculations!AL9))</f>
        <v/>
      </c>
      <c r="H15" s="1270"/>
      <c r="I15" s="245" t="str">
        <f>IF(Calculations!H13=1,"",IF(Calculations!J1&lt;=5,Superpave!M26,IF(Calculations!J1=14,Superpave!M26,"")))</f>
        <v/>
      </c>
      <c r="J15" s="225" t="str">
        <f>IF(I15="","",(I15-H15))</f>
        <v/>
      </c>
      <c r="K15" s="226" t="str">
        <f>Calculations!G54</f>
        <v/>
      </c>
      <c r="L15" s="1"/>
    </row>
    <row r="16" spans="1:255" ht="15" customHeight="1" thickBot="1">
      <c r="A16" s="1206"/>
      <c r="B16" s="609" t="str">
        <f>IF(Calculations!H13=1,"",IF(Gradation!M33="",Gradation!M34,Gradation!M33))</f>
        <v/>
      </c>
      <c r="C16" s="229" t="str">
        <f>IF(B16="","",(B16-A16))</f>
        <v/>
      </c>
      <c r="D16" s="230" t="str">
        <f>IF(B16="","",IF(ROUND(ABS(C16),1)&lt;=0.5,100,IF(ROUND(ABS(C16),1)&lt;=0.6,95,IF(ROUND(ABS(C16),1)&lt;=0.7,90,"MCL"))))</f>
        <v/>
      </c>
      <c r="E16" s="231" t="str">
        <f>E13</f>
        <v/>
      </c>
      <c r="F16" s="232" t="str">
        <f>IF(Calculations!H13=1,"",IF(Calculations!J1&lt;=5,Superpave!J32,IF(Calculations!J1=14,Superpave!J32,"")))</f>
        <v/>
      </c>
      <c r="G16" s="654" t="str">
        <f>IF(Calculations!H13=1,"",IF(F16="","",Calculations!AN9))</f>
        <v/>
      </c>
      <c r="H16" s="1271"/>
      <c r="I16" s="246" t="str">
        <f>IF(Calculations!H13=1,"",IF(Calculations!J1&lt;=5,Superpave!M32,IF(Calculations!J1=14,Superpave!M32,"")))</f>
        <v/>
      </c>
      <c r="J16" s="233" t="str">
        <f>IF(I16="","",(I16-H16))</f>
        <v/>
      </c>
      <c r="K16" s="230" t="str">
        <f>Calculations!H54</f>
        <v/>
      </c>
      <c r="L16" s="1"/>
    </row>
    <row r="17" spans="1:12" ht="15" customHeight="1" thickTop="1" thickBot="1">
      <c r="A17" s="197" t="s">
        <v>1657</v>
      </c>
      <c r="B17" s="16"/>
      <c r="C17" s="652"/>
      <c r="D17" s="217" t="str">
        <f>IF(Calculations!H13=3,100,IF(AND(D13="",D14="",D15="",D16=""),"",IF(OR(D13="MCL",D14="MCL",D15="MCL",D16="MCL"),"MCL",AVERAGE(VALUE(RIGHT(D13,5)),D14,D15,D16))))</f>
        <v/>
      </c>
      <c r="E17" s="218" t="s">
        <v>1657</v>
      </c>
      <c r="F17" s="14"/>
      <c r="G17" s="219" t="str">
        <f>IF(Calculations!H13=3,100,IF(AND(G13="",G14="",G15="",G16=""),"",IF(OR(G13="MCL",G14="MCL",G15="MCL",G16="MCL"),"MCL",AVERAGE(VALUE(RIGHT(G13,5)),G14,G15,G16))))</f>
        <v/>
      </c>
      <c r="H17" s="220" t="s">
        <v>1657</v>
      </c>
      <c r="I17" s="16"/>
      <c r="J17" s="17"/>
      <c r="K17" s="217" t="str">
        <f>IF(Calculations!H13=3,100,IF(AND(K13="",K14="",K15="",K16=""),"",IF(OR(K13="MCL",K14="MCL",K15="MCL",K16="MCL"),"MCL",AVERAGE(K13:K16))))</f>
        <v/>
      </c>
      <c r="L17" s="1"/>
    </row>
    <row r="18" spans="1:12" ht="15.75" thickTop="1" thickBot="1">
      <c r="A18" s="11"/>
      <c r="B18" s="11"/>
      <c r="C18" s="11"/>
      <c r="D18" s="11"/>
      <c r="E18" s="18" t="str">
        <f>IF(F3=1,"*For Sublot # 1 Only","")</f>
        <v/>
      </c>
      <c r="F18" s="19"/>
      <c r="G18" s="20"/>
      <c r="H18" s="21"/>
      <c r="I18" s="22"/>
      <c r="J18" s="23"/>
      <c r="K18" s="24"/>
      <c r="L18" s="1"/>
    </row>
    <row r="19" spans="1:12" ht="15.75" thickTop="1" thickBot="1">
      <c r="A19" s="31" t="s">
        <v>1658</v>
      </c>
      <c r="B19" s="25"/>
      <c r="C19" s="46"/>
      <c r="D19" s="628" t="s">
        <v>1659</v>
      </c>
      <c r="E19" s="629" t="s">
        <v>1660</v>
      </c>
      <c r="F19" s="46"/>
      <c r="G19" s="31" t="s">
        <v>938</v>
      </c>
      <c r="H19" s="181"/>
      <c r="I19" s="181"/>
      <c r="J19" s="181"/>
      <c r="K19" s="182"/>
      <c r="L19" s="1"/>
    </row>
    <row r="20" spans="1:12" ht="15" thickTop="1">
      <c r="A20" s="215" t="s">
        <v>1661</v>
      </c>
      <c r="B20" s="209" t="s">
        <v>1662</v>
      </c>
      <c r="C20" s="46"/>
      <c r="D20" s="639" t="s">
        <v>1663</v>
      </c>
      <c r="E20" s="640">
        <f>IF(AND(Calculations!H11=1,Calculations!H12=1,Calculations!H13=2),15,IF(AND(Calculations!H11=2,Calculations!H12=1,Calculations!H13=2),0,IF(AND(Calculations!H11=2,Calculations!H12=2,Calculations!H13=2),0,0)))</f>
        <v>0</v>
      </c>
      <c r="F20" s="46"/>
      <c r="G20" s="650" t="s">
        <v>939</v>
      </c>
      <c r="H20" s="649"/>
      <c r="I20" s="648"/>
      <c r="J20" s="1544"/>
      <c r="K20" s="1545"/>
      <c r="L20" s="1"/>
    </row>
    <row r="21" spans="1:12" ht="14.25">
      <c r="A21" s="642" t="s">
        <v>1663</v>
      </c>
      <c r="B21" s="641" t="str">
        <f>IF(Calculations!H11=2,"",IF(Calculations!H13=1,"",IF(Cores!J45="",100,Cores!J45)))</f>
        <v/>
      </c>
      <c r="C21" s="638"/>
      <c r="D21" s="210" t="s">
        <v>1672</v>
      </c>
      <c r="E21" s="212">
        <f>IF(AND(Calculations!H11=1,Calculations!H12=1,Calculations!H13=2),30,IF(AND(Calculations!H11=2,Calculations!H12=1,Calculations!H13=2),40,IF(AND(Calculations!H11=2,Calculations!H12=2,Calculations!H13=2),0,0)))</f>
        <v>0</v>
      </c>
      <c r="F21" s="46"/>
      <c r="G21" s="1232" t="s">
        <v>2470</v>
      </c>
      <c r="H21" s="26"/>
      <c r="I21" s="27"/>
      <c r="J21" s="1556" t="str">
        <f>IF(ISERROR(Calculations!A71),"",Calculations!A71)</f>
        <v/>
      </c>
      <c r="K21" s="1557"/>
      <c r="L21" s="1"/>
    </row>
    <row r="22" spans="1:12" ht="15" thickBot="1">
      <c r="A22" s="643" t="s">
        <v>1673</v>
      </c>
      <c r="B22" s="1230" t="str">
        <f>IF(Calculations!H13=1,"",Cores!J30)</f>
        <v/>
      </c>
      <c r="C22" s="10" t="s">
        <v>1637</v>
      </c>
      <c r="D22" s="210" t="s">
        <v>1650</v>
      </c>
      <c r="E22" s="212">
        <f>IF(AND(Calculations!H11=1,Calculations!H12=1,Calculations!H13=2),5,IF(AND(Calculations!H11=2,Calculations!H12=1,Calculations!H13=2),10,IF(AND(Calculations!H11=2,Calculations!H12=2,Calculations!H13=2),35,0)))</f>
        <v>0</v>
      </c>
      <c r="F22" s="46"/>
      <c r="G22" s="213" t="s">
        <v>1674</v>
      </c>
      <c r="H22" s="26"/>
      <c r="I22" s="26"/>
      <c r="J22" s="1583" t="str">
        <f>IF(Calculations!BK1="","",Calculations!BK1)</f>
        <v/>
      </c>
      <c r="K22" s="1584"/>
      <c r="L22" s="1"/>
    </row>
    <row r="23" spans="1:12" ht="15" thickTop="1">
      <c r="A23" s="630"/>
      <c r="B23" s="631"/>
      <c r="C23" s="10" t="s">
        <v>1637</v>
      </c>
      <c r="D23" s="210" t="s">
        <v>1654</v>
      </c>
      <c r="E23" s="212">
        <f>IF(AND(Calculations!H11=1,Calculations!H12=1,Calculations!H13=2),25,IF(AND(Calculations!H11=2,Calculations!H12=1,Calculations!H13=2),25,IF(AND(Calculations!H11=2,Calculations!H12=2,Calculations!H13=2),40,0)))</f>
        <v>0</v>
      </c>
      <c r="F23" s="46"/>
      <c r="G23" s="213" t="s">
        <v>1675</v>
      </c>
      <c r="H23" s="28"/>
      <c r="I23" s="27"/>
      <c r="J23" s="1581" t="str">
        <f>IF(J21="","",(((J21-100)*(F4-J20)/100)))</f>
        <v/>
      </c>
      <c r="K23" s="1582"/>
      <c r="L23" s="1"/>
    </row>
    <row r="24" spans="1:12" ht="15" thickBot="1">
      <c r="A24" s="630"/>
      <c r="B24" s="631"/>
      <c r="C24" s="5"/>
      <c r="D24" s="647" t="s">
        <v>1655</v>
      </c>
      <c r="E24" s="211">
        <f>IF(AND(Calculations!H11=1,Calculations!H12=1,Calculations!H13=2),25,IF(AND(Calculations!H11=2,Calculations!H12=1,Calculations!H13=2),25,IF(AND(Calculations!H11=2,Calculations!H12=2,Calculations!H13=2),25,0)))</f>
        <v>0</v>
      </c>
      <c r="F24" s="46"/>
      <c r="G24" s="214" t="s">
        <v>1676</v>
      </c>
      <c r="H24" s="29"/>
      <c r="I24" s="30"/>
      <c r="J24" s="1579" t="str">
        <f>IF(J21="","",(((J21-100)*(F4-J20)*F5/100)))</f>
        <v/>
      </c>
      <c r="K24" s="1580"/>
      <c r="L24" s="1"/>
    </row>
    <row r="25" spans="1:12" ht="15" thickTop="1">
      <c r="A25" s="630"/>
      <c r="B25" s="632"/>
      <c r="C25" s="1555" t="str">
        <f>IF(Calculations!H13="","",IF(Calculations!H13=2,"","* Volumetric Pay Values Do Not Apply."))</f>
        <v/>
      </c>
      <c r="D25" s="1555"/>
      <c r="E25" s="1555"/>
      <c r="F25" s="1555"/>
      <c r="G25" s="651" t="s">
        <v>2469</v>
      </c>
      <c r="H25" s="23"/>
      <c r="I25" s="12"/>
      <c r="J25" s="12"/>
      <c r="K25" s="10"/>
      <c r="L25" s="1"/>
    </row>
    <row r="26" spans="1:12" ht="15" thickBot="1">
      <c r="A26" s="5"/>
      <c r="B26" s="5"/>
      <c r="C26" s="5"/>
      <c r="D26" s="5"/>
      <c r="E26" s="5"/>
      <c r="F26" s="11"/>
      <c r="G26" s="1546" t="s">
        <v>2471</v>
      </c>
      <c r="H26" s="1546"/>
      <c r="I26" s="1546"/>
      <c r="J26" s="1546"/>
      <c r="K26" s="1546"/>
      <c r="L26" s="1"/>
    </row>
    <row r="27" spans="1:12" ht="15.75" thickTop="1" thickBot="1">
      <c r="A27" s="46"/>
      <c r="B27" s="31" t="s">
        <v>1677</v>
      </c>
      <c r="C27" s="32"/>
      <c r="D27" s="32"/>
      <c r="E27" s="14"/>
      <c r="F27" s="32"/>
      <c r="G27" s="14"/>
      <c r="H27" s="32"/>
      <c r="I27" s="32"/>
      <c r="J27" s="15"/>
      <c r="K27" s="5"/>
      <c r="L27" s="1"/>
    </row>
    <row r="28" spans="1:12" ht="15.75" thickTop="1" thickBot="1">
      <c r="A28" s="46"/>
      <c r="B28" s="196" t="s">
        <v>1678</v>
      </c>
      <c r="C28" s="235"/>
      <c r="D28" s="49" t="s">
        <v>1679</v>
      </c>
      <c r="E28" s="48"/>
      <c r="F28" s="197" t="s">
        <v>1680</v>
      </c>
      <c r="G28" s="234"/>
      <c r="H28" s="198" t="s">
        <v>1681</v>
      </c>
      <c r="I28" s="234"/>
      <c r="J28" s="199" t="s">
        <v>1682</v>
      </c>
      <c r="K28" s="5"/>
      <c r="L28" s="1"/>
    </row>
    <row r="29" spans="1:12" ht="15" thickTop="1">
      <c r="A29" s="46"/>
      <c r="B29" s="1558"/>
      <c r="C29" s="1559"/>
      <c r="D29" s="1549"/>
      <c r="E29" s="1550"/>
      <c r="F29" s="1553"/>
      <c r="G29" s="1554"/>
      <c r="H29" s="1549" t="str">
        <f>IF(F29="","",VLOOKUP(F29,Calculations!$BM$1:$BN$133,2,FALSE))</f>
        <v/>
      </c>
      <c r="I29" s="1550"/>
      <c r="J29" s="733"/>
      <c r="K29" s="5"/>
      <c r="L29" s="1"/>
    </row>
    <row r="30" spans="1:12" ht="14.25">
      <c r="A30" s="46"/>
      <c r="B30" s="1560"/>
      <c r="C30" s="1561"/>
      <c r="D30" s="1551"/>
      <c r="E30" s="1552"/>
      <c r="F30" s="1547"/>
      <c r="G30" s="1548"/>
      <c r="H30" s="1551" t="str">
        <f>IF(F30="","",VLOOKUP(F30,Calculations!$BM$1:$BN$133,2,FALSE))</f>
        <v/>
      </c>
      <c r="I30" s="1552"/>
      <c r="J30" s="733"/>
      <c r="K30" s="5"/>
      <c r="L30" s="1"/>
    </row>
    <row r="31" spans="1:12" ht="14.25">
      <c r="A31" s="46"/>
      <c r="B31" s="1560"/>
      <c r="C31" s="1561"/>
      <c r="D31" s="1551"/>
      <c r="E31" s="1552"/>
      <c r="F31" s="1547"/>
      <c r="G31" s="1548"/>
      <c r="H31" s="1551" t="str">
        <f>IF(F31="","",VLOOKUP(F31,Calculations!$BM$1:$BN$133,2,FALSE))</f>
        <v/>
      </c>
      <c r="I31" s="1552"/>
      <c r="J31" s="733"/>
      <c r="K31" s="5"/>
      <c r="L31" s="1"/>
    </row>
    <row r="32" spans="1:12" ht="14.25">
      <c r="A32" s="46"/>
      <c r="B32" s="1560"/>
      <c r="C32" s="1561"/>
      <c r="D32" s="1551"/>
      <c r="E32" s="1552"/>
      <c r="F32" s="1547"/>
      <c r="G32" s="1548"/>
      <c r="H32" s="1551" t="str">
        <f>IF(F32="","",VLOOKUP(F32,Calculations!$BM$1:$BN$133,2,FALSE))</f>
        <v/>
      </c>
      <c r="I32" s="1552"/>
      <c r="J32" s="733"/>
      <c r="K32" s="5"/>
      <c r="L32" s="1"/>
    </row>
    <row r="33" spans="1:15" ht="14.25">
      <c r="A33" s="46"/>
      <c r="B33" s="1560"/>
      <c r="C33" s="1561"/>
      <c r="D33" s="1551"/>
      <c r="E33" s="1552"/>
      <c r="F33" s="1565"/>
      <c r="G33" s="1566"/>
      <c r="H33" s="1551" t="str">
        <f>IF(F33="","",VLOOKUP(F33,Calculations!$BM$1:$BN$133,2,FALSE))</f>
        <v/>
      </c>
      <c r="I33" s="1552"/>
      <c r="J33" s="734"/>
      <c r="K33" s="5"/>
      <c r="L33" s="1"/>
      <c r="M33" s="1"/>
      <c r="N33" s="1"/>
      <c r="O33" s="1"/>
    </row>
    <row r="34" spans="1:15" ht="15" thickBot="1">
      <c r="A34" s="5"/>
      <c r="B34" s="1585"/>
      <c r="C34" s="1586"/>
      <c r="D34" s="1563"/>
      <c r="E34" s="1564"/>
      <c r="F34" s="1563"/>
      <c r="G34" s="1564"/>
      <c r="H34" s="1551" t="str">
        <f>IF(F34="","",VLOOKUP(F34,Calculations!$BM$1:$BN$133,2,FALSE))</f>
        <v/>
      </c>
      <c r="I34" s="1552"/>
      <c r="J34" s="1094"/>
      <c r="K34" s="5"/>
      <c r="L34" s="1"/>
      <c r="M34" s="1"/>
      <c r="N34" s="1"/>
      <c r="O34" s="1"/>
    </row>
    <row r="35" spans="1:15" ht="15.75" thickTop="1" thickBot="1">
      <c r="A35" s="31" t="s">
        <v>1683</v>
      </c>
      <c r="B35" s="47"/>
      <c r="C35" s="47"/>
      <c r="D35" s="47"/>
      <c r="E35" s="48"/>
      <c r="F35" s="31" t="s">
        <v>1684</v>
      </c>
      <c r="G35" s="32"/>
      <c r="H35" s="1567" t="s">
        <v>1685</v>
      </c>
      <c r="I35" s="1568"/>
      <c r="J35" s="1568"/>
      <c r="K35" s="1569"/>
    </row>
    <row r="36" spans="1:15" ht="15.75" thickTop="1" thickBot="1">
      <c r="A36" s="216" t="s">
        <v>1645</v>
      </c>
      <c r="B36" s="216" t="s">
        <v>1686</v>
      </c>
      <c r="C36" s="216" t="s">
        <v>1687</v>
      </c>
      <c r="D36" s="216" t="s">
        <v>1646</v>
      </c>
      <c r="E36" s="216" t="s">
        <v>1688</v>
      </c>
      <c r="F36" s="33"/>
      <c r="G36" s="5"/>
      <c r="H36" s="45" t="s">
        <v>1689</v>
      </c>
      <c r="I36" s="195" t="s">
        <v>1690</v>
      </c>
      <c r="J36" s="1095" t="s">
        <v>305</v>
      </c>
      <c r="K36" s="1099" t="s">
        <v>306</v>
      </c>
    </row>
    <row r="37" spans="1:15" ht="15.75" thickTop="1" thickBot="1">
      <c r="A37" s="183">
        <v>1</v>
      </c>
      <c r="B37" s="184" t="str">
        <f>IF(OR(Calculations!H13=2,E37=""),"",IF(VLOOKUP(E37,Calculations!K37:P51,3,FALSE)="F.M.",CONCATENATE(VLOOKUP(E37,Calculations!K37:P51,3,FALSE)," = ",FIXED(VLOOKUP(E37,Calculations!K37:P51,2,FALSE),2)),IF(VLOOKUP(E37,Calculations!K37:P51,3,FALSE)="% AC",CONCATENATE(VLOOKUP(E37,Calculations!K37:P51,3,FALSE)," = ",FIXED(VLOOKUP(E37,Calculations!K37:P51,2,FALSE),1)),CONCATENATE(VLOOKUP(E37,Calculations!K37:P51,3,FALSE)," = ",FIXED(VLOOKUP(E37,Calculations!K37:P51,2,FALSE),0)))))</f>
        <v/>
      </c>
      <c r="C37" s="249" t="str">
        <f>IF(OR(Calculations!H13=2,E37=""),"",IF(VLOOKUP(E37,Calculations!K37:P51,3,FALSE)="F.M.",FIXED(VLOOKUP(E37,Calculations!K37:P51,5,FALSE),2),IF(VLOOKUP(E37,Calculations!K37:P51,3,FALSE)="% AC",FIXED(VLOOKUP(E37,Calculations!K37:P51,5,FALSE),1),FIXED(VLOOKUP(E37,Calculations!K37:P51,5,FALSE),0))))</f>
        <v/>
      </c>
      <c r="D37" s="249" t="str">
        <f>IF(OR(Calculations!H13=2,E37=""),"",IF(VLOOKUP(E37,Calculations!K37:P51,3,FALSE)="F.M.",FIXED(VLOOKUP(E37,Calculations!K37:P51,6,FALSE),2),IF(VLOOKUP(E37,Calculations!K37:P51,3,FALSE)="% AC",FIXED(VLOOKUP(E37,Calculations!K37:P51,6,FALSE),1),IF(VLOOKUP(E37,Calculations!K37:P51,3,FALSE)="# 200",FIXED(VLOOKUP(E37,Calculations!K37:P51,6,FALSE),1),FIXED(VLOOKUP(E37,Calculations!K37:P51,6,FALSE),0)))))</f>
        <v/>
      </c>
      <c r="E37" s="250" t="str">
        <f>IF(OR(Calculations!H13=2,Calculations!H13=""),"",IF(AND(F3=1,MIN('Accept. Grad. # 1'!H8:H22))&gt;=90,100,IF(MIN('Accept. Grad. # 1'!H8:H22)=0,"",MIN('Accept. Grad. # 1'!H8:H22))))</f>
        <v/>
      </c>
      <c r="F37" s="34"/>
      <c r="G37" s="30"/>
      <c r="H37" s="194" t="s">
        <v>1650</v>
      </c>
      <c r="I37" s="221" t="str">
        <f>IF(AND(Calculations!J1&lt;=5,'Super Verify'!B10=""),"",IF(Calculations!J1&lt;=5,'Super Verify'!B10,IF(Calculations!J1=14,'Super Verify'!B10)))</f>
        <v/>
      </c>
      <c r="J37" s="1096" t="str">
        <f>IF(I37="","",Calculations!R4)</f>
        <v/>
      </c>
      <c r="K37" s="1105" t="str">
        <f>Calculations!U62</f>
        <v/>
      </c>
    </row>
    <row r="38" spans="1:15" ht="15" thickTop="1">
      <c r="A38" s="183">
        <v>2</v>
      </c>
      <c r="B38" s="184" t="str">
        <f>IF(OR(Calculations!H13=2,E38=""),"",IF(VLOOKUP(E38,Calculations!Q37:V51,3,FALSE)="F.M.",CONCATENATE(VLOOKUP(E38,Calculations!Q37:V51,3,FALSE)," = ",FIXED(VLOOKUP(E38,Calculations!Q37:V51,2,FALSE),2)),IF(VLOOKUP(E38,Calculations!Q37:V51,3,FALSE)="% AC",CONCATENATE(VLOOKUP(E38,Calculations!Q37:V51,3,FALSE)," = ",FIXED(VLOOKUP(E38,Calculations!Q37:V51,2,FALSE),1)),CONCATENATE(VLOOKUP(E38,Calculations!Q37:V51,3,FALSE)," = ",FIXED(VLOOKUP(E38,Calculations!Q37:V51,2,FALSE),0)))))</f>
        <v/>
      </c>
      <c r="C38" s="248" t="str">
        <f>IF(OR(Calculations!H13=2,E38=""),"",IF(VLOOKUP(E38,Calculations!Q37:V51,3,FALSE)="F.M.",FIXED(VLOOKUP(E38,Calculations!Q37:V51,5,FALSE),2),IF(VLOOKUP(E38,Calculations!Q37:V51,3,FALSE)="% AC",FIXED(VLOOKUP(E38,Calculations!Q37:V51,5,FALSE),1),FIXED(VLOOKUP(E38,Calculations!Q37:V51,5,FALSE),0))))</f>
        <v/>
      </c>
      <c r="D38" s="184" t="str">
        <f>IF(OR(Calculations!H13=2,E38=""),"",IF(VLOOKUP(E38,Calculations!Q37:V51,3,FALSE)="F.M.",FIXED(VLOOKUP(E38,Calculations!Q37:V51,6,FALSE),2),IF(VLOOKUP(E38,Calculations!Q37:V51,3,FALSE)="% AC",FIXED(VLOOKUP(E38,Calculations!Q37:V51,6,FALSE),1),IF(VLOOKUP(E37,Calculations!K37:P51,3,FALSE)="# 200",FIXED(VLOOKUP(E38,Calculations!K37:P51,6,FALSE),1),FIXED(VLOOKUP(E38,Calculations!Q37:V51,6,FALSE),0)))))</f>
        <v/>
      </c>
      <c r="E38" s="250" t="str">
        <f>IF(Calculations!H13=2,"",IF(MIN('Accept. Grad. # 2'!H8:H22)=0,"",MIN('Accept. Grad. # 2'!H8:H22)))</f>
        <v/>
      </c>
      <c r="F38" s="35"/>
      <c r="G38" s="36"/>
      <c r="H38" s="194" t="s">
        <v>1654</v>
      </c>
      <c r="I38" s="221" t="str">
        <f>IF(AND(Calculations!J1&lt;=5,'Super Verify'!J10=""),"",IF(Calculations!J1&lt;=5,'Super Verify'!J10,IF(Calculations!J1=14,'Super Verify'!J10)))</f>
        <v/>
      </c>
      <c r="J38" s="1097" t="str">
        <f>IF(I38="","",Calculations!R5)</f>
        <v/>
      </c>
      <c r="K38" s="1101" t="str">
        <f>Calculations!W62</f>
        <v/>
      </c>
    </row>
    <row r="39" spans="1:15" ht="15.75" customHeight="1" thickBot="1">
      <c r="A39" s="183">
        <v>3</v>
      </c>
      <c r="B39" s="184" t="str">
        <f>IF(OR(Calculations!H13=2,E39=""),"",IF(VLOOKUP(E39,Calculations!W37:AB51,3,FALSE)="F.M.",CONCATENATE(VLOOKUP(E39,Calculations!W37:AB51,3,FALSE)," = ",FIXED(VLOOKUP(E39,Calculations!W37:AB51,2,FALSE),2)),IF(VLOOKUP(E39,Calculations!W37:AB51,3,FALSE)="% AC",CONCATENATE(VLOOKUP(E39,Calculations!W37:AB51,3,FALSE)," = ",FIXED(VLOOKUP(E39,Calculations!W37:AB51,2,FALSE),1)),CONCATENATE(VLOOKUP(E39,Calculations!W37:AB51,3,FALSE)," = ",FIXED(VLOOKUP(E39,Calculations!W37:AB51,2,FALSE),0)))))</f>
        <v/>
      </c>
      <c r="C39" s="248" t="str">
        <f>IF(OR(Calculations!H13=2,E39=""),"",IF(VLOOKUP(E39,Calculations!W37:AB51,3,FALSE)="F.M.",FIXED(VLOOKUP(E39,Calculations!W37:AB51,5,FALSE),2),IF(VLOOKUP(E39,Calculations!W37:AB51,3,FALSE)="% AC",FIXED(VLOOKUP(E39,Calculations!W37:AB51,5,FALSE),1),FIXED(VLOOKUP(E39,Calculations!W37:AB51,5,FALSE),0))))</f>
        <v/>
      </c>
      <c r="D39" s="184" t="str">
        <f>IF(OR(Calculations!H13=2,E39=""),"",IF(VLOOKUP(E39,Calculations!W37:AB51,3,FALSE)="F.M.",FIXED(VLOOKUP(E39,Calculations!W37:AB51,6,FALSE),2),IF(VLOOKUP(E39,Calculations!W37:AB51,3,FALSE)="% AC",FIXED(VLOOKUP(E39,Calculations!W37:AB51,6,FALSE),1),IF(VLOOKUP(E37,Calculations!K37:P51,3,FALSE)="# 200",FIXED(VLOOKUP(E39,Calculations!K37:P51,6,FALSE),1),FIXED(VLOOKUP(E39,Calculations!W37:AB51,6,FALSE),0)))))</f>
        <v/>
      </c>
      <c r="E39" s="250" t="str">
        <f>IF(Calculations!H13=2,"",IF(MIN('Accept. Grad. # 3'!H8:H22)=0,"",MIN('Accept. Grad. # 3'!H8:H22)))</f>
        <v/>
      </c>
      <c r="F39" s="37"/>
      <c r="G39" s="38"/>
      <c r="H39" s="193" t="s">
        <v>1655</v>
      </c>
      <c r="I39" s="236" t="str">
        <f>IF(AND(Calculations!J1&lt;=5,'Super Verify'!L10=""),"",IF(Calculations!J1&lt;=5,'Super Verify'!L10,IF(Calculations!J1=14,'Super Verify'!L10)))</f>
        <v/>
      </c>
      <c r="J39" s="1098" t="str">
        <f>IF(I39="","",Calculations!R6)</f>
        <v/>
      </c>
      <c r="K39" s="1102" t="str">
        <f>Calculations!Y62</f>
        <v/>
      </c>
    </row>
    <row r="40" spans="1:15" ht="15.75" thickTop="1" thickBot="1">
      <c r="A40" s="183">
        <v>4</v>
      </c>
      <c r="B40" s="184" t="str">
        <f>IF(OR(Calculations!H13=2,E40=""),"",IF(VLOOKUP(E40,Calculations!AC36:AH51,3,FALSE)="F.M.",CONCATENATE(VLOOKUP(E40,Calculations!AC36:AH51,3,FALSE)," = ",FIXED(VLOOKUP(E40,Calculations!AC36:AH51,2,FALSE),2)),IF(VLOOKUP(E40,Calculations!AC36:AH51,3,FALSE)="% AC",CONCATENATE(VLOOKUP(E40,Calculations!AC36:AH51,3,FALSE)," = ",FIXED(VLOOKUP(E40,Calculations!AC36:AH51,2,FALSE),1)),CONCATENATE(VLOOKUP(E40,Calculations!AC36:AH51,3,FALSE)," = ",FIXED(VLOOKUP(E40,Calculations!AC36:AH51,2,FALSE),0)))))</f>
        <v/>
      </c>
      <c r="C40" s="248" t="str">
        <f>IF(OR(Calculations!H13=2,E40=""),"",IF(VLOOKUP(E40,Calculations!AC36:AH51,3,FALSE)="F.M.",FIXED(VLOOKUP(E40,Calculations!AC36:AH51,5,FALSE),2),IF(VLOOKUP(E40,Calculations!AC36:AH51,3,FALSE)="% AC",FIXED(VLOOKUP(E40,Calculations!AC36:AH51,5,FALSE),1),FIXED(VLOOKUP(E40,Calculations!AC36:AH51,5,FALSE),0))))</f>
        <v/>
      </c>
      <c r="D40" s="184" t="str">
        <f>IF(OR(Calculations!H13=2,E40=""),"",IF(VLOOKUP(E40,Calculations!AC37:AH51,3,FALSE)="F.M.",FIXED(VLOOKUP(E40,Calculations!AC37:AH51,6,FALSE),2),IF(VLOOKUP(E40,Calculations!AC37:AH51,3,FALSE)="% AC",FIXED(VLOOKUP(E40,Calculations!AC37:AH51,6,FALSE),1),IF(VLOOKUP(E37,Calculations!K37:P51,3,FALSE)="# 200",FIXED(VLOOKUP(E40,Calculations!K37:P51,6,FALSE),1),FIXED(VLOOKUP(E40,Calculations!AC37:AH51,6,FALSE),0)))))</f>
        <v/>
      </c>
      <c r="E40" s="250" t="str">
        <f>IF(Calculations!H13=2,"",IF(MIN('Accept. Grad. # 4'!H8:H22)=0,"",MIN('Accept. Grad. # 4'!H8:H22)))</f>
        <v/>
      </c>
      <c r="F40" s="31" t="s">
        <v>1684</v>
      </c>
      <c r="G40" s="32"/>
      <c r="H40" s="31" t="s">
        <v>1685</v>
      </c>
      <c r="I40" s="181"/>
      <c r="J40" s="181"/>
      <c r="K40" s="1103"/>
    </row>
    <row r="41" spans="1:15" ht="15.75" customHeight="1" thickTop="1" thickBot="1">
      <c r="A41" s="49" t="s">
        <v>1691</v>
      </c>
      <c r="B41" s="47"/>
      <c r="C41" s="47"/>
      <c r="D41" s="48"/>
      <c r="E41" s="251" t="str">
        <f>IF(Calculations!H13=2,"",IF(AND(E37="",E38="",E39="",E40=""),"",AVERAGE(E37:E40)))</f>
        <v/>
      </c>
      <c r="F41" s="33"/>
      <c r="G41" s="5"/>
      <c r="H41" s="45" t="s">
        <v>1689</v>
      </c>
      <c r="I41" s="195" t="s">
        <v>1690</v>
      </c>
      <c r="J41" s="1095" t="s">
        <v>305</v>
      </c>
      <c r="K41" s="1104" t="s">
        <v>306</v>
      </c>
    </row>
    <row r="42" spans="1:15" ht="15.75" customHeight="1" thickTop="1" thickBot="1">
      <c r="A42" s="255" t="s">
        <v>1692</v>
      </c>
      <c r="B42" s="256" t="s">
        <v>1693</v>
      </c>
      <c r="C42" s="366" t="s">
        <v>1694</v>
      </c>
      <c r="D42" s="256" t="s">
        <v>1695</v>
      </c>
      <c r="E42" s="257" t="s">
        <v>1696</v>
      </c>
      <c r="F42" s="34"/>
      <c r="G42" s="30"/>
      <c r="H42" s="194" t="s">
        <v>1650</v>
      </c>
      <c r="I42" s="221" t="str">
        <f>IF(AND(Calculations!J1&lt;=5,'Super Verify'!B17=""),"",IF(Calculations!J1&lt;=5,'Super Verify'!B17,IF(Calculations!J1=14,'Super Verify'!B17)))</f>
        <v/>
      </c>
      <c r="J42" s="1096" t="str">
        <f>IF(I42="","",Calculations!X4)</f>
        <v/>
      </c>
      <c r="K42" s="1100" t="str">
        <f>Calculations!V62</f>
        <v/>
      </c>
    </row>
    <row r="43" spans="1:15" ht="15.75" customHeight="1" thickTop="1">
      <c r="A43" s="258" t="s">
        <v>1697</v>
      </c>
      <c r="B43" s="517"/>
      <c r="C43" s="517"/>
      <c r="D43" s="517"/>
      <c r="E43" s="517"/>
      <c r="F43" s="35"/>
      <c r="G43" s="36"/>
      <c r="H43" s="194" t="s">
        <v>1654</v>
      </c>
      <c r="I43" s="221" t="str">
        <f>IF(AND(Calculations!J1&lt;=5,'Super Verify'!J17=""),"",IF(Calculations!J1&lt;=5,'Super Verify'!J17,IF(Calculations!J1=14,'Super Verify'!J17)))</f>
        <v/>
      </c>
      <c r="J43" s="1097" t="str">
        <f>IF(I43="","",Calculations!X5)</f>
        <v/>
      </c>
      <c r="K43" s="1101" t="str">
        <f>Calculations!X62</f>
        <v/>
      </c>
    </row>
    <row r="44" spans="1:15" ht="15.75" customHeight="1" thickBot="1">
      <c r="A44" s="259" t="s">
        <v>1698</v>
      </c>
      <c r="B44" s="517"/>
      <c r="C44" s="517"/>
      <c r="D44" s="517"/>
      <c r="E44" s="517"/>
      <c r="F44" s="37"/>
      <c r="G44" s="38"/>
      <c r="H44" s="193" t="s">
        <v>1655</v>
      </c>
      <c r="I44" s="236" t="str">
        <f>IF(AND(Calculations!J1&lt;=5,'Super Verify'!L17=""),"",IF(Calculations!J1&lt;=5,'Super Verify'!L17,IF(Calculations!J1=14,'Super Verify'!L17)))</f>
        <v/>
      </c>
      <c r="J44" s="1098" t="str">
        <f>IF(I44="","",Calculations!X6)</f>
        <v/>
      </c>
      <c r="K44" s="1102" t="str">
        <f>Calculations!Z62</f>
        <v/>
      </c>
    </row>
    <row r="45" spans="1:15" ht="15.75" customHeight="1" thickTop="1" thickBot="1">
      <c r="A45" s="187" t="s">
        <v>1699</v>
      </c>
      <c r="B45" s="188" t="s">
        <v>1700</v>
      </c>
      <c r="C45" s="189" t="s">
        <v>1701</v>
      </c>
      <c r="D45" s="190"/>
      <c r="E45" s="191"/>
      <c r="F45" s="185" t="s">
        <v>1702</v>
      </c>
      <c r="G45" s="40"/>
      <c r="H45" s="40"/>
      <c r="I45" s="40"/>
      <c r="J45" s="50"/>
      <c r="K45" s="186"/>
      <c r="L45" s="1"/>
    </row>
    <row r="46" spans="1:15" ht="15.75" customHeight="1" thickTop="1" thickBot="1">
      <c r="A46" s="187"/>
      <c r="B46" s="1026" t="s">
        <v>1915</v>
      </c>
      <c r="C46" s="1572"/>
      <c r="D46" s="1573"/>
      <c r="E46" s="1574"/>
      <c r="F46" s="187" t="s">
        <v>1703</v>
      </c>
      <c r="G46" s="1575"/>
      <c r="H46" s="1574"/>
      <c r="I46" s="192" t="s">
        <v>1704</v>
      </c>
      <c r="J46" s="1576"/>
      <c r="K46" s="1577"/>
      <c r="L46" s="1"/>
    </row>
    <row r="47" spans="1:15" ht="15.75" customHeight="1" thickTop="1">
      <c r="A47" s="46"/>
      <c r="B47" s="46"/>
      <c r="C47" s="46"/>
      <c r="D47" s="46"/>
      <c r="E47" s="46"/>
      <c r="L47" s="1"/>
    </row>
    <row r="48" spans="1:15" ht="11.85" customHeight="1">
      <c r="A48" s="46"/>
      <c r="B48" s="46"/>
      <c r="C48" s="46"/>
      <c r="D48" s="46"/>
      <c r="E48" s="46"/>
      <c r="L48" s="1"/>
    </row>
    <row r="49" spans="1:20" ht="11.85" customHeight="1">
      <c r="A49" s="46"/>
      <c r="B49" s="46"/>
      <c r="C49" s="46"/>
      <c r="D49" s="46"/>
      <c r="E49" s="46"/>
      <c r="L49" s="1"/>
    </row>
    <row r="50" spans="1:20" ht="11.85" hidden="1" customHeight="1">
      <c r="A50" s="1" t="str">
        <f>IF(Calculations!H12=1,"Option A","Option B")</f>
        <v>Option B</v>
      </c>
      <c r="B50" s="1" t="str">
        <f>IF(Calculations!H13=1,"Gradation",IF(Calculations!H13=2,"Volumetrics","Visual"))</f>
        <v>Visual</v>
      </c>
      <c r="C50" s="1">
        <f>Calculations!L1</f>
        <v>0</v>
      </c>
      <c r="D50" s="1" t="str">
        <f>IF(Calculations!M1,"Yes","No")</f>
        <v>No</v>
      </c>
      <c r="E50" s="4">
        <f>Calculations!L2</f>
        <v>0</v>
      </c>
      <c r="F50" s="4" t="str">
        <f>IF(Calculations!M2,"Yes","No")</f>
        <v>No</v>
      </c>
      <c r="G50" s="4" t="str">
        <f>IF(AND('Super Verify'!B48&lt;&gt;"",Calculations!H13=1),"Yes","N.M.")</f>
        <v>N.M.</v>
      </c>
      <c r="H50" s="4" t="str">
        <f>IF(AND('Super Verify'!E48&lt;&gt;"",Calculations!H13=1),"Yes","N.M.")</f>
        <v>N.M.</v>
      </c>
      <c r="L50" s="1"/>
      <c r="T50" s="4" t="s">
        <v>3382</v>
      </c>
    </row>
    <row r="51" spans="1:20" ht="11.85" customHeight="1">
      <c r="A51" s="260"/>
      <c r="B51" s="1"/>
      <c r="C51" s="1"/>
      <c r="L51" s="39"/>
    </row>
    <row r="52" spans="1:20" ht="11.85" customHeight="1">
      <c r="A52" s="260"/>
      <c r="B52" s="1"/>
      <c r="C52" s="1"/>
      <c r="L52" s="39"/>
    </row>
    <row r="53" spans="1:20" ht="11.65" customHeight="1">
      <c r="A53" s="260"/>
      <c r="K53" s="39"/>
    </row>
    <row r="54" spans="1:20" ht="11.65" customHeight="1">
      <c r="A54" s="260"/>
      <c r="L54" s="39"/>
    </row>
    <row r="55" spans="1:20" ht="11.65" customHeight="1">
      <c r="A55" s="260"/>
      <c r="C55" s="1"/>
      <c r="D55" s="1"/>
      <c r="E55" s="1"/>
      <c r="L55" s="39"/>
    </row>
    <row r="56" spans="1:20" ht="11.65" customHeight="1">
      <c r="C56" s="1"/>
      <c r="D56" s="1"/>
      <c r="E56" s="1"/>
    </row>
    <row r="66" spans="13:18" ht="11.65" customHeight="1">
      <c r="M66" s="41"/>
      <c r="N66" s="41"/>
      <c r="O66" s="41"/>
      <c r="P66" s="42"/>
      <c r="Q66" s="41"/>
      <c r="R66" s="41"/>
    </row>
    <row r="67" spans="13:18" ht="11.65" customHeight="1">
      <c r="M67" s="43"/>
      <c r="N67" s="43"/>
      <c r="O67" s="43"/>
      <c r="P67" s="43"/>
      <c r="Q67" s="41"/>
      <c r="R67" s="41"/>
    </row>
    <row r="68" spans="13:18" ht="11.65" customHeight="1">
      <c r="M68" s="43"/>
      <c r="N68" s="43"/>
      <c r="O68" s="43"/>
      <c r="P68" s="43"/>
      <c r="Q68" s="41"/>
      <c r="R68" s="41"/>
    </row>
  </sheetData>
  <sheetProtection algorithmName="SHA-512" hashValue="POZ7q42JOA18j3XsyABORfgX94P2p5brtLLUqcLXvmVWUXY+sUaC+OXKTn651sZMS+t2ngZYGKLH+gaf24FUYQ==" saltValue="pZWcXmjaSO0weiU46/nkaA==" spinCount="100000" sheet="1" objects="1" scenarios="1"/>
  <mergeCells count="41">
    <mergeCell ref="H35:K35"/>
    <mergeCell ref="I9:K9"/>
    <mergeCell ref="I3:K3"/>
    <mergeCell ref="C46:E46"/>
    <mergeCell ref="G46:H46"/>
    <mergeCell ref="J46:K46"/>
    <mergeCell ref="D7:E7"/>
    <mergeCell ref="J24:K24"/>
    <mergeCell ref="J23:K23"/>
    <mergeCell ref="J22:K22"/>
    <mergeCell ref="B31:C31"/>
    <mergeCell ref="B32:C32"/>
    <mergeCell ref="B33:C33"/>
    <mergeCell ref="D29:E29"/>
    <mergeCell ref="D30:E30"/>
    <mergeCell ref="B34:C34"/>
    <mergeCell ref="D34:E34"/>
    <mergeCell ref="F31:G31"/>
    <mergeCell ref="F32:G32"/>
    <mergeCell ref="H33:I33"/>
    <mergeCell ref="H34:I34"/>
    <mergeCell ref="F33:G33"/>
    <mergeCell ref="F34:G34"/>
    <mergeCell ref="H31:I31"/>
    <mergeCell ref="H32:I32"/>
    <mergeCell ref="D31:E31"/>
    <mergeCell ref="D32:E32"/>
    <mergeCell ref="D33:E33"/>
    <mergeCell ref="I5:K5"/>
    <mergeCell ref="I6:K6"/>
    <mergeCell ref="J20:K20"/>
    <mergeCell ref="G26:K26"/>
    <mergeCell ref="F30:G30"/>
    <mergeCell ref="H29:I29"/>
    <mergeCell ref="H30:I30"/>
    <mergeCell ref="F29:G29"/>
    <mergeCell ref="C25:F25"/>
    <mergeCell ref="J21:K21"/>
    <mergeCell ref="B29:C29"/>
    <mergeCell ref="B30:C30"/>
    <mergeCell ref="I8:K8"/>
  </mergeCells>
  <phoneticPr fontId="31" type="noConversion"/>
  <dataValidations count="2">
    <dataValidation type="textLength" operator="equal" allowBlank="1" showInputMessage="1" showErrorMessage="1" sqref="B3" xr:uid="{00000000-0002-0000-0000-000000000000}">
      <formula1>14</formula1>
    </dataValidation>
    <dataValidation type="list" allowBlank="1" showInputMessage="1" showErrorMessage="1" sqref="F29:G34" xr:uid="{00000000-0002-0000-0000-000001000000}">
      <formula1>AggType</formula1>
    </dataValidation>
  </dataValidations>
  <printOptions horizontalCentered="1"/>
  <pageMargins left="0.25" right="0.25" top="0.5" bottom="0.5" header="0.5" footer="0.25"/>
  <pageSetup scale="76" orientation="landscape" blackAndWhite="1" horizontalDpi="300" verticalDpi="300" r:id="rId1"/>
  <headerFooter alignWithMargins="0">
    <oddFooter>&amp;CPage 1</oddFooter>
  </headerFooter>
  <drawing r:id="rId2"/>
  <legacyDrawing r:id="rId3"/>
  <controls>
    <mc:AlternateContent xmlns:mc="http://schemas.openxmlformats.org/markup-compatibility/2006">
      <mc:Choice Requires="x14">
        <control shapeId="1192" r:id="rId4" name="CheckBox1">
          <controlPr defaultSize="0" autoLine="0" r:id="rId5">
            <anchor moveWithCells="1">
              <from>
                <xdr:col>0</xdr:col>
                <xdr:colOff>66675</xdr:colOff>
                <xdr:row>22</xdr:row>
                <xdr:rowOff>133350</xdr:rowOff>
              </from>
              <to>
                <xdr:col>2</xdr:col>
                <xdr:colOff>514350</xdr:colOff>
                <xdr:row>24</xdr:row>
                <xdr:rowOff>28575</xdr:rowOff>
              </to>
            </anchor>
          </controlPr>
        </control>
      </mc:Choice>
      <mc:Fallback>
        <control shapeId="1192" r:id="rId4" name="CheckBox1"/>
      </mc:Fallback>
    </mc:AlternateContent>
    <mc:AlternateContent xmlns:mc="http://schemas.openxmlformats.org/markup-compatibility/2006">
      <mc:Choice Requires="x14">
        <control shapeId="1155" r:id="rId6" name="ComboBox4">
          <controlPr defaultSize="0" autoLine="0" autoPict="0" linkedCell="'Pay Values'!B46" listFillRange="'PG Producer'!A1:C41" r:id="rId7">
            <anchor moveWithCells="1">
              <from>
                <xdr:col>1</xdr:col>
                <xdr:colOff>0</xdr:colOff>
                <xdr:row>45</xdr:row>
                <xdr:rowOff>0</xdr:rowOff>
              </from>
              <to>
                <xdr:col>2</xdr:col>
                <xdr:colOff>0</xdr:colOff>
                <xdr:row>46</xdr:row>
                <xdr:rowOff>28575</xdr:rowOff>
              </to>
            </anchor>
          </controlPr>
        </control>
      </mc:Choice>
      <mc:Fallback>
        <control shapeId="1155" r:id="rId6" name="ComboBox4"/>
      </mc:Fallback>
    </mc:AlternateContent>
    <mc:AlternateContent xmlns:mc="http://schemas.openxmlformats.org/markup-compatibility/2006">
      <mc:Choice Requires="x14">
        <control shapeId="1151" r:id="rId8" name="ComboBox3">
          <controlPr defaultSize="0" autoLine="0" linkedCell="E4" listFillRange="Drop_Downs_and_Tables!A63:B64" r:id="rId9">
            <anchor moveWithCells="1">
              <from>
                <xdr:col>3</xdr:col>
                <xdr:colOff>962025</xdr:colOff>
                <xdr:row>3</xdr:row>
                <xdr:rowOff>0</xdr:rowOff>
              </from>
              <to>
                <xdr:col>5</xdr:col>
                <xdr:colOff>28575</xdr:colOff>
                <xdr:row>4</xdr:row>
                <xdr:rowOff>28575</xdr:rowOff>
              </to>
            </anchor>
          </controlPr>
        </control>
      </mc:Choice>
      <mc:Fallback>
        <control shapeId="1151" r:id="rId8" name="ComboBox3"/>
      </mc:Fallback>
    </mc:AlternateContent>
    <mc:AlternateContent xmlns:mc="http://schemas.openxmlformats.org/markup-compatibility/2006">
      <mc:Choice Requires="x14">
        <control shapeId="1147" r:id="rId10" name="cbLotNum">
          <controlPr defaultSize="0" autoLine="0" autoPict="0" linkedCell="Calculations!BK1" listFillRange="Calculations!BJ1:BJ99" r:id="rId11">
            <anchor moveWithCells="1">
              <from>
                <xdr:col>5</xdr:col>
                <xdr:colOff>0</xdr:colOff>
                <xdr:row>1</xdr:row>
                <xdr:rowOff>209550</xdr:rowOff>
              </from>
              <to>
                <xdr:col>6</xdr:col>
                <xdr:colOff>0</xdr:colOff>
                <xdr:row>3</xdr:row>
                <xdr:rowOff>0</xdr:rowOff>
              </to>
            </anchor>
          </controlPr>
        </control>
      </mc:Choice>
      <mc:Fallback>
        <control shapeId="1147" r:id="rId10" name="cbLotNum"/>
      </mc:Fallback>
    </mc:AlternateContent>
    <mc:AlternateContent xmlns:mc="http://schemas.openxmlformats.org/markup-compatibility/2006">
      <mc:Choice Requires="x14">
        <control shapeId="1146" r:id="rId12" name="cbAcceptMeth">
          <controlPr defaultSize="0" autoLine="0" linkedCell="Calculations!H20" listFillRange="Calculations!H17:H19" r:id="rId13">
            <anchor moveWithCells="1">
              <from>
                <xdr:col>5</xdr:col>
                <xdr:colOff>38100</xdr:colOff>
                <xdr:row>6</xdr:row>
                <xdr:rowOff>0</xdr:rowOff>
              </from>
              <to>
                <xdr:col>6</xdr:col>
                <xdr:colOff>371475</xdr:colOff>
                <xdr:row>7</xdr:row>
                <xdr:rowOff>47625</xdr:rowOff>
              </to>
            </anchor>
          </controlPr>
        </control>
      </mc:Choice>
      <mc:Fallback>
        <control shapeId="1146" r:id="rId12" name="cbAcceptMeth"/>
      </mc:Fallback>
    </mc:AlternateContent>
    <mc:AlternateContent xmlns:mc="http://schemas.openxmlformats.org/markup-compatibility/2006">
      <mc:Choice Requires="x14">
        <control shapeId="1145" r:id="rId14" name="ComboBox2">
          <controlPr defaultSize="0" autoLine="0" autoPict="0" linkedCell="D9" listFillRange="Calculations!BA3:BB352" r:id="rId15">
            <anchor moveWithCells="1">
              <from>
                <xdr:col>1</xdr:col>
                <xdr:colOff>733425</xdr:colOff>
                <xdr:row>7</xdr:row>
                <xdr:rowOff>152400</xdr:rowOff>
              </from>
              <to>
                <xdr:col>5</xdr:col>
                <xdr:colOff>600075</xdr:colOff>
                <xdr:row>8</xdr:row>
                <xdr:rowOff>180975</xdr:rowOff>
              </to>
            </anchor>
          </controlPr>
        </control>
      </mc:Choice>
      <mc:Fallback>
        <control shapeId="1145" r:id="rId14" name="ComboBox2"/>
      </mc:Fallback>
    </mc:AlternateContent>
    <mc:AlternateContent xmlns:mc="http://schemas.openxmlformats.org/markup-compatibility/2006">
      <mc:Choice Requires="x14">
        <control shapeId="1144" r:id="rId16" name="ComboBox1">
          <controlPr defaultSize="0" autoLine="0" autoPict="0" linkedCell="'Pay Values'!$D$6" listFillRange="'Producer supplier'!$B$2:$C$142" r:id="rId17">
            <anchor moveWithCells="1">
              <from>
                <xdr:col>1</xdr:col>
                <xdr:colOff>542925</xdr:colOff>
                <xdr:row>5</xdr:row>
                <xdr:rowOff>38100</xdr:rowOff>
              </from>
              <to>
                <xdr:col>4</xdr:col>
                <xdr:colOff>695325</xdr:colOff>
                <xdr:row>6</xdr:row>
                <xdr:rowOff>0</xdr:rowOff>
              </to>
            </anchor>
          </controlPr>
        </control>
      </mc:Choice>
      <mc:Fallback>
        <control shapeId="1144" r:id="rId16" name="ComboBox1"/>
      </mc:Fallback>
    </mc:AlternateContent>
    <mc:AlternateContent xmlns:mc="http://schemas.openxmlformats.org/markup-compatibility/2006">
      <mc:Choice Requires="x14">
        <control shapeId="1040" r:id="rId18" name="Drop Down 16">
          <controlPr defaultSize="0" print="0" autoFill="0" autoLine="0" autoPict="0" macro="[0]!Option2_Change">
            <anchor>
              <from>
                <xdr:col>0</xdr:col>
                <xdr:colOff>676275</xdr:colOff>
                <xdr:row>4</xdr:row>
                <xdr:rowOff>19050</xdr:rowOff>
              </from>
              <to>
                <xdr:col>2</xdr:col>
                <xdr:colOff>76200</xdr:colOff>
                <xdr:row>5</xdr:row>
                <xdr:rowOff>38100</xdr:rowOff>
              </to>
            </anchor>
          </controlPr>
        </control>
      </mc:Choice>
    </mc:AlternateContent>
    <mc:AlternateContent xmlns:mc="http://schemas.openxmlformats.org/markup-compatibility/2006">
      <mc:Choice Requires="x14">
        <control shapeId="1100" r:id="rId19" name="Group Box 76">
          <controlPr defaultSize="0" autoFill="0" autoPict="0">
            <anchor>
              <from>
                <xdr:col>0</xdr:col>
                <xdr:colOff>0</xdr:colOff>
                <xdr:row>6</xdr:row>
                <xdr:rowOff>9525</xdr:rowOff>
              </from>
              <to>
                <xdr:col>0</xdr:col>
                <xdr:colOff>1019175</xdr:colOff>
                <xdr:row>8</xdr:row>
                <xdr:rowOff>76200</xdr:rowOff>
              </to>
            </anchor>
          </controlPr>
        </control>
      </mc:Choice>
    </mc:AlternateContent>
    <mc:AlternateContent xmlns:mc="http://schemas.openxmlformats.org/markup-compatibility/2006">
      <mc:Choice Requires="x14">
        <control shapeId="1101" r:id="rId20" name="Option Button 77">
          <controlPr defaultSize="0" autoFill="0" autoLine="0" autoPict="0" macro="[0]!Option2_Change">
            <anchor>
              <from>
                <xdr:col>0</xdr:col>
                <xdr:colOff>85725</xdr:colOff>
                <xdr:row>6</xdr:row>
                <xdr:rowOff>38100</xdr:rowOff>
              </from>
              <to>
                <xdr:col>0</xdr:col>
                <xdr:colOff>828675</xdr:colOff>
                <xdr:row>7</xdr:row>
                <xdr:rowOff>76200</xdr:rowOff>
              </to>
            </anchor>
          </controlPr>
        </control>
      </mc:Choice>
    </mc:AlternateContent>
    <mc:AlternateContent xmlns:mc="http://schemas.openxmlformats.org/markup-compatibility/2006">
      <mc:Choice Requires="x14">
        <control shapeId="1102" r:id="rId21" name="Option Button 78">
          <controlPr defaultSize="0" autoFill="0" autoLine="0" autoPict="0" macro="[0]!Option2_Change">
            <anchor>
              <from>
                <xdr:col>0</xdr:col>
                <xdr:colOff>85725</xdr:colOff>
                <xdr:row>7</xdr:row>
                <xdr:rowOff>47625</xdr:rowOff>
              </from>
              <to>
                <xdr:col>0</xdr:col>
                <xdr:colOff>790575</xdr:colOff>
                <xdr:row>8</xdr:row>
                <xdr:rowOff>76200</xdr:rowOff>
              </to>
            </anchor>
          </controlPr>
        </control>
      </mc:Choice>
    </mc:AlternateContent>
    <mc:AlternateContent xmlns:mc="http://schemas.openxmlformats.org/markup-compatibility/2006">
      <mc:Choice Requires="x14">
        <control shapeId="1129" r:id="rId22" name="Drop Down 105">
          <controlPr defaultSize="0" autoFill="0" autoLine="0" autoPict="0">
            <anchor moveWithCells="1">
              <from>
                <xdr:col>0</xdr:col>
                <xdr:colOff>0</xdr:colOff>
                <xdr:row>45</xdr:row>
                <xdr:rowOff>0</xdr:rowOff>
              </from>
              <to>
                <xdr:col>0</xdr:col>
                <xdr:colOff>1019175</xdr:colOff>
                <xdr:row>46</xdr:row>
                <xdr:rowOff>0</xdr:rowOff>
              </to>
            </anchor>
          </controlPr>
        </control>
      </mc:Choice>
    </mc:AlternateContent>
    <mc:AlternateContent xmlns:mc="http://schemas.openxmlformats.org/markup-compatibility/2006">
      <mc:Choice Requires="x14">
        <control shapeId="1132" r:id="rId23" name="Drop Down 108">
          <controlPr defaultSize="0" autoFill="0" autoLine="0" autoPict="0">
            <anchor moveWithCells="1">
              <from>
                <xdr:col>3</xdr:col>
                <xdr:colOff>0</xdr:colOff>
                <xdr:row>4</xdr:row>
                <xdr:rowOff>0</xdr:rowOff>
              </from>
              <to>
                <xdr:col>4</xdr:col>
                <xdr:colOff>0</xdr:colOff>
                <xdr:row>5</xdr:row>
                <xdr:rowOff>9525</xdr:rowOff>
              </to>
            </anchor>
          </controlPr>
        </control>
      </mc:Choice>
    </mc:AlternateContent>
    <mc:AlternateContent xmlns:mc="http://schemas.openxmlformats.org/markup-compatibility/2006">
      <mc:Choice Requires="x14">
        <control shapeId="1143" r:id="rId24" name="Check Box 119">
          <controlPr defaultSize="0" autoFill="0" autoLine="0" autoPict="0">
            <anchor moveWithCells="1">
              <from>
                <xdr:col>0</xdr:col>
                <xdr:colOff>1019175</xdr:colOff>
                <xdr:row>6</xdr:row>
                <xdr:rowOff>123825</xdr:rowOff>
              </from>
              <to>
                <xdr:col>1</xdr:col>
                <xdr:colOff>1200150</xdr:colOff>
                <xdr:row>7</xdr:row>
                <xdr:rowOff>161925</xdr:rowOff>
              </to>
            </anchor>
          </controlPr>
        </control>
      </mc:Choice>
    </mc:AlternateContent>
    <mc:AlternateContent xmlns:mc="http://schemas.openxmlformats.org/markup-compatibility/2006">
      <mc:Choice Requires="x14">
        <control shapeId="1154" r:id="rId25" name="Drop Down 130">
          <controlPr defaultSize="0" autoLine="0" autoPict="0">
            <anchor moveWithCells="1">
              <from>
                <xdr:col>8</xdr:col>
                <xdr:colOff>0</xdr:colOff>
                <xdr:row>3</xdr:row>
                <xdr:rowOff>9525</xdr:rowOff>
              </from>
              <to>
                <xdr:col>9</xdr:col>
                <xdr:colOff>85725</xdr:colOff>
                <xdr:row>4</xdr:row>
                <xdr:rowOff>38100</xdr:rowOff>
              </to>
            </anchor>
          </controlPr>
        </control>
      </mc:Choice>
    </mc:AlternateContent>
    <mc:AlternateContent xmlns:mc="http://schemas.openxmlformats.org/markup-compatibility/2006">
      <mc:Choice Requires="x14">
        <control shapeId="1173" r:id="rId26" name="Group Box 149">
          <controlPr defaultSize="0" print="0" autoFill="0" autoPict="0">
            <anchor moveWithCells="1" sizeWithCells="1">
              <from>
                <xdr:col>5</xdr:col>
                <xdr:colOff>0</xdr:colOff>
                <xdr:row>34</xdr:row>
                <xdr:rowOff>0</xdr:rowOff>
              </from>
              <to>
                <xdr:col>7</xdr:col>
                <xdr:colOff>0</xdr:colOff>
                <xdr:row>39</xdr:row>
                <xdr:rowOff>0</xdr:rowOff>
              </to>
            </anchor>
          </controlPr>
        </control>
      </mc:Choice>
    </mc:AlternateContent>
    <mc:AlternateContent xmlns:mc="http://schemas.openxmlformats.org/markup-compatibility/2006">
      <mc:Choice Requires="x14">
        <control shapeId="1174" r:id="rId27" name="Option Button 150">
          <controlPr defaultSize="0" autoFill="0" autoLine="0" autoPict="0">
            <anchor moveWithCells="1" sizeWithCells="1">
              <from>
                <xdr:col>5</xdr:col>
                <xdr:colOff>9525</xdr:colOff>
                <xdr:row>35</xdr:row>
                <xdr:rowOff>0</xdr:rowOff>
              </from>
              <to>
                <xdr:col>5</xdr:col>
                <xdr:colOff>723900</xdr:colOff>
                <xdr:row>36</xdr:row>
                <xdr:rowOff>66675</xdr:rowOff>
              </to>
            </anchor>
          </controlPr>
        </control>
      </mc:Choice>
    </mc:AlternateContent>
    <mc:AlternateContent xmlns:mc="http://schemas.openxmlformats.org/markup-compatibility/2006">
      <mc:Choice Requires="x14">
        <control shapeId="1175" r:id="rId28" name="Option Button 151">
          <controlPr defaultSize="0" autoFill="0" autoLine="0" autoPict="0">
            <anchor moveWithCells="1" sizeWithCells="1">
              <from>
                <xdr:col>5</xdr:col>
                <xdr:colOff>904875</xdr:colOff>
                <xdr:row>35</xdr:row>
                <xdr:rowOff>0</xdr:rowOff>
              </from>
              <to>
                <xdr:col>6</xdr:col>
                <xdr:colOff>609600</xdr:colOff>
                <xdr:row>36</xdr:row>
                <xdr:rowOff>66675</xdr:rowOff>
              </to>
            </anchor>
          </controlPr>
        </control>
      </mc:Choice>
    </mc:AlternateContent>
    <mc:AlternateContent xmlns:mc="http://schemas.openxmlformats.org/markup-compatibility/2006">
      <mc:Choice Requires="x14">
        <control shapeId="1176" r:id="rId29" name="Option Button 152">
          <controlPr defaultSize="0" autoFill="0" autoLine="0" autoPict="0">
            <anchor moveWithCells="1" sizeWithCells="1">
              <from>
                <xdr:col>5</xdr:col>
                <xdr:colOff>9525</xdr:colOff>
                <xdr:row>35</xdr:row>
                <xdr:rowOff>142875</xdr:rowOff>
              </from>
              <to>
                <xdr:col>5</xdr:col>
                <xdr:colOff>714375</xdr:colOff>
                <xdr:row>37</xdr:row>
                <xdr:rowOff>66675</xdr:rowOff>
              </to>
            </anchor>
          </controlPr>
        </control>
      </mc:Choice>
    </mc:AlternateContent>
    <mc:AlternateContent xmlns:mc="http://schemas.openxmlformats.org/markup-compatibility/2006">
      <mc:Choice Requires="x14">
        <control shapeId="1177" r:id="rId30" name="Option Button 153">
          <controlPr defaultSize="0" autoFill="0" autoLine="0" autoPict="0">
            <anchor moveWithCells="1" sizeWithCells="1">
              <from>
                <xdr:col>5</xdr:col>
                <xdr:colOff>904875</xdr:colOff>
                <xdr:row>35</xdr:row>
                <xdr:rowOff>142875</xdr:rowOff>
              </from>
              <to>
                <xdr:col>6</xdr:col>
                <xdr:colOff>600075</xdr:colOff>
                <xdr:row>37</xdr:row>
                <xdr:rowOff>66675</xdr:rowOff>
              </to>
            </anchor>
          </controlPr>
        </control>
      </mc:Choice>
    </mc:AlternateContent>
    <mc:AlternateContent xmlns:mc="http://schemas.openxmlformats.org/markup-compatibility/2006">
      <mc:Choice Requires="x14">
        <control shapeId="1178" r:id="rId31" name="Check Box 154">
          <controlPr defaultSize="0" autoFill="0" autoLine="0" autoPict="0">
            <anchor moveWithCells="1">
              <from>
                <xdr:col>5</xdr:col>
                <xdr:colOff>276225</xdr:colOff>
                <xdr:row>37</xdr:row>
                <xdr:rowOff>85725</xdr:rowOff>
              </from>
              <to>
                <xdr:col>6</xdr:col>
                <xdr:colOff>485775</xdr:colOff>
                <xdr:row>38</xdr:row>
                <xdr:rowOff>104775</xdr:rowOff>
              </to>
            </anchor>
          </controlPr>
        </control>
      </mc:Choice>
    </mc:AlternateContent>
    <mc:AlternateContent xmlns:mc="http://schemas.openxmlformats.org/markup-compatibility/2006">
      <mc:Choice Requires="x14">
        <control shapeId="1185" r:id="rId32" name="Check Box 161">
          <controlPr defaultSize="0" autoFill="0" autoLine="0" autoPict="0">
            <anchor moveWithCells="1">
              <from>
                <xdr:col>5</xdr:col>
                <xdr:colOff>276225</xdr:colOff>
                <xdr:row>42</xdr:row>
                <xdr:rowOff>85725</xdr:rowOff>
              </from>
              <to>
                <xdr:col>6</xdr:col>
                <xdr:colOff>485775</xdr:colOff>
                <xdr:row>43</xdr:row>
                <xdr:rowOff>95250</xdr:rowOff>
              </to>
            </anchor>
          </controlPr>
        </control>
      </mc:Choice>
    </mc:AlternateContent>
    <mc:AlternateContent xmlns:mc="http://schemas.openxmlformats.org/markup-compatibility/2006">
      <mc:Choice Requires="x14">
        <control shapeId="1191" r:id="rId33" name="Check Box 167">
          <controlPr defaultSize="0" autoFill="0" autoLine="0" autoPict="0">
            <anchor moveWithCells="1">
              <from>
                <xdr:col>5</xdr:col>
                <xdr:colOff>552450</xdr:colOff>
                <xdr:row>7</xdr:row>
                <xdr:rowOff>142875</xdr:rowOff>
              </from>
              <to>
                <xdr:col>7</xdr:col>
                <xdr:colOff>57150</xdr:colOff>
                <xdr:row>8</xdr:row>
                <xdr:rowOff>171450</xdr:rowOff>
              </to>
            </anchor>
          </controlPr>
        </control>
      </mc:Choice>
    </mc:AlternateContent>
    <mc:AlternateContent xmlns:mc="http://schemas.openxmlformats.org/markup-compatibility/2006">
      <mc:Choice Requires="x14">
        <control shapeId="1180" r:id="rId34" name="Group Box 156">
          <controlPr defaultSize="0" print="0" autoFill="0" autoPict="0">
            <anchor moveWithCells="1" sizeWithCells="1">
              <from>
                <xdr:col>5</xdr:col>
                <xdr:colOff>0</xdr:colOff>
                <xdr:row>39</xdr:row>
                <xdr:rowOff>0</xdr:rowOff>
              </from>
              <to>
                <xdr:col>7</xdr:col>
                <xdr:colOff>0</xdr:colOff>
                <xdr:row>44</xdr:row>
                <xdr:rowOff>0</xdr:rowOff>
              </to>
            </anchor>
          </controlPr>
        </control>
      </mc:Choice>
    </mc:AlternateContent>
    <mc:AlternateContent xmlns:mc="http://schemas.openxmlformats.org/markup-compatibility/2006">
      <mc:Choice Requires="x14">
        <control shapeId="1181" r:id="rId35" name="Option Button 157">
          <controlPr defaultSize="0" autoFill="0" autoLine="0" autoPict="0">
            <anchor moveWithCells="1" sizeWithCells="1">
              <from>
                <xdr:col>5</xdr:col>
                <xdr:colOff>9525</xdr:colOff>
                <xdr:row>39</xdr:row>
                <xdr:rowOff>190500</xdr:rowOff>
              </from>
              <to>
                <xdr:col>5</xdr:col>
                <xdr:colOff>723900</xdr:colOff>
                <xdr:row>41</xdr:row>
                <xdr:rowOff>57150</xdr:rowOff>
              </to>
            </anchor>
          </controlPr>
        </control>
      </mc:Choice>
    </mc:AlternateContent>
    <mc:AlternateContent xmlns:mc="http://schemas.openxmlformats.org/markup-compatibility/2006">
      <mc:Choice Requires="x14">
        <control shapeId="1182" r:id="rId36" name="Option Button 158">
          <controlPr defaultSize="0" autoFill="0" autoLine="0" autoPict="0">
            <anchor moveWithCells="1" sizeWithCells="1">
              <from>
                <xdr:col>5</xdr:col>
                <xdr:colOff>904875</xdr:colOff>
                <xdr:row>39</xdr:row>
                <xdr:rowOff>190500</xdr:rowOff>
              </from>
              <to>
                <xdr:col>6</xdr:col>
                <xdr:colOff>619125</xdr:colOff>
                <xdr:row>41</xdr:row>
                <xdr:rowOff>57150</xdr:rowOff>
              </to>
            </anchor>
          </controlPr>
        </control>
      </mc:Choice>
    </mc:AlternateContent>
    <mc:AlternateContent xmlns:mc="http://schemas.openxmlformats.org/markup-compatibility/2006">
      <mc:Choice Requires="x14">
        <control shapeId="1183" r:id="rId37" name="Option Button 159">
          <controlPr defaultSize="0" autoFill="0" autoLine="0" autoPict="0">
            <anchor moveWithCells="1" sizeWithCells="1">
              <from>
                <xdr:col>5</xdr:col>
                <xdr:colOff>9525</xdr:colOff>
                <xdr:row>40</xdr:row>
                <xdr:rowOff>142875</xdr:rowOff>
              </from>
              <to>
                <xdr:col>5</xdr:col>
                <xdr:colOff>723900</xdr:colOff>
                <xdr:row>42</xdr:row>
                <xdr:rowOff>28575</xdr:rowOff>
              </to>
            </anchor>
          </controlPr>
        </control>
      </mc:Choice>
    </mc:AlternateContent>
    <mc:AlternateContent xmlns:mc="http://schemas.openxmlformats.org/markup-compatibility/2006">
      <mc:Choice Requires="x14">
        <control shapeId="1184" r:id="rId38" name="Option Button 160">
          <controlPr defaultSize="0" autoFill="0" autoLine="0" autoPict="0">
            <anchor moveWithCells="1" sizeWithCells="1">
              <from>
                <xdr:col>5</xdr:col>
                <xdr:colOff>904875</xdr:colOff>
                <xdr:row>40</xdr:row>
                <xdr:rowOff>142875</xdr:rowOff>
              </from>
              <to>
                <xdr:col>6</xdr:col>
                <xdr:colOff>600075</xdr:colOff>
                <xdr:row>42</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tabColor indexed="26"/>
  </sheetPr>
  <dimension ref="A1:G986"/>
  <sheetViews>
    <sheetView showGridLines="0" zoomScale="75" workbookViewId="0">
      <pane ySplit="5" topLeftCell="A6" activePane="bottomLeft" state="frozen"/>
      <selection activeCell="C11" sqref="C11:F11"/>
      <selection pane="bottomLeft" activeCell="A6" sqref="A6"/>
    </sheetView>
  </sheetViews>
  <sheetFormatPr defaultRowHeight="12.75"/>
  <cols>
    <col min="1" max="1" width="36.42578125" style="777" customWidth="1"/>
    <col min="2" max="2" width="14.28515625" style="777" customWidth="1"/>
    <col min="3" max="3" width="19" style="778" customWidth="1"/>
    <col min="4" max="4" width="15.85546875" style="778" customWidth="1"/>
    <col min="5" max="5" width="9.140625" style="747"/>
    <col min="6" max="9" width="9.5703125" style="747" customWidth="1"/>
    <col min="10" max="16384" width="9.140625" style="747"/>
  </cols>
  <sheetData>
    <row r="1" spans="1:7">
      <c r="A1" s="757" t="s">
        <v>1091</v>
      </c>
      <c r="B1" s="758" t="s">
        <v>2179</v>
      </c>
      <c r="C1" s="759" t="s">
        <v>1089</v>
      </c>
      <c r="D1" s="760" t="s">
        <v>1090</v>
      </c>
      <c r="F1" s="761"/>
      <c r="G1" s="762" t="s">
        <v>1007</v>
      </c>
    </row>
    <row r="2" spans="1:7">
      <c r="A2" s="757"/>
      <c r="B2" s="757" t="s">
        <v>1906</v>
      </c>
      <c r="C2" s="763" t="s">
        <v>1093</v>
      </c>
      <c r="D2" s="764" t="s">
        <v>1094</v>
      </c>
      <c r="F2" s="765"/>
      <c r="G2" s="766" t="s">
        <v>1006</v>
      </c>
    </row>
    <row r="3" spans="1:7">
      <c r="A3" s="767"/>
      <c r="B3" s="767"/>
      <c r="C3" s="768" t="s">
        <v>1095</v>
      </c>
      <c r="D3" s="769" t="s">
        <v>1715</v>
      </c>
      <c r="G3" s="770" t="s">
        <v>1096</v>
      </c>
    </row>
    <row r="4" spans="1:7" hidden="1">
      <c r="A4" s="771" t="s">
        <v>1864</v>
      </c>
      <c r="B4" s="771" t="s">
        <v>1864</v>
      </c>
      <c r="C4" s="771" t="s">
        <v>1864</v>
      </c>
      <c r="D4" s="772" t="s">
        <v>76</v>
      </c>
    </row>
    <row r="5" spans="1:7" ht="25.5" hidden="1">
      <c r="A5" s="1133" t="s">
        <v>1866</v>
      </c>
      <c r="B5" s="1014" t="s">
        <v>1867</v>
      </c>
      <c r="C5" s="1134" t="s">
        <v>766</v>
      </c>
      <c r="D5" s="773" t="s">
        <v>2180</v>
      </c>
    </row>
    <row r="6" spans="1:7">
      <c r="A6" s="1129"/>
      <c r="B6" s="774"/>
      <c r="C6" s="1132"/>
      <c r="D6" s="775"/>
    </row>
    <row r="7" spans="1:7">
      <c r="A7" s="1130"/>
      <c r="B7" s="774"/>
      <c r="C7" s="1132"/>
      <c r="D7" s="775"/>
    </row>
    <row r="8" spans="1:7">
      <c r="A8" s="1131"/>
      <c r="B8" s="774"/>
      <c r="C8" s="1132"/>
      <c r="D8" s="775"/>
    </row>
    <row r="9" spans="1:7" ht="13.5" customHeight="1">
      <c r="A9" s="1131"/>
      <c r="B9" s="774"/>
      <c r="C9" s="1132"/>
      <c r="D9" s="775"/>
    </row>
    <row r="10" spans="1:7">
      <c r="A10" s="1131"/>
      <c r="B10" s="774"/>
      <c r="C10" s="1132"/>
      <c r="D10" s="775"/>
    </row>
    <row r="11" spans="1:7">
      <c r="A11" s="1131"/>
      <c r="B11" s="774"/>
      <c r="C11" s="1132"/>
      <c r="D11" s="775"/>
    </row>
    <row r="12" spans="1:7">
      <c r="A12" s="1131"/>
      <c r="B12" s="774"/>
      <c r="C12" s="1132"/>
      <c r="D12" s="775"/>
    </row>
    <row r="13" spans="1:7">
      <c r="A13" s="1131"/>
      <c r="B13" s="774"/>
      <c r="C13" s="1132"/>
      <c r="D13" s="775"/>
    </row>
    <row r="14" spans="1:7">
      <c r="A14" s="1131"/>
      <c r="B14" s="774"/>
      <c r="C14" s="1132"/>
      <c r="D14" s="775"/>
    </row>
    <row r="15" spans="1:7">
      <c r="A15" s="1131"/>
      <c r="B15" s="774"/>
      <c r="C15" s="1132"/>
      <c r="D15" s="775"/>
    </row>
    <row r="16" spans="1:7">
      <c r="A16" s="1131"/>
      <c r="B16" s="774"/>
      <c r="C16" s="1132"/>
      <c r="D16" s="775"/>
    </row>
    <row r="17" spans="1:4">
      <c r="A17" s="1131"/>
      <c r="B17" s="774"/>
      <c r="C17" s="1132"/>
      <c r="D17" s="775"/>
    </row>
    <row r="18" spans="1:4">
      <c r="A18" s="1131"/>
      <c r="B18" s="774"/>
      <c r="C18" s="1132"/>
      <c r="D18" s="775"/>
    </row>
    <row r="19" spans="1:4">
      <c r="A19" s="1131"/>
      <c r="B19" s="774"/>
      <c r="C19" s="1132"/>
      <c r="D19" s="775"/>
    </row>
    <row r="20" spans="1:4">
      <c r="A20" s="1131"/>
      <c r="B20" s="774"/>
      <c r="C20" s="1132"/>
      <c r="D20" s="775"/>
    </row>
    <row r="21" spans="1:4">
      <c r="A21" s="1131"/>
      <c r="B21" s="774"/>
      <c r="C21" s="1132"/>
      <c r="D21" s="775"/>
    </row>
    <row r="22" spans="1:4">
      <c r="A22" s="1131"/>
      <c r="B22" s="774"/>
      <c r="C22" s="1132"/>
      <c r="D22" s="775"/>
    </row>
    <row r="23" spans="1:4">
      <c r="A23" s="1131"/>
      <c r="B23" s="774"/>
      <c r="C23" s="1132"/>
      <c r="D23" s="775"/>
    </row>
    <row r="24" spans="1:4">
      <c r="A24" s="1131"/>
      <c r="B24" s="774"/>
      <c r="C24" s="1132"/>
      <c r="D24" s="775"/>
    </row>
    <row r="25" spans="1:4">
      <c r="A25" s="1131"/>
      <c r="B25" s="774"/>
      <c r="C25" s="1132"/>
      <c r="D25" s="775"/>
    </row>
    <row r="26" spans="1:4">
      <c r="A26" s="1131"/>
      <c r="B26" s="774"/>
      <c r="C26" s="1132"/>
      <c r="D26" s="775"/>
    </row>
    <row r="27" spans="1:4">
      <c r="A27" s="1131"/>
      <c r="B27" s="774"/>
      <c r="C27" s="1132"/>
      <c r="D27" s="775"/>
    </row>
    <row r="28" spans="1:4">
      <c r="A28" s="1131"/>
      <c r="B28" s="774"/>
      <c r="C28" s="1132"/>
      <c r="D28" s="775"/>
    </row>
    <row r="29" spans="1:4">
      <c r="A29" s="1131"/>
      <c r="B29" s="774"/>
      <c r="C29" s="1132"/>
      <c r="D29" s="775"/>
    </row>
    <row r="30" spans="1:4">
      <c r="A30" s="1131"/>
      <c r="B30" s="774"/>
      <c r="C30" s="1132"/>
      <c r="D30" s="775"/>
    </row>
    <row r="31" spans="1:4">
      <c r="A31" s="1131"/>
      <c r="B31" s="774"/>
      <c r="C31" s="1132"/>
      <c r="D31" s="775"/>
    </row>
    <row r="32" spans="1:4">
      <c r="A32" s="1131"/>
      <c r="B32" s="774"/>
      <c r="C32" s="1132"/>
      <c r="D32" s="775"/>
    </row>
    <row r="33" spans="1:4">
      <c r="A33" s="1131"/>
      <c r="B33" s="774"/>
      <c r="C33" s="1132"/>
      <c r="D33" s="775"/>
    </row>
    <row r="34" spans="1:4">
      <c r="A34" s="1131"/>
      <c r="B34" s="774"/>
      <c r="C34" s="1132"/>
      <c r="D34" s="775"/>
    </row>
    <row r="35" spans="1:4">
      <c r="A35" s="1131"/>
      <c r="B35" s="774"/>
      <c r="C35" s="1132"/>
      <c r="D35" s="775"/>
    </row>
    <row r="36" spans="1:4">
      <c r="A36" s="1131"/>
      <c r="B36" s="774"/>
      <c r="C36" s="1132"/>
      <c r="D36" s="775"/>
    </row>
    <row r="37" spans="1:4">
      <c r="A37" s="1131"/>
      <c r="B37" s="774"/>
      <c r="C37" s="1132"/>
      <c r="D37" s="775"/>
    </row>
    <row r="38" spans="1:4">
      <c r="A38" s="1131"/>
      <c r="B38" s="774"/>
      <c r="C38" s="1132"/>
      <c r="D38" s="775"/>
    </row>
    <row r="39" spans="1:4">
      <c r="A39" s="1131"/>
      <c r="B39" s="774"/>
      <c r="C39" s="1132"/>
      <c r="D39" s="775"/>
    </row>
    <row r="40" spans="1:4">
      <c r="A40" s="1131"/>
      <c r="B40" s="774"/>
      <c r="C40" s="1132"/>
      <c r="D40" s="775"/>
    </row>
    <row r="41" spans="1:4">
      <c r="A41" s="1131"/>
      <c r="B41" s="774"/>
      <c r="C41" s="1132"/>
      <c r="D41" s="775"/>
    </row>
    <row r="42" spans="1:4">
      <c r="A42" s="1131"/>
      <c r="B42" s="774"/>
      <c r="C42" s="1132"/>
      <c r="D42" s="775"/>
    </row>
    <row r="43" spans="1:4">
      <c r="A43" s="1131"/>
      <c r="B43" s="774"/>
      <c r="C43" s="1132"/>
      <c r="D43" s="775"/>
    </row>
    <row r="44" spans="1:4">
      <c r="A44" s="1131"/>
      <c r="B44" s="774"/>
      <c r="C44" s="1132"/>
      <c r="D44" s="775"/>
    </row>
    <row r="45" spans="1:4">
      <c r="A45" s="1131"/>
      <c r="B45" s="774"/>
      <c r="C45" s="1132"/>
      <c r="D45" s="775"/>
    </row>
    <row r="46" spans="1:4">
      <c r="A46" s="1131"/>
      <c r="B46" s="774"/>
      <c r="C46" s="1132"/>
      <c r="D46" s="775"/>
    </row>
    <row r="47" spans="1:4">
      <c r="A47" s="1131"/>
      <c r="B47" s="774"/>
      <c r="C47" s="1132"/>
      <c r="D47" s="775"/>
    </row>
    <row r="48" spans="1:4">
      <c r="A48" s="1131"/>
      <c r="B48" s="774"/>
      <c r="C48" s="1132"/>
      <c r="D48" s="775"/>
    </row>
    <row r="49" spans="1:4">
      <c r="A49" s="1131"/>
      <c r="B49" s="774"/>
      <c r="C49" s="1132"/>
      <c r="D49" s="775"/>
    </row>
    <row r="50" spans="1:4">
      <c r="A50" s="1131"/>
      <c r="B50" s="774"/>
      <c r="C50" s="1132"/>
      <c r="D50" s="775"/>
    </row>
    <row r="51" spans="1:4">
      <c r="A51" s="1131"/>
      <c r="B51" s="774"/>
      <c r="C51" s="1132"/>
      <c r="D51" s="775"/>
    </row>
    <row r="52" spans="1:4">
      <c r="A52" s="1131"/>
      <c r="B52" s="774"/>
      <c r="C52" s="1132"/>
      <c r="D52" s="775"/>
    </row>
    <row r="53" spans="1:4">
      <c r="A53" s="1131"/>
      <c r="B53" s="774"/>
      <c r="C53" s="1132"/>
      <c r="D53" s="775"/>
    </row>
    <row r="54" spans="1:4">
      <c r="A54" s="1131"/>
      <c r="B54" s="774"/>
      <c r="C54" s="1132"/>
      <c r="D54" s="775"/>
    </row>
    <row r="55" spans="1:4">
      <c r="A55" s="1131"/>
      <c r="B55" s="774"/>
      <c r="C55" s="1132"/>
      <c r="D55" s="775"/>
    </row>
    <row r="56" spans="1:4">
      <c r="A56" s="1131"/>
      <c r="B56" s="774"/>
      <c r="C56" s="1132"/>
      <c r="D56" s="775"/>
    </row>
    <row r="57" spans="1:4">
      <c r="A57" s="1131"/>
      <c r="B57" s="774"/>
      <c r="C57" s="1132"/>
      <c r="D57" s="775"/>
    </row>
    <row r="58" spans="1:4">
      <c r="A58" s="1131"/>
      <c r="B58" s="774"/>
      <c r="C58" s="1132"/>
      <c r="D58" s="775"/>
    </row>
    <row r="59" spans="1:4">
      <c r="A59" s="1131"/>
      <c r="B59" s="774"/>
      <c r="C59" s="1132"/>
      <c r="D59" s="775"/>
    </row>
    <row r="60" spans="1:4">
      <c r="A60" s="1131"/>
      <c r="B60" s="774"/>
      <c r="C60" s="1132"/>
      <c r="D60" s="775"/>
    </row>
    <row r="61" spans="1:4">
      <c r="A61" s="1131"/>
      <c r="B61" s="774"/>
      <c r="C61" s="1132"/>
      <c r="D61" s="775"/>
    </row>
    <row r="62" spans="1:4">
      <c r="A62" s="1131"/>
      <c r="B62" s="774"/>
      <c r="C62" s="1132"/>
      <c r="D62" s="775"/>
    </row>
    <row r="63" spans="1:4">
      <c r="A63" s="1131"/>
      <c r="B63" s="774"/>
      <c r="C63" s="1132"/>
      <c r="D63" s="775"/>
    </row>
    <row r="64" spans="1:4">
      <c r="A64" s="1131"/>
      <c r="B64" s="774"/>
      <c r="C64" s="1132"/>
      <c r="D64" s="775"/>
    </row>
    <row r="65" spans="1:4">
      <c r="A65" s="1131"/>
      <c r="B65" s="774"/>
      <c r="C65" s="1132"/>
      <c r="D65" s="775"/>
    </row>
    <row r="66" spans="1:4">
      <c r="A66" s="1131"/>
      <c r="B66" s="774"/>
      <c r="C66" s="1132"/>
      <c r="D66" s="775"/>
    </row>
    <row r="67" spans="1:4">
      <c r="A67" s="1131"/>
      <c r="B67" s="774"/>
      <c r="C67" s="1132"/>
      <c r="D67" s="775"/>
    </row>
    <row r="68" spans="1:4">
      <c r="A68" s="1131"/>
      <c r="B68" s="774"/>
      <c r="C68" s="1132"/>
      <c r="D68" s="775"/>
    </row>
    <row r="69" spans="1:4">
      <c r="A69" s="1131"/>
      <c r="B69" s="774"/>
      <c r="C69" s="1132"/>
      <c r="D69" s="775"/>
    </row>
    <row r="70" spans="1:4">
      <c r="A70" s="1131"/>
      <c r="B70" s="774"/>
      <c r="C70" s="1132"/>
      <c r="D70" s="775"/>
    </row>
    <row r="71" spans="1:4">
      <c r="A71" s="1131"/>
      <c r="B71" s="774"/>
      <c r="C71" s="1132"/>
      <c r="D71" s="775"/>
    </row>
    <row r="72" spans="1:4">
      <c r="A72" s="1131"/>
      <c r="B72" s="774"/>
      <c r="C72" s="1132"/>
      <c r="D72" s="775"/>
    </row>
    <row r="73" spans="1:4">
      <c r="A73" s="1131"/>
      <c r="B73" s="774"/>
      <c r="C73" s="1132"/>
      <c r="D73" s="775"/>
    </row>
    <row r="74" spans="1:4">
      <c r="A74" s="1131"/>
      <c r="B74" s="774"/>
      <c r="C74" s="1132"/>
      <c r="D74" s="775"/>
    </row>
    <row r="75" spans="1:4">
      <c r="A75" s="1131"/>
      <c r="B75" s="774"/>
      <c r="C75" s="1132"/>
      <c r="D75" s="775"/>
    </row>
    <row r="76" spans="1:4">
      <c r="A76" s="1131"/>
      <c r="B76" s="774"/>
      <c r="C76" s="1132"/>
      <c r="D76" s="775"/>
    </row>
    <row r="77" spans="1:4">
      <c r="A77" s="1131"/>
      <c r="B77" s="774"/>
      <c r="C77" s="1132"/>
      <c r="D77" s="775"/>
    </row>
    <row r="78" spans="1:4">
      <c r="A78" s="1131"/>
      <c r="B78" s="774"/>
      <c r="C78" s="1132"/>
      <c r="D78" s="775"/>
    </row>
    <row r="79" spans="1:4">
      <c r="A79" s="1131"/>
      <c r="B79" s="774"/>
      <c r="C79" s="1132"/>
      <c r="D79" s="775"/>
    </row>
    <row r="80" spans="1:4">
      <c r="A80" s="1131"/>
      <c r="B80" s="774"/>
      <c r="C80" s="1132"/>
      <c r="D80" s="775"/>
    </row>
    <row r="81" spans="1:4">
      <c r="A81" s="1131"/>
      <c r="B81" s="774"/>
      <c r="C81" s="1132"/>
      <c r="D81" s="775"/>
    </row>
    <row r="82" spans="1:4">
      <c r="A82" s="1131"/>
      <c r="B82" s="774"/>
      <c r="C82" s="1132"/>
      <c r="D82" s="775"/>
    </row>
    <row r="83" spans="1:4">
      <c r="A83" s="1131"/>
      <c r="B83" s="774"/>
      <c r="C83" s="1132"/>
      <c r="D83" s="775"/>
    </row>
    <row r="84" spans="1:4">
      <c r="A84" s="1131"/>
      <c r="B84" s="774"/>
      <c r="C84" s="1132"/>
      <c r="D84" s="775"/>
    </row>
    <row r="85" spans="1:4">
      <c r="A85" s="1131"/>
      <c r="B85" s="774"/>
      <c r="C85" s="1132"/>
      <c r="D85" s="775"/>
    </row>
    <row r="86" spans="1:4">
      <c r="A86" s="1131"/>
      <c r="B86" s="774"/>
      <c r="C86" s="1132"/>
      <c r="D86" s="775"/>
    </row>
    <row r="87" spans="1:4">
      <c r="A87" s="1131"/>
      <c r="B87" s="774"/>
      <c r="C87" s="1132"/>
      <c r="D87" s="775"/>
    </row>
    <row r="88" spans="1:4">
      <c r="A88" s="1131"/>
      <c r="B88" s="774"/>
      <c r="C88" s="1132"/>
      <c r="D88" s="775"/>
    </row>
    <row r="89" spans="1:4">
      <c r="A89" s="1131"/>
      <c r="B89" s="774"/>
      <c r="C89" s="1132"/>
      <c r="D89" s="775"/>
    </row>
    <row r="90" spans="1:4">
      <c r="A90" s="1131"/>
      <c r="B90" s="774"/>
      <c r="C90" s="1132"/>
      <c r="D90" s="775"/>
    </row>
    <row r="91" spans="1:4">
      <c r="A91" s="1131"/>
      <c r="B91" s="774"/>
      <c r="C91" s="1132"/>
      <c r="D91" s="775"/>
    </row>
    <row r="92" spans="1:4">
      <c r="A92" s="1131"/>
      <c r="B92" s="774"/>
      <c r="C92" s="1132"/>
      <c r="D92" s="775"/>
    </row>
    <row r="93" spans="1:4">
      <c r="A93" s="1131"/>
      <c r="B93" s="774"/>
      <c r="C93" s="1132"/>
      <c r="D93" s="775"/>
    </row>
    <row r="94" spans="1:4">
      <c r="A94" s="1131"/>
      <c r="B94" s="774"/>
      <c r="C94" s="1132"/>
      <c r="D94" s="775"/>
    </row>
    <row r="95" spans="1:4">
      <c r="A95" s="1131"/>
      <c r="B95" s="774"/>
      <c r="C95" s="1132"/>
      <c r="D95" s="775"/>
    </row>
    <row r="96" spans="1:4">
      <c r="A96" s="1131"/>
      <c r="B96" s="774"/>
      <c r="C96" s="1132"/>
      <c r="D96" s="775"/>
    </row>
    <row r="97" spans="1:4">
      <c r="A97" s="1131"/>
      <c r="B97" s="774"/>
      <c r="C97" s="1132"/>
      <c r="D97" s="775"/>
    </row>
    <row r="98" spans="1:4">
      <c r="A98" s="1131"/>
      <c r="B98" s="774"/>
      <c r="C98" s="1132"/>
      <c r="D98" s="775"/>
    </row>
    <row r="99" spans="1:4">
      <c r="A99" s="1135"/>
      <c r="B99" s="1136"/>
      <c r="C99" s="1215"/>
      <c r="D99" s="775"/>
    </row>
    <row r="100" spans="1:4">
      <c r="A100" s="774"/>
      <c r="B100" s="774"/>
      <c r="C100" s="776"/>
      <c r="D100" s="775"/>
    </row>
    <row r="101" spans="1:4">
      <c r="A101" s="774"/>
      <c r="B101" s="774"/>
      <c r="C101" s="776"/>
      <c r="D101" s="775"/>
    </row>
    <row r="102" spans="1:4">
      <c r="A102" s="774"/>
      <c r="B102" s="774"/>
      <c r="C102" s="776"/>
      <c r="D102" s="775"/>
    </row>
    <row r="103" spans="1:4">
      <c r="A103" s="774"/>
      <c r="B103" s="774"/>
      <c r="C103" s="776"/>
      <c r="D103" s="775"/>
    </row>
    <row r="104" spans="1:4">
      <c r="A104" s="774"/>
      <c r="B104" s="774"/>
      <c r="C104" s="776"/>
      <c r="D104" s="775"/>
    </row>
    <row r="105" spans="1:4">
      <c r="A105" s="774"/>
      <c r="B105" s="774"/>
      <c r="C105" s="776"/>
      <c r="D105" s="775"/>
    </row>
    <row r="106" spans="1:4">
      <c r="D106" s="775"/>
    </row>
    <row r="107" spans="1:4">
      <c r="D107" s="775"/>
    </row>
    <row r="108" spans="1:4">
      <c r="D108" s="775"/>
    </row>
    <row r="109" spans="1:4">
      <c r="D109" s="775"/>
    </row>
    <row r="110" spans="1:4">
      <c r="D110" s="775"/>
    </row>
    <row r="111" spans="1:4">
      <c r="D111" s="775"/>
    </row>
    <row r="112" spans="1:4">
      <c r="D112" s="775"/>
    </row>
    <row r="113" spans="4:4">
      <c r="D113" s="775"/>
    </row>
    <row r="114" spans="4:4">
      <c r="D114" s="775"/>
    </row>
    <row r="115" spans="4:4">
      <c r="D115" s="775"/>
    </row>
    <row r="116" spans="4:4">
      <c r="D116" s="775"/>
    </row>
    <row r="117" spans="4:4">
      <c r="D117" s="775"/>
    </row>
    <row r="118" spans="4:4">
      <c r="D118" s="775"/>
    </row>
    <row r="119" spans="4:4">
      <c r="D119" s="775"/>
    </row>
    <row r="120" spans="4:4">
      <c r="D120" s="775"/>
    </row>
    <row r="121" spans="4:4">
      <c r="D121" s="775"/>
    </row>
    <row r="122" spans="4:4">
      <c r="D122" s="775"/>
    </row>
    <row r="123" spans="4:4">
      <c r="D123" s="775"/>
    </row>
    <row r="124" spans="4:4">
      <c r="D124" s="775"/>
    </row>
    <row r="125" spans="4:4">
      <c r="D125" s="775"/>
    </row>
    <row r="126" spans="4:4">
      <c r="D126" s="775"/>
    </row>
    <row r="127" spans="4:4">
      <c r="D127" s="775"/>
    </row>
    <row r="128" spans="4:4">
      <c r="D128" s="775"/>
    </row>
    <row r="129" spans="4:4">
      <c r="D129" s="775"/>
    </row>
    <row r="130" spans="4:4">
      <c r="D130" s="775"/>
    </row>
    <row r="131" spans="4:4">
      <c r="D131" s="775"/>
    </row>
    <row r="132" spans="4:4">
      <c r="D132" s="775"/>
    </row>
    <row r="133" spans="4:4">
      <c r="D133" s="775"/>
    </row>
    <row r="134" spans="4:4">
      <c r="D134" s="775"/>
    </row>
    <row r="135" spans="4:4">
      <c r="D135" s="775"/>
    </row>
    <row r="136" spans="4:4">
      <c r="D136" s="775"/>
    </row>
    <row r="137" spans="4:4">
      <c r="D137" s="775"/>
    </row>
    <row r="138" spans="4:4">
      <c r="D138" s="775"/>
    </row>
    <row r="139" spans="4:4">
      <c r="D139" s="775"/>
    </row>
    <row r="140" spans="4:4">
      <c r="D140" s="775"/>
    </row>
    <row r="141" spans="4:4">
      <c r="D141" s="775"/>
    </row>
    <row r="142" spans="4:4">
      <c r="D142" s="775"/>
    </row>
    <row r="143" spans="4:4">
      <c r="D143" s="775"/>
    </row>
    <row r="144" spans="4:4">
      <c r="D144" s="775"/>
    </row>
    <row r="145" spans="4:4">
      <c r="D145" s="775"/>
    </row>
    <row r="146" spans="4:4">
      <c r="D146" s="775"/>
    </row>
    <row r="147" spans="4:4">
      <c r="D147" s="775"/>
    </row>
    <row r="148" spans="4:4">
      <c r="D148" s="775"/>
    </row>
    <row r="149" spans="4:4">
      <c r="D149" s="775"/>
    </row>
    <row r="150" spans="4:4">
      <c r="D150" s="775"/>
    </row>
    <row r="151" spans="4:4">
      <c r="D151" s="775"/>
    </row>
    <row r="152" spans="4:4">
      <c r="D152" s="775"/>
    </row>
    <row r="153" spans="4:4">
      <c r="D153" s="775"/>
    </row>
    <row r="154" spans="4:4">
      <c r="D154" s="775"/>
    </row>
    <row r="155" spans="4:4">
      <c r="D155" s="775"/>
    </row>
    <row r="156" spans="4:4">
      <c r="D156" s="775"/>
    </row>
    <row r="157" spans="4:4">
      <c r="D157" s="775"/>
    </row>
    <row r="158" spans="4:4">
      <c r="D158" s="775"/>
    </row>
    <row r="159" spans="4:4">
      <c r="D159" s="775"/>
    </row>
    <row r="160" spans="4:4">
      <c r="D160" s="775"/>
    </row>
    <row r="161" spans="4:4">
      <c r="D161" s="775"/>
    </row>
    <row r="162" spans="4:4">
      <c r="D162" s="775"/>
    </row>
    <row r="163" spans="4:4">
      <c r="D163" s="775"/>
    </row>
    <row r="164" spans="4:4">
      <c r="D164" s="775"/>
    </row>
    <row r="165" spans="4:4">
      <c r="D165" s="775"/>
    </row>
    <row r="166" spans="4:4">
      <c r="D166" s="775"/>
    </row>
    <row r="167" spans="4:4">
      <c r="D167" s="775"/>
    </row>
    <row r="168" spans="4:4">
      <c r="D168" s="775"/>
    </row>
    <row r="169" spans="4:4">
      <c r="D169" s="775"/>
    </row>
    <row r="170" spans="4:4">
      <c r="D170" s="775"/>
    </row>
    <row r="171" spans="4:4">
      <c r="D171" s="775"/>
    </row>
    <row r="172" spans="4:4">
      <c r="D172" s="775"/>
    </row>
    <row r="173" spans="4:4">
      <c r="D173" s="775"/>
    </row>
    <row r="174" spans="4:4">
      <c r="D174" s="775"/>
    </row>
    <row r="175" spans="4:4">
      <c r="D175" s="775"/>
    </row>
    <row r="176" spans="4:4">
      <c r="D176" s="775"/>
    </row>
    <row r="177" spans="4:4">
      <c r="D177" s="775"/>
    </row>
    <row r="178" spans="4:4">
      <c r="D178" s="775"/>
    </row>
    <row r="179" spans="4:4">
      <c r="D179" s="775"/>
    </row>
    <row r="180" spans="4:4">
      <c r="D180" s="775"/>
    </row>
    <row r="181" spans="4:4">
      <c r="D181" s="775"/>
    </row>
    <row r="182" spans="4:4">
      <c r="D182" s="775"/>
    </row>
    <row r="183" spans="4:4">
      <c r="D183" s="775"/>
    </row>
    <row r="184" spans="4:4">
      <c r="D184" s="775"/>
    </row>
    <row r="185" spans="4:4">
      <c r="D185" s="775"/>
    </row>
    <row r="186" spans="4:4">
      <c r="D186" s="775"/>
    </row>
    <row r="187" spans="4:4">
      <c r="D187" s="775"/>
    </row>
    <row r="188" spans="4:4">
      <c r="D188" s="775"/>
    </row>
    <row r="189" spans="4:4">
      <c r="D189" s="775"/>
    </row>
    <row r="190" spans="4:4">
      <c r="D190" s="775"/>
    </row>
    <row r="191" spans="4:4">
      <c r="D191" s="775"/>
    </row>
    <row r="192" spans="4:4">
      <c r="D192" s="775"/>
    </row>
    <row r="193" spans="4:4">
      <c r="D193" s="775"/>
    </row>
    <row r="194" spans="4:4">
      <c r="D194" s="775"/>
    </row>
    <row r="195" spans="4:4">
      <c r="D195" s="775"/>
    </row>
    <row r="196" spans="4:4">
      <c r="D196" s="775"/>
    </row>
    <row r="197" spans="4:4">
      <c r="D197" s="775"/>
    </row>
    <row r="198" spans="4:4">
      <c r="D198" s="775"/>
    </row>
    <row r="199" spans="4:4">
      <c r="D199" s="775"/>
    </row>
    <row r="200" spans="4:4">
      <c r="D200" s="775"/>
    </row>
    <row r="201" spans="4:4">
      <c r="D201" s="775"/>
    </row>
    <row r="202" spans="4:4">
      <c r="D202" s="775"/>
    </row>
    <row r="203" spans="4:4">
      <c r="D203" s="775"/>
    </row>
    <row r="204" spans="4:4">
      <c r="D204" s="775"/>
    </row>
    <row r="205" spans="4:4">
      <c r="D205" s="775"/>
    </row>
    <row r="206" spans="4:4">
      <c r="D206" s="775"/>
    </row>
    <row r="207" spans="4:4">
      <c r="D207" s="775"/>
    </row>
    <row r="208" spans="4:4">
      <c r="D208" s="775"/>
    </row>
    <row r="209" spans="4:4">
      <c r="D209" s="775"/>
    </row>
    <row r="210" spans="4:4">
      <c r="D210" s="775"/>
    </row>
    <row r="211" spans="4:4">
      <c r="D211" s="775"/>
    </row>
    <row r="212" spans="4:4">
      <c r="D212" s="775"/>
    </row>
    <row r="213" spans="4:4">
      <c r="D213" s="775"/>
    </row>
    <row r="214" spans="4:4">
      <c r="D214" s="775"/>
    </row>
    <row r="215" spans="4:4">
      <c r="D215" s="775"/>
    </row>
    <row r="216" spans="4:4">
      <c r="D216" s="775"/>
    </row>
    <row r="217" spans="4:4">
      <c r="D217" s="775"/>
    </row>
    <row r="218" spans="4:4">
      <c r="D218" s="775"/>
    </row>
    <row r="219" spans="4:4">
      <c r="D219" s="775"/>
    </row>
    <row r="220" spans="4:4">
      <c r="D220" s="775"/>
    </row>
    <row r="221" spans="4:4">
      <c r="D221" s="775"/>
    </row>
    <row r="222" spans="4:4">
      <c r="D222" s="775"/>
    </row>
    <row r="223" spans="4:4">
      <c r="D223" s="775"/>
    </row>
    <row r="224" spans="4:4">
      <c r="D224" s="775"/>
    </row>
    <row r="225" spans="4:4">
      <c r="D225" s="775"/>
    </row>
    <row r="226" spans="4:4">
      <c r="D226" s="775"/>
    </row>
    <row r="227" spans="4:4">
      <c r="D227" s="775"/>
    </row>
    <row r="228" spans="4:4">
      <c r="D228" s="775"/>
    </row>
    <row r="229" spans="4:4">
      <c r="D229" s="775"/>
    </row>
    <row r="230" spans="4:4">
      <c r="D230" s="775"/>
    </row>
    <row r="231" spans="4:4">
      <c r="D231" s="775"/>
    </row>
    <row r="232" spans="4:4">
      <c r="D232" s="775"/>
    </row>
    <row r="233" spans="4:4">
      <c r="D233" s="775"/>
    </row>
    <row r="234" spans="4:4">
      <c r="D234" s="775"/>
    </row>
    <row r="235" spans="4:4">
      <c r="D235" s="775"/>
    </row>
    <row r="236" spans="4:4">
      <c r="D236" s="775"/>
    </row>
    <row r="237" spans="4:4">
      <c r="D237" s="775"/>
    </row>
    <row r="238" spans="4:4">
      <c r="D238" s="775"/>
    </row>
    <row r="239" spans="4:4">
      <c r="D239" s="775"/>
    </row>
    <row r="240" spans="4:4">
      <c r="D240" s="775"/>
    </row>
    <row r="241" spans="4:4">
      <c r="D241" s="775"/>
    </row>
    <row r="242" spans="4:4">
      <c r="D242" s="775"/>
    </row>
    <row r="243" spans="4:4">
      <c r="D243" s="775"/>
    </row>
    <row r="244" spans="4:4">
      <c r="D244" s="775"/>
    </row>
    <row r="245" spans="4:4">
      <c r="D245" s="775"/>
    </row>
    <row r="246" spans="4:4">
      <c r="D246" s="775"/>
    </row>
    <row r="247" spans="4:4">
      <c r="D247" s="775"/>
    </row>
    <row r="248" spans="4:4">
      <c r="D248" s="775"/>
    </row>
    <row r="249" spans="4:4">
      <c r="D249" s="775"/>
    </row>
    <row r="250" spans="4:4">
      <c r="D250" s="775"/>
    </row>
    <row r="251" spans="4:4">
      <c r="D251" s="775"/>
    </row>
    <row r="252" spans="4:4">
      <c r="D252" s="775"/>
    </row>
    <row r="253" spans="4:4">
      <c r="D253" s="775"/>
    </row>
    <row r="254" spans="4:4">
      <c r="D254" s="775"/>
    </row>
    <row r="255" spans="4:4">
      <c r="D255" s="775"/>
    </row>
    <row r="256" spans="4:4">
      <c r="D256" s="775"/>
    </row>
    <row r="257" spans="4:4">
      <c r="D257" s="775"/>
    </row>
    <row r="258" spans="4:4">
      <c r="D258" s="775"/>
    </row>
    <row r="259" spans="4:4">
      <c r="D259" s="775"/>
    </row>
    <row r="260" spans="4:4">
      <c r="D260" s="775"/>
    </row>
    <row r="261" spans="4:4">
      <c r="D261" s="775"/>
    </row>
    <row r="262" spans="4:4">
      <c r="D262" s="775"/>
    </row>
    <row r="263" spans="4:4">
      <c r="D263" s="775"/>
    </row>
    <row r="264" spans="4:4">
      <c r="D264" s="775"/>
    </row>
    <row r="265" spans="4:4">
      <c r="D265" s="775"/>
    </row>
    <row r="266" spans="4:4">
      <c r="D266" s="775"/>
    </row>
    <row r="267" spans="4:4">
      <c r="D267" s="775"/>
    </row>
    <row r="268" spans="4:4">
      <c r="D268" s="775"/>
    </row>
    <row r="269" spans="4:4">
      <c r="D269" s="775"/>
    </row>
    <row r="270" spans="4:4">
      <c r="D270" s="775"/>
    </row>
    <row r="271" spans="4:4">
      <c r="D271" s="775"/>
    </row>
    <row r="272" spans="4:4">
      <c r="D272" s="775"/>
    </row>
    <row r="273" spans="4:4">
      <c r="D273" s="775"/>
    </row>
    <row r="274" spans="4:4">
      <c r="D274" s="775"/>
    </row>
    <row r="275" spans="4:4">
      <c r="D275" s="775"/>
    </row>
    <row r="276" spans="4:4">
      <c r="D276" s="775"/>
    </row>
    <row r="277" spans="4:4">
      <c r="D277" s="775"/>
    </row>
    <row r="278" spans="4:4">
      <c r="D278" s="775"/>
    </row>
    <row r="279" spans="4:4">
      <c r="D279" s="775"/>
    </row>
    <row r="280" spans="4:4">
      <c r="D280" s="775"/>
    </row>
    <row r="281" spans="4:4">
      <c r="D281" s="775"/>
    </row>
    <row r="282" spans="4:4">
      <c r="D282" s="775"/>
    </row>
    <row r="283" spans="4:4">
      <c r="D283" s="775"/>
    </row>
    <row r="284" spans="4:4">
      <c r="D284" s="775"/>
    </row>
    <row r="285" spans="4:4">
      <c r="D285" s="775"/>
    </row>
    <row r="286" spans="4:4">
      <c r="D286" s="775"/>
    </row>
    <row r="287" spans="4:4">
      <c r="D287" s="775"/>
    </row>
    <row r="288" spans="4:4">
      <c r="D288" s="775"/>
    </row>
    <row r="289" spans="4:4">
      <c r="D289" s="775"/>
    </row>
    <row r="290" spans="4:4">
      <c r="D290" s="775"/>
    </row>
    <row r="291" spans="4:4">
      <c r="D291" s="775"/>
    </row>
    <row r="292" spans="4:4">
      <c r="D292" s="775"/>
    </row>
    <row r="293" spans="4:4">
      <c r="D293" s="775"/>
    </row>
    <row r="294" spans="4:4">
      <c r="D294" s="775"/>
    </row>
    <row r="295" spans="4:4">
      <c r="D295" s="775"/>
    </row>
    <row r="296" spans="4:4">
      <c r="D296" s="775"/>
    </row>
    <row r="297" spans="4:4">
      <c r="D297" s="775"/>
    </row>
    <row r="298" spans="4:4">
      <c r="D298" s="775"/>
    </row>
    <row r="299" spans="4:4">
      <c r="D299" s="775"/>
    </row>
    <row r="300" spans="4:4">
      <c r="D300" s="775"/>
    </row>
    <row r="301" spans="4:4">
      <c r="D301" s="775"/>
    </row>
    <row r="302" spans="4:4">
      <c r="D302" s="775"/>
    </row>
    <row r="303" spans="4:4">
      <c r="D303" s="775"/>
    </row>
    <row r="304" spans="4:4">
      <c r="D304" s="775"/>
    </row>
    <row r="305" spans="4:4">
      <c r="D305" s="775"/>
    </row>
    <row r="306" spans="4:4">
      <c r="D306" s="775"/>
    </row>
    <row r="307" spans="4:4">
      <c r="D307" s="775"/>
    </row>
    <row r="308" spans="4:4">
      <c r="D308" s="775"/>
    </row>
    <row r="309" spans="4:4">
      <c r="D309" s="775"/>
    </row>
    <row r="310" spans="4:4">
      <c r="D310" s="775"/>
    </row>
    <row r="311" spans="4:4">
      <c r="D311" s="775"/>
    </row>
    <row r="312" spans="4:4">
      <c r="D312" s="775"/>
    </row>
    <row r="313" spans="4:4">
      <c r="D313" s="775"/>
    </row>
    <row r="314" spans="4:4">
      <c r="D314" s="775"/>
    </row>
    <row r="315" spans="4:4">
      <c r="D315" s="775"/>
    </row>
    <row r="316" spans="4:4">
      <c r="D316" s="775"/>
    </row>
    <row r="317" spans="4:4">
      <c r="D317" s="775"/>
    </row>
    <row r="318" spans="4:4">
      <c r="D318" s="775"/>
    </row>
    <row r="319" spans="4:4">
      <c r="D319" s="775"/>
    </row>
    <row r="320" spans="4:4">
      <c r="D320" s="775"/>
    </row>
    <row r="321" spans="4:4">
      <c r="D321" s="775"/>
    </row>
    <row r="322" spans="4:4">
      <c r="D322" s="775"/>
    </row>
    <row r="323" spans="4:4">
      <c r="D323" s="775"/>
    </row>
    <row r="324" spans="4:4">
      <c r="D324" s="775"/>
    </row>
    <row r="325" spans="4:4">
      <c r="D325" s="775"/>
    </row>
    <row r="326" spans="4:4">
      <c r="D326" s="775"/>
    </row>
    <row r="327" spans="4:4">
      <c r="D327" s="775"/>
    </row>
    <row r="328" spans="4:4">
      <c r="D328" s="775"/>
    </row>
    <row r="329" spans="4:4">
      <c r="D329" s="775"/>
    </row>
    <row r="330" spans="4:4">
      <c r="D330" s="775"/>
    </row>
    <row r="331" spans="4:4">
      <c r="D331" s="775"/>
    </row>
    <row r="332" spans="4:4">
      <c r="D332" s="775"/>
    </row>
    <row r="333" spans="4:4">
      <c r="D333" s="775"/>
    </row>
    <row r="334" spans="4:4">
      <c r="D334" s="775"/>
    </row>
    <row r="335" spans="4:4">
      <c r="D335" s="775"/>
    </row>
    <row r="336" spans="4:4">
      <c r="D336" s="775"/>
    </row>
    <row r="337" spans="4:4">
      <c r="D337" s="775"/>
    </row>
    <row r="338" spans="4:4">
      <c r="D338" s="775"/>
    </row>
    <row r="339" spans="4:4">
      <c r="D339" s="775"/>
    </row>
    <row r="340" spans="4:4">
      <c r="D340" s="775"/>
    </row>
    <row r="341" spans="4:4">
      <c r="D341" s="775"/>
    </row>
    <row r="342" spans="4:4">
      <c r="D342" s="775"/>
    </row>
    <row r="343" spans="4:4">
      <c r="D343" s="775"/>
    </row>
    <row r="344" spans="4:4">
      <c r="D344" s="775"/>
    </row>
    <row r="345" spans="4:4">
      <c r="D345" s="775"/>
    </row>
    <row r="346" spans="4:4">
      <c r="D346" s="775"/>
    </row>
    <row r="347" spans="4:4">
      <c r="D347" s="775"/>
    </row>
    <row r="348" spans="4:4">
      <c r="D348" s="775"/>
    </row>
    <row r="349" spans="4:4">
      <c r="D349" s="775"/>
    </row>
    <row r="350" spans="4:4">
      <c r="D350" s="775"/>
    </row>
    <row r="351" spans="4:4">
      <c r="D351" s="775"/>
    </row>
    <row r="352" spans="4:4">
      <c r="D352" s="775"/>
    </row>
    <row r="353" spans="4:4">
      <c r="D353" s="775"/>
    </row>
    <row r="354" spans="4:4">
      <c r="D354" s="775"/>
    </row>
    <row r="355" spans="4:4">
      <c r="D355" s="775"/>
    </row>
    <row r="356" spans="4:4">
      <c r="D356" s="775"/>
    </row>
    <row r="357" spans="4:4">
      <c r="D357" s="775"/>
    </row>
    <row r="358" spans="4:4">
      <c r="D358" s="775"/>
    </row>
    <row r="359" spans="4:4">
      <c r="D359" s="775"/>
    </row>
    <row r="360" spans="4:4">
      <c r="D360" s="775"/>
    </row>
    <row r="361" spans="4:4">
      <c r="D361" s="775"/>
    </row>
    <row r="362" spans="4:4">
      <c r="D362" s="775"/>
    </row>
    <row r="363" spans="4:4">
      <c r="D363" s="775"/>
    </row>
    <row r="364" spans="4:4">
      <c r="D364" s="775"/>
    </row>
    <row r="365" spans="4:4">
      <c r="D365" s="775"/>
    </row>
    <row r="366" spans="4:4">
      <c r="D366" s="775"/>
    </row>
    <row r="367" spans="4:4">
      <c r="D367" s="775"/>
    </row>
    <row r="368" spans="4:4">
      <c r="D368" s="775"/>
    </row>
    <row r="369" spans="4:4">
      <c r="D369" s="775"/>
    </row>
    <row r="370" spans="4:4">
      <c r="D370" s="775"/>
    </row>
    <row r="371" spans="4:4">
      <c r="D371" s="775"/>
    </row>
    <row r="372" spans="4:4">
      <c r="D372" s="775"/>
    </row>
    <row r="373" spans="4:4">
      <c r="D373" s="775"/>
    </row>
    <row r="374" spans="4:4">
      <c r="D374" s="775"/>
    </row>
    <row r="375" spans="4:4">
      <c r="D375" s="775"/>
    </row>
    <row r="376" spans="4:4">
      <c r="D376" s="775"/>
    </row>
    <row r="377" spans="4:4">
      <c r="D377" s="775"/>
    </row>
    <row r="378" spans="4:4">
      <c r="D378" s="775"/>
    </row>
    <row r="379" spans="4:4">
      <c r="D379" s="775"/>
    </row>
    <row r="380" spans="4:4">
      <c r="D380" s="775"/>
    </row>
    <row r="381" spans="4:4">
      <c r="D381" s="775"/>
    </row>
    <row r="382" spans="4:4">
      <c r="D382" s="775"/>
    </row>
    <row r="383" spans="4:4">
      <c r="D383" s="775"/>
    </row>
    <row r="384" spans="4:4">
      <c r="D384" s="775"/>
    </row>
    <row r="385" spans="4:4">
      <c r="D385" s="775"/>
    </row>
    <row r="386" spans="4:4">
      <c r="D386" s="775"/>
    </row>
    <row r="387" spans="4:4">
      <c r="D387" s="775"/>
    </row>
    <row r="388" spans="4:4">
      <c r="D388" s="775"/>
    </row>
    <row r="389" spans="4:4">
      <c r="D389" s="775"/>
    </row>
    <row r="390" spans="4:4">
      <c r="D390" s="775"/>
    </row>
    <row r="391" spans="4:4">
      <c r="D391" s="775"/>
    </row>
    <row r="392" spans="4:4">
      <c r="D392" s="775"/>
    </row>
    <row r="393" spans="4:4">
      <c r="D393" s="775"/>
    </row>
    <row r="394" spans="4:4">
      <c r="D394" s="775"/>
    </row>
    <row r="395" spans="4:4">
      <c r="D395" s="775"/>
    </row>
    <row r="396" spans="4:4">
      <c r="D396" s="775"/>
    </row>
    <row r="397" spans="4:4">
      <c r="D397" s="775"/>
    </row>
    <row r="398" spans="4:4">
      <c r="D398" s="775"/>
    </row>
    <row r="399" spans="4:4">
      <c r="D399" s="775"/>
    </row>
    <row r="400" spans="4:4">
      <c r="D400" s="775"/>
    </row>
    <row r="401" spans="4:4">
      <c r="D401" s="775"/>
    </row>
    <row r="402" spans="4:4">
      <c r="D402" s="775"/>
    </row>
    <row r="403" spans="4:4">
      <c r="D403" s="775"/>
    </row>
    <row r="404" spans="4:4">
      <c r="D404" s="775"/>
    </row>
    <row r="405" spans="4:4">
      <c r="D405" s="775"/>
    </row>
    <row r="406" spans="4:4">
      <c r="D406" s="775"/>
    </row>
    <row r="407" spans="4:4">
      <c r="D407" s="775"/>
    </row>
    <row r="408" spans="4:4">
      <c r="D408" s="775"/>
    </row>
    <row r="409" spans="4:4">
      <c r="D409" s="775"/>
    </row>
    <row r="410" spans="4:4">
      <c r="D410" s="775"/>
    </row>
    <row r="411" spans="4:4">
      <c r="D411" s="775"/>
    </row>
    <row r="412" spans="4:4">
      <c r="D412" s="775"/>
    </row>
    <row r="413" spans="4:4">
      <c r="D413" s="775"/>
    </row>
    <row r="414" spans="4:4">
      <c r="D414" s="775"/>
    </row>
    <row r="415" spans="4:4">
      <c r="D415" s="775"/>
    </row>
    <row r="416" spans="4:4">
      <c r="D416" s="775"/>
    </row>
    <row r="417" spans="4:4">
      <c r="D417" s="775"/>
    </row>
    <row r="418" spans="4:4">
      <c r="D418" s="775"/>
    </row>
    <row r="419" spans="4:4">
      <c r="D419" s="775"/>
    </row>
    <row r="420" spans="4:4">
      <c r="D420" s="775"/>
    </row>
    <row r="421" spans="4:4">
      <c r="D421" s="775"/>
    </row>
    <row r="422" spans="4:4">
      <c r="D422" s="775"/>
    </row>
    <row r="423" spans="4:4">
      <c r="D423" s="775"/>
    </row>
    <row r="424" spans="4:4">
      <c r="D424" s="775"/>
    </row>
    <row r="425" spans="4:4">
      <c r="D425" s="775"/>
    </row>
    <row r="426" spans="4:4">
      <c r="D426" s="775"/>
    </row>
    <row r="427" spans="4:4">
      <c r="D427" s="775"/>
    </row>
    <row r="428" spans="4:4">
      <c r="D428" s="775"/>
    </row>
    <row r="429" spans="4:4">
      <c r="D429" s="775"/>
    </row>
    <row r="430" spans="4:4">
      <c r="D430" s="775"/>
    </row>
    <row r="431" spans="4:4">
      <c r="D431" s="775"/>
    </row>
    <row r="432" spans="4:4">
      <c r="D432" s="775"/>
    </row>
    <row r="433" spans="4:4">
      <c r="D433" s="775"/>
    </row>
    <row r="434" spans="4:4">
      <c r="D434" s="775"/>
    </row>
    <row r="435" spans="4:4">
      <c r="D435" s="775"/>
    </row>
    <row r="436" spans="4:4">
      <c r="D436" s="775"/>
    </row>
    <row r="437" spans="4:4">
      <c r="D437" s="775"/>
    </row>
    <row r="438" spans="4:4">
      <c r="D438" s="775"/>
    </row>
    <row r="439" spans="4:4">
      <c r="D439" s="775"/>
    </row>
    <row r="440" spans="4:4">
      <c r="D440" s="775"/>
    </row>
    <row r="441" spans="4:4">
      <c r="D441" s="775"/>
    </row>
    <row r="442" spans="4:4">
      <c r="D442" s="775"/>
    </row>
    <row r="443" spans="4:4">
      <c r="D443" s="775"/>
    </row>
    <row r="444" spans="4:4">
      <c r="D444" s="775"/>
    </row>
    <row r="445" spans="4:4">
      <c r="D445" s="775"/>
    </row>
    <row r="446" spans="4:4">
      <c r="D446" s="775"/>
    </row>
    <row r="447" spans="4:4">
      <c r="D447" s="775"/>
    </row>
    <row r="448" spans="4:4">
      <c r="D448" s="775"/>
    </row>
    <row r="449" spans="4:4">
      <c r="D449" s="775"/>
    </row>
    <row r="450" spans="4:4">
      <c r="D450" s="775"/>
    </row>
    <row r="451" spans="4:4">
      <c r="D451" s="775"/>
    </row>
    <row r="452" spans="4:4">
      <c r="D452" s="775"/>
    </row>
    <row r="453" spans="4:4">
      <c r="D453" s="775"/>
    </row>
    <row r="454" spans="4:4">
      <c r="D454" s="775"/>
    </row>
    <row r="455" spans="4:4">
      <c r="D455" s="775"/>
    </row>
    <row r="456" spans="4:4">
      <c r="D456" s="775"/>
    </row>
    <row r="457" spans="4:4">
      <c r="D457" s="775"/>
    </row>
    <row r="458" spans="4:4">
      <c r="D458" s="775"/>
    </row>
    <row r="459" spans="4:4">
      <c r="D459" s="775"/>
    </row>
    <row r="460" spans="4:4">
      <c r="D460" s="775"/>
    </row>
    <row r="461" spans="4:4">
      <c r="D461" s="775"/>
    </row>
    <row r="462" spans="4:4">
      <c r="D462" s="775"/>
    </row>
    <row r="463" spans="4:4">
      <c r="D463" s="775"/>
    </row>
    <row r="464" spans="4:4">
      <c r="D464" s="775"/>
    </row>
    <row r="465" spans="4:4">
      <c r="D465" s="775"/>
    </row>
    <row r="466" spans="4:4">
      <c r="D466" s="775"/>
    </row>
    <row r="467" spans="4:4">
      <c r="D467" s="775"/>
    </row>
    <row r="468" spans="4:4">
      <c r="D468" s="775"/>
    </row>
    <row r="469" spans="4:4">
      <c r="D469" s="775"/>
    </row>
    <row r="470" spans="4:4">
      <c r="D470" s="775"/>
    </row>
    <row r="471" spans="4:4">
      <c r="D471" s="775"/>
    </row>
    <row r="472" spans="4:4">
      <c r="D472" s="775"/>
    </row>
    <row r="473" spans="4:4">
      <c r="D473" s="775"/>
    </row>
    <row r="474" spans="4:4">
      <c r="D474" s="775"/>
    </row>
    <row r="475" spans="4:4">
      <c r="D475" s="775"/>
    </row>
    <row r="476" spans="4:4">
      <c r="D476" s="775"/>
    </row>
    <row r="477" spans="4:4">
      <c r="D477" s="775"/>
    </row>
    <row r="478" spans="4:4">
      <c r="D478" s="775"/>
    </row>
    <row r="479" spans="4:4">
      <c r="D479" s="775"/>
    </row>
    <row r="480" spans="4:4">
      <c r="D480" s="775"/>
    </row>
    <row r="481" spans="4:4">
      <c r="D481" s="775"/>
    </row>
    <row r="482" spans="4:4">
      <c r="D482" s="775"/>
    </row>
    <row r="483" spans="4:4">
      <c r="D483" s="775"/>
    </row>
    <row r="484" spans="4:4">
      <c r="D484" s="775"/>
    </row>
    <row r="485" spans="4:4">
      <c r="D485" s="775"/>
    </row>
    <row r="486" spans="4:4">
      <c r="D486" s="775"/>
    </row>
    <row r="487" spans="4:4">
      <c r="D487" s="775"/>
    </row>
    <row r="488" spans="4:4">
      <c r="D488" s="775"/>
    </row>
    <row r="489" spans="4:4">
      <c r="D489" s="775"/>
    </row>
    <row r="490" spans="4:4">
      <c r="D490" s="775"/>
    </row>
    <row r="491" spans="4:4">
      <c r="D491" s="775"/>
    </row>
    <row r="492" spans="4:4">
      <c r="D492" s="775"/>
    </row>
    <row r="493" spans="4:4">
      <c r="D493" s="775"/>
    </row>
    <row r="494" spans="4:4">
      <c r="D494" s="775"/>
    </row>
    <row r="495" spans="4:4">
      <c r="D495" s="775"/>
    </row>
    <row r="496" spans="4:4">
      <c r="D496" s="775"/>
    </row>
    <row r="497" spans="4:4">
      <c r="D497" s="775"/>
    </row>
    <row r="498" spans="4:4">
      <c r="D498" s="775"/>
    </row>
    <row r="499" spans="4:4">
      <c r="D499" s="775"/>
    </row>
    <row r="500" spans="4:4">
      <c r="D500" s="775"/>
    </row>
    <row r="501" spans="4:4">
      <c r="D501" s="775"/>
    </row>
    <row r="502" spans="4:4">
      <c r="D502" s="775"/>
    </row>
    <row r="503" spans="4:4">
      <c r="D503" s="775"/>
    </row>
    <row r="504" spans="4:4">
      <c r="D504" s="775"/>
    </row>
    <row r="505" spans="4:4">
      <c r="D505" s="775"/>
    </row>
    <row r="506" spans="4:4">
      <c r="D506" s="775"/>
    </row>
    <row r="507" spans="4:4">
      <c r="D507" s="775"/>
    </row>
    <row r="508" spans="4:4">
      <c r="D508" s="775"/>
    </row>
    <row r="509" spans="4:4">
      <c r="D509" s="775"/>
    </row>
    <row r="510" spans="4:4">
      <c r="D510" s="775"/>
    </row>
    <row r="511" spans="4:4">
      <c r="D511" s="775"/>
    </row>
    <row r="512" spans="4:4">
      <c r="D512" s="775"/>
    </row>
    <row r="513" spans="4:4">
      <c r="D513" s="775"/>
    </row>
    <row r="514" spans="4:4">
      <c r="D514" s="775"/>
    </row>
    <row r="515" spans="4:4">
      <c r="D515" s="775"/>
    </row>
    <row r="516" spans="4:4">
      <c r="D516" s="775"/>
    </row>
    <row r="517" spans="4:4">
      <c r="D517" s="775"/>
    </row>
    <row r="518" spans="4:4">
      <c r="D518" s="775"/>
    </row>
    <row r="519" spans="4:4">
      <c r="D519" s="775"/>
    </row>
    <row r="520" spans="4:4">
      <c r="D520" s="775"/>
    </row>
    <row r="521" spans="4:4">
      <c r="D521" s="775"/>
    </row>
    <row r="522" spans="4:4">
      <c r="D522" s="775"/>
    </row>
    <row r="523" spans="4:4">
      <c r="D523" s="775"/>
    </row>
    <row r="524" spans="4:4">
      <c r="D524" s="775"/>
    </row>
    <row r="525" spans="4:4">
      <c r="D525" s="775"/>
    </row>
    <row r="526" spans="4:4">
      <c r="D526" s="775"/>
    </row>
    <row r="527" spans="4:4">
      <c r="D527" s="775"/>
    </row>
    <row r="528" spans="4:4">
      <c r="D528" s="775"/>
    </row>
    <row r="529" spans="4:4">
      <c r="D529" s="775"/>
    </row>
    <row r="530" spans="4:4">
      <c r="D530" s="775"/>
    </row>
    <row r="531" spans="4:4">
      <c r="D531" s="775"/>
    </row>
    <row r="532" spans="4:4">
      <c r="D532" s="775"/>
    </row>
    <row r="533" spans="4:4">
      <c r="D533" s="775"/>
    </row>
    <row r="534" spans="4:4">
      <c r="D534" s="775"/>
    </row>
    <row r="535" spans="4:4">
      <c r="D535" s="775"/>
    </row>
    <row r="536" spans="4:4">
      <c r="D536" s="775"/>
    </row>
    <row r="537" spans="4:4">
      <c r="D537" s="775"/>
    </row>
    <row r="538" spans="4:4">
      <c r="D538" s="775"/>
    </row>
    <row r="539" spans="4:4">
      <c r="D539" s="775"/>
    </row>
    <row r="540" spans="4:4">
      <c r="D540" s="775"/>
    </row>
    <row r="541" spans="4:4">
      <c r="D541" s="775"/>
    </row>
    <row r="542" spans="4:4">
      <c r="D542" s="775"/>
    </row>
    <row r="543" spans="4:4">
      <c r="D543" s="775"/>
    </row>
    <row r="544" spans="4:4">
      <c r="D544" s="775"/>
    </row>
    <row r="545" spans="4:4">
      <c r="D545" s="775"/>
    </row>
    <row r="546" spans="4:4">
      <c r="D546" s="775"/>
    </row>
    <row r="547" spans="4:4">
      <c r="D547" s="775"/>
    </row>
    <row r="548" spans="4:4">
      <c r="D548" s="775"/>
    </row>
    <row r="549" spans="4:4">
      <c r="D549" s="775"/>
    </row>
    <row r="550" spans="4:4">
      <c r="D550" s="775"/>
    </row>
    <row r="551" spans="4:4">
      <c r="D551" s="775"/>
    </row>
    <row r="552" spans="4:4">
      <c r="D552" s="775"/>
    </row>
    <row r="553" spans="4:4">
      <c r="D553" s="775"/>
    </row>
    <row r="554" spans="4:4">
      <c r="D554" s="775"/>
    </row>
    <row r="555" spans="4:4">
      <c r="D555" s="775"/>
    </row>
    <row r="556" spans="4:4">
      <c r="D556" s="775"/>
    </row>
    <row r="557" spans="4:4">
      <c r="D557" s="775"/>
    </row>
    <row r="558" spans="4:4">
      <c r="D558" s="775"/>
    </row>
    <row r="559" spans="4:4">
      <c r="D559" s="775"/>
    </row>
    <row r="560" spans="4:4">
      <c r="D560" s="775"/>
    </row>
    <row r="561" spans="4:4">
      <c r="D561" s="775"/>
    </row>
    <row r="562" spans="4:4">
      <c r="D562" s="775"/>
    </row>
    <row r="563" spans="4:4">
      <c r="D563" s="775"/>
    </row>
    <row r="564" spans="4:4">
      <c r="D564" s="775"/>
    </row>
    <row r="565" spans="4:4">
      <c r="D565" s="775"/>
    </row>
    <row r="566" spans="4:4">
      <c r="D566" s="775"/>
    </row>
    <row r="567" spans="4:4">
      <c r="D567" s="775"/>
    </row>
    <row r="568" spans="4:4">
      <c r="D568" s="775"/>
    </row>
    <row r="569" spans="4:4">
      <c r="D569" s="775"/>
    </row>
    <row r="570" spans="4:4">
      <c r="D570" s="775"/>
    </row>
    <row r="571" spans="4:4">
      <c r="D571" s="775"/>
    </row>
    <row r="572" spans="4:4">
      <c r="D572" s="775"/>
    </row>
    <row r="573" spans="4:4">
      <c r="D573" s="775"/>
    </row>
    <row r="574" spans="4:4">
      <c r="D574" s="775"/>
    </row>
    <row r="575" spans="4:4">
      <c r="D575" s="775"/>
    </row>
    <row r="576" spans="4:4">
      <c r="D576" s="775"/>
    </row>
    <row r="577" spans="4:4">
      <c r="D577" s="775"/>
    </row>
    <row r="578" spans="4:4">
      <c r="D578" s="775"/>
    </row>
    <row r="579" spans="4:4">
      <c r="D579" s="775"/>
    </row>
    <row r="580" spans="4:4">
      <c r="D580" s="775"/>
    </row>
    <row r="581" spans="4:4">
      <c r="D581" s="775"/>
    </row>
    <row r="582" spans="4:4">
      <c r="D582" s="775"/>
    </row>
    <row r="583" spans="4:4">
      <c r="D583" s="775"/>
    </row>
    <row r="584" spans="4:4">
      <c r="D584" s="775"/>
    </row>
    <row r="585" spans="4:4">
      <c r="D585" s="775"/>
    </row>
    <row r="586" spans="4:4">
      <c r="D586" s="775"/>
    </row>
    <row r="587" spans="4:4">
      <c r="D587" s="775"/>
    </row>
    <row r="588" spans="4:4">
      <c r="D588" s="775"/>
    </row>
    <row r="589" spans="4:4">
      <c r="D589" s="775"/>
    </row>
    <row r="590" spans="4:4">
      <c r="D590" s="775"/>
    </row>
    <row r="591" spans="4:4">
      <c r="D591" s="775"/>
    </row>
    <row r="592" spans="4:4">
      <c r="D592" s="775"/>
    </row>
    <row r="593" spans="4:4">
      <c r="D593" s="775"/>
    </row>
    <row r="594" spans="4:4">
      <c r="D594" s="775"/>
    </row>
    <row r="595" spans="4:4">
      <c r="D595" s="775"/>
    </row>
    <row r="596" spans="4:4">
      <c r="D596" s="775"/>
    </row>
    <row r="597" spans="4:4">
      <c r="D597" s="775"/>
    </row>
    <row r="598" spans="4:4">
      <c r="D598" s="775"/>
    </row>
    <row r="599" spans="4:4">
      <c r="D599" s="775"/>
    </row>
    <row r="600" spans="4:4">
      <c r="D600" s="775"/>
    </row>
    <row r="601" spans="4:4">
      <c r="D601" s="775"/>
    </row>
    <row r="602" spans="4:4">
      <c r="D602" s="775"/>
    </row>
    <row r="603" spans="4:4">
      <c r="D603" s="775"/>
    </row>
    <row r="604" spans="4:4">
      <c r="D604" s="775"/>
    </row>
    <row r="605" spans="4:4">
      <c r="D605" s="775"/>
    </row>
    <row r="606" spans="4:4">
      <c r="D606" s="775"/>
    </row>
    <row r="607" spans="4:4">
      <c r="D607" s="775"/>
    </row>
    <row r="608" spans="4:4">
      <c r="D608" s="775"/>
    </row>
    <row r="609" spans="4:4">
      <c r="D609" s="775"/>
    </row>
    <row r="610" spans="4:4">
      <c r="D610" s="775"/>
    </row>
    <row r="611" spans="4:4">
      <c r="D611" s="775"/>
    </row>
    <row r="612" spans="4:4">
      <c r="D612" s="775"/>
    </row>
    <row r="613" spans="4:4">
      <c r="D613" s="775"/>
    </row>
    <row r="614" spans="4:4">
      <c r="D614" s="775"/>
    </row>
    <row r="615" spans="4:4">
      <c r="D615" s="775"/>
    </row>
    <row r="616" spans="4:4">
      <c r="D616" s="775"/>
    </row>
    <row r="617" spans="4:4">
      <c r="D617" s="775"/>
    </row>
    <row r="618" spans="4:4">
      <c r="D618" s="775"/>
    </row>
    <row r="619" spans="4:4">
      <c r="D619" s="775"/>
    </row>
    <row r="620" spans="4:4">
      <c r="D620" s="775"/>
    </row>
    <row r="621" spans="4:4">
      <c r="D621" s="775"/>
    </row>
    <row r="622" spans="4:4">
      <c r="D622" s="775"/>
    </row>
    <row r="623" spans="4:4">
      <c r="D623" s="775"/>
    </row>
    <row r="624" spans="4:4">
      <c r="D624" s="775"/>
    </row>
    <row r="625" spans="4:4">
      <c r="D625" s="775"/>
    </row>
    <row r="626" spans="4:4">
      <c r="D626" s="775"/>
    </row>
    <row r="627" spans="4:4">
      <c r="D627" s="775"/>
    </row>
    <row r="628" spans="4:4">
      <c r="D628" s="775"/>
    </row>
    <row r="629" spans="4:4">
      <c r="D629" s="775"/>
    </row>
    <row r="630" spans="4:4">
      <c r="D630" s="775"/>
    </row>
    <row r="631" spans="4:4">
      <c r="D631" s="775"/>
    </row>
    <row r="632" spans="4:4">
      <c r="D632" s="775"/>
    </row>
    <row r="633" spans="4:4">
      <c r="D633" s="775"/>
    </row>
    <row r="634" spans="4:4">
      <c r="D634" s="775"/>
    </row>
    <row r="635" spans="4:4">
      <c r="D635" s="775"/>
    </row>
    <row r="636" spans="4:4">
      <c r="D636" s="775"/>
    </row>
    <row r="637" spans="4:4">
      <c r="D637" s="775"/>
    </row>
    <row r="638" spans="4:4">
      <c r="D638" s="775"/>
    </row>
    <row r="639" spans="4:4">
      <c r="D639" s="775"/>
    </row>
    <row r="640" spans="4:4">
      <c r="D640" s="775"/>
    </row>
    <row r="641" spans="4:4">
      <c r="D641" s="775"/>
    </row>
    <row r="642" spans="4:4">
      <c r="D642" s="775"/>
    </row>
    <row r="643" spans="4:4">
      <c r="D643" s="775"/>
    </row>
    <row r="644" spans="4:4">
      <c r="D644" s="775"/>
    </row>
    <row r="645" spans="4:4">
      <c r="D645" s="775"/>
    </row>
    <row r="646" spans="4:4">
      <c r="D646" s="775"/>
    </row>
    <row r="647" spans="4:4">
      <c r="D647" s="775"/>
    </row>
    <row r="648" spans="4:4">
      <c r="D648" s="775"/>
    </row>
    <row r="649" spans="4:4">
      <c r="D649" s="775"/>
    </row>
    <row r="650" spans="4:4">
      <c r="D650" s="775"/>
    </row>
    <row r="651" spans="4:4">
      <c r="D651" s="775"/>
    </row>
    <row r="652" spans="4:4">
      <c r="D652" s="775"/>
    </row>
    <row r="653" spans="4:4">
      <c r="D653" s="775"/>
    </row>
    <row r="654" spans="4:4">
      <c r="D654" s="775"/>
    </row>
    <row r="655" spans="4:4">
      <c r="D655" s="775"/>
    </row>
    <row r="656" spans="4:4">
      <c r="D656" s="775"/>
    </row>
    <row r="657" spans="4:4">
      <c r="D657" s="775"/>
    </row>
    <row r="658" spans="4:4">
      <c r="D658" s="775"/>
    </row>
    <row r="659" spans="4:4">
      <c r="D659" s="775"/>
    </row>
    <row r="660" spans="4:4">
      <c r="D660" s="775"/>
    </row>
    <row r="661" spans="4:4">
      <c r="D661" s="775"/>
    </row>
    <row r="662" spans="4:4">
      <c r="D662" s="775"/>
    </row>
    <row r="663" spans="4:4">
      <c r="D663" s="775"/>
    </row>
    <row r="664" spans="4:4">
      <c r="D664" s="775"/>
    </row>
    <row r="665" spans="4:4">
      <c r="D665" s="775"/>
    </row>
    <row r="666" spans="4:4">
      <c r="D666" s="775"/>
    </row>
    <row r="667" spans="4:4">
      <c r="D667" s="775"/>
    </row>
    <row r="668" spans="4:4">
      <c r="D668" s="775"/>
    </row>
    <row r="669" spans="4:4">
      <c r="D669" s="775"/>
    </row>
    <row r="670" spans="4:4">
      <c r="D670" s="775"/>
    </row>
    <row r="671" spans="4:4">
      <c r="D671" s="775"/>
    </row>
    <row r="672" spans="4:4">
      <c r="D672" s="775"/>
    </row>
    <row r="673" spans="4:4">
      <c r="D673" s="775"/>
    </row>
    <row r="674" spans="4:4">
      <c r="D674" s="775"/>
    </row>
    <row r="675" spans="4:4">
      <c r="D675" s="775"/>
    </row>
    <row r="676" spans="4:4">
      <c r="D676" s="775"/>
    </row>
    <row r="677" spans="4:4">
      <c r="D677" s="775"/>
    </row>
    <row r="678" spans="4:4">
      <c r="D678" s="775"/>
    </row>
    <row r="679" spans="4:4">
      <c r="D679" s="775"/>
    </row>
    <row r="680" spans="4:4">
      <c r="D680" s="775"/>
    </row>
    <row r="681" spans="4:4">
      <c r="D681" s="775"/>
    </row>
    <row r="682" spans="4:4">
      <c r="D682" s="775"/>
    </row>
    <row r="683" spans="4:4">
      <c r="D683" s="775"/>
    </row>
    <row r="684" spans="4:4">
      <c r="D684" s="775"/>
    </row>
    <row r="685" spans="4:4">
      <c r="D685" s="775"/>
    </row>
    <row r="686" spans="4:4">
      <c r="D686" s="775"/>
    </row>
    <row r="687" spans="4:4">
      <c r="D687" s="775"/>
    </row>
    <row r="688" spans="4:4">
      <c r="D688" s="775"/>
    </row>
    <row r="689" spans="4:4">
      <c r="D689" s="775"/>
    </row>
    <row r="690" spans="4:4">
      <c r="D690" s="775"/>
    </row>
    <row r="691" spans="4:4">
      <c r="D691" s="775"/>
    </row>
    <row r="692" spans="4:4">
      <c r="D692" s="775"/>
    </row>
    <row r="693" spans="4:4">
      <c r="D693" s="775"/>
    </row>
    <row r="694" spans="4:4">
      <c r="D694" s="775"/>
    </row>
    <row r="695" spans="4:4">
      <c r="D695" s="775"/>
    </row>
    <row r="696" spans="4:4">
      <c r="D696" s="775"/>
    </row>
    <row r="697" spans="4:4">
      <c r="D697" s="775"/>
    </row>
    <row r="698" spans="4:4">
      <c r="D698" s="775"/>
    </row>
    <row r="699" spans="4:4">
      <c r="D699" s="775"/>
    </row>
    <row r="700" spans="4:4">
      <c r="D700" s="775"/>
    </row>
    <row r="701" spans="4:4">
      <c r="D701" s="775"/>
    </row>
    <row r="702" spans="4:4">
      <c r="D702" s="775"/>
    </row>
    <row r="703" spans="4:4">
      <c r="D703" s="775"/>
    </row>
    <row r="704" spans="4:4">
      <c r="D704" s="775"/>
    </row>
    <row r="705" spans="4:4">
      <c r="D705" s="775"/>
    </row>
    <row r="706" spans="4:4">
      <c r="D706" s="775"/>
    </row>
    <row r="707" spans="4:4">
      <c r="D707" s="775"/>
    </row>
    <row r="708" spans="4:4">
      <c r="D708" s="775"/>
    </row>
    <row r="709" spans="4:4">
      <c r="D709" s="775"/>
    </row>
    <row r="710" spans="4:4">
      <c r="D710" s="775"/>
    </row>
    <row r="711" spans="4:4">
      <c r="D711" s="775"/>
    </row>
    <row r="712" spans="4:4">
      <c r="D712" s="775"/>
    </row>
    <row r="713" spans="4:4">
      <c r="D713" s="775"/>
    </row>
    <row r="714" spans="4:4">
      <c r="D714" s="775"/>
    </row>
    <row r="715" spans="4:4">
      <c r="D715" s="775"/>
    </row>
    <row r="716" spans="4:4">
      <c r="D716" s="775"/>
    </row>
    <row r="717" spans="4:4">
      <c r="D717" s="775"/>
    </row>
    <row r="718" spans="4:4">
      <c r="D718" s="775"/>
    </row>
    <row r="719" spans="4:4">
      <c r="D719" s="775"/>
    </row>
    <row r="720" spans="4:4">
      <c r="D720" s="775"/>
    </row>
    <row r="721" spans="4:4">
      <c r="D721" s="775"/>
    </row>
    <row r="722" spans="4:4">
      <c r="D722" s="775"/>
    </row>
    <row r="723" spans="4:4">
      <c r="D723" s="775"/>
    </row>
    <row r="724" spans="4:4">
      <c r="D724" s="775"/>
    </row>
    <row r="725" spans="4:4">
      <c r="D725" s="775"/>
    </row>
    <row r="726" spans="4:4">
      <c r="D726" s="775"/>
    </row>
    <row r="727" spans="4:4">
      <c r="D727" s="775"/>
    </row>
    <row r="728" spans="4:4">
      <c r="D728" s="775"/>
    </row>
    <row r="729" spans="4:4">
      <c r="D729" s="775"/>
    </row>
    <row r="730" spans="4:4">
      <c r="D730" s="775"/>
    </row>
    <row r="731" spans="4:4">
      <c r="D731" s="775"/>
    </row>
    <row r="732" spans="4:4">
      <c r="D732" s="775"/>
    </row>
    <row r="733" spans="4:4">
      <c r="D733" s="775"/>
    </row>
    <row r="734" spans="4:4">
      <c r="D734" s="775"/>
    </row>
    <row r="735" spans="4:4">
      <c r="D735" s="775"/>
    </row>
    <row r="736" spans="4:4">
      <c r="D736" s="775"/>
    </row>
    <row r="737" spans="4:4">
      <c r="D737" s="775"/>
    </row>
    <row r="738" spans="4:4">
      <c r="D738" s="775"/>
    </row>
    <row r="739" spans="4:4">
      <c r="D739" s="775"/>
    </row>
    <row r="740" spans="4:4">
      <c r="D740" s="775"/>
    </row>
    <row r="741" spans="4:4">
      <c r="D741" s="775"/>
    </row>
    <row r="742" spans="4:4">
      <c r="D742" s="775"/>
    </row>
    <row r="743" spans="4:4">
      <c r="D743" s="775"/>
    </row>
    <row r="744" spans="4:4">
      <c r="D744" s="775"/>
    </row>
    <row r="745" spans="4:4">
      <c r="D745" s="775"/>
    </row>
    <row r="746" spans="4:4">
      <c r="D746" s="775"/>
    </row>
    <row r="747" spans="4:4">
      <c r="D747" s="775"/>
    </row>
    <row r="748" spans="4:4">
      <c r="D748" s="775"/>
    </row>
    <row r="749" spans="4:4">
      <c r="D749" s="775"/>
    </row>
    <row r="750" spans="4:4">
      <c r="D750" s="775"/>
    </row>
    <row r="751" spans="4:4">
      <c r="D751" s="775"/>
    </row>
    <row r="752" spans="4:4">
      <c r="D752" s="775"/>
    </row>
    <row r="753" spans="4:4">
      <c r="D753" s="775"/>
    </row>
    <row r="754" spans="4:4">
      <c r="D754" s="775"/>
    </row>
    <row r="755" spans="4:4">
      <c r="D755" s="775"/>
    </row>
    <row r="756" spans="4:4">
      <c r="D756" s="775"/>
    </row>
    <row r="757" spans="4:4">
      <c r="D757" s="775"/>
    </row>
    <row r="758" spans="4:4">
      <c r="D758" s="775"/>
    </row>
    <row r="759" spans="4:4">
      <c r="D759" s="775"/>
    </row>
    <row r="760" spans="4:4">
      <c r="D760" s="775"/>
    </row>
    <row r="761" spans="4:4">
      <c r="D761" s="775"/>
    </row>
    <row r="762" spans="4:4">
      <c r="D762" s="775"/>
    </row>
    <row r="763" spans="4:4">
      <c r="D763" s="775"/>
    </row>
    <row r="764" spans="4:4">
      <c r="D764" s="775"/>
    </row>
    <row r="765" spans="4:4">
      <c r="D765" s="775"/>
    </row>
    <row r="766" spans="4:4">
      <c r="D766" s="775"/>
    </row>
    <row r="767" spans="4:4">
      <c r="D767" s="775"/>
    </row>
    <row r="768" spans="4:4">
      <c r="D768" s="775"/>
    </row>
    <row r="769" spans="4:4">
      <c r="D769" s="775"/>
    </row>
    <row r="770" spans="4:4">
      <c r="D770" s="775"/>
    </row>
    <row r="771" spans="4:4">
      <c r="D771" s="775"/>
    </row>
    <row r="772" spans="4:4">
      <c r="D772" s="775"/>
    </row>
    <row r="773" spans="4:4">
      <c r="D773" s="775"/>
    </row>
    <row r="774" spans="4:4">
      <c r="D774" s="775"/>
    </row>
    <row r="775" spans="4:4">
      <c r="D775" s="775"/>
    </row>
    <row r="776" spans="4:4">
      <c r="D776" s="775"/>
    </row>
    <row r="777" spans="4:4">
      <c r="D777" s="775"/>
    </row>
    <row r="778" spans="4:4">
      <c r="D778" s="775"/>
    </row>
    <row r="779" spans="4:4">
      <c r="D779" s="775"/>
    </row>
    <row r="780" spans="4:4">
      <c r="D780" s="775"/>
    </row>
    <row r="781" spans="4:4">
      <c r="D781" s="775"/>
    </row>
    <row r="782" spans="4:4">
      <c r="D782" s="775"/>
    </row>
    <row r="783" spans="4:4">
      <c r="D783" s="775"/>
    </row>
    <row r="784" spans="4:4">
      <c r="D784" s="775"/>
    </row>
    <row r="785" spans="4:4">
      <c r="D785" s="775"/>
    </row>
    <row r="786" spans="4:4">
      <c r="D786" s="775"/>
    </row>
    <row r="787" spans="4:4">
      <c r="D787" s="775"/>
    </row>
    <row r="788" spans="4:4">
      <c r="D788" s="775"/>
    </row>
    <row r="789" spans="4:4">
      <c r="D789" s="775"/>
    </row>
    <row r="790" spans="4:4">
      <c r="D790" s="775"/>
    </row>
    <row r="791" spans="4:4">
      <c r="D791" s="775"/>
    </row>
    <row r="792" spans="4:4">
      <c r="D792" s="775"/>
    </row>
    <row r="793" spans="4:4">
      <c r="D793" s="775"/>
    </row>
    <row r="794" spans="4:4">
      <c r="D794" s="775"/>
    </row>
    <row r="795" spans="4:4">
      <c r="D795" s="775"/>
    </row>
    <row r="796" spans="4:4">
      <c r="D796" s="775"/>
    </row>
    <row r="797" spans="4:4">
      <c r="D797" s="775"/>
    </row>
    <row r="798" spans="4:4">
      <c r="D798" s="775"/>
    </row>
    <row r="799" spans="4:4">
      <c r="D799" s="775"/>
    </row>
    <row r="800" spans="4:4">
      <c r="D800" s="775"/>
    </row>
    <row r="801" spans="4:4">
      <c r="D801" s="775"/>
    </row>
    <row r="802" spans="4:4">
      <c r="D802" s="775"/>
    </row>
    <row r="803" spans="4:4">
      <c r="D803" s="775"/>
    </row>
    <row r="804" spans="4:4">
      <c r="D804" s="775"/>
    </row>
    <row r="805" spans="4:4">
      <c r="D805" s="775"/>
    </row>
    <row r="806" spans="4:4">
      <c r="D806" s="775"/>
    </row>
    <row r="807" spans="4:4">
      <c r="D807" s="775"/>
    </row>
    <row r="808" spans="4:4">
      <c r="D808" s="775"/>
    </row>
    <row r="809" spans="4:4">
      <c r="D809" s="775"/>
    </row>
    <row r="810" spans="4:4">
      <c r="D810" s="775"/>
    </row>
    <row r="811" spans="4:4">
      <c r="D811" s="775"/>
    </row>
    <row r="812" spans="4:4">
      <c r="D812" s="775"/>
    </row>
    <row r="813" spans="4:4">
      <c r="D813" s="775"/>
    </row>
    <row r="814" spans="4:4">
      <c r="D814" s="775"/>
    </row>
    <row r="815" spans="4:4">
      <c r="D815" s="775"/>
    </row>
    <row r="816" spans="4:4">
      <c r="D816" s="775"/>
    </row>
    <row r="817" spans="4:4">
      <c r="D817" s="775"/>
    </row>
    <row r="818" spans="4:4">
      <c r="D818" s="775"/>
    </row>
    <row r="819" spans="4:4">
      <c r="D819" s="775"/>
    </row>
    <row r="820" spans="4:4">
      <c r="D820" s="775"/>
    </row>
    <row r="821" spans="4:4">
      <c r="D821" s="775"/>
    </row>
    <row r="822" spans="4:4">
      <c r="D822" s="775"/>
    </row>
    <row r="823" spans="4:4">
      <c r="D823" s="775"/>
    </row>
    <row r="824" spans="4:4">
      <c r="D824" s="775"/>
    </row>
    <row r="825" spans="4:4">
      <c r="D825" s="775"/>
    </row>
    <row r="826" spans="4:4">
      <c r="D826" s="775"/>
    </row>
    <row r="827" spans="4:4">
      <c r="D827" s="775"/>
    </row>
    <row r="828" spans="4:4">
      <c r="D828" s="775"/>
    </row>
    <row r="829" spans="4:4">
      <c r="D829" s="775"/>
    </row>
    <row r="830" spans="4:4">
      <c r="D830" s="775"/>
    </row>
    <row r="831" spans="4:4">
      <c r="D831" s="775"/>
    </row>
    <row r="832" spans="4:4">
      <c r="D832" s="775"/>
    </row>
    <row r="833" spans="4:4">
      <c r="D833" s="775"/>
    </row>
    <row r="834" spans="4:4">
      <c r="D834" s="775"/>
    </row>
    <row r="835" spans="4:4">
      <c r="D835" s="775"/>
    </row>
    <row r="836" spans="4:4">
      <c r="D836" s="775"/>
    </row>
    <row r="837" spans="4:4">
      <c r="D837" s="775"/>
    </row>
    <row r="838" spans="4:4">
      <c r="D838" s="775"/>
    </row>
    <row r="839" spans="4:4">
      <c r="D839" s="775"/>
    </row>
    <row r="840" spans="4:4">
      <c r="D840" s="775"/>
    </row>
    <row r="841" spans="4:4">
      <c r="D841" s="775"/>
    </row>
    <row r="842" spans="4:4">
      <c r="D842" s="775"/>
    </row>
    <row r="843" spans="4:4">
      <c r="D843" s="775"/>
    </row>
    <row r="844" spans="4:4">
      <c r="D844" s="775"/>
    </row>
    <row r="845" spans="4:4">
      <c r="D845" s="775"/>
    </row>
    <row r="846" spans="4:4">
      <c r="D846" s="775"/>
    </row>
    <row r="847" spans="4:4">
      <c r="D847" s="775"/>
    </row>
    <row r="848" spans="4:4">
      <c r="D848" s="775"/>
    </row>
    <row r="849" spans="4:4">
      <c r="D849" s="775"/>
    </row>
    <row r="850" spans="4:4">
      <c r="D850" s="775"/>
    </row>
    <row r="851" spans="4:4">
      <c r="D851" s="775"/>
    </row>
    <row r="852" spans="4:4">
      <c r="D852" s="775"/>
    </row>
    <row r="853" spans="4:4">
      <c r="D853" s="775"/>
    </row>
    <row r="854" spans="4:4">
      <c r="D854" s="775"/>
    </row>
    <row r="855" spans="4:4">
      <c r="D855" s="775"/>
    </row>
    <row r="856" spans="4:4">
      <c r="D856" s="775"/>
    </row>
    <row r="857" spans="4:4">
      <c r="D857" s="775"/>
    </row>
    <row r="858" spans="4:4">
      <c r="D858" s="775"/>
    </row>
    <row r="859" spans="4:4">
      <c r="D859" s="775"/>
    </row>
    <row r="860" spans="4:4">
      <c r="D860" s="775"/>
    </row>
    <row r="861" spans="4:4">
      <c r="D861" s="775"/>
    </row>
    <row r="862" spans="4:4">
      <c r="D862" s="775"/>
    </row>
    <row r="863" spans="4:4">
      <c r="D863" s="775"/>
    </row>
    <row r="864" spans="4:4">
      <c r="D864" s="775"/>
    </row>
    <row r="865" spans="4:4">
      <c r="D865" s="775"/>
    </row>
    <row r="866" spans="4:4">
      <c r="D866" s="775"/>
    </row>
    <row r="867" spans="4:4">
      <c r="D867" s="775"/>
    </row>
    <row r="868" spans="4:4">
      <c r="D868" s="775"/>
    </row>
    <row r="869" spans="4:4">
      <c r="D869" s="775"/>
    </row>
    <row r="870" spans="4:4">
      <c r="D870" s="775"/>
    </row>
    <row r="871" spans="4:4">
      <c r="D871" s="775"/>
    </row>
    <row r="872" spans="4:4">
      <c r="D872" s="775"/>
    </row>
    <row r="873" spans="4:4">
      <c r="D873" s="775"/>
    </row>
    <row r="874" spans="4:4">
      <c r="D874" s="775"/>
    </row>
    <row r="875" spans="4:4">
      <c r="D875" s="775"/>
    </row>
    <row r="876" spans="4:4">
      <c r="D876" s="775"/>
    </row>
    <row r="877" spans="4:4">
      <c r="D877" s="775"/>
    </row>
    <row r="878" spans="4:4">
      <c r="D878" s="775"/>
    </row>
    <row r="879" spans="4:4">
      <c r="D879" s="775"/>
    </row>
    <row r="880" spans="4:4">
      <c r="D880" s="775"/>
    </row>
    <row r="881" spans="4:4">
      <c r="D881" s="775"/>
    </row>
    <row r="882" spans="4:4">
      <c r="D882" s="775"/>
    </row>
    <row r="883" spans="4:4">
      <c r="D883" s="775"/>
    </row>
    <row r="884" spans="4:4">
      <c r="D884" s="775"/>
    </row>
    <row r="885" spans="4:4">
      <c r="D885" s="775"/>
    </row>
    <row r="886" spans="4:4">
      <c r="D886" s="775"/>
    </row>
    <row r="887" spans="4:4">
      <c r="D887" s="775"/>
    </row>
    <row r="888" spans="4:4">
      <c r="D888" s="775"/>
    </row>
    <row r="889" spans="4:4">
      <c r="D889" s="775"/>
    </row>
    <row r="890" spans="4:4">
      <c r="D890" s="775"/>
    </row>
    <row r="891" spans="4:4">
      <c r="D891" s="775"/>
    </row>
    <row r="892" spans="4:4">
      <c r="D892" s="775"/>
    </row>
    <row r="893" spans="4:4">
      <c r="D893" s="775"/>
    </row>
    <row r="894" spans="4:4">
      <c r="D894" s="775"/>
    </row>
    <row r="895" spans="4:4">
      <c r="D895" s="775"/>
    </row>
    <row r="896" spans="4:4">
      <c r="D896" s="775"/>
    </row>
    <row r="897" spans="4:4">
      <c r="D897" s="775"/>
    </row>
    <row r="898" spans="4:4">
      <c r="D898" s="775"/>
    </row>
    <row r="899" spans="4:4">
      <c r="D899" s="775"/>
    </row>
    <row r="900" spans="4:4">
      <c r="D900" s="775"/>
    </row>
    <row r="901" spans="4:4">
      <c r="D901" s="775"/>
    </row>
    <row r="902" spans="4:4">
      <c r="D902" s="775"/>
    </row>
    <row r="903" spans="4:4">
      <c r="D903" s="775"/>
    </row>
    <row r="904" spans="4:4">
      <c r="D904" s="775"/>
    </row>
    <row r="905" spans="4:4">
      <c r="D905" s="775"/>
    </row>
    <row r="906" spans="4:4">
      <c r="D906" s="775"/>
    </row>
    <row r="907" spans="4:4">
      <c r="D907" s="775"/>
    </row>
    <row r="908" spans="4:4">
      <c r="D908" s="775"/>
    </row>
    <row r="909" spans="4:4">
      <c r="D909" s="775"/>
    </row>
    <row r="910" spans="4:4">
      <c r="D910" s="775"/>
    </row>
    <row r="911" spans="4:4">
      <c r="D911" s="775"/>
    </row>
    <row r="912" spans="4:4">
      <c r="D912" s="775"/>
    </row>
    <row r="913" spans="4:4">
      <c r="D913" s="775"/>
    </row>
    <row r="914" spans="4:4">
      <c r="D914" s="775"/>
    </row>
    <row r="915" spans="4:4">
      <c r="D915" s="775"/>
    </row>
    <row r="916" spans="4:4">
      <c r="D916" s="775"/>
    </row>
    <row r="917" spans="4:4">
      <c r="D917" s="775"/>
    </row>
    <row r="918" spans="4:4">
      <c r="D918" s="775"/>
    </row>
    <row r="919" spans="4:4">
      <c r="D919" s="775"/>
    </row>
    <row r="920" spans="4:4">
      <c r="D920" s="775"/>
    </row>
    <row r="921" spans="4:4">
      <c r="D921" s="775"/>
    </row>
    <row r="922" spans="4:4">
      <c r="D922" s="775"/>
    </row>
    <row r="923" spans="4:4">
      <c r="D923" s="775"/>
    </row>
    <row r="924" spans="4:4">
      <c r="D924" s="775"/>
    </row>
    <row r="925" spans="4:4">
      <c r="D925" s="775"/>
    </row>
    <row r="926" spans="4:4">
      <c r="D926" s="775"/>
    </row>
    <row r="927" spans="4:4">
      <c r="D927" s="775"/>
    </row>
    <row r="928" spans="4:4">
      <c r="D928" s="775"/>
    </row>
    <row r="929" spans="4:4">
      <c r="D929" s="775"/>
    </row>
    <row r="930" spans="4:4">
      <c r="D930" s="775"/>
    </row>
    <row r="931" spans="4:4">
      <c r="D931" s="775"/>
    </row>
    <row r="932" spans="4:4">
      <c r="D932" s="775"/>
    </row>
    <row r="933" spans="4:4">
      <c r="D933" s="775"/>
    </row>
    <row r="934" spans="4:4">
      <c r="D934" s="775"/>
    </row>
    <row r="935" spans="4:4">
      <c r="D935" s="775"/>
    </row>
    <row r="936" spans="4:4">
      <c r="D936" s="775"/>
    </row>
    <row r="937" spans="4:4">
      <c r="D937" s="775"/>
    </row>
    <row r="938" spans="4:4">
      <c r="D938" s="775"/>
    </row>
    <row r="939" spans="4:4">
      <c r="D939" s="775"/>
    </row>
    <row r="940" spans="4:4">
      <c r="D940" s="775"/>
    </row>
    <row r="941" spans="4:4">
      <c r="D941" s="775"/>
    </row>
    <row r="942" spans="4:4">
      <c r="D942" s="775"/>
    </row>
    <row r="943" spans="4:4">
      <c r="D943" s="775"/>
    </row>
    <row r="944" spans="4:4">
      <c r="D944" s="775"/>
    </row>
    <row r="945" spans="4:4">
      <c r="D945" s="775"/>
    </row>
    <row r="946" spans="4:4">
      <c r="D946" s="775"/>
    </row>
    <row r="947" spans="4:4">
      <c r="D947" s="775"/>
    </row>
    <row r="948" spans="4:4">
      <c r="D948" s="775"/>
    </row>
    <row r="949" spans="4:4">
      <c r="D949" s="775"/>
    </row>
    <row r="950" spans="4:4">
      <c r="D950" s="775"/>
    </row>
    <row r="951" spans="4:4">
      <c r="D951" s="775"/>
    </row>
    <row r="952" spans="4:4">
      <c r="D952" s="775"/>
    </row>
    <row r="953" spans="4:4">
      <c r="D953" s="775"/>
    </row>
    <row r="954" spans="4:4">
      <c r="D954" s="775"/>
    </row>
    <row r="955" spans="4:4">
      <c r="D955" s="775"/>
    </row>
    <row r="956" spans="4:4">
      <c r="D956" s="775"/>
    </row>
    <row r="957" spans="4:4">
      <c r="D957" s="775"/>
    </row>
    <row r="958" spans="4:4">
      <c r="D958" s="775"/>
    </row>
    <row r="959" spans="4:4">
      <c r="D959" s="775"/>
    </row>
    <row r="960" spans="4:4">
      <c r="D960" s="775"/>
    </row>
    <row r="961" spans="4:4">
      <c r="D961" s="775"/>
    </row>
    <row r="962" spans="4:4">
      <c r="D962" s="775"/>
    </row>
    <row r="963" spans="4:4">
      <c r="D963" s="775"/>
    </row>
    <row r="964" spans="4:4">
      <c r="D964" s="775"/>
    </row>
    <row r="965" spans="4:4">
      <c r="D965" s="775"/>
    </row>
    <row r="966" spans="4:4">
      <c r="D966" s="775"/>
    </row>
    <row r="967" spans="4:4">
      <c r="D967" s="775"/>
    </row>
    <row r="968" spans="4:4">
      <c r="D968" s="775"/>
    </row>
    <row r="969" spans="4:4">
      <c r="D969" s="775"/>
    </row>
    <row r="970" spans="4:4">
      <c r="D970" s="775"/>
    </row>
    <row r="971" spans="4:4">
      <c r="D971" s="775"/>
    </row>
    <row r="972" spans="4:4">
      <c r="D972" s="775"/>
    </row>
    <row r="973" spans="4:4">
      <c r="D973" s="775"/>
    </row>
    <row r="974" spans="4:4">
      <c r="D974" s="775"/>
    </row>
    <row r="975" spans="4:4">
      <c r="D975" s="775"/>
    </row>
    <row r="976" spans="4:4">
      <c r="D976" s="775"/>
    </row>
    <row r="977" spans="4:4">
      <c r="D977" s="775"/>
    </row>
    <row r="978" spans="4:4">
      <c r="D978" s="775"/>
    </row>
    <row r="979" spans="4:4">
      <c r="D979" s="775"/>
    </row>
    <row r="980" spans="4:4">
      <c r="D980" s="775"/>
    </row>
    <row r="981" spans="4:4">
      <c r="D981" s="775"/>
    </row>
    <row r="982" spans="4:4">
      <c r="D982" s="775"/>
    </row>
    <row r="983" spans="4:4">
      <c r="D983" s="775"/>
    </row>
    <row r="984" spans="4:4">
      <c r="D984" s="775"/>
    </row>
    <row r="985" spans="4:4">
      <c r="D985" s="775"/>
    </row>
    <row r="986" spans="4:4">
      <c r="D986" s="775"/>
    </row>
  </sheetData>
  <sheetProtection algorithmName="SHA-512" hashValue="/BfZME2Quw7o9Zw4xGSzZkcFzCoHmcI9GzOMXb/K+ar6YX6bLFftAo+LhmolEbY3JO0hiTt5CmJxMVC7osvAYg==" saltValue="08VhJwricocLzv1A2IaEyg==" spinCount="100000" sheet="1" objects="1" scenarios="1" selectLockedCells="1"/>
  <phoneticPr fontId="32" type="noConversion"/>
  <dataValidations count="3">
    <dataValidation type="textLength" allowBlank="1" showInputMessage="1" showErrorMessage="1" sqref="A6:A65536 A1:A3" xr:uid="{00000000-0002-0000-0100-000000000000}">
      <formula1>1</formula1>
      <formula2>13</formula2>
    </dataValidation>
    <dataValidation type="textLength" allowBlank="1" showInputMessage="1" showErrorMessage="1" sqref="B6:C65536" xr:uid="{00000000-0002-0000-0100-000001000000}">
      <formula1>1</formula1>
      <formula2>4</formula2>
    </dataValidation>
    <dataValidation type="list" allowBlank="1" showInputMessage="1" showErrorMessage="1" sqref="D505:D986" xr:uid="{00000000-0002-0000-0100-000002000000}">
      <formula1>SampleUnit</formula1>
    </dataValidation>
  </dataValidations>
  <printOptions horizontalCentered="1"/>
  <pageMargins left="0.75" right="0.75" top="1" bottom="1" header="0.5" footer="0.5"/>
  <pageSetup orientation="portrait" r:id="rId1"/>
  <headerFooter alignWithMargins="0"/>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CP339"/>
  <sheetViews>
    <sheetView topLeftCell="BN61" workbookViewId="0">
      <selection activeCell="BM86" sqref="BM86"/>
    </sheetView>
  </sheetViews>
  <sheetFormatPr defaultRowHeight="12"/>
  <cols>
    <col min="1" max="1" width="19.42578125" style="238" customWidth="1"/>
    <col min="2" max="2" width="8" style="238" customWidth="1"/>
    <col min="3" max="3" width="6.140625" style="238" customWidth="1"/>
    <col min="4" max="4" width="8.85546875" style="238" customWidth="1"/>
    <col min="5" max="5" width="5.85546875" style="238" customWidth="1"/>
    <col min="6" max="10" width="4.7109375" style="238" customWidth="1"/>
    <col min="11" max="11" width="5.85546875" style="238" customWidth="1"/>
    <col min="12" max="19" width="4.7109375" style="238" customWidth="1"/>
    <col min="20" max="26" width="5.85546875" style="238" customWidth="1"/>
    <col min="27" max="32" width="4.7109375" style="238" customWidth="1"/>
    <col min="33" max="34" width="6.140625" style="238" customWidth="1"/>
    <col min="35" max="35" width="7.85546875" style="238" bestFit="1" customWidth="1"/>
    <col min="36" max="37" width="6.140625" style="238" customWidth="1"/>
    <col min="38" max="38" width="7.85546875" style="238" bestFit="1" customWidth="1"/>
    <col min="39" max="39" width="6.140625" style="238" customWidth="1"/>
    <col min="40" max="40" width="7.85546875" style="238" bestFit="1" customWidth="1"/>
    <col min="41" max="51" width="4.7109375" style="238" customWidth="1"/>
    <col min="52" max="52" width="5.7109375" style="238" customWidth="1"/>
    <col min="53" max="53" width="6" style="238" bestFit="1" customWidth="1"/>
    <col min="54" max="54" width="73.85546875" style="238" bestFit="1" customWidth="1"/>
    <col min="55" max="55" width="10" style="238" bestFit="1" customWidth="1"/>
    <col min="56" max="64" width="9.140625" style="238"/>
    <col min="65" max="65" width="28.5703125" style="238" bestFit="1" customWidth="1"/>
    <col min="66" max="85" width="9.140625" style="238"/>
    <col min="86" max="86" width="13.140625" style="238" bestFit="1" customWidth="1"/>
    <col min="87" max="16384" width="9.140625" style="238"/>
  </cols>
  <sheetData>
    <row r="1" spans="1:94" ht="12.75">
      <c r="A1" s="238">
        <v>1</v>
      </c>
      <c r="B1" s="238" t="s">
        <v>1919</v>
      </c>
      <c r="C1" s="237"/>
      <c r="D1" s="237"/>
      <c r="F1" s="243">
        <v>3.5</v>
      </c>
      <c r="G1" s="241" t="s">
        <v>1920</v>
      </c>
      <c r="J1" s="1079"/>
      <c r="L1" s="1077"/>
      <c r="M1" s="1081"/>
      <c r="N1" s="240"/>
      <c r="O1" s="241">
        <f>IF(M1,1,2)</f>
        <v>2</v>
      </c>
      <c r="Z1" s="240">
        <v>1</v>
      </c>
      <c r="AA1" s="373" t="s">
        <v>1921</v>
      </c>
      <c r="AD1" s="1077"/>
      <c r="AG1" s="373" t="s">
        <v>940</v>
      </c>
      <c r="AQ1" s="238" t="s">
        <v>2621</v>
      </c>
      <c r="AR1" s="1077"/>
      <c r="AT1" s="238" t="str">
        <f>IF('Super Verify'!B5="","",'Super Verify'!B5)</f>
        <v/>
      </c>
      <c r="AU1" s="238" t="str">
        <f>IF('Super Verify'!B12="","",'Super Verify'!B12)</f>
        <v/>
      </c>
      <c r="BB1" s="721" t="s">
        <v>132</v>
      </c>
      <c r="BC1" s="721"/>
      <c r="BD1" s="721"/>
      <c r="BE1" s="721"/>
      <c r="BF1" s="721" t="s">
        <v>133</v>
      </c>
      <c r="BG1" s="721"/>
      <c r="BH1" s="721" t="e">
        <f>VLOOKUP(J1,BE3:BF173,2,FALSE)</f>
        <v>#N/A</v>
      </c>
      <c r="BJ1" s="436">
        <v>1</v>
      </c>
      <c r="BK1" s="1077"/>
      <c r="BM1" s="1044"/>
      <c r="BN1" s="1044"/>
      <c r="CD1" s="238" t="s">
        <v>2632</v>
      </c>
      <c r="CE1" s="1196" t="s">
        <v>2624</v>
      </c>
      <c r="CG1" s="238" t="s">
        <v>73</v>
      </c>
      <c r="CH1" s="238" t="s">
        <v>2630</v>
      </c>
      <c r="CI1" s="238" t="s">
        <v>1090</v>
      </c>
      <c r="CJ1" s="241" t="s">
        <v>1838</v>
      </c>
      <c r="CK1" s="241" t="s">
        <v>1839</v>
      </c>
      <c r="CL1" s="238" t="s">
        <v>2629</v>
      </c>
      <c r="CM1" s="238" t="s">
        <v>2634</v>
      </c>
      <c r="CN1" s="238" t="s">
        <v>2635</v>
      </c>
      <c r="CO1" s="238" t="s">
        <v>2636</v>
      </c>
      <c r="CP1" s="238" t="s">
        <v>2637</v>
      </c>
    </row>
    <row r="2" spans="1:94" ht="12.75">
      <c r="A2" s="238">
        <v>2</v>
      </c>
      <c r="B2" s="238" t="s">
        <v>1922</v>
      </c>
      <c r="C2" s="237"/>
      <c r="D2" s="237"/>
      <c r="F2" s="243">
        <v>3.5</v>
      </c>
      <c r="G2" s="241" t="s">
        <v>1923</v>
      </c>
      <c r="J2" s="241"/>
      <c r="L2" s="1077"/>
      <c r="M2" s="1081"/>
      <c r="N2" s="240"/>
      <c r="O2" s="241">
        <f>IF(M2,1,2)</f>
        <v>2</v>
      </c>
      <c r="Z2" s="240">
        <v>2</v>
      </c>
      <c r="AA2" s="373" t="s">
        <v>1924</v>
      </c>
      <c r="AG2" s="453" t="e">
        <f>IF(AND(E37&gt;=3,E37&lt;=4),E37,"")</f>
        <v>#VALUE!</v>
      </c>
      <c r="AH2" s="453" t="e">
        <f>IF(AND(AG2&gt;2.9,AG2&lt;4.1),105,"")</f>
        <v>#VALUE!</v>
      </c>
      <c r="AI2" s="453" t="e">
        <f>IF(AND(F37&gt;=3,F37&lt;=4),F37,"")</f>
        <v>#VALUE!</v>
      </c>
      <c r="AJ2" s="453" t="e">
        <f>IF(AND(AI2&gt;2.9,AI2&lt;4.1),105,"")</f>
        <v>#VALUE!</v>
      </c>
      <c r="AK2" s="453" t="e">
        <f>IF(AND(G37&gt;=3,G37&lt;=4),G37,"")</f>
        <v>#VALUE!</v>
      </c>
      <c r="AL2" s="453" t="e">
        <f>IF(AND(AK2&gt;2.9,AK2&lt;4.1),105,"")</f>
        <v>#VALUE!</v>
      </c>
      <c r="AM2" s="453" t="e">
        <f>IF(AND(H37&gt;=3,H37&lt;=4),H37,"")</f>
        <v>#VALUE!</v>
      </c>
      <c r="AN2" s="453" t="e">
        <f>IF(AND(AM2&gt;2.9,AM2&lt;4.1),105,"")</f>
        <v>#VALUE!</v>
      </c>
      <c r="AQ2" s="238" t="s">
        <v>2623</v>
      </c>
      <c r="AT2" s="238" t="str">
        <f>IF('Super Verify'!K10="","",(100-Gradation!C23)/'Super Verify'!K10)</f>
        <v/>
      </c>
      <c r="AU2" s="238" t="str">
        <f>IF('Super Verify'!K17="","",(100-Gradation!C23)/'Super Verify'!K17)</f>
        <v/>
      </c>
      <c r="BA2" s="241" t="s">
        <v>1094</v>
      </c>
      <c r="BB2" s="1109" t="s">
        <v>2176</v>
      </c>
      <c r="BC2" s="721" t="s">
        <v>2631</v>
      </c>
      <c r="BD2" s="721"/>
      <c r="BE2" s="721"/>
      <c r="BF2" s="721"/>
      <c r="BG2" s="721"/>
      <c r="BH2" s="721"/>
      <c r="BJ2" s="436">
        <f>BJ1+1</f>
        <v>2</v>
      </c>
      <c r="BM2" t="s">
        <v>12</v>
      </c>
      <c r="BN2" s="1044" t="s">
        <v>13</v>
      </c>
      <c r="CD2" s="238" t="s">
        <v>2631</v>
      </c>
      <c r="CE2" s="1196" t="e">
        <f>MID(VLOOKUP(J1,A1:B14,2,FALSE),11,LEN(VLOOKUP(J1,A1:B14,2,FALSE)))</f>
        <v>#N/A</v>
      </c>
      <c r="CG2" s="238" t="s">
        <v>2624</v>
      </c>
      <c r="CH2" s="238" t="s">
        <v>2625</v>
      </c>
      <c r="CI2" s="238" t="s">
        <v>2621</v>
      </c>
      <c r="CJ2" s="241">
        <v>0</v>
      </c>
      <c r="CK2" s="241">
        <v>20</v>
      </c>
      <c r="CL2" s="238" t="s">
        <v>2621</v>
      </c>
      <c r="CM2" s="238" t="e">
        <f>IF(AND($CE$1=CG2,$CE$3=CH2,$CE$4=CI2,$CE$5&gt;=CJ2,$CE$5&lt;=CK2),CL2,"NO")</f>
        <v>#N/A</v>
      </c>
      <c r="CN2" s="238" t="e">
        <f>IF(AND($CE$1=CG2,$CE$3=CH2,$CE$4=CI2,$CE$6&gt;=CJ2,$CE$6&lt;=CK2),CL2,"NO")</f>
        <v>#N/A</v>
      </c>
      <c r="CO2" s="238" t="e">
        <f>IF(AND($CE$1=CG2,$CE$3=CH2,$CE$4=CI2,$CE$7&gt;=CJ2,$CE$7&lt;=CK2),CL2,"NO")</f>
        <v>#N/A</v>
      </c>
      <c r="CP2" s="238" t="e">
        <f>IF(AND($CE$1=CG2,$CE$3=CH2,$CE$4=CI2,$CE$8&gt;=CJ2,$CE$8&lt;=CK2),CL2,"NO")</f>
        <v>#N/A</v>
      </c>
    </row>
    <row r="3" spans="1:94" ht="12.75">
      <c r="A3" s="238">
        <v>3</v>
      </c>
      <c r="B3" s="238" t="s">
        <v>2654</v>
      </c>
      <c r="C3" s="237"/>
      <c r="D3" s="237"/>
      <c r="F3" s="243">
        <v>3.5</v>
      </c>
      <c r="G3" s="241" t="s">
        <v>1925</v>
      </c>
      <c r="H3" s="241"/>
      <c r="I3" s="241">
        <v>1</v>
      </c>
      <c r="J3" s="241">
        <v>2</v>
      </c>
      <c r="K3" s="241">
        <v>3</v>
      </c>
      <c r="L3" s="241">
        <v>4</v>
      </c>
      <c r="M3" s="241">
        <v>1</v>
      </c>
      <c r="N3" s="241">
        <v>2</v>
      </c>
      <c r="O3" s="241">
        <v>3</v>
      </c>
      <c r="P3" s="241">
        <v>4</v>
      </c>
      <c r="Q3" s="241" t="s">
        <v>1926</v>
      </c>
      <c r="S3" s="241">
        <v>5</v>
      </c>
      <c r="T3" s="241">
        <v>6</v>
      </c>
      <c r="U3" s="241">
        <v>7</v>
      </c>
      <c r="V3" s="241">
        <v>8</v>
      </c>
      <c r="W3" s="241" t="s">
        <v>1926</v>
      </c>
      <c r="X3" s="241"/>
      <c r="Y3" s="241"/>
      <c r="Z3" s="240">
        <v>3</v>
      </c>
      <c r="AA3" s="373" t="s">
        <v>1927</v>
      </c>
      <c r="AG3" s="453" t="e">
        <f>IF(AND((OR(D15=1,D15=2)),(AND(E37&lt;=2.9,E37&gt;=1.5))),E37,"")</f>
        <v>#VALUE!</v>
      </c>
      <c r="AH3" s="453" t="e">
        <f>IF(AG3="","",100*(1+(0.1*(AG3-3))))</f>
        <v>#VALUE!</v>
      </c>
      <c r="AI3" s="453" t="e">
        <f>IF(AND((OR(D15=1,D15=2)),(AND(F37&lt;=2.9,F37&gt;=1.5))),F37,"")</f>
        <v>#VALUE!</v>
      </c>
      <c r="AJ3" s="453" t="e">
        <f>IF(AI3="","",100*(1+(0.1*(AI3-3))))</f>
        <v>#VALUE!</v>
      </c>
      <c r="AK3" s="453" t="e">
        <f>IF(AND((OR(D15=1,D15=2)),(AND(G37&lt;=2.9,G37&gt;=1.5))),G37,"")</f>
        <v>#VALUE!</v>
      </c>
      <c r="AL3" s="453" t="e">
        <f>IF(AK3="","",100*(1+(0.1*(AK3-3))))</f>
        <v>#VALUE!</v>
      </c>
      <c r="AM3" s="453" t="e">
        <f>IF(AND((OR(D15=1,D15=2)),(AND(H37&lt;=2.9,H37&gt;=1.5))),H37,"")</f>
        <v>#VALUE!</v>
      </c>
      <c r="AN3" s="453" t="e">
        <f>IF(AM3="","",100*(1+(0.1*(AM3-3))))</f>
        <v>#VALUE!</v>
      </c>
      <c r="AQ3" s="238" t="s">
        <v>2622</v>
      </c>
      <c r="AT3" s="238" t="str">
        <f>IF('Super Verify'!K10="","",(100-Gradation!F23)/'Super Verify'!K10)</f>
        <v/>
      </c>
      <c r="AU3" s="238" t="str">
        <f>IF('Super Verify'!K17="","",(100-Gradation!F23)/'Super Verify'!K17)</f>
        <v/>
      </c>
      <c r="BA3" s="1044" t="s">
        <v>403</v>
      </c>
      <c r="BB3" s="1044" t="s">
        <v>134</v>
      </c>
      <c r="BC3" s="721"/>
      <c r="BD3" s="721"/>
      <c r="BE3" s="238">
        <v>1</v>
      </c>
      <c r="BF3" s="721" t="s">
        <v>403</v>
      </c>
      <c r="BG3" s="721"/>
      <c r="BH3" s="721"/>
      <c r="BJ3" s="436">
        <f t="shared" ref="BJ3:BJ66" si="0">BJ2+1</f>
        <v>3</v>
      </c>
      <c r="BM3" t="s">
        <v>14</v>
      </c>
      <c r="BN3" s="1044" t="s">
        <v>15</v>
      </c>
      <c r="CD3" s="238" t="s">
        <v>2633</v>
      </c>
      <c r="CE3" s="1196" t="e">
        <f>IF(OR(CE2="0.50",CE2="0.38",CE2="No.4"),"0.5, 0.38, #4",IF(OR(TRIM(CE2)="1.5",CE2="1.0",CE2="0.75"),"1.50, 1.00, 0.75",""))</f>
        <v>#N/A</v>
      </c>
      <c r="CG3" s="238" t="s">
        <v>2624</v>
      </c>
      <c r="CH3" s="238" t="s">
        <v>2625</v>
      </c>
      <c r="CI3" s="238" t="s">
        <v>2621</v>
      </c>
      <c r="CJ3" s="241">
        <v>21</v>
      </c>
      <c r="CK3" s="241">
        <v>30</v>
      </c>
      <c r="CL3" s="238" t="s">
        <v>2623</v>
      </c>
      <c r="CM3" s="238" t="e">
        <f t="shared" ref="CM3:CM15" si="1">IF(AND($CE$1=CG3,$CE$3=CH3,$CE$4=CI3,$CE$5&gt;=CJ3,$CE$5&lt;=CK3),CL3,"NO")</f>
        <v>#N/A</v>
      </c>
      <c r="CN3" s="238" t="e">
        <f t="shared" ref="CN3:CN15" si="2">IF(AND($CE$1=CG3,$CE$3=CH3,$CE$4=CI3,$CE$6&gt;=CJ3,$CE$6&lt;=CK3),CL3,"NO")</f>
        <v>#N/A</v>
      </c>
      <c r="CO3" s="238" t="e">
        <f t="shared" ref="CO3:CO15" si="3">IF(AND($CE$1=CG3,$CE$3=CH3,$CE$4=CI3,$CE$7&gt;=CJ3,$CE$7&lt;=CK3),CL3,"NO")</f>
        <v>#N/A</v>
      </c>
      <c r="CP3" s="238" t="e">
        <f t="shared" ref="CP3:CP15" si="4">IF(AND($CE$1=CG3,$CE$3=CH3,$CE$4=CI3,$CE$8&gt;=CJ3,$CE$8&lt;=CK3),CL3,"NO")</f>
        <v>#N/A</v>
      </c>
    </row>
    <row r="4" spans="1:94" ht="12.75">
      <c r="A4" s="238">
        <v>4</v>
      </c>
      <c r="B4" s="238" t="s">
        <v>1928</v>
      </c>
      <c r="C4" s="237"/>
      <c r="D4" s="237"/>
      <c r="F4" s="243">
        <v>3.5</v>
      </c>
      <c r="G4" s="241" t="s">
        <v>1929</v>
      </c>
      <c r="H4" s="241" t="s">
        <v>1930</v>
      </c>
      <c r="I4" s="239" t="str">
        <f>'Pay Values'!B13</f>
        <v/>
      </c>
      <c r="J4" s="241" t="str">
        <f>'Pay Values'!B14</f>
        <v/>
      </c>
      <c r="K4" s="241" t="str">
        <f>'Pay Values'!B15</f>
        <v/>
      </c>
      <c r="L4" s="241" t="str">
        <f>'Pay Values'!B16</f>
        <v/>
      </c>
      <c r="M4" s="239" t="str">
        <f>IF(L1&lt;&gt;1,"N/A",IF(I4=0,"N/A",'Pay Values'!I37-I4))</f>
        <v>N/A</v>
      </c>
      <c r="N4" s="239" t="str">
        <f>IF(L1&lt;&gt;2,"N/A",IF(J4=0,"N/A",'Pay Values'!I37-J4))</f>
        <v>N/A</v>
      </c>
      <c r="O4" s="239" t="str">
        <f>IF(L1&lt;&gt;3,"N/A",IF(K4=0,"N/A",'Pay Values'!I37-K4))</f>
        <v>N/A</v>
      </c>
      <c r="P4" s="239" t="str">
        <f>IF(L1&lt;&gt;4,"N/A",IF(L4=0,"N/A",'Pay Values'!I37-L4))</f>
        <v>N/A</v>
      </c>
      <c r="Q4" s="239" t="str">
        <f>IF(AND(L1=1,ISNUMBER(M4)),M4,IF(AND(L1=2,ISNUMBER(N4)),N4,IF(AND(L1=3,ISNUMBER(O4)),O4,IF(AND(L1=4,ISNUMBER(P4)),P4,"N/A"))))</f>
        <v>N/A</v>
      </c>
      <c r="R4" s="239" t="str">
        <f>IF(Q4="N/A","N/A",(IF(ABS(Q4)&lt;=H9,Q4,CONCATENATE("*",TEXT(Q4,"0.0")))))</f>
        <v>N/A</v>
      </c>
      <c r="S4" s="239" t="str">
        <f>IF(L2&lt;&gt;1,"N/A",IF(I4=0,"N/A",'Pay Values'!I42-I4))</f>
        <v>N/A</v>
      </c>
      <c r="T4" s="239" t="str">
        <f>IF(L2&lt;&gt;2,"N/A",IF(J4=0,"N/A",'Pay Values'!I42-J4))</f>
        <v>N/A</v>
      </c>
      <c r="U4" s="239" t="str">
        <f>IF(L2&lt;&gt;3,"N/A",IF(K4=0,"N/A",'Pay Values'!I42-K4))</f>
        <v>N/A</v>
      </c>
      <c r="V4" s="239" t="str">
        <f>IF(L2&lt;&gt;4,"N/A",IF(L4=0,"N/A",'Pay Values'!I42-L4))</f>
        <v>N/A</v>
      </c>
      <c r="W4" s="239" t="str">
        <f>IF(AND(L2=1,ISNUMBER(S4)),S4,IF(AND(L2=2,ISNUMBER(T4)),T4,IF(AND(L2=3,ISNUMBER(U4)),U4,IF(AND(L2=4,ISNUMBER(V4)),V4,"N/A"))))</f>
        <v>N/A</v>
      </c>
      <c r="X4" s="239" t="str">
        <f>IF(W4="N/A","N/A",(IF(ABS(W4)&lt;=H9,W4,CONCATENATE("*",TEXT(W4,"0.0")))))</f>
        <v>N/A</v>
      </c>
      <c r="Y4" s="241"/>
      <c r="Z4" s="240">
        <v>4</v>
      </c>
      <c r="AA4" s="373" t="s">
        <v>1931</v>
      </c>
      <c r="AG4" s="453" t="e">
        <f>IF(AND((OR(D15=3,D15=4)),(AND(E37&lt;=2.9,E37&gt;=2))),E37,"")</f>
        <v>#VALUE!</v>
      </c>
      <c r="AH4" s="453" t="e">
        <f>IF(AG4="","",100*(1+(0.1*(AG4-3))))</f>
        <v>#VALUE!</v>
      </c>
      <c r="AI4" s="453" t="e">
        <f>IF(AND((OR(D15=3,D15=4)),(AND(F37&lt;=2.9,F37&gt;=2))),F37,"")</f>
        <v>#VALUE!</v>
      </c>
      <c r="AJ4" s="453" t="e">
        <f>IF(AI4="","",100*(1+(0.1*(AI4-3))))</f>
        <v>#VALUE!</v>
      </c>
      <c r="AK4" s="453" t="e">
        <f>IF(AND((OR(D15=3,D15=4)),(AND(G37&lt;=2.9,G37&gt;=2))),G37,"")</f>
        <v>#VALUE!</v>
      </c>
      <c r="AL4" s="453" t="e">
        <f>IF(AK4="","",100*(1+(0.1*(AK4-3))))</f>
        <v>#VALUE!</v>
      </c>
      <c r="AM4" s="453" t="e">
        <f>IF(AND((OR(D15=3,D15=4)),(AND(H37&lt;=2.9,H37&gt;=2))),H37,"")</f>
        <v>#VALUE!</v>
      </c>
      <c r="AN4" s="453" t="e">
        <f>IF(AM4="","",100*(1+(0.1*(AM4-3))))</f>
        <v>#VALUE!</v>
      </c>
      <c r="AQ4" s="238" t="s">
        <v>2799</v>
      </c>
      <c r="AT4" s="238" t="str">
        <f>IF('Super Verify'!K10="","",(100-Gradation!I23)/'Super Verify'!K10)</f>
        <v/>
      </c>
      <c r="AU4" s="238" t="str">
        <f>IF('Super Verify'!K17="","",(100-Gradation!I23)/'Super Verify'!K17)</f>
        <v/>
      </c>
      <c r="BA4" s="1044" t="s">
        <v>404</v>
      </c>
      <c r="BB4" s="1044" t="s">
        <v>405</v>
      </c>
      <c r="BC4" s="721"/>
      <c r="BD4" s="721"/>
      <c r="BE4" s="238">
        <v>2</v>
      </c>
      <c r="BF4" s="721" t="s">
        <v>404</v>
      </c>
      <c r="BG4" s="721"/>
      <c r="BH4" s="721"/>
      <c r="BJ4" s="436">
        <f t="shared" si="0"/>
        <v>4</v>
      </c>
      <c r="BM4" t="s">
        <v>16</v>
      </c>
      <c r="BN4" s="1044" t="s">
        <v>17</v>
      </c>
      <c r="BY4" s="1243">
        <v>20025</v>
      </c>
      <c r="BZ4" s="238">
        <f>BY4+5000</f>
        <v>25025</v>
      </c>
      <c r="CD4" s="238" t="s">
        <v>2638</v>
      </c>
      <c r="CE4" s="1196" t="e">
        <f>MID('Pay Values'!D9,FIND("PG",'Pay Values'!D9),7)</f>
        <v>#VALUE!</v>
      </c>
      <c r="CG4" s="238" t="s">
        <v>2624</v>
      </c>
      <c r="CH4" s="238" t="s">
        <v>2625</v>
      </c>
      <c r="CI4" s="238" t="s">
        <v>2622</v>
      </c>
      <c r="CJ4" s="241">
        <v>0</v>
      </c>
      <c r="CK4" s="241">
        <v>20</v>
      </c>
      <c r="CL4" s="238" t="s">
        <v>2622</v>
      </c>
      <c r="CM4" s="238" t="e">
        <f t="shared" si="1"/>
        <v>#N/A</v>
      </c>
      <c r="CN4" s="238" t="e">
        <f t="shared" si="2"/>
        <v>#N/A</v>
      </c>
      <c r="CO4" s="238" t="e">
        <f t="shared" si="3"/>
        <v>#N/A</v>
      </c>
      <c r="CP4" s="238" t="e">
        <f t="shared" si="4"/>
        <v>#N/A</v>
      </c>
    </row>
    <row r="5" spans="1:94" ht="12.75">
      <c r="A5" s="238">
        <v>5</v>
      </c>
      <c r="B5" s="238" t="s">
        <v>1932</v>
      </c>
      <c r="C5" s="237"/>
      <c r="D5" s="237"/>
      <c r="F5" s="243">
        <v>3.5</v>
      </c>
      <c r="G5" s="241" t="s">
        <v>1933</v>
      </c>
      <c r="H5" s="241" t="s">
        <v>1934</v>
      </c>
      <c r="I5" s="239" t="str">
        <f>'Pay Values'!F13</f>
        <v/>
      </c>
      <c r="J5" s="239" t="str">
        <f>'Pay Values'!F14</f>
        <v/>
      </c>
      <c r="K5" s="239" t="str">
        <f>'Pay Values'!F15</f>
        <v/>
      </c>
      <c r="L5" s="239" t="str">
        <f>'Pay Values'!F16</f>
        <v/>
      </c>
      <c r="M5" s="239" t="str">
        <f>IF(L1&lt;&gt;1,"N/A",IF(I5=0,"N/A",'Pay Values'!I38-I5))</f>
        <v>N/A</v>
      </c>
      <c r="N5" s="239" t="str">
        <f>IF(L1&lt;&gt;2,"N/A",IF(J5=0,"N/A",'Pay Values'!I38-J5))</f>
        <v>N/A</v>
      </c>
      <c r="O5" s="239" t="str">
        <f>IF(L1&lt;&gt;3,"N/A",IF(K5=0,"N/A",'Pay Values'!I38-K5))</f>
        <v>N/A</v>
      </c>
      <c r="P5" s="239" t="str">
        <f>IF(L1&lt;&gt;4,"N/A",IF(L5=0,"N/A",'Pay Values'!I38-L5))</f>
        <v>N/A</v>
      </c>
      <c r="Q5" s="239" t="str">
        <f>IF(AND(L1=1,ISNUMBER(M5)),M5,IF(AND(L1=2,ISNUMBER(N5)),N5,IF(AND(L1=3,ISNUMBER(O5)),O5,IF(AND(L1=4,ISNUMBER(P5)),P5,"N/A"))))</f>
        <v>N/A</v>
      </c>
      <c r="R5" s="242" t="str">
        <f>IF(Q5="N/A","N/A",(IF(AND(ABS(Q5)&lt;=J9,O1=1),Q5,(IF(AND(ABS(Q5)&lt;=M9,O1=2),Q5,CONCATENATE("*",TEXT(Q5,"0.0")))))))</f>
        <v>N/A</v>
      </c>
      <c r="S5" s="239" t="str">
        <f>IF(L2&lt;&gt;1,"N/A",IF(I5=0,"N/A",'Pay Values'!I43-I5))</f>
        <v>N/A</v>
      </c>
      <c r="T5" s="239" t="str">
        <f>IF(L2&lt;&gt;2,"N/A",IF(J5=0,"N/A",'Pay Values'!I43-J5))</f>
        <v>N/A</v>
      </c>
      <c r="U5" s="239" t="str">
        <f>IF(L2&lt;&gt;3,"N/A",IF(K5=0,"N/A",'Pay Values'!I43-K5))</f>
        <v>N/A</v>
      </c>
      <c r="V5" s="239" t="str">
        <f>IF(L2&lt;&gt;4,"N/A",IF(L5=0,"N/A",'Pay Values'!I43-L5))</f>
        <v>N/A</v>
      </c>
      <c r="W5" s="239" t="str">
        <f>IF(AND(L2=1,ISNUMBER(S5)),S5,IF(AND(L2=2,ISNUMBER(T5)),T5,IF(AND(L2=3,ISNUMBER(U5)),U5,IF(AND(L2=4,ISNUMBER(V5)),V5,"N/A"))))</f>
        <v>N/A</v>
      </c>
      <c r="X5" s="242" t="str">
        <f>IF(W5="N/A","N/A",(IF(AND(ABS(W5)&lt;=J9,O2=1),W5,(IF(AND(ABS(W5)&lt;=M9,O2=2),W5,CONCATENATE("*",TEXT(W5,"0.0")))))))</f>
        <v>N/A</v>
      </c>
      <c r="Y5" s="241"/>
      <c r="Z5" s="240">
        <v>5</v>
      </c>
      <c r="AA5" s="373" t="s">
        <v>1935</v>
      </c>
      <c r="AG5" s="453" t="e">
        <f>IF(AND((OR(D15=1,D15=2,D15=3,D15=4)),(AND(E37&lt;=6,E37&gt;=4.1))),E37,"")</f>
        <v>#VALUE!</v>
      </c>
      <c r="AH5" s="453" t="e">
        <f>IF(AG5="","",100*(1+(0.1*(4.5-AG5))))</f>
        <v>#VALUE!</v>
      </c>
      <c r="AI5" s="453" t="e">
        <f>IF(AND((OR(D15=1,D15=2,D15=3,D15=4)),(AND(F37&lt;=6,F37&gt;=4.1))),F37,"")</f>
        <v>#VALUE!</v>
      </c>
      <c r="AJ5" s="453" t="e">
        <f>IF(AI5="","",100*(1+(0.1*(4.5-AI5))))</f>
        <v>#VALUE!</v>
      </c>
      <c r="AK5" s="453" t="e">
        <f>IF(AND((OR(D15=1,D15=2,D15=3,D15=4)),(AND(G37&lt;=6,G37&gt;=4.1))),G37,"")</f>
        <v>#VALUE!</v>
      </c>
      <c r="AL5" s="453" t="e">
        <f>IF(AK5="","",100*(1+(0.1*(4.5-AK5))))</f>
        <v>#VALUE!</v>
      </c>
      <c r="AM5" s="453" t="e">
        <f>IF(AND((OR(D15=1,D15=2,D15=3,D15=4)),(AND(H37&lt;=6,H37&gt;=4.1))),H37,"")</f>
        <v>#VALUE!</v>
      </c>
      <c r="AN5" s="453" t="e">
        <f>IF(AM5="","",100*(1+(0.1*(4.5-AM5))))</f>
        <v>#VALUE!</v>
      </c>
      <c r="AT5" s="238" t="str">
        <f>IF('Super Verify'!K10="","",(100-Gradation!L23)/'Super Verify'!K10)</f>
        <v/>
      </c>
      <c r="AU5" s="238" t="str">
        <f>IF('Super Verify'!K17="","",(100-Gradation!L23)/'Super Verify'!K17)</f>
        <v/>
      </c>
      <c r="BA5" s="1044" t="s">
        <v>406</v>
      </c>
      <c r="BB5" s="1044" t="s">
        <v>407</v>
      </c>
      <c r="BC5" s="721"/>
      <c r="BD5" s="721"/>
      <c r="BE5" s="238">
        <v>3</v>
      </c>
      <c r="BF5" s="721" t="s">
        <v>406</v>
      </c>
      <c r="BG5" s="721"/>
      <c r="BH5" s="721"/>
      <c r="BJ5" s="436">
        <f t="shared" si="0"/>
        <v>5</v>
      </c>
      <c r="BM5" t="s">
        <v>18</v>
      </c>
      <c r="BN5" s="1044" t="s">
        <v>19</v>
      </c>
      <c r="BY5" s="1243">
        <v>20025</v>
      </c>
      <c r="BZ5" s="238">
        <f t="shared" ref="BZ5:BZ68" si="5">BY5+5000</f>
        <v>25025</v>
      </c>
      <c r="CD5" s="238" t="s">
        <v>2634</v>
      </c>
      <c r="CE5" s="1245" t="str">
        <f>Superpave!R13</f>
        <v/>
      </c>
      <c r="CG5" s="238" t="s">
        <v>2624</v>
      </c>
      <c r="CH5" s="238" t="s">
        <v>2628</v>
      </c>
      <c r="CI5" s="238" t="s">
        <v>2621</v>
      </c>
      <c r="CJ5" s="241">
        <v>0</v>
      </c>
      <c r="CK5" s="241">
        <v>25</v>
      </c>
      <c r="CL5" s="238" t="s">
        <v>2621</v>
      </c>
      <c r="CM5" s="238" t="e">
        <f t="shared" si="1"/>
        <v>#N/A</v>
      </c>
      <c r="CN5" s="238" t="e">
        <f t="shared" si="2"/>
        <v>#N/A</v>
      </c>
      <c r="CO5" s="238" t="e">
        <f t="shared" si="3"/>
        <v>#N/A</v>
      </c>
      <c r="CP5" s="238" t="e">
        <f t="shared" si="4"/>
        <v>#N/A</v>
      </c>
    </row>
    <row r="6" spans="1:94" ht="12.75">
      <c r="A6" s="237">
        <v>6</v>
      </c>
      <c r="B6" s="238" t="s">
        <v>1936</v>
      </c>
      <c r="C6" s="237"/>
      <c r="D6" s="237"/>
      <c r="F6" s="239"/>
      <c r="G6" s="241" t="s">
        <v>1937</v>
      </c>
      <c r="H6" s="241" t="s">
        <v>1643</v>
      </c>
      <c r="I6" s="239" t="str">
        <f>'Pay Values'!I13</f>
        <v/>
      </c>
      <c r="J6" s="239" t="str">
        <f>'Pay Values'!I14</f>
        <v/>
      </c>
      <c r="K6" s="239" t="str">
        <f>'Pay Values'!I15</f>
        <v/>
      </c>
      <c r="L6" s="239" t="str">
        <f>'Pay Values'!I16</f>
        <v/>
      </c>
      <c r="M6" s="239" t="str">
        <f>IF(L1&lt;&gt;1,"N/A",IF(I6=0,"N/A",'Pay Values'!I39-I6))</f>
        <v>N/A</v>
      </c>
      <c r="N6" s="239" t="str">
        <f>IF(L1&lt;&gt;2,"N/A",IF(J6=0,"N/A",'Pay Values'!I39-J6))</f>
        <v>N/A</v>
      </c>
      <c r="O6" s="239" t="str">
        <f>IF(L1&lt;&gt;3,"N/A",IF(K6=0,"N/A",'Pay Values'!I39-K6))</f>
        <v>N/A</v>
      </c>
      <c r="P6" s="239" t="str">
        <f>IF(L1&lt;&gt;4,"N/A",IF(L6=0,"N/A",'Pay Values'!I39-L6))</f>
        <v>N/A</v>
      </c>
      <c r="Q6" s="239" t="str">
        <f>IF(AND(L1=1,ISNUMBER(M6)),M6,IF(AND(L1=2,ISNUMBER(N6)),N6,IF(AND(L1=3,ISNUMBER(O6)),O6,IF(AND(L1=4,ISNUMBER(P6)),P6,"N/A"))))</f>
        <v>N/A</v>
      </c>
      <c r="R6" s="239" t="str">
        <f>IF(Q6="N/A","N/A",(IF(AND(ABS(Q6)&lt;=J9,O1=1),Q6,(IF(AND(ABS(Q6)&lt;=M9,O1=2),Q6,CONCATENATE("*",TEXT(Q6,"0.0")))))))</f>
        <v>N/A</v>
      </c>
      <c r="S6" s="239" t="str">
        <f>IF(L2&lt;&gt;1,"N/A",IF(I6=0,"N/A",'Pay Values'!I44-I6))</f>
        <v>N/A</v>
      </c>
      <c r="T6" s="239" t="str">
        <f>IF(L2&lt;&gt;2,"N/A",IF(J6=0,"N/A",'Pay Values'!I44-J6))</f>
        <v>N/A</v>
      </c>
      <c r="U6" s="239" t="str">
        <f>IF(L2&lt;&gt;3,"N/A",IF(K6=0,"N/A",'Pay Values'!I44-K6))</f>
        <v>N/A</v>
      </c>
      <c r="V6" s="239" t="str">
        <f>IF(L2&lt;&gt;4,"N/A",IF(L6=0,"N/A",'Pay Values'!I44-L6))</f>
        <v>N/A</v>
      </c>
      <c r="W6" s="239" t="str">
        <f>IF(AND(L2=1,ISNUMBER(S6)),S6,IF(AND(L2=2,ISNUMBER(T6)),T6,IF(AND(L2=3,ISNUMBER(U6)),U6,IF(AND(L2=4,ISNUMBER(V6)),V6,"N/A"))))</f>
        <v>N/A</v>
      </c>
      <c r="X6" s="239" t="str">
        <f>IF(W6="N/A","N/A",(IF(AND(ABS(W6)&lt;=J9,O2=1),W6,(IF(AND(ABS(W6)&lt;=M9,O2=2),W6,CONCATENATE("*",TEXT(W6,"0.0")))))))</f>
        <v>N/A</v>
      </c>
      <c r="Y6" s="241"/>
      <c r="Z6" s="240">
        <v>6</v>
      </c>
      <c r="AA6" s="380" t="s">
        <v>1938</v>
      </c>
      <c r="AG6" s="453" t="e">
        <f>IF(AND((OR(D15=1,D15=2)),(AND(E37&gt;=6.1,E37&lt;=6.5))),75,"")</f>
        <v>#VALUE!</v>
      </c>
      <c r="AH6" s="453" t="e">
        <f>AG6</f>
        <v>#VALUE!</v>
      </c>
      <c r="AI6" s="453" t="e">
        <f>IF(AND((OR(D15=1,D15=2)),(AND(F37&gt;=6.1,F37&lt;=6.5))),75,"")</f>
        <v>#VALUE!</v>
      </c>
      <c r="AJ6" s="453" t="e">
        <f>AI6</f>
        <v>#VALUE!</v>
      </c>
      <c r="AK6" s="453" t="e">
        <f>IF(AND((OR(D15=1,D15=2)),(AND(G37&gt;=6.1,G37&lt;=6.5))),75,"")</f>
        <v>#VALUE!</v>
      </c>
      <c r="AL6" s="453" t="e">
        <f>AK6</f>
        <v>#VALUE!</v>
      </c>
      <c r="AM6" s="453" t="e">
        <f>IF(AND((OR(D15=1,D15=2)),(AND(H37&gt;=6.1,H37&lt;=6.5))),75,"")</f>
        <v>#VALUE!</v>
      </c>
      <c r="AN6" s="453" t="e">
        <f>AM6</f>
        <v>#VALUE!</v>
      </c>
      <c r="AT6" s="238" t="str">
        <f>IF(AT1="","",IF(AT1=1,AT2,IF(AT1=2,AT3,IF(AT1=3,AT4,IF(AT1=4,AT5)))))</f>
        <v/>
      </c>
      <c r="AU6" s="238" t="str">
        <f>IF(AU1="","",IF(AU1=1,AU2,IF(AU1=2,AU3,IF(AU1=3,AU4,IF(AU1=4,AU5)))))</f>
        <v/>
      </c>
      <c r="BA6" s="1044" t="s">
        <v>408</v>
      </c>
      <c r="BB6" s="1044" t="s">
        <v>139</v>
      </c>
      <c r="BC6" s="721"/>
      <c r="BD6" s="721"/>
      <c r="BE6" s="238">
        <v>4</v>
      </c>
      <c r="BF6" s="721" t="s">
        <v>408</v>
      </c>
      <c r="BG6" s="721"/>
      <c r="BH6" s="721"/>
      <c r="BJ6" s="436">
        <f t="shared" si="0"/>
        <v>6</v>
      </c>
      <c r="BM6" t="s">
        <v>2126</v>
      </c>
      <c r="BN6" s="1044" t="s">
        <v>2127</v>
      </c>
      <c r="BY6" s="1243">
        <v>20250</v>
      </c>
      <c r="BZ6" s="238">
        <f t="shared" si="5"/>
        <v>25250</v>
      </c>
      <c r="CD6" s="238" t="s">
        <v>2635</v>
      </c>
      <c r="CE6" s="1245" t="str">
        <f>Superpave!S13</f>
        <v/>
      </c>
      <c r="CG6" s="238" t="s">
        <v>2624</v>
      </c>
      <c r="CH6" s="238" t="s">
        <v>2628</v>
      </c>
      <c r="CI6" s="238" t="s">
        <v>2621</v>
      </c>
      <c r="CJ6" s="241">
        <v>26</v>
      </c>
      <c r="CK6" s="241">
        <v>35</v>
      </c>
      <c r="CL6" s="238" t="s">
        <v>2623</v>
      </c>
      <c r="CM6" s="238" t="e">
        <f t="shared" si="1"/>
        <v>#N/A</v>
      </c>
      <c r="CN6" s="238" t="e">
        <f t="shared" si="2"/>
        <v>#N/A</v>
      </c>
      <c r="CO6" s="238" t="e">
        <f t="shared" si="3"/>
        <v>#N/A</v>
      </c>
      <c r="CP6" s="238" t="e">
        <f t="shared" si="4"/>
        <v>#N/A</v>
      </c>
    </row>
    <row r="7" spans="1:94" ht="12.75">
      <c r="A7" s="237">
        <v>7</v>
      </c>
      <c r="B7" s="238" t="s">
        <v>1939</v>
      </c>
      <c r="C7" s="237"/>
      <c r="D7" s="237"/>
      <c r="F7" s="239"/>
      <c r="G7" s="241" t="s">
        <v>1940</v>
      </c>
      <c r="Z7" s="240">
        <v>7</v>
      </c>
      <c r="AA7" s="373" t="s">
        <v>1941</v>
      </c>
      <c r="AG7" s="453" t="e">
        <f>IF(AND((OR(D15=1,D15=2)),(OR(E37&lt;=1.4,E37&gt;=6.6))),"MCL","")</f>
        <v>#VALUE!</v>
      </c>
      <c r="AH7" s="453" t="e">
        <f>AG7</f>
        <v>#VALUE!</v>
      </c>
      <c r="AI7" s="453" t="e">
        <f>IF(AND((OR(D15=1,D15=2)),(OR(F37&lt;=1.4,F37&gt;=6.6))),"MCL","")</f>
        <v>#VALUE!</v>
      </c>
      <c r="AJ7" s="453" t="e">
        <f>AI7</f>
        <v>#VALUE!</v>
      </c>
      <c r="AK7" s="453" t="e">
        <f>IF(AND((OR(D15=1,D15=2)),(OR(G37&lt;=1.4,G37&gt;=6.6))),"MCL","")</f>
        <v>#VALUE!</v>
      </c>
      <c r="AL7" s="453" t="e">
        <f>AK7</f>
        <v>#VALUE!</v>
      </c>
      <c r="AM7" s="453" t="e">
        <f>IF(AND((OR(D15=1,D15=2)),(OR(H37&lt;=1.4,H37&gt;=6.6))),"MCL","")</f>
        <v>#VALUE!</v>
      </c>
      <c r="AN7" s="453" t="e">
        <f>AM7</f>
        <v>#VALUE!</v>
      </c>
      <c r="AT7" s="238" t="str">
        <f>IF(AT6="","",IF(AT6&gt;1.6,"&gt;1.6",IF(AT6&lt;0.6,"&lt;0.6",AT6)))</f>
        <v/>
      </c>
      <c r="AU7" s="238" t="str">
        <f>IF(AU6="","",IF(AU6&gt;1.6,"&gt;1.6",IF(AU6&lt;0.6,"&lt;0.6",AU6)))</f>
        <v/>
      </c>
      <c r="BA7" s="1044" t="s">
        <v>409</v>
      </c>
      <c r="BB7" s="1044" t="s">
        <v>140</v>
      </c>
      <c r="BC7" s="721"/>
      <c r="BD7" s="721"/>
      <c r="BE7" s="238">
        <v>5</v>
      </c>
      <c r="BF7" s="721" t="s">
        <v>409</v>
      </c>
      <c r="BG7" s="721"/>
      <c r="BH7" s="721"/>
      <c r="BJ7" s="436">
        <f t="shared" si="0"/>
        <v>7</v>
      </c>
      <c r="BM7" t="s">
        <v>1201</v>
      </c>
      <c r="BN7" s="1044" t="s">
        <v>1202</v>
      </c>
      <c r="BY7" s="1243">
        <v>20275</v>
      </c>
      <c r="BZ7" s="238">
        <f t="shared" si="5"/>
        <v>25275</v>
      </c>
      <c r="CD7" s="238" t="s">
        <v>2636</v>
      </c>
      <c r="CE7" s="1245" t="str">
        <f>Superpave!T13</f>
        <v/>
      </c>
      <c r="CG7" s="238" t="s">
        <v>2624</v>
      </c>
      <c r="CH7" s="238" t="s">
        <v>2628</v>
      </c>
      <c r="CI7" s="238" t="s">
        <v>2622</v>
      </c>
      <c r="CJ7" s="241">
        <v>0</v>
      </c>
      <c r="CK7" s="241">
        <v>25</v>
      </c>
      <c r="CL7" s="238" t="s">
        <v>2622</v>
      </c>
      <c r="CM7" s="238" t="e">
        <f t="shared" si="1"/>
        <v>#N/A</v>
      </c>
      <c r="CN7" s="238" t="e">
        <f t="shared" si="2"/>
        <v>#N/A</v>
      </c>
      <c r="CO7" s="238" t="e">
        <f t="shared" si="3"/>
        <v>#N/A</v>
      </c>
      <c r="CP7" s="238" t="e">
        <f t="shared" si="4"/>
        <v>#N/A</v>
      </c>
    </row>
    <row r="8" spans="1:94" ht="12.75">
      <c r="A8" s="237">
        <v>8</v>
      </c>
      <c r="B8" s="238" t="s">
        <v>1942</v>
      </c>
      <c r="C8" s="237"/>
      <c r="D8" s="237"/>
      <c r="F8" s="239"/>
      <c r="G8" s="241" t="s">
        <v>1943</v>
      </c>
      <c r="H8" s="240" t="s">
        <v>1944</v>
      </c>
      <c r="I8" s="240" t="s">
        <v>1945</v>
      </c>
      <c r="J8" s="240"/>
      <c r="K8" s="240"/>
      <c r="L8" s="240" t="s">
        <v>1946</v>
      </c>
      <c r="M8" s="240"/>
      <c r="N8" s="240"/>
      <c r="Z8" s="240">
        <v>8</v>
      </c>
      <c r="AA8" s="373" t="s">
        <v>1947</v>
      </c>
      <c r="AG8" s="453" t="e">
        <f>IF(AND((OR(D15=3,D15=4)),(OR(E37&lt;2,E37&gt;6))),"MCL","")</f>
        <v>#VALUE!</v>
      </c>
      <c r="AH8" s="453" t="e">
        <f>AG8</f>
        <v>#VALUE!</v>
      </c>
      <c r="AI8" s="453" t="e">
        <f>IF(AND((OR(D15=3,D15=4)),(OR(F37&lt;2,F37&gt;6))),"MCL","")</f>
        <v>#VALUE!</v>
      </c>
      <c r="AJ8" s="453" t="e">
        <f>AI8</f>
        <v>#VALUE!</v>
      </c>
      <c r="AK8" s="453" t="e">
        <f>IF(AND((OR(D15=3,D15=4)),(OR(G37&lt;2,G37&gt;6))),"MCL","")</f>
        <v>#VALUE!</v>
      </c>
      <c r="AL8" s="453" t="e">
        <f>AK8</f>
        <v>#VALUE!</v>
      </c>
      <c r="AM8" s="453" t="e">
        <f>IF(AND((OR(D15=3,D15=4)),(OR(H37&lt;2,H37&gt;6))),"MCL","")</f>
        <v>#VALUE!</v>
      </c>
      <c r="AN8" s="453" t="e">
        <f>AM8</f>
        <v>#VALUE!</v>
      </c>
      <c r="BA8" s="1044" t="s">
        <v>410</v>
      </c>
      <c r="BB8" s="1044" t="s">
        <v>141</v>
      </c>
      <c r="BC8" s="721"/>
      <c r="BD8" s="721"/>
      <c r="BE8" s="238">
        <v>6</v>
      </c>
      <c r="BF8" s="721" t="s">
        <v>410</v>
      </c>
      <c r="BG8" s="721"/>
      <c r="BH8" s="721"/>
      <c r="BJ8" s="436">
        <f t="shared" si="0"/>
        <v>8</v>
      </c>
      <c r="BM8" t="s">
        <v>1203</v>
      </c>
      <c r="BN8" s="1044" t="s">
        <v>1204</v>
      </c>
      <c r="BY8" s="1243">
        <v>20300</v>
      </c>
      <c r="BZ8" s="238">
        <f t="shared" si="5"/>
        <v>25300</v>
      </c>
      <c r="CD8" s="238" t="s">
        <v>2637</v>
      </c>
      <c r="CE8" s="1245" t="str">
        <f>Superpave!U13</f>
        <v/>
      </c>
      <c r="CG8" s="238" t="s">
        <v>2626</v>
      </c>
      <c r="CH8" s="238" t="s">
        <v>2625</v>
      </c>
      <c r="CI8" s="238" t="s">
        <v>2621</v>
      </c>
      <c r="CJ8" s="241">
        <v>0</v>
      </c>
      <c r="CK8" s="241">
        <v>13</v>
      </c>
      <c r="CL8" s="238" t="s">
        <v>2621</v>
      </c>
      <c r="CM8" s="238" t="e">
        <f t="shared" si="1"/>
        <v>#N/A</v>
      </c>
      <c r="CN8" s="238" t="e">
        <f t="shared" si="2"/>
        <v>#N/A</v>
      </c>
      <c r="CO8" s="238" t="e">
        <f t="shared" si="3"/>
        <v>#N/A</v>
      </c>
      <c r="CP8" s="238" t="e">
        <f t="shared" si="4"/>
        <v>#N/A</v>
      </c>
    </row>
    <row r="9" spans="1:94" ht="12.75">
      <c r="A9" s="237">
        <v>9</v>
      </c>
      <c r="B9" s="238" t="s">
        <v>1948</v>
      </c>
      <c r="C9" s="237"/>
      <c r="D9" s="1023" t="s">
        <v>1397</v>
      </c>
      <c r="F9" s="239"/>
      <c r="G9" s="241" t="s">
        <v>1949</v>
      </c>
      <c r="H9" s="239">
        <v>0.5</v>
      </c>
      <c r="I9" s="239"/>
      <c r="J9" s="239">
        <v>1</v>
      </c>
      <c r="K9" s="239"/>
      <c r="L9" s="239"/>
      <c r="M9" s="239">
        <v>1.5</v>
      </c>
      <c r="Z9" s="240">
        <v>9</v>
      </c>
      <c r="AA9" s="373" t="s">
        <v>1950</v>
      </c>
      <c r="AG9" s="453"/>
      <c r="AH9" s="453" t="e">
        <f>IF(OR(AH7="MCL",AH8="MCL"),"MCL",SUM(AH2:AH8))</f>
        <v>#VALUE!</v>
      </c>
      <c r="AI9" s="453"/>
      <c r="AJ9" s="453" t="e">
        <f>IF(OR(AJ7="MCL",AJ8="MCL"),"MCL",SUM(AJ2:AJ8))</f>
        <v>#VALUE!</v>
      </c>
      <c r="AK9" s="453"/>
      <c r="AL9" s="453" t="e">
        <f>IF(OR(AL7="MCL",AL8="MCL"),"MCL",SUM(AL2:AL8))</f>
        <v>#VALUE!</v>
      </c>
      <c r="AM9" s="453"/>
      <c r="AN9" s="453" t="e">
        <f>IF(OR(AN7="MCL",AN8="MCL"),"MCL",SUM(AN2:AN8))</f>
        <v>#VALUE!</v>
      </c>
      <c r="BA9" s="1044" t="s">
        <v>411</v>
      </c>
      <c r="BB9" s="1044" t="s">
        <v>142</v>
      </c>
      <c r="BC9" s="721"/>
      <c r="BD9" s="721"/>
      <c r="BE9" s="238">
        <v>7</v>
      </c>
      <c r="BF9" s="721" t="s">
        <v>411</v>
      </c>
      <c r="BG9" s="721"/>
      <c r="BH9" s="721"/>
      <c r="BJ9" s="436">
        <f t="shared" si="0"/>
        <v>9</v>
      </c>
      <c r="BM9" t="s">
        <v>1205</v>
      </c>
      <c r="BN9" s="1044" t="s">
        <v>1206</v>
      </c>
      <c r="BY9" s="1243">
        <v>20325</v>
      </c>
      <c r="BZ9" s="238">
        <f t="shared" si="5"/>
        <v>25325</v>
      </c>
      <c r="CG9" s="238" t="s">
        <v>2626</v>
      </c>
      <c r="CH9" s="238" t="s">
        <v>2625</v>
      </c>
      <c r="CI9" s="238" t="s">
        <v>2621</v>
      </c>
      <c r="CJ9" s="241">
        <v>14</v>
      </c>
      <c r="CK9" s="241">
        <v>20</v>
      </c>
      <c r="CL9" s="238" t="s">
        <v>2623</v>
      </c>
      <c r="CM9" s="238" t="e">
        <f t="shared" si="1"/>
        <v>#N/A</v>
      </c>
      <c r="CN9" s="238" t="e">
        <f t="shared" si="2"/>
        <v>#N/A</v>
      </c>
      <c r="CO9" s="238" t="e">
        <f t="shared" si="3"/>
        <v>#N/A</v>
      </c>
      <c r="CP9" s="238" t="e">
        <f t="shared" si="4"/>
        <v>#N/A</v>
      </c>
    </row>
    <row r="10" spans="1:94" ht="13.5" thickBot="1">
      <c r="A10" s="237">
        <v>10</v>
      </c>
      <c r="B10" s="238" t="s">
        <v>1951</v>
      </c>
      <c r="C10" s="237"/>
      <c r="D10" s="237"/>
      <c r="F10" s="239"/>
      <c r="G10" s="241" t="s">
        <v>1952</v>
      </c>
      <c r="U10" s="243"/>
      <c r="Z10" s="240">
        <v>10</v>
      </c>
      <c r="AA10" s="373" t="s">
        <v>1953</v>
      </c>
      <c r="AG10" s="453"/>
      <c r="AH10" s="453"/>
      <c r="BA10" s="1044" t="s">
        <v>412</v>
      </c>
      <c r="BB10" s="1044" t="s">
        <v>143</v>
      </c>
      <c r="BC10" s="721"/>
      <c r="BD10" s="721"/>
      <c r="BE10" s="238">
        <v>8</v>
      </c>
      <c r="BF10" s="721" t="s">
        <v>412</v>
      </c>
      <c r="BG10" s="721"/>
      <c r="BH10" s="721"/>
      <c r="BJ10" s="436">
        <f t="shared" si="0"/>
        <v>10</v>
      </c>
      <c r="BM10" t="s">
        <v>1207</v>
      </c>
      <c r="BN10" s="1044" t="s">
        <v>1208</v>
      </c>
      <c r="BY10" s="1243">
        <v>20350</v>
      </c>
      <c r="BZ10" s="238">
        <f t="shared" si="5"/>
        <v>25350</v>
      </c>
      <c r="CG10" s="238" t="s">
        <v>2626</v>
      </c>
      <c r="CH10" s="238" t="s">
        <v>2628</v>
      </c>
      <c r="CI10" s="238" t="s">
        <v>2621</v>
      </c>
      <c r="CJ10" s="241">
        <v>0</v>
      </c>
      <c r="CK10" s="241">
        <v>16</v>
      </c>
      <c r="CL10" s="238" t="s">
        <v>2621</v>
      </c>
      <c r="CM10" s="238" t="e">
        <f t="shared" si="1"/>
        <v>#N/A</v>
      </c>
      <c r="CN10" s="238" t="e">
        <f t="shared" si="2"/>
        <v>#N/A</v>
      </c>
      <c r="CO10" s="238" t="e">
        <f t="shared" si="3"/>
        <v>#N/A</v>
      </c>
      <c r="CP10" s="238" t="e">
        <f t="shared" si="4"/>
        <v>#N/A</v>
      </c>
    </row>
    <row r="11" spans="1:94" ht="13.5" thickTop="1">
      <c r="A11" s="237">
        <v>11</v>
      </c>
      <c r="B11" s="238" t="s">
        <v>1954</v>
      </c>
      <c r="C11" s="237"/>
      <c r="D11" s="237"/>
      <c r="F11" s="239"/>
      <c r="G11" s="241" t="s">
        <v>1955</v>
      </c>
      <c r="H11" s="972">
        <f>IF(M11,1,2)</f>
        <v>2</v>
      </c>
      <c r="I11" s="476" t="s">
        <v>1663</v>
      </c>
      <c r="J11" s="476"/>
      <c r="K11" s="476"/>
      <c r="L11" s="477"/>
      <c r="M11" s="1123" t="b">
        <v>0</v>
      </c>
      <c r="N11" s="1123"/>
      <c r="U11" s="243"/>
      <c r="BA11" s="1044" t="s">
        <v>413</v>
      </c>
      <c r="BB11" s="1044" t="s">
        <v>414</v>
      </c>
      <c r="BC11" s="721"/>
      <c r="BD11" s="721"/>
      <c r="BE11" s="238">
        <v>9</v>
      </c>
      <c r="BF11" s="721" t="s">
        <v>413</v>
      </c>
      <c r="BG11" s="721"/>
      <c r="BH11" s="721"/>
      <c r="BJ11" s="436">
        <f t="shared" si="0"/>
        <v>11</v>
      </c>
      <c r="BM11" t="s">
        <v>1209</v>
      </c>
      <c r="BN11" s="1044" t="s">
        <v>1210</v>
      </c>
      <c r="BY11" s="1243">
        <v>20250</v>
      </c>
      <c r="BZ11" s="238">
        <f t="shared" si="5"/>
        <v>25250</v>
      </c>
      <c r="CG11" s="238" t="s">
        <v>2626</v>
      </c>
      <c r="CH11" s="238" t="s">
        <v>2628</v>
      </c>
      <c r="CI11" s="238" t="s">
        <v>2621</v>
      </c>
      <c r="CJ11" s="241">
        <v>17</v>
      </c>
      <c r="CK11" s="241">
        <v>24</v>
      </c>
      <c r="CL11" s="238" t="s">
        <v>2623</v>
      </c>
      <c r="CM11" s="238" t="e">
        <f t="shared" si="1"/>
        <v>#N/A</v>
      </c>
      <c r="CN11" s="238" t="e">
        <f t="shared" si="2"/>
        <v>#N/A</v>
      </c>
      <c r="CO11" s="238" t="e">
        <f t="shared" si="3"/>
        <v>#N/A</v>
      </c>
      <c r="CP11" s="238" t="e">
        <f t="shared" si="4"/>
        <v>#N/A</v>
      </c>
    </row>
    <row r="12" spans="1:94" ht="13.5" thickBot="1">
      <c r="A12" s="238">
        <v>12</v>
      </c>
      <c r="B12" s="238" t="s">
        <v>1956</v>
      </c>
      <c r="C12" s="237"/>
      <c r="D12" s="237"/>
      <c r="F12" s="239"/>
      <c r="G12" s="241" t="s">
        <v>1957</v>
      </c>
      <c r="H12" s="1080"/>
      <c r="I12" s="634" t="s">
        <v>1958</v>
      </c>
      <c r="J12" s="635"/>
      <c r="K12" s="635"/>
      <c r="L12" s="636"/>
      <c r="M12" s="238" t="s">
        <v>1959</v>
      </c>
      <c r="U12" s="243"/>
      <c r="BA12" s="1044" t="s">
        <v>415</v>
      </c>
      <c r="BB12" s="1044" t="s">
        <v>416</v>
      </c>
      <c r="BC12" s="721"/>
      <c r="BD12" s="721"/>
      <c r="BE12" s="238">
        <v>10</v>
      </c>
      <c r="BF12" s="721" t="s">
        <v>415</v>
      </c>
      <c r="BG12" s="721"/>
      <c r="BH12" s="721"/>
      <c r="BJ12" s="436">
        <f t="shared" si="0"/>
        <v>12</v>
      </c>
      <c r="BM12" t="s">
        <v>1211</v>
      </c>
      <c r="BN12" s="1044" t="s">
        <v>1212</v>
      </c>
      <c r="BY12" s="1243">
        <v>20275</v>
      </c>
      <c r="BZ12" s="238">
        <f t="shared" si="5"/>
        <v>25275</v>
      </c>
      <c r="CG12" s="238" t="s">
        <v>2627</v>
      </c>
      <c r="CH12" s="238" t="s">
        <v>2625</v>
      </c>
      <c r="CI12" s="238" t="s">
        <v>2621</v>
      </c>
      <c r="CJ12" s="241">
        <v>0</v>
      </c>
      <c r="CK12" s="241">
        <v>15</v>
      </c>
      <c r="CL12" s="238" t="s">
        <v>2621</v>
      </c>
      <c r="CM12" s="238" t="e">
        <f t="shared" si="1"/>
        <v>#N/A</v>
      </c>
      <c r="CN12" s="238" t="e">
        <f t="shared" si="2"/>
        <v>#N/A</v>
      </c>
      <c r="CO12" s="238" t="e">
        <f t="shared" si="3"/>
        <v>#N/A</v>
      </c>
      <c r="CP12" s="238" t="e">
        <f t="shared" si="4"/>
        <v>#N/A</v>
      </c>
    </row>
    <row r="13" spans="1:94" ht="14.25" thickTop="1" thickBot="1">
      <c r="A13" s="237">
        <v>13</v>
      </c>
      <c r="B13" t="s">
        <v>1960</v>
      </c>
      <c r="C13" s="237"/>
      <c r="D13" s="237"/>
      <c r="F13" s="239"/>
      <c r="G13" s="241" t="s">
        <v>941</v>
      </c>
      <c r="H13" s="970" t="str">
        <f>IF(H20="Gradation",1,IF(H20="Volumetrics",2,IF(H20="Visual",3,"")))</f>
        <v/>
      </c>
      <c r="I13" s="473" t="s">
        <v>1961</v>
      </c>
      <c r="J13" s="419"/>
      <c r="K13" s="475"/>
      <c r="L13" s="474"/>
      <c r="M13" t="s">
        <v>1962</v>
      </c>
      <c r="N13"/>
      <c r="O13"/>
      <c r="P13"/>
      <c r="Q13"/>
      <c r="R13"/>
      <c r="S13"/>
      <c r="T13"/>
      <c r="U13"/>
      <c r="W13" s="406">
        <v>1.5</v>
      </c>
      <c r="X13" s="409"/>
      <c r="Y13" s="406">
        <v>1</v>
      </c>
      <c r="Z13" s="409"/>
      <c r="AA13" s="406">
        <v>0.75</v>
      </c>
      <c r="AB13" s="409"/>
      <c r="AC13" s="406">
        <v>0.5</v>
      </c>
      <c r="AD13" s="409"/>
      <c r="AE13" s="406">
        <v>0.38</v>
      </c>
      <c r="AF13" s="421"/>
      <c r="AG13" s="406" t="s">
        <v>1936</v>
      </c>
      <c r="AH13" s="409"/>
      <c r="AI13" s="406" t="s">
        <v>1963</v>
      </c>
      <c r="AJ13" s="409"/>
      <c r="AK13" s="406" t="s">
        <v>1964</v>
      </c>
      <c r="AL13" s="409"/>
      <c r="AM13" s="406" t="s">
        <v>1965</v>
      </c>
      <c r="AN13" s="409"/>
      <c r="AO13" s="406" t="s">
        <v>1966</v>
      </c>
      <c r="AP13" s="409"/>
      <c r="AQ13" s="406" t="s">
        <v>1967</v>
      </c>
      <c r="AR13" s="409"/>
      <c r="AS13" s="406" t="s">
        <v>1968</v>
      </c>
      <c r="AT13" s="409"/>
      <c r="AU13" s="406" t="s">
        <v>1960</v>
      </c>
      <c r="AV13" s="409"/>
      <c r="AW13" s="1622">
        <v>0.4</v>
      </c>
      <c r="AX13" s="1623"/>
      <c r="BA13" s="1044" t="s">
        <v>417</v>
      </c>
      <c r="BB13" s="1044" t="s">
        <v>418</v>
      </c>
      <c r="BC13" s="721"/>
      <c r="BD13" s="721"/>
      <c r="BE13" s="238">
        <v>11</v>
      </c>
      <c r="BF13" s="721" t="s">
        <v>417</v>
      </c>
      <c r="BG13" s="721"/>
      <c r="BH13" s="721"/>
      <c r="BJ13" s="436">
        <f t="shared" si="0"/>
        <v>13</v>
      </c>
      <c r="BM13" t="s">
        <v>1213</v>
      </c>
      <c r="BN13" s="1044" t="s">
        <v>1214</v>
      </c>
      <c r="BY13" s="1243">
        <v>20300</v>
      </c>
      <c r="BZ13" s="238">
        <f t="shared" si="5"/>
        <v>25300</v>
      </c>
      <c r="CG13" s="238" t="s">
        <v>2627</v>
      </c>
      <c r="CH13" s="238" t="s">
        <v>2625</v>
      </c>
      <c r="CI13" s="238" t="s">
        <v>2621</v>
      </c>
      <c r="CJ13" s="241">
        <v>16</v>
      </c>
      <c r="CK13" s="241">
        <v>25</v>
      </c>
      <c r="CL13" s="238" t="s">
        <v>2623</v>
      </c>
      <c r="CM13" s="238" t="e">
        <f t="shared" si="1"/>
        <v>#N/A</v>
      </c>
      <c r="CN13" s="238" t="e">
        <f t="shared" si="2"/>
        <v>#N/A</v>
      </c>
      <c r="CO13" s="238" t="e">
        <f t="shared" si="3"/>
        <v>#N/A</v>
      </c>
      <c r="CP13" s="238" t="e">
        <f t="shared" si="4"/>
        <v>#N/A</v>
      </c>
    </row>
    <row r="14" spans="1:94" ht="14.25" thickTop="1" thickBot="1">
      <c r="A14" s="237">
        <v>14</v>
      </c>
      <c r="B14" s="237" t="s">
        <v>1398</v>
      </c>
      <c r="C14" s="484" t="s">
        <v>1969</v>
      </c>
      <c r="D14" s="408"/>
      <c r="E14" s="409"/>
      <c r="F14" s="239">
        <v>3.5</v>
      </c>
      <c r="G14" s="241"/>
      <c r="K14"/>
      <c r="L14"/>
      <c r="M14"/>
      <c r="N14"/>
      <c r="O14"/>
      <c r="P14"/>
      <c r="Q14"/>
      <c r="R14"/>
      <c r="S14"/>
      <c r="T14"/>
      <c r="U14"/>
      <c r="V14" s="393"/>
      <c r="W14" s="423">
        <v>1</v>
      </c>
      <c r="X14" s="409">
        <v>1</v>
      </c>
      <c r="Y14" s="423">
        <v>2</v>
      </c>
      <c r="Z14" s="409">
        <v>2</v>
      </c>
      <c r="AA14" s="423">
        <v>3</v>
      </c>
      <c r="AB14" s="409">
        <v>3</v>
      </c>
      <c r="AC14" s="423">
        <v>4</v>
      </c>
      <c r="AD14" s="409">
        <v>4</v>
      </c>
      <c r="AE14" s="423">
        <v>5</v>
      </c>
      <c r="AF14" s="409">
        <v>5</v>
      </c>
      <c r="AG14" s="423">
        <v>6</v>
      </c>
      <c r="AH14" s="423">
        <v>6</v>
      </c>
      <c r="AI14" s="423">
        <v>7</v>
      </c>
      <c r="AJ14" s="423">
        <v>7</v>
      </c>
      <c r="AK14" s="423">
        <v>8</v>
      </c>
      <c r="AL14" s="423">
        <v>8</v>
      </c>
      <c r="AM14" s="423">
        <v>9</v>
      </c>
      <c r="AN14" s="423">
        <v>9</v>
      </c>
      <c r="AO14" s="423">
        <v>10</v>
      </c>
      <c r="AP14" s="423">
        <v>10</v>
      </c>
      <c r="AQ14" s="423">
        <v>11</v>
      </c>
      <c r="AR14" s="423">
        <v>11</v>
      </c>
      <c r="AS14" s="423">
        <v>12</v>
      </c>
      <c r="AT14" s="423">
        <v>12</v>
      </c>
      <c r="AU14" s="423">
        <v>13</v>
      </c>
      <c r="AV14" s="423">
        <v>13</v>
      </c>
      <c r="AW14" s="1040">
        <v>14</v>
      </c>
      <c r="AX14" s="405">
        <v>14</v>
      </c>
      <c r="AY14" s="430" t="s">
        <v>1970</v>
      </c>
      <c r="AZ14" s="431"/>
      <c r="BA14" s="1044" t="s">
        <v>419</v>
      </c>
      <c r="BB14" s="1044" t="s">
        <v>420</v>
      </c>
      <c r="BC14" s="721"/>
      <c r="BD14" s="721"/>
      <c r="BE14" s="238">
        <v>12</v>
      </c>
      <c r="BF14" s="721" t="s">
        <v>419</v>
      </c>
      <c r="BG14" s="721"/>
      <c r="BH14" s="721"/>
      <c r="BJ14" s="436">
        <f t="shared" si="0"/>
        <v>14</v>
      </c>
      <c r="BM14" t="s">
        <v>1215</v>
      </c>
      <c r="BN14" s="1044" t="s">
        <v>1216</v>
      </c>
      <c r="BY14" s="1243">
        <v>20325</v>
      </c>
      <c r="BZ14" s="238">
        <f t="shared" si="5"/>
        <v>25325</v>
      </c>
      <c r="CG14" s="238" t="s">
        <v>2627</v>
      </c>
      <c r="CH14" s="238" t="s">
        <v>2628</v>
      </c>
      <c r="CI14" s="238" t="s">
        <v>2621</v>
      </c>
      <c r="CJ14" s="241">
        <v>0</v>
      </c>
      <c r="CK14" s="241">
        <v>18</v>
      </c>
      <c r="CL14" s="238" t="s">
        <v>2621</v>
      </c>
      <c r="CM14" s="238" t="e">
        <f t="shared" si="1"/>
        <v>#N/A</v>
      </c>
      <c r="CN14" s="238" t="e">
        <f t="shared" si="2"/>
        <v>#N/A</v>
      </c>
      <c r="CO14" s="238" t="e">
        <f t="shared" si="3"/>
        <v>#N/A</v>
      </c>
      <c r="CP14" s="238" t="e">
        <f t="shared" si="4"/>
        <v>#N/A</v>
      </c>
    </row>
    <row r="15" spans="1:94" ht="14.25" thickTop="1" thickBot="1">
      <c r="A15"/>
      <c r="B15"/>
      <c r="C15" s="465">
        <v>1</v>
      </c>
      <c r="D15" s="1078"/>
      <c r="E15" s="479"/>
      <c r="F15" s="243"/>
      <c r="G15" s="241"/>
      <c r="H15" s="503" t="str">
        <f>IF(J1="","",VLOOKUP(J1,A1:G13,7))</f>
        <v/>
      </c>
      <c r="I15" s="507" t="s">
        <v>1971</v>
      </c>
      <c r="J15" s="504"/>
      <c r="K15" s="505"/>
      <c r="L15" s="506"/>
      <c r="M15"/>
      <c r="N15"/>
      <c r="O15" s="618" t="s">
        <v>1972</v>
      </c>
      <c r="P15" s="619"/>
      <c r="Q15" s="619"/>
      <c r="R15" s="620"/>
      <c r="S15"/>
      <c r="T15"/>
      <c r="U15"/>
      <c r="V15" s="410"/>
      <c r="W15" s="424" t="s">
        <v>1649</v>
      </c>
      <c r="X15" s="424" t="s">
        <v>1973</v>
      </c>
      <c r="Y15" s="424" t="s">
        <v>1649</v>
      </c>
      <c r="Z15" s="424" t="s">
        <v>1973</v>
      </c>
      <c r="AA15" s="424" t="s">
        <v>1649</v>
      </c>
      <c r="AB15" s="424" t="s">
        <v>1973</v>
      </c>
      <c r="AC15" s="424" t="s">
        <v>1649</v>
      </c>
      <c r="AD15" s="424" t="s">
        <v>1973</v>
      </c>
      <c r="AE15" s="424" t="s">
        <v>1649</v>
      </c>
      <c r="AF15" s="424" t="s">
        <v>1973</v>
      </c>
      <c r="AG15" s="424" t="s">
        <v>1649</v>
      </c>
      <c r="AH15" s="424" t="s">
        <v>1973</v>
      </c>
      <c r="AI15" s="424" t="s">
        <v>1649</v>
      </c>
      <c r="AJ15" s="424" t="s">
        <v>1973</v>
      </c>
      <c r="AK15" s="424" t="s">
        <v>1649</v>
      </c>
      <c r="AL15" s="424" t="s">
        <v>1973</v>
      </c>
      <c r="AM15" s="424" t="s">
        <v>1649</v>
      </c>
      <c r="AN15" s="424" t="s">
        <v>1973</v>
      </c>
      <c r="AO15" s="424" t="s">
        <v>1649</v>
      </c>
      <c r="AP15" s="424" t="s">
        <v>1973</v>
      </c>
      <c r="AQ15" s="424" t="s">
        <v>1649</v>
      </c>
      <c r="AR15" s="424" t="s">
        <v>1973</v>
      </c>
      <c r="AS15" s="424" t="s">
        <v>1649</v>
      </c>
      <c r="AT15" s="424" t="s">
        <v>1973</v>
      </c>
      <c r="AU15" s="424" t="s">
        <v>1649</v>
      </c>
      <c r="AV15" s="424" t="s">
        <v>1973</v>
      </c>
      <c r="AW15" s="424" t="s">
        <v>1649</v>
      </c>
      <c r="AX15" s="424" t="s">
        <v>1973</v>
      </c>
      <c r="AY15" s="432" t="s">
        <v>1649</v>
      </c>
      <c r="AZ15" s="432" t="s">
        <v>1973</v>
      </c>
      <c r="BA15" s="1044" t="s">
        <v>421</v>
      </c>
      <c r="BB15" s="1044" t="s">
        <v>422</v>
      </c>
      <c r="BC15" s="721"/>
      <c r="BD15" s="721"/>
      <c r="BE15" s="238">
        <v>13</v>
      </c>
      <c r="BF15" s="721" t="s">
        <v>421</v>
      </c>
      <c r="BG15" s="721"/>
      <c r="BH15" s="721"/>
      <c r="BJ15" s="436">
        <f t="shared" si="0"/>
        <v>15</v>
      </c>
      <c r="BM15" t="s">
        <v>1217</v>
      </c>
      <c r="BN15" s="1044" t="s">
        <v>1218</v>
      </c>
      <c r="BY15" s="1243">
        <v>20350</v>
      </c>
      <c r="BZ15" s="238">
        <f t="shared" si="5"/>
        <v>25350</v>
      </c>
      <c r="CG15" s="238" t="s">
        <v>2627</v>
      </c>
      <c r="CH15" s="238" t="s">
        <v>2628</v>
      </c>
      <c r="CI15" s="238" t="s">
        <v>2621</v>
      </c>
      <c r="CJ15" s="241">
        <v>19</v>
      </c>
      <c r="CK15" s="241">
        <v>30</v>
      </c>
      <c r="CL15" s="238" t="s">
        <v>2623</v>
      </c>
      <c r="CM15" s="238" t="e">
        <f t="shared" si="1"/>
        <v>#N/A</v>
      </c>
      <c r="CN15" s="238" t="e">
        <f t="shared" si="2"/>
        <v>#N/A</v>
      </c>
      <c r="CO15" s="238" t="e">
        <f t="shared" si="3"/>
        <v>#N/A</v>
      </c>
      <c r="CP15" s="238" t="e">
        <f t="shared" si="4"/>
        <v>#N/A</v>
      </c>
    </row>
    <row r="16" spans="1:94" ht="14.25" thickTop="1" thickBot="1">
      <c r="A16"/>
      <c r="B16"/>
      <c r="C16" s="480">
        <v>2</v>
      </c>
      <c r="D16"/>
      <c r="E16" s="481">
        <v>65</v>
      </c>
      <c r="F16" s="243"/>
      <c r="G16" s="241"/>
      <c r="H16" s="241"/>
      <c r="K16"/>
      <c r="L16"/>
      <c r="M16"/>
      <c r="N16"/>
      <c r="O16">
        <v>1</v>
      </c>
      <c r="P16" s="585" t="s">
        <v>1920</v>
      </c>
      <c r="Q16"/>
      <c r="R16"/>
      <c r="S16"/>
      <c r="T16"/>
      <c r="U16"/>
      <c r="V16" s="416" t="s">
        <v>1608</v>
      </c>
      <c r="W16" s="410">
        <v>100</v>
      </c>
      <c r="X16" s="415">
        <v>100</v>
      </c>
      <c r="Y16" s="410"/>
      <c r="Z16" s="415"/>
      <c r="AA16" s="410"/>
      <c r="AB16" s="415"/>
      <c r="AC16" s="410"/>
      <c r="AD16" s="415"/>
      <c r="AE16" s="410"/>
      <c r="AF16" s="415"/>
      <c r="AG16" s="393"/>
      <c r="AH16" s="414"/>
      <c r="AI16" s="393"/>
      <c r="AJ16" s="414"/>
      <c r="AK16" s="393"/>
      <c r="AL16" s="414"/>
      <c r="AM16" s="393"/>
      <c r="AN16" s="414"/>
      <c r="AO16" s="393"/>
      <c r="AP16" s="414"/>
      <c r="AQ16" s="393"/>
      <c r="AR16" s="414"/>
      <c r="AS16" s="393"/>
      <c r="AT16" s="414"/>
      <c r="AU16" s="393"/>
      <c r="AV16" s="414"/>
      <c r="AY16" s="433" t="e">
        <f>HLOOKUP(J1,W14:AX30,3,FALSE)</f>
        <v>#N/A</v>
      </c>
      <c r="AZ16" s="433" t="e">
        <f>IF(HLOOKUP(J1,W14:AX30,3,TRUE)=0,100,HLOOKUP(J1,W14:AX30,3,TRUE))</f>
        <v>#N/A</v>
      </c>
      <c r="BA16" s="1044" t="s">
        <v>423</v>
      </c>
      <c r="BB16" s="1044" t="s">
        <v>424</v>
      </c>
      <c r="BC16" s="721"/>
      <c r="BD16" s="721"/>
      <c r="BE16" s="238">
        <v>14</v>
      </c>
      <c r="BF16" s="721" t="s">
        <v>423</v>
      </c>
      <c r="BG16" s="721"/>
      <c r="BH16" s="721"/>
      <c r="BJ16" s="436">
        <f t="shared" si="0"/>
        <v>16</v>
      </c>
      <c r="BM16" t="s">
        <v>1219</v>
      </c>
      <c r="BN16" s="1044" t="s">
        <v>1220</v>
      </c>
      <c r="BY16" s="1243">
        <v>20375</v>
      </c>
      <c r="BZ16" s="238">
        <f t="shared" si="5"/>
        <v>25375</v>
      </c>
      <c r="CM16" s="238" t="str">
        <f>IF(ISERROR(VLOOKUP("PG*",CM2:CM15,1,FALSE)),"Error",VLOOKUP("PG*",CM2:CM15,1,FALSE))</f>
        <v>Error</v>
      </c>
      <c r="CN16" s="238" t="str">
        <f>IF(ISERROR(VLOOKUP("PG*",CN2:CN15,1,FALSE)),"Error",VLOOKUP("PG*",CN2:CN15,1,FALSE))</f>
        <v>Error</v>
      </c>
      <c r="CO16" s="238" t="str">
        <f>IF(ISERROR(VLOOKUP("PG*",CO2:CO15,1,FALSE)),"Error",VLOOKUP("PG*",CO2:CO15,1,FALSE))</f>
        <v>Error</v>
      </c>
      <c r="CP16" s="238" t="str">
        <f>IF(ISERROR(VLOOKUP("PG*",CP2:CP15,1,FALSE)),"Error",VLOOKUP("PG*",CP2:CP15,1,FALSE))</f>
        <v>Error</v>
      </c>
    </row>
    <row r="17" spans="1:94" ht="14.25" thickTop="1" thickBot="1">
      <c r="A17"/>
      <c r="B17"/>
      <c r="C17" s="480">
        <v>3</v>
      </c>
      <c r="D17"/>
      <c r="E17" s="481">
        <v>65</v>
      </c>
      <c r="F17" s="243"/>
      <c r="G17" s="241"/>
      <c r="H17" s="238" t="s">
        <v>1558</v>
      </c>
      <c r="K17"/>
      <c r="L17"/>
      <c r="M17"/>
      <c r="N17"/>
      <c r="O17">
        <v>2</v>
      </c>
      <c r="P17" s="585" t="s">
        <v>1923</v>
      </c>
      <c r="Q17"/>
      <c r="R17"/>
      <c r="S17"/>
      <c r="T17"/>
      <c r="U17"/>
      <c r="V17" s="416" t="s">
        <v>1609</v>
      </c>
      <c r="W17" s="410">
        <v>90</v>
      </c>
      <c r="X17" s="415">
        <v>100</v>
      </c>
      <c r="Y17" s="410">
        <v>100</v>
      </c>
      <c r="Z17" s="415">
        <v>100</v>
      </c>
      <c r="AA17" s="410"/>
      <c r="AB17" s="415"/>
      <c r="AC17" s="410"/>
      <c r="AD17" s="415"/>
      <c r="AE17" s="410"/>
      <c r="AF17" s="415"/>
      <c r="AG17" s="410">
        <v>100</v>
      </c>
      <c r="AH17" s="415">
        <v>100</v>
      </c>
      <c r="AI17" s="410"/>
      <c r="AJ17" s="415"/>
      <c r="AK17" s="410"/>
      <c r="AL17" s="415"/>
      <c r="AM17" s="410">
        <v>100</v>
      </c>
      <c r="AN17" s="415">
        <v>100</v>
      </c>
      <c r="AO17" s="410"/>
      <c r="AP17" s="415"/>
      <c r="AQ17" s="410"/>
      <c r="AR17" s="415"/>
      <c r="AS17" s="410"/>
      <c r="AT17" s="415"/>
      <c r="AU17" s="410"/>
      <c r="AV17" s="415"/>
      <c r="AY17" s="433" t="e">
        <f>HLOOKUP(J1,W14:AX30,4,FALSE)</f>
        <v>#N/A</v>
      </c>
      <c r="AZ17" s="433" t="e">
        <f>IF(HLOOKUP(J1,W14:AX30,4,TRUE)=0,100,HLOOKUP(J1,W14:AX30,4,TRUE))</f>
        <v>#N/A</v>
      </c>
      <c r="BA17" s="1044" t="s">
        <v>425</v>
      </c>
      <c r="BB17" s="1044" t="s">
        <v>426</v>
      </c>
      <c r="BC17" s="721"/>
      <c r="BD17" s="721"/>
      <c r="BE17" s="238">
        <v>15</v>
      </c>
      <c r="BF17" s="721" t="s">
        <v>425</v>
      </c>
      <c r="BG17" s="721"/>
      <c r="BH17" s="721"/>
      <c r="BJ17" s="436">
        <f t="shared" si="0"/>
        <v>17</v>
      </c>
      <c r="BM17" t="s">
        <v>1221</v>
      </c>
      <c r="BN17" s="1044" t="s">
        <v>1222</v>
      </c>
      <c r="BY17" s="1243">
        <v>20400</v>
      </c>
      <c r="BZ17" s="238">
        <f t="shared" si="5"/>
        <v>25400</v>
      </c>
      <c r="CM17" s="238" t="e">
        <f>IF($E$147=CM16,"OK","*")</f>
        <v>#N/A</v>
      </c>
      <c r="CN17" s="238" t="e">
        <f>IF($E$147=CN16,"OK","*")</f>
        <v>#N/A</v>
      </c>
      <c r="CO17" s="238" t="e">
        <f>IF($E$147=CO16,"OK","*")</f>
        <v>#N/A</v>
      </c>
      <c r="CP17" s="238" t="e">
        <f>IF($E$147=CP16,"OK","*")</f>
        <v>#N/A</v>
      </c>
    </row>
    <row r="18" spans="1:94" ht="14.25" thickTop="1" thickBot="1">
      <c r="A18"/>
      <c r="B18"/>
      <c r="C18" s="482">
        <v>4</v>
      </c>
      <c r="D18" s="475"/>
      <c r="E18" s="483">
        <v>65</v>
      </c>
      <c r="F18" s="243"/>
      <c r="G18" s="241"/>
      <c r="H18" s="238" t="s">
        <v>1559</v>
      </c>
      <c r="K18"/>
      <c r="L18"/>
      <c r="M18"/>
      <c r="N18"/>
      <c r="O18">
        <v>3</v>
      </c>
      <c r="P18" s="585" t="s">
        <v>1925</v>
      </c>
      <c r="Q18"/>
      <c r="R18"/>
      <c r="S18"/>
      <c r="T18"/>
      <c r="U18"/>
      <c r="V18" s="416" t="s">
        <v>1610</v>
      </c>
      <c r="W18" s="410"/>
      <c r="X18" s="415">
        <v>90</v>
      </c>
      <c r="Y18" s="410">
        <v>90</v>
      </c>
      <c r="Z18" s="415">
        <v>100</v>
      </c>
      <c r="AA18" s="410">
        <v>100</v>
      </c>
      <c r="AB18" s="415">
        <v>100</v>
      </c>
      <c r="AC18" s="410"/>
      <c r="AD18" s="415"/>
      <c r="AE18" s="410"/>
      <c r="AF18" s="415"/>
      <c r="AG18" s="410"/>
      <c r="AH18" s="415"/>
      <c r="AI18" s="410"/>
      <c r="AJ18" s="415"/>
      <c r="AK18" s="410"/>
      <c r="AL18" s="415"/>
      <c r="AM18" s="410"/>
      <c r="AN18" s="415"/>
      <c r="AO18" s="410"/>
      <c r="AP18" s="415"/>
      <c r="AQ18" s="410"/>
      <c r="AR18" s="415"/>
      <c r="AS18" s="410"/>
      <c r="AT18" s="415"/>
      <c r="AU18" s="410"/>
      <c r="AV18" s="415"/>
      <c r="AY18" s="433" t="e">
        <f>HLOOKUP(J1,W14:AX30,5,FALSE)</f>
        <v>#N/A</v>
      </c>
      <c r="AZ18" s="433" t="e">
        <f>IF(HLOOKUP(J1,W14:AX30,5,TRUE)=0,100,HLOOKUP(J1,W14:AX30,5,TRUE))</f>
        <v>#N/A</v>
      </c>
      <c r="BA18" s="1044" t="s">
        <v>427</v>
      </c>
      <c r="BB18" s="1044" t="s">
        <v>428</v>
      </c>
      <c r="BC18" s="721"/>
      <c r="BD18" s="721"/>
      <c r="BE18" s="238">
        <v>16</v>
      </c>
      <c r="BF18" s="721" t="s">
        <v>427</v>
      </c>
      <c r="BG18" s="721"/>
      <c r="BH18" s="721"/>
      <c r="BJ18" s="436">
        <f t="shared" si="0"/>
        <v>18</v>
      </c>
      <c r="BM18" t="s">
        <v>1223</v>
      </c>
      <c r="BN18" s="1044" t="s">
        <v>1224</v>
      </c>
      <c r="BY18" s="1243">
        <v>20425</v>
      </c>
      <c r="BZ18" s="238">
        <f t="shared" si="5"/>
        <v>25425</v>
      </c>
    </row>
    <row r="19" spans="1:94" ht="14.25" thickTop="1" thickBot="1">
      <c r="A19"/>
      <c r="B19"/>
      <c r="C19" s="237"/>
      <c r="D19" s="237"/>
      <c r="F19" s="243"/>
      <c r="G19" s="241"/>
      <c r="H19" s="238" t="s">
        <v>1587</v>
      </c>
      <c r="K19"/>
      <c r="L19"/>
      <c r="M19"/>
      <c r="N19"/>
      <c r="O19">
        <v>4</v>
      </c>
      <c r="P19" s="585" t="s">
        <v>1929</v>
      </c>
      <c r="Q19"/>
      <c r="R19"/>
      <c r="S19"/>
      <c r="T19"/>
      <c r="U19"/>
      <c r="V19" s="416" t="s">
        <v>1611</v>
      </c>
      <c r="W19" s="410"/>
      <c r="X19" s="415"/>
      <c r="Y19" s="410"/>
      <c r="Z19" s="415">
        <v>90</v>
      </c>
      <c r="AA19" s="410">
        <v>90</v>
      </c>
      <c r="AB19" s="415">
        <v>100</v>
      </c>
      <c r="AC19" s="410">
        <v>100</v>
      </c>
      <c r="AD19" s="415">
        <v>100</v>
      </c>
      <c r="AE19" s="410"/>
      <c r="AF19" s="415"/>
      <c r="AG19" s="410">
        <v>85</v>
      </c>
      <c r="AH19" s="415">
        <v>100</v>
      </c>
      <c r="AI19" s="410"/>
      <c r="AJ19" s="415"/>
      <c r="AK19" s="410"/>
      <c r="AL19" s="415"/>
      <c r="AM19" s="410">
        <v>70</v>
      </c>
      <c r="AN19" s="415">
        <v>100</v>
      </c>
      <c r="AO19" s="410"/>
      <c r="AP19" s="415"/>
      <c r="AQ19" s="410"/>
      <c r="AR19" s="415"/>
      <c r="AS19" s="410"/>
      <c r="AT19" s="415"/>
      <c r="AU19" s="410"/>
      <c r="AV19" s="415"/>
      <c r="AY19" s="433" t="e">
        <f>HLOOKUP(J1,W14:AX30,6,FALSE)</f>
        <v>#N/A</v>
      </c>
      <c r="AZ19" s="433" t="e">
        <f>IF(HLOOKUP(J1,W14:AX30,6,TRUE)=0,100,HLOOKUP(J1,W14:AX30,6,TRUE))</f>
        <v>#N/A</v>
      </c>
      <c r="BA19" s="1044" t="s">
        <v>429</v>
      </c>
      <c r="BB19" s="1044" t="s">
        <v>144</v>
      </c>
      <c r="BC19" s="721"/>
      <c r="BD19" s="721"/>
      <c r="BE19" s="238">
        <v>17</v>
      </c>
      <c r="BF19" s="721" t="s">
        <v>429</v>
      </c>
      <c r="BG19" s="721"/>
      <c r="BH19" s="721"/>
      <c r="BJ19" s="436">
        <f t="shared" si="0"/>
        <v>19</v>
      </c>
      <c r="BM19" t="s">
        <v>1225</v>
      </c>
      <c r="BN19" s="1044" t="s">
        <v>1226</v>
      </c>
      <c r="BY19" s="1243">
        <v>20450</v>
      </c>
      <c r="BZ19" s="238">
        <f t="shared" si="5"/>
        <v>25450</v>
      </c>
    </row>
    <row r="20" spans="1:94" ht="14.25" thickTop="1" thickBot="1">
      <c r="A20"/>
      <c r="B20"/>
      <c r="C20" s="1205" t="b">
        <v>1</v>
      </c>
      <c r="D20" s="1204" t="s">
        <v>2221</v>
      </c>
      <c r="E20" s="1203"/>
      <c r="F20" s="243"/>
      <c r="G20" s="241"/>
      <c r="H20" s="1077" t="s">
        <v>1915</v>
      </c>
      <c r="I20" s="1077"/>
      <c r="K20"/>
      <c r="L20"/>
      <c r="M20"/>
      <c r="N20"/>
      <c r="O20"/>
      <c r="P20"/>
      <c r="Q20"/>
      <c r="R20"/>
      <c r="S20"/>
      <c r="T20"/>
      <c r="U20"/>
      <c r="V20" s="416" t="s">
        <v>1974</v>
      </c>
      <c r="W20" s="410"/>
      <c r="X20" s="415"/>
      <c r="Y20" s="410"/>
      <c r="Z20" s="415"/>
      <c r="AA20" s="410"/>
      <c r="AB20" s="415">
        <v>90</v>
      </c>
      <c r="AC20" s="410">
        <v>90</v>
      </c>
      <c r="AD20" s="415">
        <v>100</v>
      </c>
      <c r="AE20" s="410">
        <v>100</v>
      </c>
      <c r="AF20" s="415">
        <v>100</v>
      </c>
      <c r="AG20" s="410">
        <v>35</v>
      </c>
      <c r="AH20" s="415">
        <v>65</v>
      </c>
      <c r="AI20" s="410"/>
      <c r="AJ20" s="415"/>
      <c r="AK20" s="410"/>
      <c r="AL20" s="415"/>
      <c r="AM20" s="410"/>
      <c r="AN20" s="415"/>
      <c r="AO20" s="410"/>
      <c r="AP20" s="415"/>
      <c r="AQ20" s="410">
        <v>100</v>
      </c>
      <c r="AR20" s="415">
        <v>100</v>
      </c>
      <c r="AS20" s="410">
        <v>100</v>
      </c>
      <c r="AT20" s="415">
        <v>100</v>
      </c>
      <c r="AU20" s="410"/>
      <c r="AV20" s="415"/>
      <c r="AY20" s="433" t="e">
        <f>HLOOKUP(J1,W14:AX30,7,FALSE)</f>
        <v>#N/A</v>
      </c>
      <c r="AZ20" s="433" t="e">
        <f>IF(HLOOKUP(J1,W14:AX30,7,TRUE)=0,100,HLOOKUP(J1,W14:AX30,7,TRUE))</f>
        <v>#N/A</v>
      </c>
      <c r="BA20" s="1044" t="s">
        <v>430</v>
      </c>
      <c r="BB20" s="1044" t="s">
        <v>1394</v>
      </c>
      <c r="BC20" s="721"/>
      <c r="BD20" s="721"/>
      <c r="BE20" s="253">
        <v>18</v>
      </c>
      <c r="BF20" s="721" t="s">
        <v>430</v>
      </c>
      <c r="BG20" s="721"/>
      <c r="BH20" s="721"/>
      <c r="BJ20" s="436">
        <f t="shared" si="0"/>
        <v>20</v>
      </c>
      <c r="BM20" t="s">
        <v>1227</v>
      </c>
      <c r="BN20" s="1044" t="s">
        <v>1228</v>
      </c>
      <c r="BY20" s="1243">
        <v>20475</v>
      </c>
      <c r="BZ20" s="238">
        <f t="shared" si="5"/>
        <v>25475</v>
      </c>
    </row>
    <row r="21" spans="1:94" ht="14.25" thickTop="1" thickBot="1">
      <c r="A21" s="406" t="s">
        <v>1975</v>
      </c>
      <c r="B21" s="407"/>
      <c r="C21" s="408"/>
      <c r="D21" s="408"/>
      <c r="E21" s="407"/>
      <c r="F21" s="407"/>
      <c r="G21" s="407"/>
      <c r="H21" s="407"/>
      <c r="I21" s="407"/>
      <c r="J21" s="427"/>
      <c r="K21" s="428"/>
      <c r="L21" s="428"/>
      <c r="M21" s="428"/>
      <c r="N21" s="428"/>
      <c r="O21" s="428"/>
      <c r="P21" s="428"/>
      <c r="Q21" s="428"/>
      <c r="R21" s="428"/>
      <c r="S21" s="428"/>
      <c r="T21" s="429"/>
      <c r="U21"/>
      <c r="V21" s="416" t="s">
        <v>1615</v>
      </c>
      <c r="W21" s="410"/>
      <c r="X21" s="415"/>
      <c r="Y21" s="410"/>
      <c r="Z21" s="415"/>
      <c r="AA21" s="410"/>
      <c r="AB21" s="415"/>
      <c r="AC21" s="410"/>
      <c r="AD21" s="415">
        <v>90</v>
      </c>
      <c r="AE21" s="410">
        <v>90</v>
      </c>
      <c r="AF21" s="415">
        <v>100</v>
      </c>
      <c r="AG21" s="410"/>
      <c r="AH21" s="415"/>
      <c r="AI21" s="410"/>
      <c r="AJ21" s="415"/>
      <c r="AK21" s="410"/>
      <c r="AL21" s="415"/>
      <c r="AM21" s="410">
        <v>45</v>
      </c>
      <c r="AN21" s="415">
        <v>80</v>
      </c>
      <c r="AO21" s="410">
        <v>100</v>
      </c>
      <c r="AP21" s="415">
        <v>100</v>
      </c>
      <c r="AQ21" s="410"/>
      <c r="AR21" s="415"/>
      <c r="AS21" s="410">
        <v>90</v>
      </c>
      <c r="AT21" s="415">
        <v>100</v>
      </c>
      <c r="AU21" s="410"/>
      <c r="AV21" s="415"/>
      <c r="AW21" s="238">
        <v>100</v>
      </c>
      <c r="AX21" s="238">
        <v>100</v>
      </c>
      <c r="AY21" s="433" t="e">
        <f>HLOOKUP(J1,W14:AX30,8,FALSE)</f>
        <v>#N/A</v>
      </c>
      <c r="AZ21" s="433" t="e">
        <f>IF(HLOOKUP(J1,W14:AX30,8,TRUE)=0,100,HLOOKUP(J1,W14:AX30,8,TRUE))</f>
        <v>#N/A</v>
      </c>
      <c r="BA21" s="1044" t="s">
        <v>431</v>
      </c>
      <c r="BB21" s="1044" t="s">
        <v>1399</v>
      </c>
      <c r="BC21" s="721"/>
      <c r="BD21" s="721"/>
      <c r="BE21" s="238">
        <v>19</v>
      </c>
      <c r="BF21" s="721" t="s">
        <v>431</v>
      </c>
      <c r="BG21" s="721"/>
      <c r="BH21" s="721"/>
      <c r="BJ21" s="436">
        <f t="shared" si="0"/>
        <v>21</v>
      </c>
      <c r="BM21" t="s">
        <v>1229</v>
      </c>
      <c r="BN21" s="1044" t="s">
        <v>1230</v>
      </c>
      <c r="BY21" s="1243">
        <v>20375</v>
      </c>
      <c r="BZ21" s="238">
        <f t="shared" si="5"/>
        <v>25375</v>
      </c>
    </row>
    <row r="22" spans="1:94" ht="14.25" thickTop="1" thickBot="1">
      <c r="A22" s="393"/>
      <c r="B22" s="394"/>
      <c r="C22" s="394"/>
      <c r="D22" s="394"/>
      <c r="E22" s="395" t="e">
        <f>ROUND(Cores!I10,1)</f>
        <v>#VALUE!</v>
      </c>
      <c r="F22" s="395" t="e">
        <f>ROUND(Cores!I11,1)</f>
        <v>#VALUE!</v>
      </c>
      <c r="G22" s="395" t="e">
        <f>ROUND(Cores!I12,1)</f>
        <v>#VALUE!</v>
      </c>
      <c r="H22" s="395" t="e">
        <f>ROUND(Cores!I13,1)</f>
        <v>#VALUE!</v>
      </c>
      <c r="I22" s="395" t="e">
        <f>ROUND(Cores!I15,1)</f>
        <v>#VALUE!</v>
      </c>
      <c r="J22" s="395" t="e">
        <f>ROUND(Cores!I16,1)</f>
        <v>#VALUE!</v>
      </c>
      <c r="K22" s="395" t="e">
        <f>ROUND(Cores!I17,1)</f>
        <v>#VALUE!</v>
      </c>
      <c r="L22" s="395" t="e">
        <f>ROUND(Cores!I18,1)</f>
        <v>#VALUE!</v>
      </c>
      <c r="M22" s="395" t="e">
        <f>ROUND(Cores!I20,1)</f>
        <v>#VALUE!</v>
      </c>
      <c r="N22" s="395" t="e">
        <f>ROUND(Cores!I21,1)</f>
        <v>#VALUE!</v>
      </c>
      <c r="O22" s="395" t="e">
        <f>ROUND(Cores!I22,1)</f>
        <v>#VALUE!</v>
      </c>
      <c r="P22" s="395" t="e">
        <f>ROUND(Cores!I23,1)</f>
        <v>#VALUE!</v>
      </c>
      <c r="Q22" s="395" t="e">
        <f>ROUND(Cores!I25,1)</f>
        <v>#VALUE!</v>
      </c>
      <c r="R22" s="395" t="e">
        <f>ROUND(Cores!I26,1)</f>
        <v>#VALUE!</v>
      </c>
      <c r="S22" s="395" t="e">
        <f>ROUND(Cores!I27,1)</f>
        <v>#VALUE!</v>
      </c>
      <c r="T22" s="396" t="e">
        <f>ROUND(Cores!I28,1)</f>
        <v>#VALUE!</v>
      </c>
      <c r="U22"/>
      <c r="V22" s="417" t="s">
        <v>1976</v>
      </c>
      <c r="W22" s="410"/>
      <c r="X22" s="415"/>
      <c r="Y22" s="410"/>
      <c r="Z22" s="415"/>
      <c r="AA22" s="410"/>
      <c r="AB22" s="415"/>
      <c r="AC22" s="410"/>
      <c r="AD22" s="415"/>
      <c r="AE22" s="410"/>
      <c r="AF22" s="415"/>
      <c r="AG22" s="410"/>
      <c r="AH22" s="415"/>
      <c r="AI22" s="410">
        <v>100</v>
      </c>
      <c r="AJ22" s="415">
        <v>100</v>
      </c>
      <c r="AK22" s="410">
        <v>100</v>
      </c>
      <c r="AL22" s="415">
        <v>100</v>
      </c>
      <c r="AM22" s="410"/>
      <c r="AN22" s="415"/>
      <c r="AO22" s="410"/>
      <c r="AP22" s="415"/>
      <c r="AQ22" s="410"/>
      <c r="AR22" s="415"/>
      <c r="AS22" s="410"/>
      <c r="AT22" s="415"/>
      <c r="AU22" s="410">
        <v>100</v>
      </c>
      <c r="AV22" s="415">
        <v>100</v>
      </c>
      <c r="AW22" s="238">
        <v>95</v>
      </c>
      <c r="AX22" s="238">
        <v>100</v>
      </c>
      <c r="AY22" s="433" t="e">
        <f>HLOOKUP(J1,W14:AX30,9,FALSE)</f>
        <v>#N/A</v>
      </c>
      <c r="AZ22" s="433" t="e">
        <f>IF(HLOOKUP(J1,W14:AX30,9,TRUE)=0,100,HLOOKUP(J1,W14:AX30,9,TRUE))</f>
        <v>#N/A</v>
      </c>
      <c r="BA22" s="1044" t="s">
        <v>432</v>
      </c>
      <c r="BB22" s="1044" t="s">
        <v>1400</v>
      </c>
      <c r="BC22" s="721"/>
      <c r="BD22" s="721"/>
      <c r="BE22" s="238">
        <v>20</v>
      </c>
      <c r="BF22" s="721" t="s">
        <v>432</v>
      </c>
      <c r="BG22" s="721"/>
      <c r="BH22" s="721"/>
      <c r="BJ22" s="436">
        <f t="shared" si="0"/>
        <v>22</v>
      </c>
      <c r="BM22" t="s">
        <v>1231</v>
      </c>
      <c r="BN22" s="1044" t="s">
        <v>1232</v>
      </c>
      <c r="BY22" s="1243">
        <v>20400</v>
      </c>
      <c r="BZ22" s="238">
        <f t="shared" si="5"/>
        <v>25400</v>
      </c>
    </row>
    <row r="23" spans="1:94" ht="14.25" thickTop="1" thickBot="1">
      <c r="A23" s="397" t="s">
        <v>1837</v>
      </c>
      <c r="B23" s="241" t="s">
        <v>1838</v>
      </c>
      <c r="C23" s="241" t="s">
        <v>1839</v>
      </c>
      <c r="D23" s="241" t="s">
        <v>1840</v>
      </c>
      <c r="E23" s="241">
        <v>1</v>
      </c>
      <c r="F23" s="241">
        <v>2</v>
      </c>
      <c r="G23" s="241">
        <v>3</v>
      </c>
      <c r="H23" s="241">
        <v>4</v>
      </c>
      <c r="I23" s="241">
        <v>5</v>
      </c>
      <c r="J23" s="240">
        <v>6</v>
      </c>
      <c r="K23" s="425">
        <v>7</v>
      </c>
      <c r="L23" s="425">
        <v>8</v>
      </c>
      <c r="M23" s="425">
        <v>9</v>
      </c>
      <c r="N23" s="425">
        <v>10</v>
      </c>
      <c r="O23" s="425">
        <v>11</v>
      </c>
      <c r="P23" s="425">
        <v>12</v>
      </c>
      <c r="Q23" s="425">
        <v>13</v>
      </c>
      <c r="R23" s="425">
        <v>14</v>
      </c>
      <c r="S23" s="425">
        <v>15</v>
      </c>
      <c r="T23" s="426">
        <v>16</v>
      </c>
      <c r="U23"/>
      <c r="V23" s="416" t="s">
        <v>1977</v>
      </c>
      <c r="W23" s="410"/>
      <c r="X23" s="415"/>
      <c r="Y23" s="410"/>
      <c r="Z23" s="415"/>
      <c r="AA23" s="410"/>
      <c r="AB23" s="415"/>
      <c r="AC23" s="410"/>
      <c r="AD23" s="415"/>
      <c r="AE23" s="410"/>
      <c r="AF23" s="415">
        <v>90</v>
      </c>
      <c r="AG23" s="410">
        <v>0</v>
      </c>
      <c r="AH23" s="415">
        <v>20</v>
      </c>
      <c r="AI23" s="410"/>
      <c r="AJ23" s="415"/>
      <c r="AK23" s="410"/>
      <c r="AL23" s="415"/>
      <c r="AM23" s="410">
        <v>30</v>
      </c>
      <c r="AN23" s="415">
        <v>60</v>
      </c>
      <c r="AO23" s="410">
        <v>90</v>
      </c>
      <c r="AP23" s="415">
        <v>100</v>
      </c>
      <c r="AQ23" s="410">
        <v>60</v>
      </c>
      <c r="AR23" s="415">
        <v>80</v>
      </c>
      <c r="AS23" s="410">
        <v>25</v>
      </c>
      <c r="AT23" s="415">
        <v>50</v>
      </c>
      <c r="AU23" s="410"/>
      <c r="AV23" s="415"/>
      <c r="AW23" s="238">
        <v>90</v>
      </c>
      <c r="AX23" s="238">
        <v>100</v>
      </c>
      <c r="AY23" s="433" t="e">
        <f>HLOOKUP(J1,W14:AX30,10,FALSE)</f>
        <v>#N/A</v>
      </c>
      <c r="AZ23" s="433" t="e">
        <f>IF(HLOOKUP(J1,W14:AX30,10,TRUE)=0,100,HLOOKUP(J1,W14:AX30,10,TRUE))</f>
        <v>#N/A</v>
      </c>
      <c r="BA23" s="1044" t="s">
        <v>433</v>
      </c>
      <c r="BB23" s="1044" t="s">
        <v>148</v>
      </c>
      <c r="BC23" s="721"/>
      <c r="BD23" s="721"/>
      <c r="BE23" s="238">
        <v>21</v>
      </c>
      <c r="BF23" s="721" t="s">
        <v>433</v>
      </c>
      <c r="BG23" s="721"/>
      <c r="BH23" s="721"/>
      <c r="BJ23" s="436">
        <f t="shared" si="0"/>
        <v>23</v>
      </c>
      <c r="BM23" t="s">
        <v>1233</v>
      </c>
      <c r="BN23" s="1044" t="s">
        <v>1234</v>
      </c>
      <c r="BY23" s="1243">
        <v>20425</v>
      </c>
      <c r="BZ23" s="238">
        <f t="shared" si="5"/>
        <v>25425</v>
      </c>
    </row>
    <row r="24" spans="1:94" ht="14.25" thickTop="1" thickBot="1">
      <c r="A24" s="397" t="s">
        <v>2100</v>
      </c>
      <c r="B24" s="239">
        <v>94</v>
      </c>
      <c r="C24" s="239">
        <v>96</v>
      </c>
      <c r="D24" s="241">
        <v>105</v>
      </c>
      <c r="E24" s="241" t="e">
        <f>IF(AND((OR(J1=1,J1=2,J1=3,J1=4,J1=5,J1=14)),(AND(E22&gt;=B24,E22&lt;=C24))),D24,0)</f>
        <v>#VALUE!</v>
      </c>
      <c r="F24" s="241" t="e">
        <f>IF(AND((OR(J1=1,J1=2,J1=3,J1=4,J1=5,J1=14)),(AND(F22&gt;=B24,F22&lt;=C24))),D24,0)</f>
        <v>#VALUE!</v>
      </c>
      <c r="G24" s="241" t="e">
        <f>IF(AND((OR(J1=1,J1=2,J1=3,J1=4,J1=5,J1=14)),(AND(G22&gt;=B24,G22&lt;=C24))),D24,0)</f>
        <v>#VALUE!</v>
      </c>
      <c r="H24" s="241" t="e">
        <f>IF(AND((OR(J1=1,J1=2,J1=3,J1=4,J1=5,J1=14)),(AND(H22&gt;=B24,H22&lt;=C24))),D24,0)</f>
        <v>#VALUE!</v>
      </c>
      <c r="I24" s="241" t="e">
        <f>IF(AND((OR(J1=1,J1=2,J1=3,J1=4,J1=5,J1=14)),(AND(I22&gt;=B24,I22&lt;=C24))),D24,0)</f>
        <v>#VALUE!</v>
      </c>
      <c r="J24" s="241" t="e">
        <f>IF(AND((OR(J1=1,J1=2,J1=3,J1=4,J1=5,J1=14)),(AND(J22&gt;=B24,J22&lt;=C24))),D24,0)</f>
        <v>#VALUE!</v>
      </c>
      <c r="K24" s="241" t="e">
        <f>IF(AND((OR(J1=1,J1=2,J1=3,J1=4,J1=5,J1=14)),(AND(K22&gt;=B24,K22&lt;=C24))),D24,0)</f>
        <v>#VALUE!</v>
      </c>
      <c r="L24" s="241" t="e">
        <f>IF(AND((OR(J1=1,J1=2,J1=3,J1=4,J1=5,J1=14)),(AND(L22&gt;=B24,L22&lt;=C24))),D24,0)</f>
        <v>#VALUE!</v>
      </c>
      <c r="M24" s="241" t="e">
        <f>IF(AND((OR(J1=1,J1=2,J1=3,J1=4,J1=5,J1=14)),(AND(M22&gt;=B24,M22&lt;=C24))),D24,0)</f>
        <v>#VALUE!</v>
      </c>
      <c r="N24" s="241" t="e">
        <f>IF(AND((OR(J1=1,J1=2,J1=3,J1=4,J1=5,J1=14)),(AND(N22&gt;=B24,N22&lt;=C24))),D24,0)</f>
        <v>#VALUE!</v>
      </c>
      <c r="O24" s="241" t="e">
        <f>IF(AND((OR(J1=1,J1=2,J1=3,J1=4,J1=5,J1=14)),(AND(O22&gt;=B24,O22&lt;=C24))),D24,0)</f>
        <v>#VALUE!</v>
      </c>
      <c r="P24" s="241" t="e">
        <f>IF(AND((OR(J1=1,J1=2,J1=3,J1=4,J1=5,J1=14)),(AND(P22&gt;=B24,P22&lt;=C24))),D24,0)</f>
        <v>#VALUE!</v>
      </c>
      <c r="Q24" s="241" t="e">
        <f>IF(AND((OR(J1=1,J1=2,J1=3,J1=4,J1=5,J1=14)),(AND(Q22&gt;=B24,Q22&lt;=C24))),D24,0)</f>
        <v>#VALUE!</v>
      </c>
      <c r="R24" s="241" t="e">
        <f>IF(AND((OR(J1=1,J1=2,J1=3,J1=4,J1=5,J1=14)),(AND(R22&gt;=B24,R22&lt;=C24))),D24,0)</f>
        <v>#VALUE!</v>
      </c>
      <c r="S24" s="241" t="e">
        <f>IF(AND((OR(J1=1,J1=2,J1=3,J1=4,J1=5,J1=14)),(AND(S22&gt;=B24,S22&lt;=C24))),D24,0)</f>
        <v>#VALUE!</v>
      </c>
      <c r="T24" s="398" t="e">
        <f>IF(AND((OR(J1=1,J1=2,J1=3,J1=4,J1=5,J1=14)),(AND(T22&gt;=B24,T22&lt;=C24))),D24,0)</f>
        <v>#VALUE!</v>
      </c>
      <c r="U24"/>
      <c r="V24" s="416" t="s">
        <v>1841</v>
      </c>
      <c r="W24" s="410">
        <v>15</v>
      </c>
      <c r="X24" s="415">
        <v>41</v>
      </c>
      <c r="Y24" s="410">
        <v>19</v>
      </c>
      <c r="Z24" s="415">
        <v>45</v>
      </c>
      <c r="AA24" s="410">
        <v>23</v>
      </c>
      <c r="AB24" s="415">
        <v>49</v>
      </c>
      <c r="AC24" s="410">
        <v>28</v>
      </c>
      <c r="AD24" s="415">
        <v>58</v>
      </c>
      <c r="AE24" s="410">
        <v>32</v>
      </c>
      <c r="AF24" s="415">
        <v>67</v>
      </c>
      <c r="AG24" s="410">
        <v>0</v>
      </c>
      <c r="AH24" s="415">
        <v>10</v>
      </c>
      <c r="AI24" s="410">
        <v>75</v>
      </c>
      <c r="AJ24" s="415">
        <v>100</v>
      </c>
      <c r="AK24" s="410">
        <v>50</v>
      </c>
      <c r="AL24" s="415">
        <v>90</v>
      </c>
      <c r="AM24" s="410">
        <v>20</v>
      </c>
      <c r="AN24" s="415">
        <v>45</v>
      </c>
      <c r="AO24" s="410">
        <v>65</v>
      </c>
      <c r="AP24" s="415">
        <v>90</v>
      </c>
      <c r="AQ24" s="410">
        <v>45</v>
      </c>
      <c r="AR24" s="415">
        <v>65</v>
      </c>
      <c r="AS24" s="410">
        <v>5</v>
      </c>
      <c r="AT24" s="415">
        <v>15</v>
      </c>
      <c r="AU24" s="410">
        <v>50</v>
      </c>
      <c r="AV24" s="415">
        <v>90</v>
      </c>
      <c r="AY24" s="433" t="e">
        <f>HLOOKUP(J1,W14:AX30,11,FALSE)</f>
        <v>#N/A</v>
      </c>
      <c r="AZ24" s="433" t="e">
        <f>IF(HLOOKUP(J1,W14:AX30,11,TRUE)=0,100,HLOOKUP(J1,W14:AX30,11,TRUE))</f>
        <v>#N/A</v>
      </c>
      <c r="BA24" s="1044" t="s">
        <v>413</v>
      </c>
      <c r="BB24" s="1044" t="s">
        <v>434</v>
      </c>
      <c r="BC24" s="721"/>
      <c r="BD24" s="721"/>
      <c r="BE24" s="238">
        <v>22</v>
      </c>
      <c r="BF24" s="721" t="s">
        <v>413</v>
      </c>
      <c r="BG24" s="721"/>
      <c r="BH24" s="721"/>
      <c r="BJ24" s="436">
        <f t="shared" si="0"/>
        <v>24</v>
      </c>
      <c r="BM24" t="s">
        <v>1235</v>
      </c>
      <c r="BN24" s="1044" t="s">
        <v>1236</v>
      </c>
      <c r="BY24" s="1243">
        <v>20450</v>
      </c>
      <c r="BZ24" s="238">
        <f t="shared" si="5"/>
        <v>25450</v>
      </c>
    </row>
    <row r="25" spans="1:94" ht="14.25" thickTop="1" thickBot="1">
      <c r="A25" s="397" t="s">
        <v>2100</v>
      </c>
      <c r="B25" s="239">
        <v>92</v>
      </c>
      <c r="C25" s="239">
        <v>93.9</v>
      </c>
      <c r="D25" s="241">
        <v>100</v>
      </c>
      <c r="E25" s="241" t="e">
        <f>IF(AND((OR(J1=1,J1=2,J1=3,J1=4,J1=5,J1=14)),(AND(E22&gt;=B25,E22&lt;=C25))),D25,0)</f>
        <v>#VALUE!</v>
      </c>
      <c r="F25" s="241" t="e">
        <f>IF(AND((OR(J1=1,J1=2,J1=3,J1=4,J1=5,J1=14)),(AND(F22&gt;=B25,F22&lt;=C25))),D25,0)</f>
        <v>#VALUE!</v>
      </c>
      <c r="G25" s="241" t="e">
        <f>IF(AND((OR(J1=1,J1=2,J1=3,J1=4,J1=5,J1=14)),(AND(G22&gt;=B25,G22&lt;=C25))),D25,0)</f>
        <v>#VALUE!</v>
      </c>
      <c r="H25" s="241" t="e">
        <f>IF(AND((OR(J1=1,J1=2,J1=3,J1=4,J1=5,J1=14)),(AND(H22&gt;=B25,H22&lt;=C25))),D25,0)</f>
        <v>#VALUE!</v>
      </c>
      <c r="I25" s="241" t="e">
        <f>IF(AND((OR(J1=1,J1=2,J1=3,J1=4,J1=5,J1=14)),(AND(I22&gt;=B25,I22&lt;=C25))),D25,0)</f>
        <v>#VALUE!</v>
      </c>
      <c r="J25" s="241" t="e">
        <f>IF(AND((OR(J1=1,J1=2,J1=3,J1=4,J1=5,J1=14)),(AND(J22&gt;=B25,J22&lt;=C25))),D25,0)</f>
        <v>#VALUE!</v>
      </c>
      <c r="K25" s="241" t="e">
        <f>IF(AND((OR(J1=1,J1=2,J1=3,J1=4,J1=5,J1=14)),(AND(K22&gt;=B25,K22&lt;=C25))),D25,0)</f>
        <v>#VALUE!</v>
      </c>
      <c r="L25" s="241" t="e">
        <f>IF(AND((OR(J1=1,J1=2,J1=3,J1=4,J1=5,J1=14)),(AND(L22&gt;=B25,L22&lt;=C25))),D25,0)</f>
        <v>#VALUE!</v>
      </c>
      <c r="M25" s="241" t="e">
        <f>IF(AND((OR(J1=1,J1=2,J1=3,J1=4,J1=5,J1=14)),(AND(M22&gt;=B25,M22&lt;=C25))),D25,0)</f>
        <v>#VALUE!</v>
      </c>
      <c r="N25" s="241" t="e">
        <f>IF(AND((OR(J1=1,J1=2,J1=3,J1=4,J1=5,J1=14)),(AND(N22&gt;=B25,N22&lt;=C25))),D25,0)</f>
        <v>#VALUE!</v>
      </c>
      <c r="O25" s="241" t="e">
        <f>IF(AND((OR(J1=1,J1=2,J1=3,J1=4,J1=5,J1=14)),(AND(O22&gt;=B25,O22&lt;=C25))),D25,0)</f>
        <v>#VALUE!</v>
      </c>
      <c r="P25" s="241" t="e">
        <f>IF(AND((OR(J1=1,J1=2,J1=3,J1=4,J1=5,J1=14)),(AND(P22&gt;=B25,P22&lt;=C25))),D25,0)</f>
        <v>#VALUE!</v>
      </c>
      <c r="Q25" s="241" t="e">
        <f>IF(AND((OR(J1=1,J1=2,J1=3,J1=4,J1=5,J1=14)),(AND(Q22&gt;=B25,Q22&lt;=C25))),D25,0)</f>
        <v>#VALUE!</v>
      </c>
      <c r="R25" s="241" t="e">
        <f>IF(AND((OR(J1=1,J1=2,J1=3,J1=4,J1=5,J1=14)),(AND(R22&gt;=B25,R22&lt;=C25))),D25,0)</f>
        <v>#VALUE!</v>
      </c>
      <c r="S25" s="241" t="e">
        <f>IF(AND((OR(J1=1,J1=2,J1=3,J1=4,J1=5,J1=14)),(AND(S22&gt;=B25,S22&lt;=C25))),D25,0)</f>
        <v>#VALUE!</v>
      </c>
      <c r="T25" s="398" t="e">
        <f>IF(AND((OR(J1=1,J1=2,J1=3,J1=4,J1=5,J1=14)),(AND(T22&gt;=B25,T22&lt;=C25))),D25,0)</f>
        <v>#VALUE!</v>
      </c>
      <c r="U25"/>
      <c r="V25" s="416" t="s">
        <v>1842</v>
      </c>
      <c r="W25" s="410"/>
      <c r="X25" s="415"/>
      <c r="Y25" s="410"/>
      <c r="Z25" s="415"/>
      <c r="AA25" s="410"/>
      <c r="AB25" s="415"/>
      <c r="AC25" s="410"/>
      <c r="AD25" s="415"/>
      <c r="AE25" s="410"/>
      <c r="AF25" s="415"/>
      <c r="AG25" s="410"/>
      <c r="AH25" s="415"/>
      <c r="AI25" s="410">
        <v>60</v>
      </c>
      <c r="AJ25" s="415">
        <v>90</v>
      </c>
      <c r="AK25" s="410">
        <v>25</v>
      </c>
      <c r="AL25" s="415">
        <v>65</v>
      </c>
      <c r="AM25" s="410">
        <v>15</v>
      </c>
      <c r="AN25" s="415">
        <v>35</v>
      </c>
      <c r="AO25" s="410">
        <v>45</v>
      </c>
      <c r="AP25" s="415">
        <v>70</v>
      </c>
      <c r="AQ25" s="410"/>
      <c r="AR25" s="415"/>
      <c r="AS25" s="410"/>
      <c r="AT25" s="415"/>
      <c r="AU25" s="410">
        <v>25</v>
      </c>
      <c r="AV25" s="415">
        <v>65</v>
      </c>
      <c r="AW25" s="238">
        <v>30</v>
      </c>
      <c r="AX25" s="238">
        <v>60</v>
      </c>
      <c r="AY25" s="433" t="e">
        <f>HLOOKUP(J1,W14:AX30,12,FALSE)</f>
        <v>#N/A</v>
      </c>
      <c r="AZ25" s="433" t="e">
        <f>IF(HLOOKUP(J1,W14:AX30,12,TRUE)=0,100,HLOOKUP(J1,W14:AX30,12,TRUE))</f>
        <v>#N/A</v>
      </c>
      <c r="BA25" s="1044" t="s">
        <v>415</v>
      </c>
      <c r="BB25" s="1044" t="s">
        <v>435</v>
      </c>
      <c r="BC25" s="721"/>
      <c r="BD25" s="721"/>
      <c r="BE25" s="238">
        <v>23</v>
      </c>
      <c r="BF25" s="721" t="s">
        <v>415</v>
      </c>
      <c r="BG25" s="721"/>
      <c r="BH25" s="721"/>
      <c r="BJ25" s="436">
        <f t="shared" si="0"/>
        <v>25</v>
      </c>
      <c r="BM25" t="s">
        <v>1237</v>
      </c>
      <c r="BN25" s="1044" t="s">
        <v>1238</v>
      </c>
      <c r="BY25" s="1243">
        <v>20475</v>
      </c>
      <c r="BZ25" s="238">
        <f t="shared" si="5"/>
        <v>25475</v>
      </c>
    </row>
    <row r="26" spans="1:94" ht="14.25" thickTop="1" thickBot="1">
      <c r="A26" s="397" t="s">
        <v>2100</v>
      </c>
      <c r="B26" s="239">
        <v>91</v>
      </c>
      <c r="C26" s="239">
        <v>91.9</v>
      </c>
      <c r="D26" s="241">
        <v>95</v>
      </c>
      <c r="E26" s="241" t="e">
        <f>IF(AND((OR(J1=1,J1=2,J1=3,J1=4,J1=5,J1=14)),(AND(E22&gt;=B26,E22&lt;=C26))),D26,0)</f>
        <v>#VALUE!</v>
      </c>
      <c r="F26" s="241" t="e">
        <f>IF(AND((OR(J1=1,J1=2,J1=3,J1=4,J1=5,J1=14)),(AND(F22&gt;=B26,F22&lt;=C26))),D26,0)</f>
        <v>#VALUE!</v>
      </c>
      <c r="G26" s="241" t="e">
        <f>IF(AND((OR(J1=1,J1=2,J1=3,J1=4,J1=5,J1=14)),(AND(G22&gt;=B26,G22&lt;=C26))),D26,0)</f>
        <v>#VALUE!</v>
      </c>
      <c r="H26" s="241" t="e">
        <f>IF(AND((OR(J1=1,J1=2,J1=3,J1=4,J1=5,J1=14)),(AND(H22&gt;=B26,H22&lt;=C26))),D26,0)</f>
        <v>#VALUE!</v>
      </c>
      <c r="I26" s="241" t="e">
        <f>IF(AND((OR(J1=1,J1=2,J1=3,J1=4,J1=5,J1=14)),(AND(I22&gt;=B26,I22&lt;=C26))),D26,0)</f>
        <v>#VALUE!</v>
      </c>
      <c r="J26" s="241" t="e">
        <f>IF(AND((OR(J1=1,J1=2,J1=3,J1=4,J1=5,J1=14)),(AND(J22&gt;=B26,J22&lt;=C26))),D26,0)</f>
        <v>#VALUE!</v>
      </c>
      <c r="K26" s="241" t="e">
        <f>IF(AND((OR(J1=1,J1=2,J1=3,J1=4,J1=5,J1=14)),(AND(K22&gt;=B26,K22&lt;=C26))),D26,0)</f>
        <v>#VALUE!</v>
      </c>
      <c r="L26" s="241" t="e">
        <f>IF(AND((OR(J1=1,J1=2,J1=3,J1=4,J1=5,J1=14)),(AND(L22&gt;=B26,L22&lt;=C26))),D26,0)</f>
        <v>#VALUE!</v>
      </c>
      <c r="M26" s="241" t="e">
        <f>IF(AND((OR(J1=1,J1=2,J1=3,J1=4,J1=5,J1=14)),(AND(M22&gt;=B26,M22&lt;=C26))),D26,0)</f>
        <v>#VALUE!</v>
      </c>
      <c r="N26" s="241" t="e">
        <f>IF(AND((OR(J1=1,J1=2,J1=3,J1=4,J1=5,J1=14)),(AND(N22&gt;=B26,N22&lt;=C26))),D26,0)</f>
        <v>#VALUE!</v>
      </c>
      <c r="O26" s="241" t="e">
        <f>IF(AND((OR(J1=1,J1=2,J1=3,J1=4,J1=5,J1=14)),(AND(O22&gt;=B26,O22&lt;=C26))),D26,0)</f>
        <v>#VALUE!</v>
      </c>
      <c r="P26" s="241" t="e">
        <f>IF(AND((OR(J1=1,J1=2,J1=3,J1=4,J1=5,J1=14)),(AND(P22&gt;=B26,P22&lt;=C26))),D26,0)</f>
        <v>#VALUE!</v>
      </c>
      <c r="Q26" s="241" t="e">
        <f>IF(AND((OR(J1=1,J1=2,J1=3,J1=4,J1=5,J1=14)),(AND(Q22&gt;=B26,Q22&lt;=C26))),D26,0)</f>
        <v>#VALUE!</v>
      </c>
      <c r="R26" s="241" t="e">
        <f>IF(AND((OR(J1=1,J1=2,J1=3,J1=4,J1=5,J1=14)),(AND(R22&gt;=B26,R22&lt;=C26))),D26,0)</f>
        <v>#VALUE!</v>
      </c>
      <c r="S26" s="241" t="e">
        <f>IF(AND((OR(J1=1,J1=2,J1=3,J1=4,J1=5,J1=14)),(AND(S22&gt;=B26,S22&lt;=C26))),D26,0)</f>
        <v>#VALUE!</v>
      </c>
      <c r="T26" s="398" t="e">
        <f>IF(AND((OR(J1=1,J1=2,J1=3,J1=4,J1=5,J1=14)),(AND(T22&gt;=B26,T22&lt;=C26))),D26,0)</f>
        <v>#VALUE!</v>
      </c>
      <c r="U26"/>
      <c r="V26" s="416" t="s">
        <v>1843</v>
      </c>
      <c r="W26" s="410"/>
      <c r="X26" s="415"/>
      <c r="Y26" s="410"/>
      <c r="Z26" s="415"/>
      <c r="AA26" s="410"/>
      <c r="AB26" s="415"/>
      <c r="AC26" s="410"/>
      <c r="AD26" s="415"/>
      <c r="AE26" s="410"/>
      <c r="AF26" s="415"/>
      <c r="AG26" s="410"/>
      <c r="AH26" s="415"/>
      <c r="AI26" s="410">
        <v>45</v>
      </c>
      <c r="AJ26" s="415">
        <v>75</v>
      </c>
      <c r="AK26" s="410">
        <v>15</v>
      </c>
      <c r="AL26" s="415">
        <v>45</v>
      </c>
      <c r="AM26" s="410"/>
      <c r="AN26" s="415"/>
      <c r="AO26" s="410">
        <v>30</v>
      </c>
      <c r="AP26" s="415">
        <v>50</v>
      </c>
      <c r="AQ26" s="410"/>
      <c r="AR26" s="415"/>
      <c r="AS26" s="410"/>
      <c r="AT26" s="415"/>
      <c r="AU26" s="410">
        <v>15</v>
      </c>
      <c r="AV26" s="415">
        <v>45</v>
      </c>
      <c r="AY26" s="433" t="e">
        <f>HLOOKUP(J1,W14:AX30,13,FALSE)</f>
        <v>#N/A</v>
      </c>
      <c r="AZ26" s="433" t="e">
        <f>IF(HLOOKUP(J1,W14:AX30,13,TRUE)=0,100,HLOOKUP(J1,W14:AX30,13,TRUE))</f>
        <v>#N/A</v>
      </c>
      <c r="BA26" s="1044" t="s">
        <v>417</v>
      </c>
      <c r="BB26" s="1044" t="s">
        <v>436</v>
      </c>
      <c r="BC26" s="721"/>
      <c r="BD26" s="721"/>
      <c r="BE26" s="238">
        <v>24</v>
      </c>
      <c r="BF26" s="721" t="s">
        <v>417</v>
      </c>
      <c r="BG26" s="721"/>
      <c r="BH26" s="721"/>
      <c r="BJ26" s="436">
        <f t="shared" si="0"/>
        <v>26</v>
      </c>
      <c r="BM26" t="s">
        <v>1239</v>
      </c>
      <c r="BN26" s="1044" t="s">
        <v>1240</v>
      </c>
      <c r="BY26" s="1243">
        <v>20375</v>
      </c>
      <c r="BZ26" s="238">
        <f t="shared" si="5"/>
        <v>25375</v>
      </c>
    </row>
    <row r="27" spans="1:94" ht="14.25" thickTop="1" thickBot="1">
      <c r="A27" s="397" t="s">
        <v>2100</v>
      </c>
      <c r="B27" s="239">
        <v>96.1</v>
      </c>
      <c r="C27" s="239">
        <v>97</v>
      </c>
      <c r="D27" s="241">
        <v>100</v>
      </c>
      <c r="E27" s="241" t="e">
        <f>IF(AND((OR(J1=1,J1=2,J1=3,J1=4,J1=5,J1=14)),(AND(E22&gt;=B27,E22&lt;=C27))),D27,0)</f>
        <v>#VALUE!</v>
      </c>
      <c r="F27" s="241" t="e">
        <f>IF(AND((OR(J1=1,J1=2,J1=3,J1=4,J1=5,J1=14)),(AND(F22&gt;=B27,F22&lt;=C27))),D27,0)</f>
        <v>#VALUE!</v>
      </c>
      <c r="G27" s="241" t="e">
        <f>IF(AND((OR(J1=1,J1=2,J1=3,J1=4,J1=5,J1=14)),(AND(G22&gt;=B27,G22&lt;=C27))),D27,0)</f>
        <v>#VALUE!</v>
      </c>
      <c r="H27" s="241" t="e">
        <f>IF(AND((OR(J1=1,J1=2,J1=3,J1=4,J1=5,J1=14)),(AND(H22&gt;=B27,H22&lt;=C27))),D27,0)</f>
        <v>#VALUE!</v>
      </c>
      <c r="I27" s="241" t="e">
        <f>IF(AND((OR(J1=1,J1=2,J1=3,J1=4,J1=5,J1=14)),(AND(I22&gt;=B27,I22&lt;=C27))),D27,0)</f>
        <v>#VALUE!</v>
      </c>
      <c r="J27" s="241" t="e">
        <f>IF(AND((OR(J1=1,J1=2,J1=3,J1=4,J1=5,J1=14)),(AND(J22&gt;=B27,J22&lt;=C27))),D27,0)</f>
        <v>#VALUE!</v>
      </c>
      <c r="K27" s="241" t="e">
        <f>IF(AND((OR(J1=1,J1=2,J1=3,J1=4,J1=5,J1=14)),(AND(K22&gt;=B27,K22&lt;=C27))),D27,0)</f>
        <v>#VALUE!</v>
      </c>
      <c r="L27" s="241" t="e">
        <f>IF(AND((OR(J1=1,J1=2,J1=3,J1=4,J1=5,J1=14)),(AND(L22&gt;=B27,L22&lt;=C27))),D27,0)</f>
        <v>#VALUE!</v>
      </c>
      <c r="M27" s="241" t="e">
        <f>IF(AND((OR(J1=1,J1=2,J1=3,J1=4,J1=5,J1=14)),(AND(M22&gt;=B27,M22&lt;=C27))),D27,0)</f>
        <v>#VALUE!</v>
      </c>
      <c r="N27" s="241" t="e">
        <f>IF(AND((OR(J1=1,J1=2,J1=3,J1=4,J1=5,J1=14)),(AND(N22&gt;=B27,N22&lt;=C27))),D27,0)</f>
        <v>#VALUE!</v>
      </c>
      <c r="O27" s="241" t="e">
        <f>IF(AND((OR(J1=1,J1=2,J1=3,J1=4,J1=5,J1=14)),(AND(O22&gt;=B27,O22&lt;=C27))),D27,0)</f>
        <v>#VALUE!</v>
      </c>
      <c r="P27" s="241" t="e">
        <f>IF(AND((OR(J1=1,J1=2,J1=3,J1=4,J1=5,J1=14)),(AND(P22&gt;=B27,P22&lt;=C27))),D27,0)</f>
        <v>#VALUE!</v>
      </c>
      <c r="Q27" s="241" t="e">
        <f>IF(AND((OR(J1=1,J1=2,J1=3,J1=4,J1=5,J1=14)),(AND(Q22&gt;=B27,Q22&lt;=C27))),D27,0)</f>
        <v>#VALUE!</v>
      </c>
      <c r="R27" s="241" t="e">
        <f>IF(AND((OR(J1=1,J1=2,J1=3,J1=4,J1=5,J1=14)),(AND(R22&gt;=B27,R22&lt;=C27))),D27,0)</f>
        <v>#VALUE!</v>
      </c>
      <c r="S27" s="241" t="e">
        <f>IF(AND((OR(J1=1,J1=2,J1=3,J1=4,J1=5,J1=14)),(AND(S22&gt;=B27,S22&lt;=C27))),D27,0)</f>
        <v>#VALUE!</v>
      </c>
      <c r="T27" s="398" t="e">
        <f>IF(AND((OR(J1=1,J1=2,J1=3,J1=4,J1=5,J1=14)),(AND(T22&gt;=B27,T22&lt;=C27))),D27,0)</f>
        <v>#VALUE!</v>
      </c>
      <c r="U27"/>
      <c r="V27" s="416" t="s">
        <v>1844</v>
      </c>
      <c r="W27" s="410"/>
      <c r="X27" s="415"/>
      <c r="Y27" s="410"/>
      <c r="Z27" s="415"/>
      <c r="AA27" s="410"/>
      <c r="AB27" s="415"/>
      <c r="AC27" s="410"/>
      <c r="AD27" s="415"/>
      <c r="AE27" s="410"/>
      <c r="AF27" s="415"/>
      <c r="AG27" s="410"/>
      <c r="AH27" s="415"/>
      <c r="AI27" s="410">
        <v>15</v>
      </c>
      <c r="AJ27" s="415">
        <v>45</v>
      </c>
      <c r="AK27" s="410">
        <v>5</v>
      </c>
      <c r="AL27" s="415">
        <v>30</v>
      </c>
      <c r="AM27" s="410">
        <v>5</v>
      </c>
      <c r="AN27" s="415">
        <v>20</v>
      </c>
      <c r="AO27" s="410">
        <v>18</v>
      </c>
      <c r="AP27" s="415">
        <v>30</v>
      </c>
      <c r="AQ27" s="410">
        <v>13</v>
      </c>
      <c r="AR27" s="415">
        <v>25</v>
      </c>
      <c r="AS27" s="410"/>
      <c r="AT27" s="415"/>
      <c r="AU27" s="410">
        <v>5</v>
      </c>
      <c r="AV27" s="415">
        <v>30</v>
      </c>
      <c r="AY27" s="433" t="e">
        <f>HLOOKUP(J1,W14:AX30,14,FALSE)</f>
        <v>#N/A</v>
      </c>
      <c r="AZ27" s="433" t="e">
        <f>IF(HLOOKUP(J1,W14:AX30,14,TRUE)=0,100,HLOOKUP(J1,W14:AX30,14,TRUE))</f>
        <v>#N/A</v>
      </c>
      <c r="BA27" s="1044" t="s">
        <v>419</v>
      </c>
      <c r="BB27" s="1044" t="s">
        <v>437</v>
      </c>
      <c r="BC27" s="721"/>
      <c r="BD27" s="721"/>
      <c r="BE27" s="238">
        <v>25</v>
      </c>
      <c r="BF27" s="721" t="s">
        <v>419</v>
      </c>
      <c r="BG27" s="721"/>
      <c r="BH27" s="721"/>
      <c r="BJ27" s="436">
        <f t="shared" si="0"/>
        <v>27</v>
      </c>
      <c r="BM27" t="s">
        <v>1241</v>
      </c>
      <c r="BN27" s="1044" t="s">
        <v>1242</v>
      </c>
      <c r="BY27" s="1243">
        <v>20400</v>
      </c>
      <c r="BZ27" s="238">
        <f t="shared" si="5"/>
        <v>25400</v>
      </c>
    </row>
    <row r="28" spans="1:94" ht="14.25" thickTop="1" thickBot="1">
      <c r="A28" s="397" t="s">
        <v>2100</v>
      </c>
      <c r="B28" s="239">
        <v>90</v>
      </c>
      <c r="C28" s="239">
        <v>90.9</v>
      </c>
      <c r="D28" s="241">
        <v>90</v>
      </c>
      <c r="E28" s="241" t="e">
        <f>IF(AND((OR(J1=1,J1=2,J1=3,J1=4,J1=5,J1=14)),(AND(E22&gt;=B28,E22&lt;=C28))),D28,0)</f>
        <v>#VALUE!</v>
      </c>
      <c r="F28" s="241" t="e">
        <f>IF(AND((OR(J1=1,J1=2,J1=3,J1=4,J1=5,J1=14)),(AND(F22&gt;=B28,F22&lt;=C28))),D28,0)</f>
        <v>#VALUE!</v>
      </c>
      <c r="G28" s="241" t="e">
        <f>IF(AND((OR(J1=1,J1=2,J1=3,J1=4,J1=5,J1=14)),(AND(G22&gt;=B28,G22&lt;=C28))),D28,0)</f>
        <v>#VALUE!</v>
      </c>
      <c r="H28" s="241" t="e">
        <f>IF(AND((OR(J1=1,J1=2,J1=3,J1=4,J1=5,J1=14)),(AND(H22&gt;=B28,H22&lt;=C28))),D28,0)</f>
        <v>#VALUE!</v>
      </c>
      <c r="I28" s="241" t="e">
        <f>IF(AND((OR(J1=1,J1=2,J1=3,J1=4,J1=5,J1=14)),(AND(I22&gt;=B28,I22&lt;=C28))),D28,0)</f>
        <v>#VALUE!</v>
      </c>
      <c r="J28" s="241" t="e">
        <f>IF(AND((OR(J1=1,J1=2,J1=3,J1=4,J1=5,J1=14)),(AND(J22&gt;=B28,J22&lt;=C28))),D28,0)</f>
        <v>#VALUE!</v>
      </c>
      <c r="K28" s="241" t="e">
        <f>IF(AND((OR(J1=1,J1=2,J1=3,J1=4,J1=5,J1=14)),(AND(K22&gt;=B28,K22&lt;=C28))),D28,0)</f>
        <v>#VALUE!</v>
      </c>
      <c r="L28" s="241" t="e">
        <f>IF(AND((OR(J1=1,J1=2,J1=3,J1=4,J1=5,J1=14)),(AND(L22&gt;=B28,L22&lt;=C28))),D28,0)</f>
        <v>#VALUE!</v>
      </c>
      <c r="M28" s="241" t="e">
        <f>IF(AND((OR(J1=1,J1=2,J1=3,J1=4,J1=5,J1=14)),(AND(M22&gt;=B28,M22&lt;=C28))),D28,0)</f>
        <v>#VALUE!</v>
      </c>
      <c r="N28" s="241" t="e">
        <f>IF(AND((OR(J1=1,J1=2,J1=3,J1=4,J1=5,J1=14)),(AND(N22&gt;=B28,N22&lt;=C28))),D28,0)</f>
        <v>#VALUE!</v>
      </c>
      <c r="O28" s="241" t="e">
        <f>IF(AND((OR(J1=1,J1=2,J1=3,J1=4,J1=5,J1=14)),(AND(O22&gt;=B28,O22&lt;=C28))),D28,0)</f>
        <v>#VALUE!</v>
      </c>
      <c r="P28" s="241" t="e">
        <f>IF(AND((OR(J1=1,J1=2,J1=3,J1=4,J1=5,J1=14)),(AND(P22&gt;=B28,P22&lt;=C28))),D28,0)</f>
        <v>#VALUE!</v>
      </c>
      <c r="Q28" s="241" t="e">
        <f>IF(AND((OR(J1=1,J1=2,J1=3,J1=4,J1=5,J1=14)),(AND(Q22&gt;=B28,Q22&lt;=C28))),D28,0)</f>
        <v>#VALUE!</v>
      </c>
      <c r="R28" s="241" t="e">
        <f>IF(AND((OR(J1=1,J1=2,J1=3,J1=4,J1=5,J1=14)),(AND(R22&gt;=B28,R22&lt;=C28))),D28,0)</f>
        <v>#VALUE!</v>
      </c>
      <c r="S28" s="241" t="e">
        <f>IF(AND((OR(J1=1,J1=2,J1=3,J1=4,J1=5,J1=14)),(AND(S22&gt;=B28,S22&lt;=C28))),D28,0)</f>
        <v>#VALUE!</v>
      </c>
      <c r="T28" s="398" t="e">
        <f>IF(AND((OR(J1=1,J1=2,J1=3,J1=4,J1=5,J1=14)),(AND(T22&gt;=B28,T22&lt;=C28))),D28,0)</f>
        <v>#VALUE!</v>
      </c>
      <c r="U28"/>
      <c r="V28" s="416" t="s">
        <v>1845</v>
      </c>
      <c r="W28" s="410"/>
      <c r="X28" s="415"/>
      <c r="Y28" s="410"/>
      <c r="Z28" s="415"/>
      <c r="AA28" s="410"/>
      <c r="AB28" s="415"/>
      <c r="AC28" s="410"/>
      <c r="AD28" s="415"/>
      <c r="AE28" s="410"/>
      <c r="AF28" s="415"/>
      <c r="AG28" s="410"/>
      <c r="AH28" s="415"/>
      <c r="AI28" s="410">
        <v>5</v>
      </c>
      <c r="AJ28" s="415">
        <v>15</v>
      </c>
      <c r="AK28" s="410">
        <v>3</v>
      </c>
      <c r="AL28" s="415">
        <v>20</v>
      </c>
      <c r="AM28" s="410">
        <v>3</v>
      </c>
      <c r="AN28" s="415">
        <v>10</v>
      </c>
      <c r="AO28" s="410">
        <v>10</v>
      </c>
      <c r="AP28" s="415">
        <v>21</v>
      </c>
      <c r="AQ28" s="410"/>
      <c r="AR28" s="415"/>
      <c r="AS28" s="410"/>
      <c r="AT28" s="415"/>
      <c r="AU28" s="410">
        <v>3</v>
      </c>
      <c r="AV28" s="415">
        <v>20</v>
      </c>
      <c r="AY28" s="433" t="e">
        <f>HLOOKUP(J1,W14:AX30,15,FALSE)</f>
        <v>#N/A</v>
      </c>
      <c r="AZ28" s="433" t="e">
        <f>IF(HLOOKUP(J1,W14:AX30,15,TRUE)=0,100,HLOOKUP(J1,W14:AX30,15,TRUE))</f>
        <v>#N/A</v>
      </c>
      <c r="BA28" s="1044" t="s">
        <v>421</v>
      </c>
      <c r="BB28" s="1044" t="s">
        <v>438</v>
      </c>
      <c r="BC28" s="721"/>
      <c r="BD28" s="721"/>
      <c r="BE28" s="238">
        <v>26</v>
      </c>
      <c r="BF28" s="721" t="s">
        <v>421</v>
      </c>
      <c r="BG28" s="721"/>
      <c r="BH28" s="721"/>
      <c r="BJ28" s="436">
        <f t="shared" si="0"/>
        <v>28</v>
      </c>
      <c r="BM28" t="s">
        <v>1243</v>
      </c>
      <c r="BN28" s="1044" t="s">
        <v>1244</v>
      </c>
      <c r="BY28" s="1243">
        <v>20425</v>
      </c>
      <c r="BZ28" s="238">
        <f t="shared" si="5"/>
        <v>25425</v>
      </c>
    </row>
    <row r="29" spans="1:94" ht="14.25" thickTop="1" thickBot="1">
      <c r="A29" s="397" t="s">
        <v>2100</v>
      </c>
      <c r="B29" s="239">
        <v>97.1</v>
      </c>
      <c r="C29" s="239">
        <v>97.5</v>
      </c>
      <c r="D29" s="241">
        <v>90</v>
      </c>
      <c r="E29" s="241" t="e">
        <f>IF(AND((OR(J1=1,J1=2,J1=3,J1=4,J1=5,J1=14)),(AND(E22&gt;=B29,E22&lt;=C29))),D29,0)</f>
        <v>#VALUE!</v>
      </c>
      <c r="F29" s="241" t="e">
        <f>IF(AND((OR(J1=1,J1=2,J1=3,J1=4,J1=5,J1=14)),(AND(F22&gt;=B29,F22&lt;=C29))),D29,0)</f>
        <v>#VALUE!</v>
      </c>
      <c r="G29" s="241" t="e">
        <f>IF(AND((OR(J1=1,J1=2,J1=3,J1=4,J1=5,J1=14)),(AND(G22&gt;=B29,G22&lt;=C29))),D29,0)</f>
        <v>#VALUE!</v>
      </c>
      <c r="H29" s="241" t="e">
        <f>IF(AND((OR(J1=1,J1=2,J1=3,J1=4,J1=5,J1=14)),(AND(H22&gt;=B29,H22&lt;=C29))),D29,0)</f>
        <v>#VALUE!</v>
      </c>
      <c r="I29" s="241" t="e">
        <f>IF(AND((OR(J1=1,J1=2,J1=3,J1=4,J1=5,J1=14)),(AND(I22&gt;=B29,I22&lt;=C29))),D29,0)</f>
        <v>#VALUE!</v>
      </c>
      <c r="J29" s="241" t="e">
        <f>IF(AND((OR(J1=1,J1=2,J1=3,J1=4,J1=5,J1=14)),(AND(J22&gt;=B29,J22&lt;=C29))),D29,0)</f>
        <v>#VALUE!</v>
      </c>
      <c r="K29" s="241" t="e">
        <f>IF(AND((OR(J1=1,J1=2,J1=3,J1=4,J1=5,J1=14)),(AND(K22&gt;=B29,K22&lt;=C29))),D29,0)</f>
        <v>#VALUE!</v>
      </c>
      <c r="L29" s="241" t="e">
        <f>IF(AND((OR(J1=1,J1=2,J1=3,J1=4,J1=5,J1=14)),(AND(L22&gt;=B29,L22&lt;=C29))),D29,0)</f>
        <v>#VALUE!</v>
      </c>
      <c r="M29" s="241" t="e">
        <f>IF(AND((OR(J1=1,J1=2,J1=3,J1=4,J1=5,J1=14)),(AND(M22&gt;=B29,M22&lt;=C29))),D29,0)</f>
        <v>#VALUE!</v>
      </c>
      <c r="N29" s="241" t="e">
        <f>IF(AND((OR(J1=1,J1=2,J1=3,J1=4,J1=5,J1=14)),(AND(N22&gt;=B29,N22&lt;=C29))),D29,0)</f>
        <v>#VALUE!</v>
      </c>
      <c r="O29" s="241" t="e">
        <f>IF(AND((OR(J1=1,J1=2,J1=3,J1=4,J1=5,J1=14)),(AND(O22&gt;=B29,O22&lt;=C29))),D29,0)</f>
        <v>#VALUE!</v>
      </c>
      <c r="P29" s="241" t="e">
        <f>IF(AND((OR(J1=1,J1=2,J1=3,J1=4,J1=5,J1=14)),(AND(P22&gt;=B29,P22&lt;=C29))),D29,0)</f>
        <v>#VALUE!</v>
      </c>
      <c r="Q29" s="241" t="e">
        <f>IF(AND((OR(J1=1,J1=2,J1=3,J1=4,J1=5,J1=14)),(AND(Q22&gt;=B29,Q22&lt;=C29))),D29,0)</f>
        <v>#VALUE!</v>
      </c>
      <c r="R29" s="241" t="e">
        <f>IF(AND((OR(J1=1,J1=2,J1=3,J1=4,J1=5,J1=14)),(AND(R22&gt;=B29,R22&lt;=C29))),D29,0)</f>
        <v>#VALUE!</v>
      </c>
      <c r="S29" s="241" t="e">
        <f>IF(AND((OR(J1=1,J1=2,J1=3,J1=4,J1=5,J1=14)),(AND(S22&gt;=B29,S22&lt;=C29))),D29,0)</f>
        <v>#VALUE!</v>
      </c>
      <c r="T29" s="398" t="e">
        <f>IF(AND((OR(J1=1,J1=2,J1=3,J1=4,J1=5,J1=14)),(AND(T22&gt;=B29,T22&lt;=C29))),D29,0)</f>
        <v>#VALUE!</v>
      </c>
      <c r="U29"/>
      <c r="V29" s="416" t="s">
        <v>863</v>
      </c>
      <c r="W29" s="410">
        <v>0</v>
      </c>
      <c r="X29" s="415">
        <v>6</v>
      </c>
      <c r="Y29" s="410">
        <v>1</v>
      </c>
      <c r="Z29" s="415">
        <v>7</v>
      </c>
      <c r="AA29" s="410">
        <v>2</v>
      </c>
      <c r="AB29" s="415">
        <v>8</v>
      </c>
      <c r="AC29" s="410">
        <v>2</v>
      </c>
      <c r="AD29" s="415">
        <v>10</v>
      </c>
      <c r="AE29" s="410">
        <v>2</v>
      </c>
      <c r="AF29" s="415">
        <v>10</v>
      </c>
      <c r="AG29" s="410">
        <v>0</v>
      </c>
      <c r="AH29" s="415">
        <v>4</v>
      </c>
      <c r="AI29" s="410">
        <v>2</v>
      </c>
      <c r="AJ29" s="415">
        <v>6</v>
      </c>
      <c r="AK29" s="410">
        <v>2</v>
      </c>
      <c r="AL29" s="415">
        <v>6</v>
      </c>
      <c r="AM29" s="410"/>
      <c r="AN29" s="415"/>
      <c r="AO29" s="410">
        <v>5</v>
      </c>
      <c r="AP29" s="415">
        <v>15</v>
      </c>
      <c r="AQ29" s="410">
        <v>6</v>
      </c>
      <c r="AR29" s="415">
        <v>12</v>
      </c>
      <c r="AS29" s="410">
        <v>2</v>
      </c>
      <c r="AT29" s="415">
        <v>5</v>
      </c>
      <c r="AU29" s="410">
        <v>2</v>
      </c>
      <c r="AV29" s="415">
        <v>6</v>
      </c>
      <c r="AW29" s="238">
        <v>6</v>
      </c>
      <c r="AX29" s="238">
        <v>12</v>
      </c>
      <c r="AY29" s="433" t="e">
        <f>HLOOKUP(J1,W14:AX30,16,FALSE)</f>
        <v>#N/A</v>
      </c>
      <c r="AZ29" s="433" t="e">
        <f>IF(HLOOKUP(J1,W14:AX30,16,TRUE)=0,100,HLOOKUP(J1,W14:AX30,16,TRUE))</f>
        <v>#N/A</v>
      </c>
      <c r="BA29" s="1044" t="s">
        <v>423</v>
      </c>
      <c r="BB29" s="1044" t="s">
        <v>439</v>
      </c>
      <c r="BC29" s="721"/>
      <c r="BD29" s="721"/>
      <c r="BE29" s="238">
        <v>27</v>
      </c>
      <c r="BF29" s="721" t="s">
        <v>423</v>
      </c>
      <c r="BG29" s="721"/>
      <c r="BH29" s="721"/>
      <c r="BJ29" s="436">
        <f t="shared" si="0"/>
        <v>29</v>
      </c>
      <c r="BM29" t="s">
        <v>1245</v>
      </c>
      <c r="BN29" s="1044" t="s">
        <v>1246</v>
      </c>
      <c r="BY29" s="1243">
        <v>20450</v>
      </c>
      <c r="BZ29" s="238">
        <f t="shared" si="5"/>
        <v>25450</v>
      </c>
    </row>
    <row r="30" spans="1:94" ht="14.25" thickTop="1" thickBot="1">
      <c r="A30" s="397" t="s">
        <v>2100</v>
      </c>
      <c r="B30" s="239">
        <v>97.6</v>
      </c>
      <c r="C30" s="239">
        <v>98.5</v>
      </c>
      <c r="D30" s="1272">
        <f>IF(D15=2,85,0)</f>
        <v>0</v>
      </c>
      <c r="E30" s="241" t="e">
        <f>IF(AND((OR(J1=1,J1=2,J1=3,J1=4,J1=5,J1=14)),(AND(E22&gt;=B30,E22&lt;=C30))),D30,0)</f>
        <v>#VALUE!</v>
      </c>
      <c r="F30" s="241" t="e">
        <f>IF(AND((OR(J1=1,J1=2,J1=3,J1=4,J1=5,J1=14)),(AND(F22&gt;=B30,F22&lt;=C30))),D30,0)</f>
        <v>#VALUE!</v>
      </c>
      <c r="G30" s="241" t="e">
        <f>IF(AND((OR(J1=1,J1=2,J1=3,J1=4,J1=5,J1=14)),(AND(G22&gt;=B30,G22&lt;=C30))),D30,0)</f>
        <v>#VALUE!</v>
      </c>
      <c r="H30" s="241" t="e">
        <f>IF(AND((OR(J1=1,J1=2,J1=3,J1=4,J1=5,J1=14)),(AND(H22&gt;=B30,H22&lt;=C30))),D30,0)</f>
        <v>#VALUE!</v>
      </c>
      <c r="I30" s="241" t="e">
        <f>IF(AND((OR(J1=1,J1=2,J1=3,J1=4,J1=5,J1=14)),(AND(I22&gt;=B30,I22&lt;=C30))),D30,0)</f>
        <v>#VALUE!</v>
      </c>
      <c r="J30" s="241" t="e">
        <f>IF(AND((OR(J1=1,J1=2,J1=3,J1=4,J1=5,J1=14)),(AND(J22&gt;=B30,J22&lt;=C30))),D30,0)</f>
        <v>#VALUE!</v>
      </c>
      <c r="K30" s="241" t="e">
        <f>IF(AND((OR(J1=1,J1=2,J1=3,J1=4,J1=5,J1=14)),(AND(K22&gt;=B30,K22&lt;=C30))),D30,0)</f>
        <v>#VALUE!</v>
      </c>
      <c r="L30" s="241" t="e">
        <f>IF(AND((OR(J1=1,J1=2,J1=3,J1=4,J1=5,J1=14)),(AND(L22&gt;=B30,L22&lt;=C30))),D30,0)</f>
        <v>#VALUE!</v>
      </c>
      <c r="M30" s="241" t="e">
        <f>IF(AND((OR(J1=1,J1=2,J1=3,J1=4,J1=5,J1=14)),(AND(M22&gt;=B30,M22&lt;=C30))),D30,0)</f>
        <v>#VALUE!</v>
      </c>
      <c r="N30" s="241" t="e">
        <f>IF(AND((OR(J1=1,J1=2,J1=3,J1=4,J1=5,J1=14)),(AND(N22&gt;=B30,N22&lt;=C30))),D30,0)</f>
        <v>#VALUE!</v>
      </c>
      <c r="O30" s="241" t="e">
        <f>IF(AND((OR(J1=1,J1=2,J1=3,J1=4,J1=5,J1=14)),(AND(O22&gt;=B30,O22&lt;=C30))),D30,0)</f>
        <v>#VALUE!</v>
      </c>
      <c r="P30" s="241" t="e">
        <f>IF(AND((OR(J1=1,J1=2,J1=3,J1=4,J1=5,J1=14)),(AND(P22&gt;=B30,P22&lt;=C30))),D30,0)</f>
        <v>#VALUE!</v>
      </c>
      <c r="Q30" s="241" t="e">
        <f>IF(AND((OR(J1=1,J1=2,J1=3,J1=4,J1=5,J1=14)),(AND(Q22&gt;=B30,Q22&lt;=C30))),D30,0)</f>
        <v>#VALUE!</v>
      </c>
      <c r="R30" s="241" t="e">
        <f>IF(AND((OR(J1=1,J1=2,J1=3,J1=4,J1=5,J1=14)),(AND(R22&gt;=B30,R22&lt;=C30))),D30,0)</f>
        <v>#VALUE!</v>
      </c>
      <c r="S30" s="241" t="e">
        <f>IF(AND((OR(J1=1,J1=2,J1=3,J1=4,J1=5,J1=14)),(AND(S22&gt;=B30,S22&lt;=C30))),D30,0)</f>
        <v>#VALUE!</v>
      </c>
      <c r="T30" s="398" t="e">
        <f>IF(AND((OR(J1=1,J1=2,J1=3,J1=4,J1=5,J1=14)),(AND(T22&gt;=B30,T22&lt;=C30))),D30,0)</f>
        <v>#VALUE!</v>
      </c>
      <c r="U30"/>
      <c r="V30" s="418" t="s">
        <v>1650</v>
      </c>
      <c r="W30" s="422">
        <v>0.5</v>
      </c>
      <c r="X30" s="420"/>
      <c r="Y30" s="422">
        <v>0.5</v>
      </c>
      <c r="Z30" s="420"/>
      <c r="AA30" s="422">
        <v>0.5</v>
      </c>
      <c r="AB30" s="420"/>
      <c r="AC30" s="422">
        <v>0.5</v>
      </c>
      <c r="AD30" s="420"/>
      <c r="AE30" s="422">
        <v>0.5</v>
      </c>
      <c r="AF30" s="420"/>
      <c r="AG30" s="422">
        <v>0.5</v>
      </c>
      <c r="AH30" s="420"/>
      <c r="AI30" s="422">
        <v>0.5</v>
      </c>
      <c r="AJ30" s="420"/>
      <c r="AK30" s="422">
        <v>0.5</v>
      </c>
      <c r="AL30" s="420"/>
      <c r="AM30" s="422">
        <v>0.5</v>
      </c>
      <c r="AN30" s="420"/>
      <c r="AO30" s="422">
        <v>0.5</v>
      </c>
      <c r="AP30" s="420"/>
      <c r="AQ30" s="422">
        <v>0.5</v>
      </c>
      <c r="AR30" s="420"/>
      <c r="AS30" s="422">
        <v>0.4</v>
      </c>
      <c r="AT30" s="420"/>
      <c r="AU30" s="422">
        <v>0.5</v>
      </c>
      <c r="AV30" s="420"/>
      <c r="AW30" s="422">
        <v>0.5</v>
      </c>
      <c r="AX30" s="420"/>
      <c r="AY30" s="424" t="e">
        <f>HLOOKUP(J1,W14:AX30,17,FALSE)</f>
        <v>#N/A</v>
      </c>
      <c r="AZ30" s="424"/>
      <c r="BA30" s="1044" t="s">
        <v>425</v>
      </c>
      <c r="BB30" s="1044" t="s">
        <v>440</v>
      </c>
      <c r="BC30" s="721"/>
      <c r="BD30" s="721"/>
      <c r="BE30" s="238">
        <v>28</v>
      </c>
      <c r="BF30" s="721" t="s">
        <v>425</v>
      </c>
      <c r="BG30" s="721"/>
      <c r="BH30" s="721"/>
      <c r="BJ30" s="436">
        <f t="shared" si="0"/>
        <v>30</v>
      </c>
      <c r="BM30" t="s">
        <v>1247</v>
      </c>
      <c r="BN30" s="1044" t="s">
        <v>1248</v>
      </c>
      <c r="BY30" s="1243">
        <v>20475</v>
      </c>
      <c r="BZ30" s="238">
        <f t="shared" si="5"/>
        <v>25475</v>
      </c>
    </row>
    <row r="31" spans="1:94" ht="14.25" thickTop="1" thickBot="1">
      <c r="A31" s="397" t="s">
        <v>2100</v>
      </c>
      <c r="B31" s="241">
        <v>89</v>
      </c>
      <c r="C31" s="241">
        <v>89.9</v>
      </c>
      <c r="D31" s="1272">
        <f>IF(D15=2,75,0)</f>
        <v>0</v>
      </c>
      <c r="E31" s="241" t="e">
        <f>IF(AND((OR(J1=1,J1=2,J1=3,J1=4,J1=5,J1=14)),(AND(E22&gt;=B31,E22&lt;=C31))),D31,0)</f>
        <v>#VALUE!</v>
      </c>
      <c r="F31" s="241" t="e">
        <f>IF(AND((OR(J1=1,J1=2,J1=3,J1=4,J1=5,J1=14)),(AND(F22&gt;=B31,F22&lt;=C31))),D31,0)</f>
        <v>#VALUE!</v>
      </c>
      <c r="G31" s="241" t="e">
        <f>IF(AND((OR(J1=1,J1=2,J1=3,J1=4,J1=5,J1=14)),(AND(G22&gt;=B31,G22&lt;=C31))),D31,0)</f>
        <v>#VALUE!</v>
      </c>
      <c r="H31" s="241" t="e">
        <f>IF(AND((OR(J1=1,J1=2,J1=3,J1=4,J1=5,J1=14)),(AND(H22&gt;=B31,H22&lt;=C31))),D31,0)</f>
        <v>#VALUE!</v>
      </c>
      <c r="I31" s="241" t="e">
        <f>IF(AND((OR(J1=1,J1=2,J1=3,J1=4,J1=5,J1=14)),(AND(I22&gt;=B31,I22&lt;=C31))),D31,0)</f>
        <v>#VALUE!</v>
      </c>
      <c r="J31" s="241" t="e">
        <f>IF(AND((OR(J1=1,J1=2,J1=3,J1=4,J1=5,J1=14)),(AND(J22&gt;=B31,J22&lt;=C31))),D31,0)</f>
        <v>#VALUE!</v>
      </c>
      <c r="K31" s="241" t="e">
        <f>IF(AND((OR(J1=1,J1=2,J1=3,J1=4,J1=5,J1=14)),(AND(K22&gt;=B31,K22&lt;=C31))),D31,0)</f>
        <v>#VALUE!</v>
      </c>
      <c r="L31" s="241" t="e">
        <f>IF(AND((OR(J1=1,J1=2,J1=3,J1=4,J1=5,J1=14)),(AND(L22&gt;=B31,L22&lt;=C31))),D31,0)</f>
        <v>#VALUE!</v>
      </c>
      <c r="M31" s="241" t="e">
        <f>IF(AND((OR(J1=1,J1=2,J1=3,J1=4,J1=5,J1=14)),(AND(M22&gt;=B31,M22&lt;=C31))),D31,0)</f>
        <v>#VALUE!</v>
      </c>
      <c r="N31" s="241" t="e">
        <f>IF(AND((OR(J1=1,J1=2,J1=3,J1=4,J1=5,J1=14)),(AND(N22&gt;=B31,N22&lt;=C31))),D31,0)</f>
        <v>#VALUE!</v>
      </c>
      <c r="O31" s="241" t="e">
        <f>IF(AND((OR(J1=1,J1=2,J1=3,J1=4,J1=5,J1=14)),(AND(O22&gt;=B31,O22&lt;=C31))),D31,0)</f>
        <v>#VALUE!</v>
      </c>
      <c r="P31" s="241" t="e">
        <f>IF(AND((OR(J1=1,J1=2,J1=3,J1=4,J1=5,J1=14)),(AND(P22&gt;=B31,P22&lt;=C31))),D31,0)</f>
        <v>#VALUE!</v>
      </c>
      <c r="Q31" s="241" t="e">
        <f>IF(AND((OR(J1=1,J1=2,J1=3,J1=4,J1=5,J1=14)),(AND(Q22&gt;=B31,Q22&lt;=C31))),D31,0)</f>
        <v>#VALUE!</v>
      </c>
      <c r="R31" s="241" t="e">
        <f>IF(AND((OR(J1=1,J1=2,J1=3,J1=4,J1=5,J1=14)),(AND(R22&gt;=B31,R22&lt;=C31))),D31,0)</f>
        <v>#VALUE!</v>
      </c>
      <c r="S31" s="241" t="e">
        <f>IF(AND((OR(J1=1,J1=2,J1=3,J1=4,J1=5,J1=14)),(AND(S22&gt;=B31,S22&lt;=C31))),D31,0)</f>
        <v>#VALUE!</v>
      </c>
      <c r="T31" s="398" t="e">
        <f>IF(AND((OR(J1=1,J1=2,J1=3,J1=4,J1=5,J1=14)),(AND(T22&gt;=B31,T22&lt;=C31))),D31,0)</f>
        <v>#VALUE!</v>
      </c>
      <c r="BA31" s="1044" t="s">
        <v>427</v>
      </c>
      <c r="BB31" s="1044" t="s">
        <v>441</v>
      </c>
      <c r="BC31" s="721"/>
      <c r="BD31" s="721"/>
      <c r="BE31" s="238">
        <v>29</v>
      </c>
      <c r="BF31" s="721" t="s">
        <v>427</v>
      </c>
      <c r="BG31" s="721"/>
      <c r="BH31" s="721"/>
      <c r="BJ31" s="436">
        <f t="shared" si="0"/>
        <v>31</v>
      </c>
      <c r="BM31" t="s">
        <v>1249</v>
      </c>
      <c r="BN31" s="1044" t="s">
        <v>1202</v>
      </c>
      <c r="BY31" s="1243">
        <v>20375</v>
      </c>
      <c r="BZ31" s="238">
        <f t="shared" si="5"/>
        <v>25375</v>
      </c>
    </row>
    <row r="32" spans="1:94" ht="14.25" thickTop="1" thickBot="1">
      <c r="A32" s="397" t="s">
        <v>2100</v>
      </c>
      <c r="B32" s="239">
        <v>0</v>
      </c>
      <c r="C32" s="1273">
        <f>IF(D15=2,88.9,89.9)</f>
        <v>89.9</v>
      </c>
      <c r="D32" s="241">
        <v>65</v>
      </c>
      <c r="E32" s="241" t="e">
        <f>IF(AND((OR(J1=1,J1=2,J1=3,J1=4,J1=5,J1=14)),(AND(E22&gt;=B32,E22&lt;=C32))),D32,0)</f>
        <v>#VALUE!</v>
      </c>
      <c r="F32" s="241" t="e">
        <f>IF(AND((OR(J1=1,J1=2,J1=3,J1=4,J1=5,J1=14)),(AND(F22&gt;=B32,F22&lt;=C32))),D32,0)</f>
        <v>#VALUE!</v>
      </c>
      <c r="G32" s="241" t="e">
        <f>IF(AND((OR(J1=1,J1=2,J1=3,J1=4,J1=5,J1=14)),(AND(G22&gt;=B32,G22&lt;=C32))),D32,0)</f>
        <v>#VALUE!</v>
      </c>
      <c r="H32" s="241" t="e">
        <f>IF(AND((OR(J1=1,J1=2,J1=3,J1=4,J1=5,J1=14)),(AND(H22&gt;=B32,H22&lt;=C32))),D32,0)</f>
        <v>#VALUE!</v>
      </c>
      <c r="I32" s="241" t="e">
        <f>IF(AND((OR(J1=1,J1=2,J1=3,J1=4,J1=5,J1=14)),(AND(I22&gt;=B32,I22&lt;=C32))),D32,0)</f>
        <v>#VALUE!</v>
      </c>
      <c r="J32" s="241" t="e">
        <f>IF(AND((OR(J1=1,J1=2,J1=3,J1=4,J1=5,J1=14)),(AND(J22&gt;=B32,J22&lt;=C32))),D32,0)</f>
        <v>#VALUE!</v>
      </c>
      <c r="K32" s="241" t="e">
        <f>IF(AND((OR(J1=1,J1=2,J1=3,J1=4,J1=5,J1=14)),(AND(K22&gt;=B32,K22&lt;=C32))),D32,0)</f>
        <v>#VALUE!</v>
      </c>
      <c r="L32" s="241" t="e">
        <f>IF(AND((OR(J1=1,J1=2,J1=3,J1=4,J1=5,J1=14)),(AND(L22&gt;=B32,L22&lt;=C32))),D32,0)</f>
        <v>#VALUE!</v>
      </c>
      <c r="M32" s="241" t="e">
        <f>IF(AND((OR(J1=1,J1=2,J1=3,J1=4,J1=5,J1=14)),(AND(M22&gt;=B32,M22&lt;=C32))),D32,0)</f>
        <v>#VALUE!</v>
      </c>
      <c r="N32" s="241" t="e">
        <f>IF(AND((OR(J1=1,J1=2,J1=3,J1=4,J1=5,J1=14)),(AND(N22&gt;=B32,N22&lt;=C32))),D32,0)</f>
        <v>#VALUE!</v>
      </c>
      <c r="O32" s="241" t="e">
        <f>IF(AND((OR(J1=1,J1=2,J1=3,J1=4,J1=5,J1=14)),(AND(O22&gt;=B32,O22&lt;=C32))),D32,0)</f>
        <v>#VALUE!</v>
      </c>
      <c r="P32" s="241" t="e">
        <f>IF(AND((OR(J1=1,J1=2,J1=3,J1=4,J1=5,J1=14)),(AND(P22&gt;=B32,P22&lt;=C32))),D32,0)</f>
        <v>#VALUE!</v>
      </c>
      <c r="Q32" s="241" t="e">
        <f>IF(AND((OR(J1=1,J1=2,J1=3,J1=4,J1=5,J1=14)),(AND(Q22&gt;=B32,Q22&lt;=C32))),D32,0)</f>
        <v>#VALUE!</v>
      </c>
      <c r="R32" s="241" t="e">
        <f>IF(AND((OR(J1=1,J1=2,J1=3,J1=4,J1=5,J1=14)),(AND(R22&gt;=B32,R22&lt;=C32))),D32,0)</f>
        <v>#VALUE!</v>
      </c>
      <c r="S32" s="241" t="e">
        <f>IF(AND((OR(J1=1,J1=2,J1=3,J1=4,J1=5,J1=14)),(AND(S22&gt;=B32,S22&lt;=C32))),D32,0)</f>
        <v>#VALUE!</v>
      </c>
      <c r="T32" s="398" t="e">
        <f>IF(AND((OR(J1=1,J1=2,J1=3,J1=4,J1=5,J1=14)),(AND(T22&gt;=B32,T22&lt;=C32))),D32,0)</f>
        <v>#VALUE!</v>
      </c>
      <c r="AK32" s="406" t="s">
        <v>864</v>
      </c>
      <c r="AL32" s="407"/>
      <c r="AM32" s="407"/>
      <c r="AN32" s="407"/>
      <c r="AO32" s="407"/>
      <c r="AP32" s="407"/>
      <c r="AQ32" s="407"/>
      <c r="AR32" s="407"/>
      <c r="AS32" s="407"/>
      <c r="AT32" s="409"/>
      <c r="AU32" s="1622" t="s">
        <v>1868</v>
      </c>
      <c r="AV32" s="1630"/>
      <c r="AW32" s="1630"/>
      <c r="AX32" s="1630"/>
      <c r="AY32" s="1623"/>
      <c r="BA32" s="1044" t="s">
        <v>429</v>
      </c>
      <c r="BB32" s="1044" t="s">
        <v>290</v>
      </c>
      <c r="BC32" s="721"/>
      <c r="BD32" s="721"/>
      <c r="BE32" s="238">
        <v>30</v>
      </c>
      <c r="BF32" s="721" t="s">
        <v>429</v>
      </c>
      <c r="BG32" s="721"/>
      <c r="BH32" s="721"/>
      <c r="BJ32" s="436">
        <f t="shared" si="0"/>
        <v>32</v>
      </c>
      <c r="BM32" t="s">
        <v>1250</v>
      </c>
      <c r="BN32" s="1044" t="s">
        <v>1214</v>
      </c>
      <c r="BY32" s="1243">
        <v>20400</v>
      </c>
      <c r="BZ32" s="238">
        <f t="shared" si="5"/>
        <v>25400</v>
      </c>
    </row>
    <row r="33" spans="1:78" ht="13.5" thickTop="1">
      <c r="A33" s="397" t="s">
        <v>2100</v>
      </c>
      <c r="B33" s="1273">
        <f>IF(D15=2,98.6,97.6)</f>
        <v>97.6</v>
      </c>
      <c r="C33" s="239">
        <v>200</v>
      </c>
      <c r="D33" s="241">
        <v>65</v>
      </c>
      <c r="E33" s="241" t="e">
        <f>IF(AND((OR(J1=1,J1=2,J1=3,J1=4,J1=5,J1=14)),(AND(E22&gt;=B33,E22&lt;=C33))),D33,0)</f>
        <v>#VALUE!</v>
      </c>
      <c r="F33" s="241" t="e">
        <f>IF(AND((OR(J1=1,J1=2,J1=3,J1=4,J1=5,J1=14)),(AND(F22&gt;=B33,F22&lt;=C33))),D33,0)</f>
        <v>#VALUE!</v>
      </c>
      <c r="G33" s="241" t="e">
        <f>IF(AND((OR(J1=1,J1=2,J1=3,J1=4,J1=5,J1=14)),(AND(G22&gt;=B33,G22&lt;=C33))),D33,0)</f>
        <v>#VALUE!</v>
      </c>
      <c r="H33" s="241" t="e">
        <f>IF(AND((OR(J1=1,J1=2,J1=3,J1=4,J1=5,J1=14)),(AND(H22&gt;=B33,H22&lt;=C33))),D33,0)</f>
        <v>#VALUE!</v>
      </c>
      <c r="I33" s="241" t="e">
        <f>IF(AND((OR(J1=1,J1=2,J1=3,J1=4,J1=5,J1=14)),(AND(I22&gt;=B33,I22&lt;=C33))),D33,0)</f>
        <v>#VALUE!</v>
      </c>
      <c r="J33" s="241" t="e">
        <f>IF(AND((OR(J1=1,J1=2,J1=3,J1=4,J1=5,J1=14)),(AND(J22&gt;=B33,J22&lt;=C33))),D33,0)</f>
        <v>#VALUE!</v>
      </c>
      <c r="K33" s="241" t="e">
        <f>IF(AND((OR(J1=1,J1=2,J1=3,J1=4,J1=5,J1=14)),(AND(K22&gt;=B33,K22&lt;=C33))),D33,0)</f>
        <v>#VALUE!</v>
      </c>
      <c r="L33" s="241" t="e">
        <f>IF(AND((OR(J1=1,J1=2,J1=3,J1=4,J1=5,J1=14)),(AND(L22&gt;=B33,L22&lt;=C33))),D33,0)</f>
        <v>#VALUE!</v>
      </c>
      <c r="M33" s="241" t="e">
        <f>IF(AND((OR(J1=1,J1=2,J1=3,J1=4,J1=5,J1=14)),(AND(M22&gt;=B33,M22&lt;=C33))),D33,0)</f>
        <v>#VALUE!</v>
      </c>
      <c r="N33" s="241" t="e">
        <f>IF(AND((OR(J1=1,J1=2,J1=3,J1=4,J1=5,J1=14)),(AND(N22&gt;=B33,N22&lt;=C33))),D33,0)</f>
        <v>#VALUE!</v>
      </c>
      <c r="O33" s="241" t="e">
        <f>IF(AND((OR(J1=1,J1=2,J1=3,J1=4,J1=5,J1=14)),(AND(O22&gt;=B33,O22&lt;=C33))),D33,0)</f>
        <v>#VALUE!</v>
      </c>
      <c r="P33" s="241" t="e">
        <f>IF(AND((OR(J1=1,J1=2,J1=3,J1=4,J1=5,J1=14)),(AND(P22&gt;=B33,P22&lt;=C33))),D33,0)</f>
        <v>#VALUE!</v>
      </c>
      <c r="Q33" s="241" t="e">
        <f>IF(AND((OR(J1=1,J1=2,J1=3,J1=4,J1=5,J1=14)),(AND(Q22&gt;=B33,Q22&lt;=C33))),D33,0)</f>
        <v>#VALUE!</v>
      </c>
      <c r="R33" s="241" t="e">
        <f>IF(AND((OR(J1=1,J1=2,J1=3,J1=4,J1=5,J1=14)),(AND(R22&gt;=B33,R22&lt;=C33))),D33,0)</f>
        <v>#VALUE!</v>
      </c>
      <c r="S33" s="241" t="e">
        <f>IF(AND((OR(J1=1,J1=2,J1=3,J1=4,J1=5,J1=14)),(AND(S22&gt;=B33,S22&lt;=C33))),D33,0)</f>
        <v>#VALUE!</v>
      </c>
      <c r="T33" s="398" t="e">
        <f>IF(AND((OR(J1=1,J1=2,J1=3,J1=4,J1=5,J1=14)),(AND(T22&gt;=B33,T22&lt;=C33))),D33,0)</f>
        <v>#VALUE!</v>
      </c>
      <c r="AJ33" s="238">
        <v>1</v>
      </c>
      <c r="AK33" s="410" t="s">
        <v>865</v>
      </c>
      <c r="AP33" s="1083"/>
      <c r="AQ33" s="472" t="s">
        <v>866</v>
      </c>
      <c r="AT33" s="415"/>
      <c r="AU33" s="1631" t="str">
        <f t="shared" ref="AU33:AU38" si="6">IF(AP33="","",VLOOKUP(AP33,AJ$33:AK$37,2,FALSE))</f>
        <v/>
      </c>
      <c r="AV33" s="1632"/>
      <c r="AW33" s="1632"/>
      <c r="AX33" s="1632"/>
      <c r="AY33" s="1633"/>
      <c r="AZ33" s="743" t="s">
        <v>910</v>
      </c>
      <c r="BA33" s="1044" t="s">
        <v>430</v>
      </c>
      <c r="BB33" s="1044" t="s">
        <v>291</v>
      </c>
      <c r="BC33" s="721"/>
      <c r="BD33" s="721"/>
      <c r="BE33" s="238">
        <v>31</v>
      </c>
      <c r="BF33" s="721" t="s">
        <v>430</v>
      </c>
      <c r="BG33" s="721"/>
      <c r="BH33" s="721"/>
      <c r="BJ33" s="436">
        <f t="shared" si="0"/>
        <v>33</v>
      </c>
      <c r="BM33" t="s">
        <v>1251</v>
      </c>
      <c r="BN33" s="1044" t="s">
        <v>1220</v>
      </c>
      <c r="BY33" s="1243">
        <v>20425</v>
      </c>
      <c r="BZ33" s="238">
        <f t="shared" si="5"/>
        <v>25425</v>
      </c>
    </row>
    <row r="34" spans="1:78" ht="13.5" thickBot="1">
      <c r="A34" s="399" t="s">
        <v>1662</v>
      </c>
      <c r="B34" s="400"/>
      <c r="C34" s="400"/>
      <c r="D34" s="401"/>
      <c r="E34" s="402" t="e">
        <f>IF(SUM(E24:E33)=0,"MCL",SUM(E24:E33))</f>
        <v>#VALUE!</v>
      </c>
      <c r="F34" s="402" t="e">
        <f t="shared" ref="F34:T34" si="7">IF(SUM(F24:F33)=0,"MCL",SUM(F24:F33))</f>
        <v>#VALUE!</v>
      </c>
      <c r="G34" s="402" t="e">
        <f t="shared" si="7"/>
        <v>#VALUE!</v>
      </c>
      <c r="H34" s="402" t="e">
        <f t="shared" si="7"/>
        <v>#VALUE!</v>
      </c>
      <c r="I34" s="402" t="e">
        <f t="shared" si="7"/>
        <v>#VALUE!</v>
      </c>
      <c r="J34" s="402" t="e">
        <f t="shared" si="7"/>
        <v>#VALUE!</v>
      </c>
      <c r="K34" s="402" t="e">
        <f t="shared" si="7"/>
        <v>#VALUE!</v>
      </c>
      <c r="L34" s="402" t="e">
        <f t="shared" si="7"/>
        <v>#VALUE!</v>
      </c>
      <c r="M34" s="402" t="e">
        <f t="shared" si="7"/>
        <v>#VALUE!</v>
      </c>
      <c r="N34" s="402" t="e">
        <f t="shared" si="7"/>
        <v>#VALUE!</v>
      </c>
      <c r="O34" s="402" t="e">
        <f t="shared" si="7"/>
        <v>#VALUE!</v>
      </c>
      <c r="P34" s="402" t="e">
        <f t="shared" si="7"/>
        <v>#VALUE!</v>
      </c>
      <c r="Q34" s="402" t="e">
        <f t="shared" si="7"/>
        <v>#VALUE!</v>
      </c>
      <c r="R34" s="402" t="e">
        <f t="shared" si="7"/>
        <v>#VALUE!</v>
      </c>
      <c r="S34" s="402" t="e">
        <f t="shared" si="7"/>
        <v>#VALUE!</v>
      </c>
      <c r="T34" s="403" t="e">
        <f t="shared" si="7"/>
        <v>#VALUE!</v>
      </c>
      <c r="AJ34" s="238">
        <v>2</v>
      </c>
      <c r="AK34" s="410" t="s">
        <v>864</v>
      </c>
      <c r="AP34" s="1083"/>
      <c r="AQ34" s="472" t="s">
        <v>867</v>
      </c>
      <c r="AT34" s="415"/>
      <c r="AU34" s="1624" t="str">
        <f t="shared" si="6"/>
        <v/>
      </c>
      <c r="AV34" s="1625"/>
      <c r="AW34" s="1625"/>
      <c r="AX34" s="1625"/>
      <c r="AY34" s="1626"/>
      <c r="AZ34" s="743" t="s">
        <v>911</v>
      </c>
      <c r="BA34" s="1044" t="s">
        <v>431</v>
      </c>
      <c r="BB34" s="1044" t="s">
        <v>292</v>
      </c>
      <c r="BC34" s="721"/>
      <c r="BD34" s="721"/>
      <c r="BE34" s="238">
        <v>32</v>
      </c>
      <c r="BF34" s="721" t="s">
        <v>431</v>
      </c>
      <c r="BG34" s="721"/>
      <c r="BH34" s="721"/>
      <c r="BJ34" s="436">
        <f t="shared" si="0"/>
        <v>34</v>
      </c>
      <c r="BM34" t="s">
        <v>1252</v>
      </c>
      <c r="BN34" s="1044" t="s">
        <v>1226</v>
      </c>
      <c r="BY34" s="1243">
        <v>20450</v>
      </c>
      <c r="BZ34" s="238">
        <f t="shared" si="5"/>
        <v>25450</v>
      </c>
    </row>
    <row r="35" spans="1:78" ht="14.25" thickTop="1" thickBot="1">
      <c r="A35"/>
      <c r="B35"/>
      <c r="C35"/>
      <c r="D35"/>
      <c r="E35"/>
      <c r="F35"/>
      <c r="G35"/>
      <c r="H35"/>
      <c r="I35"/>
      <c r="AG35" s="419"/>
      <c r="AH35" s="419"/>
      <c r="AJ35" s="238">
        <v>3</v>
      </c>
      <c r="AK35" s="410" t="s">
        <v>868</v>
      </c>
      <c r="AP35" s="1083"/>
      <c r="AQ35" s="472" t="s">
        <v>869</v>
      </c>
      <c r="AT35" s="415"/>
      <c r="AU35" s="1624" t="str">
        <f t="shared" si="6"/>
        <v/>
      </c>
      <c r="AV35" s="1625"/>
      <c r="AW35" s="1625"/>
      <c r="AX35" s="1625"/>
      <c r="AY35" s="1626"/>
      <c r="AZ35" s="743" t="s">
        <v>135</v>
      </c>
      <c r="BA35" s="1044" t="s">
        <v>432</v>
      </c>
      <c r="BB35" s="1044" t="s">
        <v>293</v>
      </c>
      <c r="BC35" s="721"/>
      <c r="BD35" s="721"/>
      <c r="BE35" s="238">
        <v>33</v>
      </c>
      <c r="BF35" s="721" t="s">
        <v>432</v>
      </c>
      <c r="BG35" s="721"/>
      <c r="BH35" s="721"/>
      <c r="BJ35" s="436">
        <f t="shared" si="0"/>
        <v>35</v>
      </c>
      <c r="BM35" t="s">
        <v>1253</v>
      </c>
      <c r="BN35" s="1044" t="s">
        <v>1246</v>
      </c>
      <c r="BY35" s="1243">
        <v>20475</v>
      </c>
      <c r="BZ35" s="238">
        <f t="shared" si="5"/>
        <v>25475</v>
      </c>
    </row>
    <row r="36" spans="1:78" ht="14.25" thickTop="1" thickBot="1">
      <c r="A36" s="406" t="s">
        <v>1642</v>
      </c>
      <c r="B36" s="407"/>
      <c r="C36" s="407"/>
      <c r="D36" s="407"/>
      <c r="E36" s="404"/>
      <c r="F36" s="404"/>
      <c r="G36" s="404"/>
      <c r="H36" s="405"/>
      <c r="I36"/>
      <c r="J36" s="243"/>
      <c r="K36" s="443" t="s">
        <v>870</v>
      </c>
      <c r="L36" s="444"/>
      <c r="M36" s="444"/>
      <c r="N36" s="444"/>
      <c r="O36" s="444"/>
      <c r="P36" s="444"/>
      <c r="Q36" s="444"/>
      <c r="R36" s="444"/>
      <c r="S36" s="444"/>
      <c r="T36" s="444"/>
      <c r="U36" s="444"/>
      <c r="V36" s="444"/>
      <c r="W36" s="444"/>
      <c r="X36" s="444"/>
      <c r="Y36" s="444"/>
      <c r="Z36" s="444"/>
      <c r="AA36" s="444"/>
      <c r="AB36" s="444"/>
      <c r="AC36" s="444"/>
      <c r="AD36" s="444"/>
      <c r="AE36" s="444"/>
      <c r="AF36" s="444"/>
      <c r="AG36" s="468"/>
      <c r="AH36" s="442" t="str">
        <f>'Accept. Grad. # 4'!G8</f>
        <v/>
      </c>
      <c r="AJ36" s="238">
        <v>4</v>
      </c>
      <c r="AK36" s="410" t="s">
        <v>871</v>
      </c>
      <c r="AP36" s="1083"/>
      <c r="AQ36" s="472" t="s">
        <v>872</v>
      </c>
      <c r="AT36" s="415"/>
      <c r="AU36" s="1624" t="str">
        <f t="shared" si="6"/>
        <v/>
      </c>
      <c r="AV36" s="1625"/>
      <c r="AW36" s="1625"/>
      <c r="AX36" s="1625"/>
      <c r="AY36" s="1626"/>
      <c r="AZ36" s="743" t="s">
        <v>136</v>
      </c>
      <c r="BA36" s="1044" t="s">
        <v>433</v>
      </c>
      <c r="BB36" s="1044" t="s">
        <v>294</v>
      </c>
      <c r="BC36" s="721"/>
      <c r="BD36" s="721"/>
      <c r="BE36" s="238">
        <v>34</v>
      </c>
      <c r="BF36" s="721" t="s">
        <v>433</v>
      </c>
      <c r="BG36" s="721"/>
      <c r="BH36" s="721"/>
      <c r="BJ36" s="436">
        <f t="shared" si="0"/>
        <v>36</v>
      </c>
      <c r="BM36" t="s">
        <v>1254</v>
      </c>
      <c r="BN36" s="1044" t="s">
        <v>1255</v>
      </c>
      <c r="BY36" s="1243">
        <v>20375</v>
      </c>
      <c r="BZ36" s="238">
        <f t="shared" si="5"/>
        <v>25375</v>
      </c>
    </row>
    <row r="37" spans="1:78" ht="13.5" thickTop="1">
      <c r="A37" s="410"/>
      <c r="B37" s="240"/>
      <c r="C37" s="240"/>
      <c r="D37" s="240"/>
      <c r="E37" s="239" t="e">
        <f>ROUND('Pay Values'!F13,1)</f>
        <v>#VALUE!</v>
      </c>
      <c r="F37" s="239" t="e">
        <f>ROUND('Pay Values'!F14,1)</f>
        <v>#VALUE!</v>
      </c>
      <c r="G37" s="239" t="e">
        <f>ROUND('Pay Values'!F15,1)</f>
        <v>#VALUE!</v>
      </c>
      <c r="H37" s="411" t="e">
        <f>ROUND('Pay Values'!F16,1)</f>
        <v>#VALUE!</v>
      </c>
      <c r="I37"/>
      <c r="J37" s="241"/>
      <c r="K37" s="435" t="str">
        <f>'Accept. Grad. # 1'!H8</f>
        <v/>
      </c>
      <c r="L37" s="238">
        <f>'Accept. Grad. # 1'!B8</f>
        <v>0</v>
      </c>
      <c r="M37" s="238" t="str">
        <f>'Accept. Grad. # 1'!A8</f>
        <v>2 "</v>
      </c>
      <c r="O37" s="436" t="str">
        <f>'Accept. Grad. # 1'!F8</f>
        <v/>
      </c>
      <c r="P37" s="436" t="str">
        <f>'Accept. Grad. # 1'!G8</f>
        <v/>
      </c>
      <c r="Q37" s="470" t="str">
        <f>'Accept. Grad. # 2'!H8</f>
        <v/>
      </c>
      <c r="R37" s="238">
        <f>'Accept. Grad. # 2'!B8</f>
        <v>0</v>
      </c>
      <c r="S37" s="238" t="str">
        <f>'Accept. Grad. # 2'!A8</f>
        <v>2 "</v>
      </c>
      <c r="U37" s="436" t="str">
        <f>'Accept. Grad. # 2'!F8</f>
        <v/>
      </c>
      <c r="V37" s="436" t="str">
        <f>'Accept. Grad. # 2'!G8</f>
        <v/>
      </c>
      <c r="W37" s="470" t="str">
        <f>'Accept. Grad. # 3'!H8</f>
        <v/>
      </c>
      <c r="X37" s="436">
        <f>'Accept. Grad. # 3'!B8</f>
        <v>0</v>
      </c>
      <c r="Y37" s="436" t="str">
        <f>'Accept. Grad. # 3'!A8</f>
        <v>2 "</v>
      </c>
      <c r="AA37" s="436" t="str">
        <f>'Accept. Grad. # 3'!F8</f>
        <v/>
      </c>
      <c r="AB37" s="436" t="str">
        <f>'Accept. Grad. # 3'!G8</f>
        <v/>
      </c>
      <c r="AC37" s="470" t="str">
        <f>'Accept. Grad. # 4'!H8</f>
        <v/>
      </c>
      <c r="AD37" s="238">
        <f>'Accept. Grad. # 4'!B8</f>
        <v>0</v>
      </c>
      <c r="AE37" s="238" t="str">
        <f>'Accept. Grad. # 4'!A8</f>
        <v>2 "</v>
      </c>
      <c r="AG37" s="436" t="str">
        <f>'Accept. Grad. # 4'!F8</f>
        <v/>
      </c>
      <c r="AH37" s="437" t="str">
        <f>'Accept. Grad. # 4'!G8</f>
        <v/>
      </c>
      <c r="AJ37" s="238">
        <v>5</v>
      </c>
      <c r="AK37" s="410" t="s">
        <v>873</v>
      </c>
      <c r="AP37" s="1083"/>
      <c r="AQ37" s="472" t="s">
        <v>874</v>
      </c>
      <c r="AT37" s="415"/>
      <c r="AU37" s="1624" t="str">
        <f t="shared" si="6"/>
        <v/>
      </c>
      <c r="AV37" s="1625"/>
      <c r="AW37" s="1625"/>
      <c r="AX37" s="1625"/>
      <c r="AY37" s="1626"/>
      <c r="AZ37" s="743" t="s">
        <v>137</v>
      </c>
      <c r="BA37" s="1044" t="s">
        <v>413</v>
      </c>
      <c r="BB37" s="1044" t="s">
        <v>442</v>
      </c>
      <c r="BC37" s="721"/>
      <c r="BD37" s="721"/>
      <c r="BE37" s="238">
        <v>35</v>
      </c>
      <c r="BF37" s="721" t="s">
        <v>413</v>
      </c>
      <c r="BG37" s="721"/>
      <c r="BH37" s="721"/>
      <c r="BJ37" s="436">
        <f t="shared" si="0"/>
        <v>37</v>
      </c>
      <c r="BM37" t="s">
        <v>1256</v>
      </c>
      <c r="BN37" s="1044" t="s">
        <v>1202</v>
      </c>
      <c r="BY37" s="1243">
        <v>20400</v>
      </c>
      <c r="BZ37" s="238">
        <f t="shared" si="5"/>
        <v>25400</v>
      </c>
    </row>
    <row r="38" spans="1:78" ht="13.5" thickBot="1">
      <c r="A38" s="397" t="s">
        <v>1837</v>
      </c>
      <c r="B38" s="241" t="s">
        <v>1838</v>
      </c>
      <c r="C38" s="241" t="s">
        <v>1839</v>
      </c>
      <c r="D38" s="241" t="s">
        <v>1840</v>
      </c>
      <c r="E38" s="241">
        <v>1</v>
      </c>
      <c r="F38" s="241">
        <v>2</v>
      </c>
      <c r="G38" s="241">
        <v>3</v>
      </c>
      <c r="H38" s="398">
        <v>4</v>
      </c>
      <c r="I38"/>
      <c r="J38" s="241"/>
      <c r="K38" s="435" t="str">
        <f>'Accept. Grad. # 1'!H9</f>
        <v/>
      </c>
      <c r="L38" s="238">
        <f>'Accept. Grad. # 1'!B9</f>
        <v>0</v>
      </c>
      <c r="M38" s="238" t="str">
        <f>'Accept. Grad. # 1'!A9</f>
        <v>1 1/2 "</v>
      </c>
      <c r="O38" s="436" t="str">
        <f>'Accept. Grad. # 1'!F9</f>
        <v/>
      </c>
      <c r="P38" s="436" t="str">
        <f>'Accept. Grad. # 1'!G9</f>
        <v/>
      </c>
      <c r="Q38" s="470" t="str">
        <f>'Accept. Grad. # 2'!H9</f>
        <v/>
      </c>
      <c r="R38" s="238">
        <f>'Accept. Grad. # 2'!B9</f>
        <v>0</v>
      </c>
      <c r="S38" s="238" t="str">
        <f>'Accept. Grad. # 2'!A9</f>
        <v>1 1/2 "</v>
      </c>
      <c r="U38" s="436" t="str">
        <f>'Accept. Grad. # 2'!F9</f>
        <v/>
      </c>
      <c r="V38" s="436" t="str">
        <f>'Accept. Grad. # 2'!G9</f>
        <v/>
      </c>
      <c r="W38" s="470" t="str">
        <f>'Accept. Grad. # 3'!H9</f>
        <v/>
      </c>
      <c r="X38" s="436">
        <f>'Accept. Grad. # 3'!B9</f>
        <v>0</v>
      </c>
      <c r="Y38" s="436" t="str">
        <f>'Accept. Grad. # 3'!A9</f>
        <v>1 1/2 "</v>
      </c>
      <c r="AA38" s="436" t="str">
        <f>'Accept. Grad. # 3'!F9</f>
        <v/>
      </c>
      <c r="AB38" s="436" t="str">
        <f>'Accept. Grad. # 3'!G9</f>
        <v/>
      </c>
      <c r="AC38" s="470" t="str">
        <f>'Accept. Grad. # 4'!H9</f>
        <v/>
      </c>
      <c r="AD38" s="238">
        <f>'Accept. Grad. # 4'!B9</f>
        <v>0</v>
      </c>
      <c r="AE38" s="238" t="str">
        <f>'Accept. Grad. # 4'!A9</f>
        <v>1 1/2 "</v>
      </c>
      <c r="AG38" s="436" t="str">
        <f>'Accept. Grad. # 4'!F9</f>
        <v/>
      </c>
      <c r="AH38" s="437" t="str">
        <f>'Accept. Grad. # 4'!G9</f>
        <v/>
      </c>
      <c r="AK38" s="410"/>
      <c r="AP38" s="1083"/>
      <c r="AQ38" s="472" t="s">
        <v>875</v>
      </c>
      <c r="AT38" s="415"/>
      <c r="AU38" s="1627" t="str">
        <f t="shared" si="6"/>
        <v/>
      </c>
      <c r="AV38" s="1628"/>
      <c r="AW38" s="1628"/>
      <c r="AX38" s="1628"/>
      <c r="AY38" s="1629"/>
      <c r="AZ38" s="743" t="s">
        <v>138</v>
      </c>
      <c r="BA38" s="1044" t="s">
        <v>415</v>
      </c>
      <c r="BB38" s="1044" t="s">
        <v>443</v>
      </c>
      <c r="BC38" s="721"/>
      <c r="BD38" s="721"/>
      <c r="BE38" s="238">
        <v>36</v>
      </c>
      <c r="BF38" s="721" t="s">
        <v>415</v>
      </c>
      <c r="BG38" s="721"/>
      <c r="BH38" s="721"/>
      <c r="BJ38" s="436">
        <f t="shared" si="0"/>
        <v>38</v>
      </c>
      <c r="BM38" t="s">
        <v>1257</v>
      </c>
      <c r="BN38" s="1044" t="s">
        <v>1214</v>
      </c>
      <c r="BY38" s="1243">
        <v>20425</v>
      </c>
      <c r="BZ38" s="238">
        <f t="shared" si="5"/>
        <v>25425</v>
      </c>
    </row>
    <row r="39" spans="1:78" ht="13.5" thickTop="1">
      <c r="A39" s="397" t="s">
        <v>2100</v>
      </c>
      <c r="B39" s="239">
        <v>3</v>
      </c>
      <c r="C39" s="239">
        <v>4</v>
      </c>
      <c r="D39" s="241">
        <v>105</v>
      </c>
      <c r="E39" s="241" t="e">
        <f>IF(AND((OR(J1=1,J1=2,J1=3,J1=4,J1=5,J1=14)),(AND(E37&gt;=B39,E37&lt;=C39))),D39,0)</f>
        <v>#VALUE!</v>
      </c>
      <c r="F39" s="241" t="e">
        <f>IF(AND((OR(J1=1,J1=2,J1=3,J1=4,J1=5,J1=14)),(AND(F37&gt;=B39,F37&lt;=C39))),D39,0)</f>
        <v>#VALUE!</v>
      </c>
      <c r="G39" s="241" t="e">
        <f>IF(AND((OR(J1=1,J1=2,J1=3,J1=4,J1=5,J1=14)),(AND(G37&gt;=B39,G37&lt;=C39))),D39,0)</f>
        <v>#VALUE!</v>
      </c>
      <c r="H39" s="398" t="e">
        <f>IF(AND((OR(J1=1,J1=2,J1=3,J1=4,J1=5,J1=14)),(AND(H37&gt;=B39,H37&lt;=C39))),D39,0)</f>
        <v>#VALUE!</v>
      </c>
      <c r="I39"/>
      <c r="J39" s="241"/>
      <c r="K39" s="435" t="str">
        <f>'Accept. Grad. # 1'!H10</f>
        <v/>
      </c>
      <c r="L39" s="238">
        <f>'Accept. Grad. # 1'!B10</f>
        <v>0</v>
      </c>
      <c r="M39" s="238" t="str">
        <f>'Accept. Grad. # 1'!A10</f>
        <v>1 "</v>
      </c>
      <c r="O39" s="436" t="str">
        <f>'Accept. Grad. # 1'!F10</f>
        <v/>
      </c>
      <c r="P39" s="436" t="str">
        <f>'Accept. Grad. # 1'!G10</f>
        <v/>
      </c>
      <c r="Q39" s="470" t="str">
        <f>'Accept. Grad. # 2'!H10</f>
        <v/>
      </c>
      <c r="R39" s="238">
        <f>'Accept. Grad. # 2'!B10</f>
        <v>0</v>
      </c>
      <c r="S39" s="238" t="str">
        <f>'Accept. Grad. # 2'!A10</f>
        <v>1 "</v>
      </c>
      <c r="U39" s="436" t="str">
        <f>'Accept. Grad. # 2'!F10</f>
        <v/>
      </c>
      <c r="V39" s="436" t="str">
        <f>'Accept. Grad. # 2'!G10</f>
        <v/>
      </c>
      <c r="W39" s="470" t="str">
        <f>'Accept. Grad. # 3'!H10</f>
        <v/>
      </c>
      <c r="X39" s="436">
        <f>'Accept. Grad. # 3'!B10</f>
        <v>0</v>
      </c>
      <c r="Y39" s="436" t="str">
        <f>'Accept. Grad. # 3'!A10</f>
        <v>1 "</v>
      </c>
      <c r="AA39" s="436" t="str">
        <f>'Accept. Grad. # 3'!F10</f>
        <v/>
      </c>
      <c r="AB39" s="436" t="str">
        <f>'Accept. Grad. # 3'!G10</f>
        <v/>
      </c>
      <c r="AC39" s="470" t="str">
        <f>'Accept. Grad. # 4'!H10</f>
        <v/>
      </c>
      <c r="AD39" s="238">
        <f>'Accept. Grad. # 4'!B10</f>
        <v>0</v>
      </c>
      <c r="AE39" s="238" t="str">
        <f>'Accept. Grad. # 4'!A10</f>
        <v>1 "</v>
      </c>
      <c r="AG39" s="436" t="str">
        <f>'Accept. Grad. # 4'!F10</f>
        <v/>
      </c>
      <c r="AH39" s="437" t="str">
        <f>'Accept. Grad. # 4'!G10</f>
        <v/>
      </c>
      <c r="AK39" s="445" t="s">
        <v>876</v>
      </c>
      <c r="AP39" s="397"/>
      <c r="AQ39" s="472" t="s">
        <v>877</v>
      </c>
      <c r="AT39" s="415"/>
      <c r="BA39" s="1044" t="s">
        <v>417</v>
      </c>
      <c r="BB39" s="1044" t="s">
        <v>444</v>
      </c>
      <c r="BC39" s="721"/>
      <c r="BD39" s="721"/>
      <c r="BE39" s="238">
        <v>37</v>
      </c>
      <c r="BF39" s="721" t="s">
        <v>417</v>
      </c>
      <c r="BG39" s="721"/>
      <c r="BH39" s="721"/>
      <c r="BJ39" s="436">
        <f t="shared" si="0"/>
        <v>39</v>
      </c>
      <c r="BM39" t="s">
        <v>1258</v>
      </c>
      <c r="BN39" s="1044" t="s">
        <v>1220</v>
      </c>
      <c r="BY39" s="1243">
        <v>20450</v>
      </c>
      <c r="BZ39" s="238">
        <f t="shared" si="5"/>
        <v>25450</v>
      </c>
    </row>
    <row r="40" spans="1:78" ht="12.75">
      <c r="A40" s="397" t="s">
        <v>2100</v>
      </c>
      <c r="B40" s="1273">
        <f>IF(D15=2,1.5,2)</f>
        <v>2</v>
      </c>
      <c r="C40" s="239">
        <v>2.9</v>
      </c>
      <c r="D40" s="241">
        <v>0</v>
      </c>
      <c r="E40" s="241" t="e">
        <f>IF(AND((OR(J1=1,J1=2,J1=3,J1=4,J1=5,J1=14)),(AND(E37&gt;=B40,E37&lt;=C40))),(1+(0.1*(E37-3)))*100,0)</f>
        <v>#VALUE!</v>
      </c>
      <c r="F40" s="241" t="e">
        <f>IF(AND((OR(J1=1,J1=2,J1=3,J1=4,J1=5,J1=14)),(AND(F37&gt;=B40,F37&lt;=C40))),(1+(0.1*(F37-3)))*100,0)</f>
        <v>#VALUE!</v>
      </c>
      <c r="G40" s="241" t="e">
        <f>IF(AND((OR(J1=1,J1=2,J1=3,J1=4,J1=5,J1=14)),(AND(G37&gt;=B40,G37&lt;=C40))),(1+(0.1*(G37-3)))*100,0)</f>
        <v>#VALUE!</v>
      </c>
      <c r="H40" s="398" t="e">
        <f>IF(AND((OR(J1=1,J1=2,J1=3,J1=4,J1=5,J1=14)),(AND(H37&gt;=B40,H37&lt;=C40))),(1+(0.1*(H37-3)))*100,0)</f>
        <v>#VALUE!</v>
      </c>
      <c r="I40"/>
      <c r="J40" s="241"/>
      <c r="K40" s="435" t="str">
        <f>'Accept. Grad. # 1'!H11</f>
        <v/>
      </c>
      <c r="L40" s="238">
        <f>'Accept. Grad. # 1'!B11</f>
        <v>0</v>
      </c>
      <c r="M40" s="238" t="str">
        <f>'Accept. Grad. # 1'!A11</f>
        <v>3/4 "</v>
      </c>
      <c r="O40" s="436" t="str">
        <f>'Accept. Grad. # 1'!F11</f>
        <v/>
      </c>
      <c r="P40" s="436" t="str">
        <f>'Accept. Grad. # 1'!G11</f>
        <v/>
      </c>
      <c r="Q40" s="470" t="str">
        <f>'Accept. Grad. # 2'!H11</f>
        <v/>
      </c>
      <c r="R40" s="238">
        <f>'Accept. Grad. # 2'!B11</f>
        <v>0</v>
      </c>
      <c r="S40" s="238" t="str">
        <f>'Accept. Grad. # 2'!A11</f>
        <v>3/4 "</v>
      </c>
      <c r="U40" s="436" t="str">
        <f>'Accept. Grad. # 2'!F11</f>
        <v/>
      </c>
      <c r="V40" s="436" t="str">
        <f>'Accept. Grad. # 2'!G11</f>
        <v/>
      </c>
      <c r="W40" s="470" t="str">
        <f>'Accept. Grad. # 3'!H11</f>
        <v/>
      </c>
      <c r="X40" s="436">
        <f>'Accept. Grad. # 3'!B11</f>
        <v>0</v>
      </c>
      <c r="Y40" s="436" t="str">
        <f>'Accept. Grad. # 3'!A11</f>
        <v>3/4 "</v>
      </c>
      <c r="AA40" s="436" t="str">
        <f>'Accept. Grad. # 3'!F11</f>
        <v/>
      </c>
      <c r="AB40" s="436" t="str">
        <f>'Accept. Grad. # 3'!G11</f>
        <v/>
      </c>
      <c r="AC40" s="470" t="str">
        <f>'Accept. Grad. # 4'!H11</f>
        <v/>
      </c>
      <c r="AD40" s="238">
        <f>'Accept. Grad. # 4'!B11</f>
        <v>0</v>
      </c>
      <c r="AE40" s="238" t="str">
        <f>'Accept. Grad. # 4'!A11</f>
        <v>3/4 "</v>
      </c>
      <c r="AG40" s="436" t="str">
        <f>'Accept. Grad. # 4'!F11</f>
        <v/>
      </c>
      <c r="AH40" s="437" t="str">
        <f>'Accept. Grad. # 4'!G11</f>
        <v/>
      </c>
      <c r="AK40" s="445" t="s">
        <v>879</v>
      </c>
      <c r="AP40" s="397"/>
      <c r="AQ40" s="472" t="s">
        <v>880</v>
      </c>
      <c r="AT40" s="415"/>
      <c r="BA40" s="1044" t="s">
        <v>419</v>
      </c>
      <c r="BB40" s="1044" t="s">
        <v>445</v>
      </c>
      <c r="BC40" s="721"/>
      <c r="BD40" s="721"/>
      <c r="BE40" s="238">
        <v>38</v>
      </c>
      <c r="BF40" s="721" t="s">
        <v>419</v>
      </c>
      <c r="BG40" s="721"/>
      <c r="BH40" s="721"/>
      <c r="BJ40" s="436">
        <f t="shared" si="0"/>
        <v>40</v>
      </c>
      <c r="BM40" t="s">
        <v>1259</v>
      </c>
      <c r="BN40" s="1044" t="s">
        <v>1226</v>
      </c>
      <c r="BY40" s="1243">
        <v>20475</v>
      </c>
      <c r="BZ40" s="238">
        <f t="shared" si="5"/>
        <v>25475</v>
      </c>
    </row>
    <row r="41" spans="1:78" ht="12.75">
      <c r="A41" s="397" t="s">
        <v>2100</v>
      </c>
      <c r="B41" s="239">
        <v>4.0999999999999996</v>
      </c>
      <c r="C41" s="239">
        <v>6</v>
      </c>
      <c r="D41" s="241">
        <v>0</v>
      </c>
      <c r="E41" s="241" t="e">
        <f>IF(AND((OR(J1=1,J1=2,J1=3,J1=4,J1=5,J1=14)),(AND(E37&gt;=B41,E37&lt;=C41))),(1+(0.1*(4.5-E37)))*100,0)</f>
        <v>#VALUE!</v>
      </c>
      <c r="F41" s="241" t="e">
        <f>IF(AND((OR(J1=1,J1=2,J1=3,J1=4,J1=5,J1=14)),(AND(F37&gt;=B41,F37&lt;=C41))),(1+(0.1*(4.5-F37)))*100,0)</f>
        <v>#VALUE!</v>
      </c>
      <c r="G41" s="241" t="e">
        <f>IF(AND((OR(J1=1,J1=2,J1=3,J1=4,J1=5,J1=14)),(AND(G37&gt;=B41,G37&lt;=C41))),(1+(0.1*(4.5-G37)))*100,0)</f>
        <v>#VALUE!</v>
      </c>
      <c r="H41" s="398" t="e">
        <f>IF(AND((OR(J1=1,J1=2,J1=3,J1=4,J1=5,J1=14)),(AND(H37&gt;=B41,H37&lt;=C41))),(1+(0.1*(4.5-H37)))*100,0)</f>
        <v>#VALUE!</v>
      </c>
      <c r="I41"/>
      <c r="J41" s="241"/>
      <c r="K41" s="435" t="str">
        <f>'Accept. Grad. # 1'!H12</f>
        <v/>
      </c>
      <c r="L41" s="238">
        <f>'Accept. Grad. # 1'!B12</f>
        <v>0</v>
      </c>
      <c r="M41" s="238" t="str">
        <f>'Accept. Grad. # 1'!A12</f>
        <v xml:space="preserve">1/2 " </v>
      </c>
      <c r="O41" s="436" t="str">
        <f>'Accept. Grad. # 1'!F12</f>
        <v/>
      </c>
      <c r="P41" s="436" t="str">
        <f>'Accept. Grad. # 1'!G12</f>
        <v/>
      </c>
      <c r="Q41" s="470" t="str">
        <f>'Accept. Grad. # 2'!H12</f>
        <v/>
      </c>
      <c r="R41" s="238">
        <f>'Accept. Grad. # 2'!B12</f>
        <v>0</v>
      </c>
      <c r="S41" s="238" t="str">
        <f>'Accept. Grad. # 2'!A12</f>
        <v xml:space="preserve">1/2 " </v>
      </c>
      <c r="U41" s="436" t="str">
        <f>'Accept. Grad. # 2'!F12</f>
        <v/>
      </c>
      <c r="V41" s="436" t="str">
        <f>'Accept. Grad. # 2'!G12</f>
        <v/>
      </c>
      <c r="W41" s="470" t="str">
        <f>'Accept. Grad. # 3'!H12</f>
        <v/>
      </c>
      <c r="X41" s="436">
        <f>'Accept. Grad. # 3'!B12</f>
        <v>0</v>
      </c>
      <c r="Y41" s="436" t="str">
        <f>'Accept. Grad. # 3'!A12</f>
        <v xml:space="preserve">1/2 " </v>
      </c>
      <c r="AA41" s="436" t="str">
        <f>'Accept. Grad. # 3'!F12</f>
        <v/>
      </c>
      <c r="AB41" s="436" t="str">
        <f>'Accept. Grad. # 3'!G12</f>
        <v/>
      </c>
      <c r="AC41" s="470" t="str">
        <f>'Accept. Grad. # 4'!H12</f>
        <v/>
      </c>
      <c r="AD41" s="238">
        <f>'Accept. Grad. # 4'!B12</f>
        <v>0</v>
      </c>
      <c r="AE41" s="238" t="str">
        <f>'Accept. Grad. # 4'!A12</f>
        <v xml:space="preserve">1/2 " </v>
      </c>
      <c r="AG41" s="436" t="str">
        <f>'Accept. Grad. # 4'!F12</f>
        <v/>
      </c>
      <c r="AH41" s="437" t="str">
        <f>'Accept. Grad. # 4'!G12</f>
        <v/>
      </c>
      <c r="AK41" s="446" t="s">
        <v>881</v>
      </c>
      <c r="AP41" s="397"/>
      <c r="AQ41" s="472" t="s">
        <v>882</v>
      </c>
      <c r="AT41" s="415"/>
      <c r="BA41" s="1044" t="s">
        <v>421</v>
      </c>
      <c r="BB41" s="1044" t="s">
        <v>446</v>
      </c>
      <c r="BC41" s="721"/>
      <c r="BD41" s="721"/>
      <c r="BE41" s="238">
        <v>39</v>
      </c>
      <c r="BF41" s="721" t="s">
        <v>421</v>
      </c>
      <c r="BG41" s="721"/>
      <c r="BH41" s="721"/>
      <c r="BJ41" s="436">
        <f t="shared" si="0"/>
        <v>41</v>
      </c>
      <c r="BM41" t="s">
        <v>1260</v>
      </c>
      <c r="BN41" s="1044" t="s">
        <v>1261</v>
      </c>
      <c r="BY41" s="1243">
        <v>20375</v>
      </c>
      <c r="BZ41" s="238">
        <f t="shared" si="5"/>
        <v>25375</v>
      </c>
    </row>
    <row r="42" spans="1:78" ht="13.5" thickBot="1">
      <c r="A42" s="397" t="s">
        <v>2100</v>
      </c>
      <c r="B42" s="1273">
        <f>IF(D15=2,6.1,0)</f>
        <v>0</v>
      </c>
      <c r="C42" s="1273">
        <f>IF(D15=2,6.5,0)</f>
        <v>0</v>
      </c>
      <c r="D42" s="241">
        <v>75</v>
      </c>
      <c r="E42" s="241" t="e">
        <f>IF(AND((OR(J1=1,J1=2,J1=3,J1=4,J1=5,J1=14)),(AND(E37&gt;=B42,E37&lt;=C42))),D42,0)</f>
        <v>#VALUE!</v>
      </c>
      <c r="F42" s="241" t="e">
        <f>IF(AND((OR(J1=1,J1=2,J1=3,J1=4,J1=5,J1=14)),(AND(F37&gt;=B42,F37&lt;=C42))),D42,0)</f>
        <v>#VALUE!</v>
      </c>
      <c r="G42" s="241" t="e">
        <f>IF(AND((OR(J1=1,J1=2,J1=3,J1=4,J1=5,J1=14)),(AND(G37&gt;=B42,G37&lt;=C42))),D42,0)</f>
        <v>#VALUE!</v>
      </c>
      <c r="H42" s="398" t="e">
        <f>IF(AND((OR(J1=1,J1=2,J1=3,J1=4,J1=5,J1=14)),(AND(H37&gt;=B42,H37&lt;=C42))),D42,0)</f>
        <v>#VALUE!</v>
      </c>
      <c r="I42"/>
      <c r="J42" s="241"/>
      <c r="K42" s="435" t="str">
        <f>'Accept. Grad. # 1'!H13</f>
        <v/>
      </c>
      <c r="L42" s="238">
        <f>'Accept. Grad. # 1'!B13</f>
        <v>0</v>
      </c>
      <c r="M42" s="238" t="str">
        <f>'Accept. Grad. # 1'!A13</f>
        <v>3/8 "</v>
      </c>
      <c r="O42" s="436" t="str">
        <f>'Accept. Grad. # 1'!F13</f>
        <v/>
      </c>
      <c r="P42" s="436" t="str">
        <f>'Accept. Grad. # 1'!G13</f>
        <v/>
      </c>
      <c r="Q42" s="470" t="str">
        <f>'Accept. Grad. # 2'!H13</f>
        <v/>
      </c>
      <c r="R42" s="238">
        <f>'Accept. Grad. # 2'!B13</f>
        <v>0</v>
      </c>
      <c r="S42" s="238" t="str">
        <f>'Accept. Grad. # 2'!A13</f>
        <v>3/8 "</v>
      </c>
      <c r="U42" s="436" t="str">
        <f>'Accept. Grad. # 2'!F13</f>
        <v/>
      </c>
      <c r="V42" s="436" t="str">
        <f>'Accept. Grad. # 2'!G13</f>
        <v/>
      </c>
      <c r="W42" s="470" t="str">
        <f>'Accept. Grad. # 3'!H13</f>
        <v/>
      </c>
      <c r="X42" s="436">
        <f>'Accept. Grad. # 3'!B13</f>
        <v>0</v>
      </c>
      <c r="Y42" s="436" t="str">
        <f>'Accept. Grad. # 3'!A13</f>
        <v>3/8 "</v>
      </c>
      <c r="AA42" s="436" t="str">
        <f>'Accept. Grad. # 3'!F13</f>
        <v/>
      </c>
      <c r="AB42" s="436" t="str">
        <f>'Accept. Grad. # 3'!G13</f>
        <v/>
      </c>
      <c r="AC42" s="470" t="str">
        <f>'Accept. Grad. # 4'!H13</f>
        <v/>
      </c>
      <c r="AD42" s="238">
        <f>'Accept. Grad. # 4'!B13</f>
        <v>0</v>
      </c>
      <c r="AE42" s="238" t="str">
        <f>'Accept. Grad. # 4'!A13</f>
        <v>3/8 "</v>
      </c>
      <c r="AG42" s="436" t="str">
        <f>'Accept. Grad. # 4'!F13</f>
        <v/>
      </c>
      <c r="AH42" s="437" t="str">
        <f>'Accept. Grad. # 4'!G13</f>
        <v/>
      </c>
      <c r="AK42" s="447" t="s">
        <v>883</v>
      </c>
      <c r="AL42" s="419"/>
      <c r="AM42" s="419"/>
      <c r="AN42" s="419"/>
      <c r="AO42" s="419"/>
      <c r="AP42" s="434"/>
      <c r="AQ42" s="473" t="s">
        <v>884</v>
      </c>
      <c r="AR42" s="419"/>
      <c r="AS42" s="419"/>
      <c r="AT42" s="420"/>
      <c r="BA42" s="1044" t="s">
        <v>423</v>
      </c>
      <c r="BB42" s="1044" t="s">
        <v>447</v>
      </c>
      <c r="BC42" s="721"/>
      <c r="BD42" s="721"/>
      <c r="BE42" s="238">
        <v>40</v>
      </c>
      <c r="BF42" s="721" t="s">
        <v>423</v>
      </c>
      <c r="BG42" s="721"/>
      <c r="BH42" s="721"/>
      <c r="BJ42" s="436">
        <f t="shared" si="0"/>
        <v>42</v>
      </c>
      <c r="BM42" t="s">
        <v>1262</v>
      </c>
      <c r="BN42" s="1044" t="s">
        <v>13</v>
      </c>
      <c r="BY42" s="1243">
        <v>20400</v>
      </c>
      <c r="BZ42" s="238">
        <f t="shared" si="5"/>
        <v>25400</v>
      </c>
    </row>
    <row r="43" spans="1:78" ht="13.5" thickTop="1">
      <c r="A43" s="397" t="s">
        <v>2100</v>
      </c>
      <c r="B43" s="1273">
        <f>IF(D15=2,1.4,1.9)</f>
        <v>1.9</v>
      </c>
      <c r="C43" s="1273">
        <f>IF(D15=2,6.6,6.1)</f>
        <v>6.1</v>
      </c>
      <c r="D43" s="241">
        <v>65</v>
      </c>
      <c r="E43" s="241" t="e">
        <f>IF(AND((OR(J1=1,J1=2,J1=3,J1=4,J1=5,J1=14)),(OR(E37&gt;=B43,E37&lt;=C43))),D43,0)</f>
        <v>#VALUE!</v>
      </c>
      <c r="F43" s="241" t="e">
        <f>IF(AND((OR(J1=1,J1=2,J1=3,J1=4,J1=5,J1=14)),(OR(F37&gt;=B43,F37&lt;=C43))),D43,0)</f>
        <v>#VALUE!</v>
      </c>
      <c r="G43" s="241" t="e">
        <f>IF(AND((OR(J1=1,J1=2,J1=3,J1=4,J1=5,J1=14)),(OR(G37&gt;=B43,G37&lt;=C43))),D43,0)</f>
        <v>#VALUE!</v>
      </c>
      <c r="H43" s="398" t="e">
        <f>IF(AND((OR(J1=1,J1=2,J1=3,J1=4,J1=5,J1=14)),(OR(H37&gt;=B43,H37&lt;=C43))),D43,0)</f>
        <v>#VALUE!</v>
      </c>
      <c r="I43"/>
      <c r="J43" s="241"/>
      <c r="K43" s="435" t="str">
        <f>'Accept. Grad. # 1'!H14</f>
        <v/>
      </c>
      <c r="L43" s="238">
        <f>'Accept. Grad. # 1'!B14</f>
        <v>0</v>
      </c>
      <c r="M43" s="238" t="str">
        <f>'Accept. Grad. # 1'!A14</f>
        <v># 4</v>
      </c>
      <c r="O43" s="436" t="str">
        <f>'Accept. Grad. # 1'!F14</f>
        <v/>
      </c>
      <c r="P43" s="436" t="str">
        <f>'Accept. Grad. # 1'!G14</f>
        <v/>
      </c>
      <c r="Q43" s="470" t="str">
        <f>'Accept. Grad. # 2'!H14</f>
        <v/>
      </c>
      <c r="R43" s="238">
        <f>'Accept. Grad. # 2'!B14</f>
        <v>0</v>
      </c>
      <c r="S43" s="238" t="str">
        <f>'Accept. Grad. # 2'!A14</f>
        <v># 4</v>
      </c>
      <c r="U43" s="436" t="str">
        <f>'Accept. Grad. # 2'!F14</f>
        <v/>
      </c>
      <c r="V43" s="436" t="str">
        <f>'Accept. Grad. # 2'!G14</f>
        <v/>
      </c>
      <c r="W43" s="470" t="str">
        <f>'Accept. Grad. # 3'!H14</f>
        <v/>
      </c>
      <c r="X43" s="436">
        <f>'Accept. Grad. # 3'!B14</f>
        <v>0</v>
      </c>
      <c r="Y43" s="436" t="str">
        <f>'Accept. Grad. # 3'!A14</f>
        <v># 4</v>
      </c>
      <c r="AA43" s="436" t="str">
        <f>'Accept. Grad. # 3'!F14</f>
        <v/>
      </c>
      <c r="AB43" s="436" t="str">
        <f>'Accept. Grad. # 3'!G14</f>
        <v/>
      </c>
      <c r="AC43" s="470" t="str">
        <f>'Accept. Grad. # 4'!H14</f>
        <v/>
      </c>
      <c r="AD43" s="238">
        <f>'Accept. Grad. # 4'!B14</f>
        <v>0</v>
      </c>
      <c r="AE43" s="238" t="str">
        <f>'Accept. Grad. # 4'!A14</f>
        <v># 4</v>
      </c>
      <c r="AG43" s="436" t="str">
        <f>'Accept. Grad. # 4'!F14</f>
        <v/>
      </c>
      <c r="AH43" s="437" t="str">
        <f>'Accept. Grad. # 4'!G14</f>
        <v/>
      </c>
      <c r="BA43" s="1044" t="s">
        <v>425</v>
      </c>
      <c r="BB43" s="1044" t="s">
        <v>448</v>
      </c>
      <c r="BC43" s="721"/>
      <c r="BD43" s="721"/>
      <c r="BE43" s="238">
        <v>41</v>
      </c>
      <c r="BF43" s="721" t="s">
        <v>425</v>
      </c>
      <c r="BG43" s="721"/>
      <c r="BH43" s="721"/>
      <c r="BJ43" s="436">
        <f t="shared" si="0"/>
        <v>43</v>
      </c>
      <c r="BM43" t="s">
        <v>1263</v>
      </c>
      <c r="BN43" s="1044" t="s">
        <v>15</v>
      </c>
      <c r="BY43" s="1243">
        <v>20425</v>
      </c>
      <c r="BZ43" s="238">
        <f t="shared" si="5"/>
        <v>25425</v>
      </c>
    </row>
    <row r="44" spans="1:78" ht="13.5" thickBot="1">
      <c r="A44" s="412" t="s">
        <v>1662</v>
      </c>
      <c r="B44" s="413"/>
      <c r="C44" s="413"/>
      <c r="D44" s="413"/>
      <c r="E44" s="402" t="e">
        <f>MAX(E39:E43)</f>
        <v>#VALUE!</v>
      </c>
      <c r="F44" s="402" t="e">
        <f>MAX(F39:F43)</f>
        <v>#VALUE!</v>
      </c>
      <c r="G44" s="402" t="e">
        <f>MAX(G39:G43)</f>
        <v>#VALUE!</v>
      </c>
      <c r="H44" s="403" t="e">
        <f>MAX(H39:H43)</f>
        <v>#VALUE!</v>
      </c>
      <c r="I44"/>
      <c r="J44" s="241"/>
      <c r="K44" s="435" t="str">
        <f>'Accept. Grad. # 1'!H15</f>
        <v/>
      </c>
      <c r="L44" s="238">
        <f>'Accept. Grad. # 1'!B15</f>
        <v>0</v>
      </c>
      <c r="M44" s="238" t="str">
        <f>'Accept. Grad. # 1'!A15</f>
        <v># 8</v>
      </c>
      <c r="O44" s="436" t="str">
        <f>'Accept. Grad. # 1'!F15</f>
        <v/>
      </c>
      <c r="P44" s="436" t="str">
        <f>'Accept. Grad. # 1'!G15</f>
        <v/>
      </c>
      <c r="Q44" s="470" t="str">
        <f>'Accept. Grad. # 2'!H15</f>
        <v/>
      </c>
      <c r="R44" s="238">
        <f>'Accept. Grad. # 2'!B15</f>
        <v>0</v>
      </c>
      <c r="S44" s="238" t="str">
        <f>'Accept. Grad. # 2'!A15</f>
        <v># 8</v>
      </c>
      <c r="U44" s="436" t="str">
        <f>'Accept. Grad. # 2'!F15</f>
        <v/>
      </c>
      <c r="V44" s="436" t="str">
        <f>'Accept. Grad. # 2'!G15</f>
        <v/>
      </c>
      <c r="W44" s="470" t="str">
        <f>'Accept. Grad. # 3'!H15</f>
        <v/>
      </c>
      <c r="X44" s="436">
        <f>'Accept. Grad. # 3'!B15</f>
        <v>0</v>
      </c>
      <c r="Y44" s="436" t="str">
        <f>'Accept. Grad. # 3'!A15</f>
        <v># 8</v>
      </c>
      <c r="AA44" s="436" t="str">
        <f>'Accept. Grad. # 3'!F15</f>
        <v/>
      </c>
      <c r="AB44" s="436" t="str">
        <f>'Accept. Grad. # 3'!G15</f>
        <v/>
      </c>
      <c r="AC44" s="470" t="str">
        <f>'Accept. Grad. # 4'!H15</f>
        <v/>
      </c>
      <c r="AD44" s="238">
        <f>'Accept. Grad. # 4'!B15</f>
        <v>0</v>
      </c>
      <c r="AE44" s="238" t="str">
        <f>'Accept. Grad. # 4'!A15</f>
        <v># 8</v>
      </c>
      <c r="AG44" s="436" t="str">
        <f>'Accept. Grad. # 4'!F15</f>
        <v/>
      </c>
      <c r="AH44" s="437" t="str">
        <f>'Accept. Grad. # 4'!G15</f>
        <v/>
      </c>
      <c r="BA44" s="1044" t="s">
        <v>406</v>
      </c>
      <c r="BB44" s="1044" t="s">
        <v>449</v>
      </c>
      <c r="BC44" s="721"/>
      <c r="BD44" s="721"/>
      <c r="BE44" s="238">
        <v>42</v>
      </c>
      <c r="BF44" s="721" t="s">
        <v>406</v>
      </c>
      <c r="BG44" s="721"/>
      <c r="BH44" s="721"/>
      <c r="BJ44" s="436">
        <f t="shared" si="0"/>
        <v>44</v>
      </c>
      <c r="BM44" t="s">
        <v>1264</v>
      </c>
      <c r="BN44" s="1044" t="s">
        <v>17</v>
      </c>
      <c r="BY44" s="1243">
        <v>20450</v>
      </c>
      <c r="BZ44" s="238">
        <f t="shared" si="5"/>
        <v>25450</v>
      </c>
    </row>
    <row r="45" spans="1:78" ht="14.25" thickTop="1" thickBot="1">
      <c r="I45"/>
      <c r="J45" s="241"/>
      <c r="K45" s="435" t="str">
        <f>'Accept. Grad. # 1'!H16</f>
        <v/>
      </c>
      <c r="L45" s="238">
        <f>'Accept. Grad. # 1'!B16</f>
        <v>0</v>
      </c>
      <c r="M45" s="238" t="str">
        <f>'Accept. Grad. # 1'!A16</f>
        <v># 16</v>
      </c>
      <c r="O45" s="436" t="str">
        <f>'Accept. Grad. # 1'!F16</f>
        <v/>
      </c>
      <c r="P45" s="436" t="str">
        <f>'Accept. Grad. # 1'!G16</f>
        <v/>
      </c>
      <c r="Q45" s="470" t="str">
        <f>'Accept. Grad. # 2'!H16</f>
        <v/>
      </c>
      <c r="R45" s="238">
        <f>'Accept. Grad. # 2'!B16</f>
        <v>0</v>
      </c>
      <c r="S45" s="238" t="str">
        <f>'Accept. Grad. # 2'!A16</f>
        <v># 16</v>
      </c>
      <c r="U45" s="436" t="str">
        <f>'Accept. Grad. # 2'!F16</f>
        <v/>
      </c>
      <c r="V45" s="436" t="str">
        <f>'Accept. Grad. # 2'!G16</f>
        <v/>
      </c>
      <c r="W45" s="470" t="str">
        <f>'Accept. Grad. # 3'!H16</f>
        <v/>
      </c>
      <c r="X45" s="436">
        <f>'Accept. Grad. # 3'!B16</f>
        <v>0</v>
      </c>
      <c r="Y45" s="436" t="str">
        <f>'Accept. Grad. # 3'!A16</f>
        <v># 16</v>
      </c>
      <c r="AA45" s="436" t="str">
        <f>'Accept. Grad. # 3'!F16</f>
        <v/>
      </c>
      <c r="AB45" s="436" t="str">
        <f>'Accept. Grad. # 3'!G16</f>
        <v/>
      </c>
      <c r="AC45" s="470" t="str">
        <f>'Accept. Grad. # 4'!H16</f>
        <v/>
      </c>
      <c r="AD45" s="238">
        <f>'Accept. Grad. # 4'!B16</f>
        <v>0</v>
      </c>
      <c r="AE45" s="238" t="str">
        <f>'Accept. Grad. # 4'!A16</f>
        <v># 16</v>
      </c>
      <c r="AG45" s="436" t="str">
        <f>'Accept. Grad. # 4'!F16</f>
        <v/>
      </c>
      <c r="AH45" s="437" t="str">
        <f>'Accept. Grad. # 4'!G16</f>
        <v/>
      </c>
      <c r="BA45" s="1044" t="s">
        <v>408</v>
      </c>
      <c r="BB45" s="1044" t="s">
        <v>296</v>
      </c>
      <c r="BC45" s="721"/>
      <c r="BD45" s="721"/>
      <c r="BE45" s="238">
        <v>43</v>
      </c>
      <c r="BF45" s="721" t="s">
        <v>408</v>
      </c>
      <c r="BG45" s="721"/>
      <c r="BH45" s="721"/>
      <c r="BJ45" s="436">
        <f t="shared" si="0"/>
        <v>45</v>
      </c>
      <c r="BM45" t="s">
        <v>1265</v>
      </c>
      <c r="BN45" s="1044" t="s">
        <v>19</v>
      </c>
      <c r="BY45" s="1243">
        <v>20475</v>
      </c>
      <c r="BZ45" s="238">
        <f t="shared" si="5"/>
        <v>25475</v>
      </c>
    </row>
    <row r="46" spans="1:78" ht="14.25" thickTop="1" thickBot="1">
      <c r="A46" s="1597" t="s">
        <v>1643</v>
      </c>
      <c r="B46" s="1598"/>
      <c r="C46" s="1598"/>
      <c r="D46" s="1598"/>
      <c r="E46" s="1598"/>
      <c r="F46" s="1598"/>
      <c r="G46" s="1598"/>
      <c r="H46" s="1599"/>
      <c r="I46"/>
      <c r="J46" s="241"/>
      <c r="K46" s="435" t="str">
        <f>'Accept. Grad. # 1'!H17</f>
        <v/>
      </c>
      <c r="L46" s="238">
        <f>'Accept. Grad. # 1'!B17</f>
        <v>0</v>
      </c>
      <c r="M46" s="238" t="str">
        <f>'Accept. Grad. # 1'!A17</f>
        <v># 30</v>
      </c>
      <c r="O46" s="436" t="str">
        <f>'Accept. Grad. # 1'!F17</f>
        <v/>
      </c>
      <c r="P46" s="436" t="str">
        <f>'Accept. Grad. # 1'!G17</f>
        <v/>
      </c>
      <c r="Q46" s="470" t="str">
        <f>'Accept. Grad. # 2'!H17</f>
        <v/>
      </c>
      <c r="R46" s="238">
        <f>'Accept. Grad. # 2'!B17</f>
        <v>0</v>
      </c>
      <c r="S46" s="238" t="str">
        <f>'Accept. Grad. # 2'!A17</f>
        <v># 30</v>
      </c>
      <c r="U46" s="436" t="str">
        <f>'Accept. Grad. # 2'!F17</f>
        <v/>
      </c>
      <c r="V46" s="436" t="str">
        <f>'Accept. Grad. # 2'!G17</f>
        <v/>
      </c>
      <c r="W46" s="470" t="str">
        <f>'Accept. Grad. # 3'!H17</f>
        <v/>
      </c>
      <c r="X46" s="436">
        <f>'Accept. Grad. # 3'!B17</f>
        <v>0</v>
      </c>
      <c r="Y46" s="436" t="str">
        <f>'Accept. Grad. # 3'!A17</f>
        <v># 30</v>
      </c>
      <c r="AA46" s="436" t="str">
        <f>'Accept. Grad. # 3'!F17</f>
        <v/>
      </c>
      <c r="AB46" s="436" t="str">
        <f>'Accept. Grad. # 3'!G17</f>
        <v/>
      </c>
      <c r="AC46" s="470" t="str">
        <f>'Accept. Grad. # 4'!H17</f>
        <v/>
      </c>
      <c r="AD46" s="238">
        <f>'Accept. Grad. # 4'!B17</f>
        <v>0</v>
      </c>
      <c r="AE46" s="238" t="str">
        <f>'Accept. Grad. # 4'!A17</f>
        <v># 30</v>
      </c>
      <c r="AG46" s="436" t="str">
        <f>'Accept. Grad. # 4'!F17</f>
        <v/>
      </c>
      <c r="AH46" s="437" t="str">
        <f>'Accept. Grad. # 4'!G17</f>
        <v/>
      </c>
      <c r="BA46" s="1044" t="s">
        <v>409</v>
      </c>
      <c r="BB46" s="1044" t="s">
        <v>297</v>
      </c>
      <c r="BC46" s="721"/>
      <c r="BD46" s="721"/>
      <c r="BE46" s="238">
        <v>44</v>
      </c>
      <c r="BF46" s="721" t="s">
        <v>409</v>
      </c>
      <c r="BG46" s="721"/>
      <c r="BH46" s="721"/>
      <c r="BJ46" s="436">
        <f t="shared" si="0"/>
        <v>46</v>
      </c>
      <c r="BM46" t="s">
        <v>1266</v>
      </c>
      <c r="BN46" s="1044" t="s">
        <v>1267</v>
      </c>
      <c r="BY46" s="1243">
        <v>20250</v>
      </c>
      <c r="BZ46" s="238">
        <f t="shared" si="5"/>
        <v>25250</v>
      </c>
    </row>
    <row r="47" spans="1:78" ht="13.5" thickTop="1">
      <c r="A47" s="393"/>
      <c r="B47" s="394"/>
      <c r="C47" s="394"/>
      <c r="D47" s="394"/>
      <c r="E47" s="394" t="str">
        <f>IF('Pay Values'!J13="","",ROUND('Pay Values'!J13,1))</f>
        <v/>
      </c>
      <c r="F47" s="394" t="str">
        <f>IF('Pay Values'!J14="","",ROUND('Pay Values'!J14,1))</f>
        <v/>
      </c>
      <c r="G47" s="394" t="str">
        <f>IF('Pay Values'!J15="","",ROUND('Pay Values'!J15,1))</f>
        <v/>
      </c>
      <c r="H47" s="394" t="str">
        <f>IF('Pay Values'!J16="","",ROUND('Pay Values'!J16,1))</f>
        <v/>
      </c>
      <c r="I47" s="480"/>
      <c r="J47" s="241"/>
      <c r="K47" s="435" t="str">
        <f>'Accept. Grad. # 1'!H18</f>
        <v/>
      </c>
      <c r="L47" s="238">
        <f>'Accept. Grad. # 1'!B18</f>
        <v>0</v>
      </c>
      <c r="M47" s="238" t="str">
        <f>'Accept. Grad. # 1'!A18</f>
        <v># 50</v>
      </c>
      <c r="O47" s="436" t="str">
        <f>'Accept. Grad. # 1'!F18</f>
        <v/>
      </c>
      <c r="P47" s="436" t="str">
        <f>'Accept. Grad. # 1'!G18</f>
        <v/>
      </c>
      <c r="Q47" s="470" t="str">
        <f>'Accept. Grad. # 2'!H18</f>
        <v/>
      </c>
      <c r="R47" s="238">
        <f>'Accept. Grad. # 2'!B18</f>
        <v>0</v>
      </c>
      <c r="S47" s="238" t="str">
        <f>'Accept. Grad. # 2'!A18</f>
        <v># 50</v>
      </c>
      <c r="U47" s="436" t="str">
        <f>'Accept. Grad. # 2'!F18</f>
        <v/>
      </c>
      <c r="V47" s="436" t="str">
        <f>'Accept. Grad. # 2'!G18</f>
        <v/>
      </c>
      <c r="W47" s="470" t="str">
        <f>'Accept. Grad. # 3'!H18</f>
        <v/>
      </c>
      <c r="X47" s="436">
        <f>'Accept. Grad. # 3'!B18</f>
        <v>0</v>
      </c>
      <c r="Y47" s="436" t="str">
        <f>'Accept. Grad. # 3'!A18</f>
        <v># 50</v>
      </c>
      <c r="AA47" s="436" t="str">
        <f>'Accept. Grad. # 3'!F18</f>
        <v/>
      </c>
      <c r="AB47" s="436" t="str">
        <f>'Accept. Grad. # 3'!G18</f>
        <v/>
      </c>
      <c r="AC47" s="470" t="str">
        <f>'Accept. Grad. # 4'!H18</f>
        <v/>
      </c>
      <c r="AD47" s="238">
        <f>'Accept. Grad. # 4'!B18</f>
        <v>0</v>
      </c>
      <c r="AE47" s="238" t="str">
        <f>'Accept. Grad. # 4'!A18</f>
        <v># 50</v>
      </c>
      <c r="AG47" s="436" t="str">
        <f>'Accept. Grad. # 4'!F18</f>
        <v/>
      </c>
      <c r="AH47" s="437" t="str">
        <f>'Accept. Grad. # 4'!G18</f>
        <v/>
      </c>
      <c r="BA47" s="1044" t="s">
        <v>410</v>
      </c>
      <c r="BB47" s="1044" t="s">
        <v>298</v>
      </c>
      <c r="BC47" s="721"/>
      <c r="BD47" s="721"/>
      <c r="BE47" s="238">
        <v>45</v>
      </c>
      <c r="BF47" s="721" t="s">
        <v>410</v>
      </c>
      <c r="BG47" s="721"/>
      <c r="BH47" s="721"/>
      <c r="BJ47" s="436">
        <f t="shared" si="0"/>
        <v>47</v>
      </c>
      <c r="BM47" t="s">
        <v>1268</v>
      </c>
      <c r="BN47" s="1044" t="s">
        <v>1269</v>
      </c>
      <c r="BY47" s="1243">
        <v>20275</v>
      </c>
      <c r="BZ47" s="238">
        <f t="shared" si="5"/>
        <v>25275</v>
      </c>
    </row>
    <row r="48" spans="1:78" ht="12.75">
      <c r="A48" s="397" t="s">
        <v>1837</v>
      </c>
      <c r="B48" s="241" t="s">
        <v>1838</v>
      </c>
      <c r="C48" s="241" t="s">
        <v>1839</v>
      </c>
      <c r="D48" s="241" t="s">
        <v>1840</v>
      </c>
      <c r="E48" s="241">
        <v>1</v>
      </c>
      <c r="F48" s="241">
        <v>2</v>
      </c>
      <c r="G48" s="241">
        <v>3</v>
      </c>
      <c r="H48" s="398">
        <v>4</v>
      </c>
      <c r="I48" s="241"/>
      <c r="J48" s="241"/>
      <c r="K48" s="435" t="str">
        <f>'Accept. Grad. # 1'!H19</f>
        <v/>
      </c>
      <c r="L48" s="238">
        <f>'Accept. Grad. # 1'!B19</f>
        <v>0</v>
      </c>
      <c r="M48" s="238" t="str">
        <f>'Accept. Grad. # 1'!A19</f>
        <v># 100</v>
      </c>
      <c r="O48" s="436" t="str">
        <f>'Accept. Grad. # 1'!F19</f>
        <v/>
      </c>
      <c r="P48" s="436" t="str">
        <f>'Accept. Grad. # 1'!G19</f>
        <v/>
      </c>
      <c r="Q48" s="470" t="str">
        <f>'Accept. Grad. # 2'!H19</f>
        <v/>
      </c>
      <c r="R48" s="238">
        <f>'Accept. Grad. # 2'!B19</f>
        <v>0</v>
      </c>
      <c r="S48" s="238" t="str">
        <f>'Accept. Grad. # 2'!A19</f>
        <v># 100</v>
      </c>
      <c r="U48" s="436" t="str">
        <f>'Accept. Grad. # 2'!F19</f>
        <v/>
      </c>
      <c r="V48" s="436" t="str">
        <f>'Accept. Grad. # 2'!G19</f>
        <v/>
      </c>
      <c r="W48" s="470" t="str">
        <f>'Accept. Grad. # 3'!H19</f>
        <v/>
      </c>
      <c r="X48" s="436">
        <f>'Accept. Grad. # 3'!B19</f>
        <v>0</v>
      </c>
      <c r="Y48" s="436" t="str">
        <f>'Accept. Grad. # 3'!A19</f>
        <v># 100</v>
      </c>
      <c r="AA48" s="436" t="str">
        <f>'Accept. Grad. # 3'!F19</f>
        <v/>
      </c>
      <c r="AB48" s="436" t="str">
        <f>'Accept. Grad. # 3'!G19</f>
        <v/>
      </c>
      <c r="AC48" s="470" t="str">
        <f>'Accept. Grad. # 4'!H19</f>
        <v/>
      </c>
      <c r="AD48" s="238">
        <f>'Accept. Grad. # 4'!B19</f>
        <v>0</v>
      </c>
      <c r="AE48" s="238" t="str">
        <f>'Accept. Grad. # 4'!A19</f>
        <v># 100</v>
      </c>
      <c r="AG48" s="436" t="str">
        <f>'Accept. Grad. # 4'!F19</f>
        <v/>
      </c>
      <c r="AH48" s="437" t="str">
        <f>'Accept. Grad. # 4'!G19</f>
        <v/>
      </c>
      <c r="BA48" s="1044" t="s">
        <v>411</v>
      </c>
      <c r="BB48" s="1044" t="s">
        <v>299</v>
      </c>
      <c r="BC48" s="721"/>
      <c r="BD48" s="721"/>
      <c r="BE48" s="238">
        <v>46</v>
      </c>
      <c r="BF48" s="721" t="s">
        <v>411</v>
      </c>
      <c r="BG48" s="721"/>
      <c r="BH48" s="721"/>
      <c r="BJ48" s="436">
        <f t="shared" si="0"/>
        <v>48</v>
      </c>
      <c r="BM48" t="s">
        <v>1270</v>
      </c>
      <c r="BN48" s="1044" t="s">
        <v>1271</v>
      </c>
      <c r="BY48" s="1243">
        <v>20300</v>
      </c>
      <c r="BZ48" s="238">
        <f t="shared" si="5"/>
        <v>25300</v>
      </c>
    </row>
    <row r="49" spans="1:78" ht="12.75">
      <c r="A49" s="397" t="s">
        <v>2100</v>
      </c>
      <c r="B49" s="239">
        <v>0</v>
      </c>
      <c r="C49" s="239">
        <v>200</v>
      </c>
      <c r="D49" s="241">
        <v>100</v>
      </c>
      <c r="E49" s="241">
        <f>IF(AND((OR(J1=1,J1=2,J1=3,J1=4,J1=5,J1=14)),(AND(E47&gt;=B49,E47&lt;=C49))),D49,0)</f>
        <v>0</v>
      </c>
      <c r="F49" s="241">
        <f>IF(AND((OR(J1=1,J1=2,J1=3,J1=4,J1=5,J1=14)),(AND(F47&gt;=B49,F47&lt;=C49))),D49,0)</f>
        <v>0</v>
      </c>
      <c r="G49" s="241">
        <f>IF(AND((OR(J1=1,J1=2,J1=3,J1=4,J1=5,J1=14)),(AND(G47&gt;=B49,G47&lt;=C49))),D49,0)</f>
        <v>0</v>
      </c>
      <c r="H49" s="398">
        <f>IF(AND((OR(J1=1,J1=2,J1=3,J1=4,J1=5,J1=14)),(AND(H47&gt;=B49,H47&lt;=C49))),D49,0)</f>
        <v>0</v>
      </c>
      <c r="I49" s="241"/>
      <c r="J49" s="241"/>
      <c r="K49" s="435" t="str">
        <f>'Accept. Grad. # 1'!H20</f>
        <v/>
      </c>
      <c r="L49" s="243">
        <f>'Accept. Grad. # 1'!B20</f>
        <v>0</v>
      </c>
      <c r="M49" s="238" t="str">
        <f>'Accept. Grad. # 1'!A20</f>
        <v># 200</v>
      </c>
      <c r="O49" s="243" t="str">
        <f>'Accept. Grad. # 1'!F20</f>
        <v/>
      </c>
      <c r="P49" s="243" t="str">
        <f>'Accept. Grad. # 1'!G20</f>
        <v/>
      </c>
      <c r="Q49" s="470" t="str">
        <f>'Accept. Grad. # 2'!H20</f>
        <v/>
      </c>
      <c r="R49" s="243">
        <f>'Accept. Grad. # 2'!B20</f>
        <v>0</v>
      </c>
      <c r="S49" s="238" t="str">
        <f>'Accept. Grad. # 2'!A20</f>
        <v># 200</v>
      </c>
      <c r="U49" s="243" t="str">
        <f>'Accept. Grad. # 2'!F20</f>
        <v/>
      </c>
      <c r="V49" s="243" t="str">
        <f>'Accept. Grad. # 2'!G20</f>
        <v/>
      </c>
      <c r="W49" s="470" t="str">
        <f>'Accept. Grad. # 3'!H20</f>
        <v/>
      </c>
      <c r="X49" s="243">
        <f>'Accept. Grad. # 3'!B20</f>
        <v>0</v>
      </c>
      <c r="Y49" s="436" t="str">
        <f>'Accept. Grad. # 3'!A20</f>
        <v># 200</v>
      </c>
      <c r="AA49" s="243" t="str">
        <f>'Accept. Grad. # 3'!F20</f>
        <v/>
      </c>
      <c r="AB49" s="243" t="str">
        <f>'Accept. Grad. # 3'!G20</f>
        <v/>
      </c>
      <c r="AC49" s="470" t="str">
        <f>'Accept. Grad. # 4'!H20</f>
        <v/>
      </c>
      <c r="AD49" s="243">
        <f>'Accept. Grad. # 4'!B20</f>
        <v>0</v>
      </c>
      <c r="AE49" s="238" t="str">
        <f>'Accept. Grad. # 4'!A20</f>
        <v># 200</v>
      </c>
      <c r="AG49" s="243" t="str">
        <f>'Accept. Grad. # 4'!F20</f>
        <v/>
      </c>
      <c r="AH49" s="438" t="str">
        <f>'Accept. Grad. # 4'!G20</f>
        <v/>
      </c>
      <c r="BA49" s="1044" t="s">
        <v>412</v>
      </c>
      <c r="BB49" s="1044" t="s">
        <v>300</v>
      </c>
      <c r="BC49" s="721"/>
      <c r="BD49" s="721"/>
      <c r="BE49" s="238">
        <v>47</v>
      </c>
      <c r="BF49" s="721" t="s">
        <v>412</v>
      </c>
      <c r="BG49" s="721"/>
      <c r="BH49" s="721"/>
      <c r="BJ49" s="436">
        <f t="shared" si="0"/>
        <v>49</v>
      </c>
      <c r="BM49" t="s">
        <v>1272</v>
      </c>
      <c r="BN49" s="1044" t="s">
        <v>1255</v>
      </c>
      <c r="BY49" s="1243">
        <v>20325</v>
      </c>
      <c r="BZ49" s="238">
        <f t="shared" si="5"/>
        <v>25325</v>
      </c>
    </row>
    <row r="50" spans="1:78" ht="12.75">
      <c r="A50" s="397" t="s">
        <v>2100</v>
      </c>
      <c r="B50" s="239">
        <v>-0.5</v>
      </c>
      <c r="C50" s="239">
        <v>-0.1</v>
      </c>
      <c r="D50" s="241">
        <v>95</v>
      </c>
      <c r="E50" s="241">
        <f>IF(AND((OR(J1=1,J1=2,J1=3,J1=4,J1=5,J1=14)),(AND(E47&gt;=B50,E47&lt;=C50))),D50,0)</f>
        <v>0</v>
      </c>
      <c r="F50" s="241">
        <f>IF(AND((OR(J1=1,J1=2,J1=3,J1=4,J1=5,J1=14)),(AND(F47&gt;=B50,F47&lt;=C50))),D50,0)</f>
        <v>0</v>
      </c>
      <c r="G50" s="241">
        <f>IF(AND((OR(J1=1,J1=2,J1=3,J1=4,J1=5,J1=14)),(AND(G47&gt;=B50,G47&lt;=C50))),D50,0)</f>
        <v>0</v>
      </c>
      <c r="H50" s="398">
        <f>IF(AND((OR(J1=1,J1=2,J1=3,J1=4,J1=5,J1=14)),(AND(H47&gt;=B50,H47&lt;=C50))),D50,0)</f>
        <v>0</v>
      </c>
      <c r="I50" s="241"/>
      <c r="J50" s="241"/>
      <c r="K50" s="435" t="str">
        <f>'Accept. Grad. # 1'!H21</f>
        <v/>
      </c>
      <c r="L50" s="243">
        <f>'Accept. Grad. # 1'!B21</f>
        <v>0</v>
      </c>
      <c r="M50" s="238" t="str">
        <f>'Accept. Grad. # 1'!A21</f>
        <v>% AC</v>
      </c>
      <c r="O50" s="243" t="str">
        <f>'Accept. Grad. # 1'!F21</f>
        <v/>
      </c>
      <c r="P50" s="243" t="str">
        <f>'Accept. Grad. # 1'!G21</f>
        <v/>
      </c>
      <c r="Q50" s="470" t="str">
        <f>'Accept. Grad. # 2'!H21</f>
        <v/>
      </c>
      <c r="R50" s="243">
        <f>'Accept. Grad. # 2'!B21</f>
        <v>0</v>
      </c>
      <c r="S50" s="238" t="str">
        <f>'Accept. Grad. # 2'!A21</f>
        <v>% AC</v>
      </c>
      <c r="U50" s="243" t="str">
        <f>'Accept. Grad. # 2'!F21</f>
        <v/>
      </c>
      <c r="V50" s="243" t="str">
        <f>'Accept. Grad. # 2'!G21</f>
        <v/>
      </c>
      <c r="W50" s="470" t="str">
        <f>'Accept. Grad. # 3'!H21</f>
        <v/>
      </c>
      <c r="X50" s="243">
        <f>'Accept. Grad. # 3'!B21</f>
        <v>0</v>
      </c>
      <c r="Y50" s="238" t="str">
        <f>'Accept. Grad. # 3'!A21</f>
        <v>% AC</v>
      </c>
      <c r="AA50" s="243" t="str">
        <f>'Accept. Grad. # 3'!F21</f>
        <v/>
      </c>
      <c r="AB50" s="243" t="str">
        <f>'Accept. Grad. # 3'!G21</f>
        <v/>
      </c>
      <c r="AC50" s="470" t="str">
        <f>'Accept. Grad. # 4'!H21</f>
        <v/>
      </c>
      <c r="AD50" s="243">
        <f>'Accept. Grad. # 4'!B21</f>
        <v>0</v>
      </c>
      <c r="AE50" s="238" t="str">
        <f>'Accept. Grad. # 4'!A21</f>
        <v>% AC</v>
      </c>
      <c r="AG50" s="243" t="str">
        <f>'Accept. Grad. # 4'!F21</f>
        <v/>
      </c>
      <c r="AH50" s="438" t="str">
        <f>'Accept. Grad. # 4'!G21</f>
        <v/>
      </c>
      <c r="AK50" s="238" t="e">
        <f>AK45:AK49</f>
        <v>#VALUE!</v>
      </c>
      <c r="BA50" s="1044" t="s">
        <v>413</v>
      </c>
      <c r="BB50" s="1044" t="s">
        <v>450</v>
      </c>
      <c r="BC50" s="721"/>
      <c r="BD50" s="721"/>
      <c r="BE50" s="238">
        <v>48</v>
      </c>
      <c r="BF50" s="721" t="s">
        <v>413</v>
      </c>
      <c r="BG50" s="721"/>
      <c r="BH50" s="721"/>
      <c r="BJ50" s="436">
        <f t="shared" si="0"/>
        <v>50</v>
      </c>
      <c r="BM50" t="s">
        <v>1273</v>
      </c>
      <c r="BN50" s="1044" t="s">
        <v>1274</v>
      </c>
      <c r="BY50" s="1243">
        <v>20350</v>
      </c>
      <c r="BZ50" s="238">
        <f t="shared" si="5"/>
        <v>25350</v>
      </c>
    </row>
    <row r="51" spans="1:78" ht="13.5" thickBot="1">
      <c r="A51" s="397" t="s">
        <v>2100</v>
      </c>
      <c r="B51" s="239">
        <v>-1</v>
      </c>
      <c r="C51" s="239">
        <v>-0.6</v>
      </c>
      <c r="D51" s="241">
        <v>90</v>
      </c>
      <c r="E51" s="241">
        <f>IF(AND((OR(J1=1,J1=2,J1=3,J1=4,J1=5,J1=14)),(AND(E47&gt;=B51,E47&lt;=C51))),D51,0)</f>
        <v>0</v>
      </c>
      <c r="F51" s="241">
        <f>IF(AND((OR(J1=1,J1=2,J1=3,J1=4,J1=5,J1=14)),(AND(F47&gt;=B51,F47&lt;=C51))),D51,0)</f>
        <v>0</v>
      </c>
      <c r="G51" s="241">
        <f>IF(AND((OR(J1=1,J1=2,J1=3,J1=4,J1=5,J1=14)),(AND(G47&gt;=B51,G47&lt;=C51))),D51,0)</f>
        <v>0</v>
      </c>
      <c r="H51" s="398">
        <f>IF(AND((OR(J1=1,J1=2,J1=3,J1=4,J1=5,J1=14)),(AND(H47&gt;=B51,H47&lt;=C51))),D51,0)</f>
        <v>0</v>
      </c>
      <c r="I51" s="241"/>
      <c r="J51" s="241"/>
      <c r="K51" s="439" t="str">
        <f>'Accept. Grad. # 1'!H22</f>
        <v/>
      </c>
      <c r="L51" s="440" t="str">
        <f>'Accept. Grad. # 1'!B22</f>
        <v/>
      </c>
      <c r="M51" s="419" t="str">
        <f>'Accept. Grad. # 1'!A22</f>
        <v>F.M.</v>
      </c>
      <c r="N51" s="419"/>
      <c r="O51" s="441" t="str">
        <f>'Accept. Grad. # 1'!F22</f>
        <v/>
      </c>
      <c r="P51" s="440" t="str">
        <f>'Accept. Grad. # 1'!G22</f>
        <v/>
      </c>
      <c r="Q51" s="471" t="str">
        <f>'Accept. Grad. # 2'!H22</f>
        <v/>
      </c>
      <c r="R51" s="440" t="str">
        <f>'Accept. Grad. # 2'!B22</f>
        <v/>
      </c>
      <c r="S51" s="419" t="str">
        <f>'Accept. Grad. # 2'!A22</f>
        <v>F.M.</v>
      </c>
      <c r="T51" s="419"/>
      <c r="U51" s="441" t="str">
        <f>'Accept. Grad. # 2'!F22</f>
        <v/>
      </c>
      <c r="V51" s="440" t="str">
        <f>'Accept. Grad. # 2'!G22</f>
        <v/>
      </c>
      <c r="W51" s="471" t="str">
        <f>'Accept. Grad. # 3'!H22</f>
        <v/>
      </c>
      <c r="X51" s="440" t="str">
        <f>'Accept. Grad. # 3'!B22</f>
        <v/>
      </c>
      <c r="Y51" s="440" t="str">
        <f>'Accept. Grad. # 3'!A22</f>
        <v>F.M.</v>
      </c>
      <c r="Z51" s="419"/>
      <c r="AA51" s="441" t="str">
        <f>'Accept. Grad. # 3'!F22</f>
        <v/>
      </c>
      <c r="AB51" s="440" t="str">
        <f>'Accept. Grad. # 3'!G22</f>
        <v/>
      </c>
      <c r="AC51" s="471" t="str">
        <f>'Accept. Grad. # 4'!H22</f>
        <v/>
      </c>
      <c r="AD51" s="440" t="str">
        <f>'Accept. Grad. # 4'!B22</f>
        <v/>
      </c>
      <c r="AE51" s="419" t="str">
        <f>'Accept. Grad. # 4'!A22</f>
        <v>F.M.</v>
      </c>
      <c r="AF51" s="419"/>
      <c r="AG51" s="441" t="str">
        <f>'Accept. Grad. # 4'!F22</f>
        <v/>
      </c>
      <c r="AH51" s="513" t="str">
        <f>'Accept. Grad. # 4'!G22</f>
        <v/>
      </c>
      <c r="BA51" s="1044" t="s">
        <v>415</v>
      </c>
      <c r="BB51" s="1044" t="s">
        <v>451</v>
      </c>
      <c r="BC51" s="721"/>
      <c r="BD51" s="721"/>
      <c r="BE51" s="238">
        <v>49</v>
      </c>
      <c r="BF51" s="721" t="s">
        <v>415</v>
      </c>
      <c r="BG51" s="721"/>
      <c r="BH51" s="721"/>
      <c r="BJ51" s="436">
        <f t="shared" si="0"/>
        <v>51</v>
      </c>
      <c r="BM51" t="s">
        <v>1275</v>
      </c>
      <c r="BN51" s="1044" t="s">
        <v>2127</v>
      </c>
      <c r="BY51" s="1243">
        <v>20250</v>
      </c>
      <c r="BZ51" s="238">
        <f t="shared" si="5"/>
        <v>25250</v>
      </c>
    </row>
    <row r="52" spans="1:78" ht="13.5" thickTop="1">
      <c r="A52" s="397" t="s">
        <v>2100</v>
      </c>
      <c r="B52" s="239"/>
      <c r="C52" s="239"/>
      <c r="D52" s="241" t="s">
        <v>937</v>
      </c>
      <c r="E52" s="241">
        <f>IF(AND((OR(J1=1,J1=2,J1=3,J1=4,J1=5,J1=14)),(AND(E47&gt;=B52,E47&lt;=C52))),D52,0)</f>
        <v>0</v>
      </c>
      <c r="F52" s="241">
        <f>IF(AND((OR(J1=1,J1=2,J1=3,J1=4,J1=5,J1=14)),(AND(F47&gt;=B52,F47&lt;=C52))),D52,0)</f>
        <v>0</v>
      </c>
      <c r="G52" s="241">
        <f>IF(AND((OR(J1=1,J1=2,J1=3,J1=4,J1=5,J1=14)),(AND(G47&gt;=B52,G47&lt;=C52))),D52,0)</f>
        <v>0</v>
      </c>
      <c r="H52" s="398">
        <f>IF(AND((OR(J1=1,J1=2,J1=3,J1=4,J1=5,J1=14)),(AND(H47&gt;=B52,H47&lt;=C52))),D52,0)</f>
        <v>0</v>
      </c>
      <c r="I52" s="241"/>
      <c r="J52" s="241"/>
      <c r="K52" s="241"/>
      <c r="L52" s="241"/>
      <c r="M52" s="241"/>
      <c r="N52" s="241"/>
      <c r="O52" s="241"/>
      <c r="P52" s="241"/>
      <c r="Q52" s="241"/>
      <c r="R52" s="241"/>
      <c r="S52" s="241"/>
      <c r="T52" s="241"/>
      <c r="BA52" s="1044" t="s">
        <v>417</v>
      </c>
      <c r="BB52" s="1044" t="s">
        <v>452</v>
      </c>
      <c r="BC52" s="721"/>
      <c r="BD52" s="721"/>
      <c r="BE52" s="238">
        <v>50</v>
      </c>
      <c r="BF52" s="721" t="s">
        <v>417</v>
      </c>
      <c r="BG52" s="721"/>
      <c r="BH52" s="721"/>
      <c r="BJ52" s="436">
        <f t="shared" si="0"/>
        <v>52</v>
      </c>
      <c r="BM52" t="s">
        <v>1276</v>
      </c>
      <c r="BN52" s="1044" t="s">
        <v>1202</v>
      </c>
      <c r="BY52" s="1243">
        <v>20275</v>
      </c>
      <c r="BZ52" s="238">
        <f t="shared" si="5"/>
        <v>25275</v>
      </c>
    </row>
    <row r="53" spans="1:78" ht="12.75">
      <c r="A53" s="397" t="s">
        <v>2100</v>
      </c>
      <c r="B53" s="239"/>
      <c r="C53" s="239">
        <v>-1.1000000000000001</v>
      </c>
      <c r="D53" s="241" t="s">
        <v>937</v>
      </c>
      <c r="E53" s="241">
        <f>IF(AND((OR(J1=1,J1=2,J1=3,J1=4,J1=5,J1=14)),(OR(E47&lt;B51))),D53,0)</f>
        <v>0</v>
      </c>
      <c r="F53" s="241">
        <f>IF(AND((OR(J1=1,J1=2,J1=3,J1=4,J1=5,J1=14)),(AND(F47&lt;B51))),D53,0)</f>
        <v>0</v>
      </c>
      <c r="G53" s="241">
        <f>IF(AND((OR(J1=1,J1=2,J1=3,J1=4,J1=5,J1=14)),(AND(G47&lt;B51))),D53,0)</f>
        <v>0</v>
      </c>
      <c r="H53" s="398">
        <f>IF(AND((OR(J1=1,J1=2,J1=3,J1=4,J1=5,J1=14)),(AND(H47&lt;B51))),D53,0)</f>
        <v>0</v>
      </c>
      <c r="I53" s="241"/>
      <c r="J53" s="241"/>
      <c r="K53" s="241"/>
      <c r="L53" s="241"/>
      <c r="M53" s="241"/>
      <c r="N53" s="241"/>
      <c r="O53" s="241"/>
      <c r="P53" s="241"/>
      <c r="Q53" s="241"/>
      <c r="R53" s="241"/>
      <c r="S53" s="241"/>
      <c r="T53" s="241"/>
      <c r="BA53" s="1044" t="s">
        <v>419</v>
      </c>
      <c r="BB53" s="1044" t="s">
        <v>453</v>
      </c>
      <c r="BC53" s="721"/>
      <c r="BD53" s="721"/>
      <c r="BE53" s="238">
        <v>51</v>
      </c>
      <c r="BF53" s="721" t="s">
        <v>419</v>
      </c>
      <c r="BG53" s="721"/>
      <c r="BH53" s="721"/>
      <c r="BJ53" s="436">
        <f t="shared" si="0"/>
        <v>53</v>
      </c>
      <c r="BM53" t="s">
        <v>1277</v>
      </c>
      <c r="BN53" s="1044" t="s">
        <v>1204</v>
      </c>
      <c r="BY53" s="1243">
        <v>20300</v>
      </c>
      <c r="BZ53" s="238">
        <f t="shared" si="5"/>
        <v>25300</v>
      </c>
    </row>
    <row r="54" spans="1:78" ht="13.5" thickBot="1">
      <c r="A54" s="1600" t="s">
        <v>1662</v>
      </c>
      <c r="B54" s="1601"/>
      <c r="C54" s="1601"/>
      <c r="D54" s="1601"/>
      <c r="E54" s="402" t="str">
        <f>IF(E47="","",IF(E53="MCL","MCL",MAX(E49:E53)))</f>
        <v/>
      </c>
      <c r="F54" s="402" t="str">
        <f>IF(F47="","",IF(F53="MCL","MCL",MAX(F49:F53)))</f>
        <v/>
      </c>
      <c r="G54" s="402" t="str">
        <f>IF(G47="","",IF(G53="MCL","MCL",MAX(G49:G53)))</f>
        <v/>
      </c>
      <c r="H54" s="403" t="str">
        <f>IF(H47="","",IF(H53="MCL","MCL",MAX(H49:H53)))</f>
        <v/>
      </c>
      <c r="I54" s="241"/>
      <c r="J54" s="241"/>
      <c r="K54" s="241"/>
      <c r="L54" s="241"/>
      <c r="M54" s="241"/>
      <c r="N54" s="241"/>
      <c r="O54" s="241"/>
      <c r="P54" s="241"/>
      <c r="Q54" s="241"/>
      <c r="R54" s="241"/>
      <c r="S54" s="241"/>
      <c r="BA54" s="1044" t="s">
        <v>421</v>
      </c>
      <c r="BB54" s="1044" t="s">
        <v>454</v>
      </c>
      <c r="BC54" s="721"/>
      <c r="BD54" s="721"/>
      <c r="BE54" s="238">
        <v>52</v>
      </c>
      <c r="BF54" s="721" t="s">
        <v>421</v>
      </c>
      <c r="BG54" s="721"/>
      <c r="BH54" s="721"/>
      <c r="BJ54" s="436">
        <f t="shared" si="0"/>
        <v>54</v>
      </c>
      <c r="BM54" t="s">
        <v>1278</v>
      </c>
      <c r="BN54" s="1044" t="s">
        <v>1206</v>
      </c>
      <c r="BY54" s="1243">
        <v>20325</v>
      </c>
      <c r="BZ54" s="238">
        <f t="shared" si="5"/>
        <v>25325</v>
      </c>
    </row>
    <row r="55" spans="1:78" ht="17.25" thickTop="1" thickBot="1">
      <c r="A55" s="406" t="s">
        <v>1663</v>
      </c>
      <c r="B55" s="633"/>
      <c r="C55" s="633"/>
      <c r="D55" s="407"/>
      <c r="E55" s="407"/>
      <c r="F55" s="407"/>
      <c r="G55" s="407"/>
      <c r="H55" s="407"/>
      <c r="I55" s="407"/>
      <c r="J55" s="407"/>
      <c r="K55" s="407"/>
      <c r="L55" s="409"/>
      <c r="M55" s="241"/>
      <c r="N55" s="709"/>
      <c r="O55" s="708"/>
      <c r="P55" s="708" t="s">
        <v>82</v>
      </c>
      <c r="Q55" s="708"/>
      <c r="R55" s="708"/>
      <c r="S55" s="241"/>
      <c r="T55" s="1587" t="s">
        <v>1645</v>
      </c>
      <c r="U55" s="1589" t="s">
        <v>304</v>
      </c>
      <c r="V55" s="1590"/>
      <c r="W55" s="1591" t="s">
        <v>1654</v>
      </c>
      <c r="X55" s="1591"/>
      <c r="Y55" s="1589" t="s">
        <v>1655</v>
      </c>
      <c r="Z55" s="1590"/>
      <c r="BA55" s="722" t="s">
        <v>423</v>
      </c>
      <c r="BB55" s="1044" t="s">
        <v>455</v>
      </c>
      <c r="BC55" s="721"/>
      <c r="BD55" s="721"/>
      <c r="BE55" s="238">
        <v>53</v>
      </c>
      <c r="BF55" s="722" t="s">
        <v>423</v>
      </c>
      <c r="BG55" s="721"/>
      <c r="BH55" s="721"/>
      <c r="BJ55" s="436">
        <f t="shared" si="0"/>
        <v>55</v>
      </c>
      <c r="BM55" t="s">
        <v>1279</v>
      </c>
      <c r="BN55" s="1044" t="s">
        <v>1208</v>
      </c>
      <c r="BY55" s="1243">
        <v>20350</v>
      </c>
      <c r="BZ55" s="238">
        <f t="shared" si="5"/>
        <v>25350</v>
      </c>
    </row>
    <row r="56" spans="1:78" ht="15" customHeight="1" thickTop="1" thickBot="1">
      <c r="A56" s="393"/>
      <c r="B56" s="394"/>
      <c r="C56" s="394"/>
      <c r="D56" s="394"/>
      <c r="E56" s="395" t="e">
        <f>ROUND(Cores!I33,1)</f>
        <v>#VALUE!</v>
      </c>
      <c r="F56" s="395" t="e">
        <f>ROUND(Cores!I34,1)</f>
        <v>#VALUE!</v>
      </c>
      <c r="G56" s="395" t="e">
        <f>ROUND(Cores!I36,1)</f>
        <v>#VALUE!</v>
      </c>
      <c r="H56" s="395" t="e">
        <f>ROUND(Cores!I37,1)</f>
        <v>#VALUE!</v>
      </c>
      <c r="I56" s="395" t="e">
        <f>ROUND(Cores!I39,1)</f>
        <v>#VALUE!</v>
      </c>
      <c r="J56" s="395" t="e">
        <f>ROUND(Cores!I40,1)</f>
        <v>#VALUE!</v>
      </c>
      <c r="K56" s="395" t="e">
        <f>ROUND(Cores!I42,1)</f>
        <v>#VALUE!</v>
      </c>
      <c r="L56" s="396" t="e">
        <f>ROUND(Cores!I43,1)</f>
        <v>#VALUE!</v>
      </c>
      <c r="M56" s="241"/>
      <c r="N56" s="1602" t="str">
        <f>Cores!A10</f>
        <v>0-1-A</v>
      </c>
      <c r="O56" s="1603"/>
      <c r="P56" s="1604" t="str">
        <f>IF(Cores!I10="","",10)</f>
        <v/>
      </c>
      <c r="Q56" s="1605"/>
      <c r="R56" s="1606"/>
      <c r="S56" s="240"/>
      <c r="T56" s="1588"/>
      <c r="U56" s="434" t="s">
        <v>302</v>
      </c>
      <c r="V56" s="1091" t="s">
        <v>303</v>
      </c>
      <c r="W56" s="402" t="s">
        <v>302</v>
      </c>
      <c r="X56" s="1091" t="s">
        <v>303</v>
      </c>
      <c r="Y56" s="434" t="s">
        <v>302</v>
      </c>
      <c r="Z56" s="1091" t="s">
        <v>303</v>
      </c>
      <c r="BA56" s="722" t="s">
        <v>425</v>
      </c>
      <c r="BB56" s="1044" t="s">
        <v>456</v>
      </c>
      <c r="BC56" s="721"/>
      <c r="BD56" s="721"/>
      <c r="BE56" s="238">
        <v>54</v>
      </c>
      <c r="BF56" s="722" t="s">
        <v>425</v>
      </c>
      <c r="BG56" s="721"/>
      <c r="BH56" s="721"/>
      <c r="BJ56" s="436">
        <f t="shared" si="0"/>
        <v>56</v>
      </c>
      <c r="BM56" t="s">
        <v>1280</v>
      </c>
      <c r="BN56" s="1044" t="s">
        <v>1210</v>
      </c>
      <c r="BY56" s="1244">
        <v>20625</v>
      </c>
      <c r="BZ56" s="238">
        <f t="shared" si="5"/>
        <v>25625</v>
      </c>
    </row>
    <row r="57" spans="1:78" ht="13.5" thickTop="1">
      <c r="A57" s="397" t="s">
        <v>1837</v>
      </c>
      <c r="B57" s="241" t="s">
        <v>1838</v>
      </c>
      <c r="C57" s="241" t="s">
        <v>1839</v>
      </c>
      <c r="D57" s="241" t="s">
        <v>1840</v>
      </c>
      <c r="E57" s="241">
        <v>1</v>
      </c>
      <c r="F57" s="241">
        <v>2</v>
      </c>
      <c r="G57" s="241">
        <v>3</v>
      </c>
      <c r="H57" s="241">
        <v>4</v>
      </c>
      <c r="I57" s="241">
        <v>5</v>
      </c>
      <c r="J57" s="240">
        <v>6</v>
      </c>
      <c r="K57" s="425">
        <v>7</v>
      </c>
      <c r="L57" s="426">
        <v>8</v>
      </c>
      <c r="M57" s="241"/>
      <c r="N57" s="1595" t="str">
        <f>Cores!A11</f>
        <v>0-1-B</v>
      </c>
      <c r="O57" s="1596"/>
      <c r="P57" s="1592" t="str">
        <f>IF(Cores!I11="","",10)</f>
        <v/>
      </c>
      <c r="Q57" s="1593"/>
      <c r="R57" s="1594"/>
      <c r="S57" s="241"/>
      <c r="T57" s="397">
        <v>1</v>
      </c>
      <c r="U57" s="397">
        <f>IF('Super Verify'!B5=1,AVERAGE('Pay Values'!B14,'Pay Values'!B15,'Pay Values'!B16)-'Super Verify'!J27,0)</f>
        <v>0</v>
      </c>
      <c r="V57" s="1092">
        <f>IF('Super Verify'!B12=1,AVERAGE('Pay Values'!B14,'Pay Values'!B15,'Pay Values'!B16)-'Super Verify'!M27,0)</f>
        <v>0</v>
      </c>
      <c r="W57" s="241">
        <f>IF('Super Verify'!B5=1,AVERAGE('Pay Values'!F14,'Pay Values'!F15,'Pay Values'!F16)-'Super Verify'!J10,0)</f>
        <v>0</v>
      </c>
      <c r="X57" s="1092">
        <f>IF('Super Verify'!B12=1,AVERAGE('Pay Values'!F14,'Pay Values'!F15,'Pay Values'!F16)-'Super Verify'!J17,0)</f>
        <v>0</v>
      </c>
      <c r="Y57" s="397">
        <f>IF('Super Verify'!B5=1,AVERAGE('Pay Values'!I14,'Pay Values'!I15,'Pay Values'!I16)-'Super Verify'!L10,0)</f>
        <v>0</v>
      </c>
      <c r="Z57" s="1092">
        <f>IF('Super Verify'!B12=1,AVERAGE('Pay Values'!I14,'Pay Values'!I15,'Pay Values'!I16)-'Super Verify'!L17,0)</f>
        <v>0</v>
      </c>
      <c r="BA57" s="722" t="s">
        <v>425</v>
      </c>
      <c r="BB57" s="1044" t="s">
        <v>301</v>
      </c>
      <c r="BC57" s="721"/>
      <c r="BD57" s="721"/>
      <c r="BE57" s="238">
        <v>55</v>
      </c>
      <c r="BF57" s="722" t="s">
        <v>425</v>
      </c>
      <c r="BG57" s="721"/>
      <c r="BH57" s="721"/>
      <c r="BJ57" s="436">
        <f t="shared" si="0"/>
        <v>57</v>
      </c>
      <c r="BM57" t="s">
        <v>1281</v>
      </c>
      <c r="BN57" s="1044" t="s">
        <v>1212</v>
      </c>
      <c r="BY57" s="1244">
        <v>20625</v>
      </c>
      <c r="BZ57" s="238">
        <f t="shared" si="5"/>
        <v>25625</v>
      </c>
    </row>
    <row r="58" spans="1:78" ht="12.75">
      <c r="A58" s="397" t="s">
        <v>2100</v>
      </c>
      <c r="B58" s="239">
        <v>97.1</v>
      </c>
      <c r="C58" s="241">
        <v>200</v>
      </c>
      <c r="D58" s="241">
        <v>75</v>
      </c>
      <c r="E58" s="241" t="e">
        <f>IF(AND((OR(J1=1,J1=2,J1=3,J1=4,J1=5,J1=14)),(AND(E56&gt;=B58,E56&lt;=C58))),D58,0)</f>
        <v>#VALUE!</v>
      </c>
      <c r="F58" s="241" t="e">
        <f>IF(AND((OR(J1=1,J1=2,J1=3,J1=4,J1=5,J1=14)),(AND(F56&gt;=B58,F56&lt;=C58))),D58,0)</f>
        <v>#VALUE!</v>
      </c>
      <c r="G58" s="241" t="e">
        <f>IF(AND((OR(J1=1,J1=2,J1=3,J1=4,J1=5,J1=14)),(AND(G56&gt;=B58,G56&lt;=C58))),D58,0)</f>
        <v>#VALUE!</v>
      </c>
      <c r="H58" s="241" t="e">
        <f>IF(AND((OR(J1=1,J1=2,J1=3,J1=4,J1=5,J1=14)),(AND(H56&gt;=B58,H56&lt;=C58))),D58,0)</f>
        <v>#VALUE!</v>
      </c>
      <c r="I58" s="241" t="e">
        <f>IF(AND((OR(J1=1,J1=2,J1=3,J1=4,J1=5,J1=14)),(AND(I56&gt;=B58,I56&lt;=C58))),D58,0)</f>
        <v>#VALUE!</v>
      </c>
      <c r="J58" s="241" t="e">
        <f>IF(AND((OR(J1=1,J1=2,J1=3,J1=4,J1=5,J1=14)),(AND(J56&gt;=B58,J56&lt;=C58))),D58,0)</f>
        <v>#VALUE!</v>
      </c>
      <c r="K58" s="241" t="e">
        <f>IF(AND((OR(J1=1,J1=2,J1=3,J1=4,J1=5,J1=14)),(AND(K56&gt;=B58,K56&lt;=C58))),D58,0)</f>
        <v>#VALUE!</v>
      </c>
      <c r="L58" s="398" t="e">
        <f>IF(AND((OR(J1=1,J1=2,J1=3,J1=4,J1=5,J1=14)),(AND(L56&gt;=B58,L56&lt;=C58))),D58,0)</f>
        <v>#VALUE!</v>
      </c>
      <c r="M58" s="241"/>
      <c r="N58" s="1595" t="str">
        <f>Cores!A12</f>
        <v>0-1-C</v>
      </c>
      <c r="O58" s="1596"/>
      <c r="P58" s="1592" t="str">
        <f>IF(Cores!I12="","",10)</f>
        <v/>
      </c>
      <c r="Q58" s="1593"/>
      <c r="R58" s="1594"/>
      <c r="S58" s="241"/>
      <c r="T58" s="397">
        <v>2</v>
      </c>
      <c r="U58" s="397">
        <f>IF('Super Verify'!B5=2,AVERAGE('Pay Values'!B13,'Pay Values'!B15,'Pay Values'!B16)-'Super Verify'!J27,0)</f>
        <v>0</v>
      </c>
      <c r="V58" s="1092">
        <f>IF('Super Verify'!B12=2,AVERAGE('Pay Values'!B13,'Pay Values'!B15,'Pay Values'!B16)-'Super Verify'!M27,0)</f>
        <v>0</v>
      </c>
      <c r="W58" s="241">
        <f>IF('Super Verify'!B5=2,AVERAGE('Pay Values'!F13,'Pay Values'!F15,'Pay Values'!F16)-'Super Verify'!J10,0)</f>
        <v>0</v>
      </c>
      <c r="X58" s="1092">
        <f>IF('Super Verify'!B12=2,AVERAGE('Pay Values'!F13,'Pay Values'!F15,'Pay Values'!F16)-'Super Verify'!J17,0)</f>
        <v>0</v>
      </c>
      <c r="Y58" s="397">
        <f>IF('Super Verify'!B5=2,AVERAGE('Pay Values'!I13,'Pay Values'!I15,'Pay Values'!I16)-'Super Verify'!L10,0)</f>
        <v>0</v>
      </c>
      <c r="Z58" s="1092">
        <f>IF('Super Verify'!B12=2,AVERAGE('Pay Values'!I13,'Pay Values'!I15,'Pay Values'!I16)-'Super Verify'!L17,0)</f>
        <v>0</v>
      </c>
      <c r="BA58" s="722" t="s">
        <v>425</v>
      </c>
      <c r="BB58" s="1044" t="s">
        <v>1431</v>
      </c>
      <c r="BC58" s="721"/>
      <c r="BD58" s="721"/>
      <c r="BE58" s="238">
        <v>56</v>
      </c>
      <c r="BF58" s="722" t="s">
        <v>425</v>
      </c>
      <c r="BG58" s="721"/>
      <c r="BH58" s="721"/>
      <c r="BJ58" s="436">
        <f t="shared" si="0"/>
        <v>58</v>
      </c>
      <c r="BM58" t="s">
        <v>1282</v>
      </c>
      <c r="BN58" s="1044" t="s">
        <v>1214</v>
      </c>
      <c r="BY58" s="1244">
        <v>20625</v>
      </c>
      <c r="BZ58" s="238">
        <f t="shared" si="5"/>
        <v>25625</v>
      </c>
    </row>
    <row r="59" spans="1:78" ht="12.75">
      <c r="A59" s="397" t="s">
        <v>2100</v>
      </c>
      <c r="B59" s="239">
        <v>96.6</v>
      </c>
      <c r="C59" s="239">
        <v>97</v>
      </c>
      <c r="D59" s="241">
        <v>90</v>
      </c>
      <c r="E59" s="241" t="e">
        <f>IF(AND((OR(J1=1,J1=2,J1=3,J1=4,J1=5,J1=14)),(AND(E56&gt;=B59,E56&lt;=C59))),D59,0)</f>
        <v>#VALUE!</v>
      </c>
      <c r="F59" s="241" t="e">
        <f>IF(AND((OR(J1=1,J1=2,J1=3,J1=4,J1=5,J1=14)),(AND(F56&gt;=B59,F56&lt;=C59))),D59,0)</f>
        <v>#VALUE!</v>
      </c>
      <c r="G59" s="241" t="e">
        <f>IF(AND((OR(J1=1,J1=2,J1=3,J1=4,J1=5,J1=14)),(AND(G56&gt;=B59,G56&lt;=C59))),D59,0)</f>
        <v>#VALUE!</v>
      </c>
      <c r="H59" s="241" t="e">
        <f>IF(AND((OR(J1=1,J1=2,J1=3,J1=4,J1=5,J1=14)),(AND(H56&gt;=B59,H56&lt;=C59))),D59,0)</f>
        <v>#VALUE!</v>
      </c>
      <c r="I59" s="241" t="e">
        <f>IF(AND((OR(J1=1,J1=2,J1=3,J1=4,J1=5,J1=14)),(AND(I56&gt;=B59,I56&lt;=C59))),D59,0)</f>
        <v>#VALUE!</v>
      </c>
      <c r="J59" s="241" t="e">
        <f>IF(AND((OR(J1=1,J1=2,J1=3,J1=4,J1=5,J1=14)),(AND(J56&gt;=B59,J56&lt;=C59))),D59,0)</f>
        <v>#VALUE!</v>
      </c>
      <c r="K59" s="241" t="e">
        <f>IF(AND((OR(J1=1,J1=2,J1=3,J1=4,J1=5,J1=14)),(AND(K56&gt;=B59,K56&lt;=C59))),D59,0)</f>
        <v>#VALUE!</v>
      </c>
      <c r="L59" s="398" t="e">
        <f>IF(AND((OR(J1=1,J1=2,J1=3,J1=4,J1=5,J1=14)),(AND(L56&gt;=B59,L56&lt;=C59))),D59,0)</f>
        <v>#VALUE!</v>
      </c>
      <c r="M59" s="241"/>
      <c r="N59" s="1595" t="str">
        <f>Cores!A13</f>
        <v>0-1-D</v>
      </c>
      <c r="O59" s="1596"/>
      <c r="P59" s="1592" t="str">
        <f>IF(Cores!I13="","",10)</f>
        <v/>
      </c>
      <c r="Q59" s="1593"/>
      <c r="R59" s="1594"/>
      <c r="S59" s="241"/>
      <c r="T59" s="397">
        <v>3</v>
      </c>
      <c r="U59" s="397">
        <f>IF('Super Verify'!B5=3,AVERAGE('Pay Values'!B13,'Pay Values'!B14,'Pay Values'!B16)-'Super Verify'!J27,0)</f>
        <v>0</v>
      </c>
      <c r="V59" s="1092">
        <f>IF('Super Verify'!B12=3,AVERAGE('Pay Values'!B13,'Pay Values'!B14,'Pay Values'!B16)-'Super Verify'!M27,0)</f>
        <v>0</v>
      </c>
      <c r="W59" s="241">
        <f>IF('Super Verify'!B5=3,AVERAGE('Pay Values'!F13,'Pay Values'!F14,'Pay Values'!F16)-'Super Verify'!J10,0)</f>
        <v>0</v>
      </c>
      <c r="X59" s="1092">
        <f>IF('Super Verify'!B12=3,AVERAGE('Pay Values'!F13,'Pay Values'!F14,'Pay Values'!F16)-'Super Verify'!J17,0)</f>
        <v>0</v>
      </c>
      <c r="Y59" s="397">
        <f>IF('Super Verify'!B5=3,AVERAGE('Pay Values'!I13,'Pay Values'!I14,'Pay Values'!I16)-'Super Verify'!L10,0)</f>
        <v>0</v>
      </c>
      <c r="Z59" s="1092">
        <f>IF('Super Verify'!B12=3,AVERAGE('Pay Values'!I13,'Pay Values'!I14,'Pay Values'!I16)-'Super Verify'!L17,0)</f>
        <v>0</v>
      </c>
      <c r="BA59" s="722" t="s">
        <v>425</v>
      </c>
      <c r="BB59" s="1044" t="s">
        <v>1432</v>
      </c>
      <c r="BC59" s="721"/>
      <c r="BD59" s="721"/>
      <c r="BE59" s="238">
        <v>57</v>
      </c>
      <c r="BF59" s="722" t="s">
        <v>425</v>
      </c>
      <c r="BG59" s="721"/>
      <c r="BH59" s="721"/>
      <c r="BJ59" s="436">
        <f t="shared" si="0"/>
        <v>59</v>
      </c>
      <c r="BM59" t="s">
        <v>1283</v>
      </c>
      <c r="BN59" s="1044" t="s">
        <v>1216</v>
      </c>
      <c r="BY59" s="1244">
        <v>20625</v>
      </c>
      <c r="BZ59" s="238">
        <f t="shared" si="5"/>
        <v>25625</v>
      </c>
    </row>
    <row r="60" spans="1:78" ht="13.5" thickBot="1">
      <c r="A60" s="397" t="s">
        <v>2100</v>
      </c>
      <c r="B60" s="239">
        <v>96.1</v>
      </c>
      <c r="C60" s="239">
        <v>96.5</v>
      </c>
      <c r="D60" s="241">
        <v>100</v>
      </c>
      <c r="E60" s="241" t="e">
        <f>IF(AND((OR(J1=1,J1=2,J1=3,J1=4,J1=5,J1=14)),(AND(E56&gt;=B60,E56&lt;=C60))),D60,0)</f>
        <v>#VALUE!</v>
      </c>
      <c r="F60" s="241" t="e">
        <f>IF(AND((OR(J1=1,J1=2,J1=3,J1=4,J1=5,J1=14)),(AND(F56&gt;=B60,F56&lt;=C60))),D60,0)</f>
        <v>#VALUE!</v>
      </c>
      <c r="G60" s="241" t="e">
        <f>IF(AND((OR(J1=1,J1=2,J1=3,J1=4,J1=5,J1=14)),(AND(G56&gt;=B60,G56&lt;=C60))),D60,0)</f>
        <v>#VALUE!</v>
      </c>
      <c r="H60" s="241" t="e">
        <f>IF(AND((OR(J1=1,J1=2,J1=3,J1=4,J1=5,J1=14)),(AND(H56&gt;=B60,H56&lt;=C60))),D60,0)</f>
        <v>#VALUE!</v>
      </c>
      <c r="I60" s="241" t="e">
        <f>IF(AND((OR(J1=1,J1=2,J1=3,J1=4,J1=5,J1=14)),(AND(I56&gt;=B60,I56&lt;=C60))),D60,0)</f>
        <v>#VALUE!</v>
      </c>
      <c r="J60" s="241" t="e">
        <f>IF(AND((OR(J1=1,J1=2,J1=3,J1=4,J1=5,J1=14)),(AND(J56&gt;=B60,J56&lt;=C60))),D60,0)</f>
        <v>#VALUE!</v>
      </c>
      <c r="K60" s="241" t="e">
        <f>IF(AND((OR(J1=1,J1=2,J1=3,J1=4,J1=5,J1=14)),(AND(K56&gt;=B60,K56&lt;=C60))),D60,0)</f>
        <v>#VALUE!</v>
      </c>
      <c r="L60" s="398" t="e">
        <f>IF(AND((OR(J1=1,J1=2,J1=3,J1=4,J1=5,J1=14)),(AND(L56&gt;=B60,L56&lt;=C60))),D60,0)</f>
        <v>#VALUE!</v>
      </c>
      <c r="M60" s="241"/>
      <c r="N60" s="1595" t="str">
        <f>Cores!A15</f>
        <v>0-2-A</v>
      </c>
      <c r="O60" s="1596"/>
      <c r="P60" s="1592" t="str">
        <f>IF(Cores!I15="","",10)</f>
        <v/>
      </c>
      <c r="Q60" s="1593"/>
      <c r="R60" s="1594"/>
      <c r="S60" s="241"/>
      <c r="T60" s="434">
        <v>4</v>
      </c>
      <c r="U60" s="434">
        <f>IF('Super Verify'!B5=4,AVERAGE('Pay Values'!B13,'Pay Values'!B14,'Pay Values'!B15)-'Super Verify'!J27,0)</f>
        <v>0</v>
      </c>
      <c r="V60" s="1093">
        <f>IF('Super Verify'!B12=4,AVERAGE('Pay Values'!B13,'Pay Values'!B14,'Pay Values'!B15)-'Super Verify'!M27,0)</f>
        <v>0</v>
      </c>
      <c r="W60" s="402">
        <f>IF('Super Verify'!B5=4,AVERAGE('Pay Values'!F13,'Pay Values'!F14,'Pay Values'!F15)-'Super Verify'!J10,0)</f>
        <v>0</v>
      </c>
      <c r="X60" s="1093">
        <f>IF('Super Verify'!B12=4,AVERAGE('Pay Values'!F13,'Pay Values'!F14,'Pay Values'!F15)-'Super Verify'!J17,0)</f>
        <v>0</v>
      </c>
      <c r="Y60" s="434">
        <f>IF('Super Verify'!B5=4,AVERAGE('Pay Values'!I13,'Pay Values'!I14,'Pay Values'!I15)-'Super Verify'!L10,0)</f>
        <v>0</v>
      </c>
      <c r="Z60" s="1093">
        <f>IF('Super Verify'!B12=4,AVERAGE('Pay Values'!I13,'Pay Values'!I14,'Pay Values'!I15)-'Super Verify'!L17,0)</f>
        <v>0</v>
      </c>
      <c r="BA60" s="722" t="s">
        <v>425</v>
      </c>
      <c r="BB60" s="1044" t="s">
        <v>1437</v>
      </c>
      <c r="BC60" s="721"/>
      <c r="BD60" s="721"/>
      <c r="BE60" s="238">
        <v>58</v>
      </c>
      <c r="BF60" s="722" t="s">
        <v>425</v>
      </c>
      <c r="BG60" s="721"/>
      <c r="BH60" s="721"/>
      <c r="BJ60" s="436">
        <f t="shared" si="0"/>
        <v>60</v>
      </c>
      <c r="BM60" t="s">
        <v>1284</v>
      </c>
      <c r="BN60" s="1044" t="s">
        <v>1218</v>
      </c>
      <c r="BY60" s="1244">
        <v>20625</v>
      </c>
      <c r="BZ60" s="238">
        <f t="shared" si="5"/>
        <v>25625</v>
      </c>
    </row>
    <row r="61" spans="1:78" ht="13.5" thickTop="1">
      <c r="A61" s="397" t="s">
        <v>2100</v>
      </c>
      <c r="B61" s="239">
        <v>92</v>
      </c>
      <c r="C61" s="239">
        <v>96</v>
      </c>
      <c r="D61" s="241">
        <v>105</v>
      </c>
      <c r="E61" s="241" t="e">
        <f>IF(AND((OR(J1=1,J1=2,J1=3,J1=4,J1=5,J1=14)),(AND(E56&gt;=B61,E56&lt;=C61))),D61,0)</f>
        <v>#VALUE!</v>
      </c>
      <c r="F61" s="241" t="e">
        <f>IF(AND((OR(J1=1,J1=2,J1=3,J1=4,J1=5,J1=14)),(AND(F56&gt;=B61,F56&lt;=C61))),D61,0)</f>
        <v>#VALUE!</v>
      </c>
      <c r="G61" s="241" t="e">
        <f>IF(AND((OR(J1=1,J1=2,J1=3,J1=4,J1=5,J1=14)),(AND(G56&gt;=B61,G56&lt;=C61))),D61,0)</f>
        <v>#VALUE!</v>
      </c>
      <c r="H61" s="241" t="e">
        <f>IF(AND((OR(J1=1,J1=2,J1=3,J1=4,J1=5,J1=14)),(AND(H56&gt;=B61,H56&lt;=C61))),D61,0)</f>
        <v>#VALUE!</v>
      </c>
      <c r="I61" s="241" t="e">
        <f>IF(AND((OR(J1=1,J1=2,J1=3,J1=4,J1=5,J1=14)),(AND(I56&gt;=B61,I56&lt;=C61))),D61,0)</f>
        <v>#VALUE!</v>
      </c>
      <c r="J61" s="241" t="e">
        <f>IF(AND((OR(J1=1,J1=2,J1=3,J1=4,J1=5,J1=14)),(AND(J56&gt;=B61,J56&lt;=C61))),D61,0)</f>
        <v>#VALUE!</v>
      </c>
      <c r="K61" s="241" t="e">
        <f>IF(AND((OR(J1=1,J1=2,J1=3,J1=4,J1=5,J1=14)),(AND(K56&gt;=B61,K56&lt;=C61))),D61,0)</f>
        <v>#VALUE!</v>
      </c>
      <c r="L61" s="398" t="e">
        <f>IF(AND((OR(J1=1,J1=2,J1=3,J1=4,J1=5,J1=14)),(AND(L56&gt;=B61,L56&lt;=C61))),D61,0)</f>
        <v>#VALUE!</v>
      </c>
      <c r="M61" s="241"/>
      <c r="N61" s="1595" t="str">
        <f>Cores!A16</f>
        <v>0-2-B</v>
      </c>
      <c r="O61" s="1596"/>
      <c r="P61" s="1592" t="str">
        <f>IF(Cores!I16="","",10)</f>
        <v/>
      </c>
      <c r="Q61" s="1593"/>
      <c r="R61" s="1594"/>
      <c r="S61" s="241"/>
      <c r="T61" s="1106" t="s">
        <v>1911</v>
      </c>
      <c r="U61" s="1106">
        <f t="shared" ref="U61:Z61" si="8">SUM(U57:U60)</f>
        <v>0</v>
      </c>
      <c r="V61" s="1108">
        <f t="shared" si="8"/>
        <v>0</v>
      </c>
      <c r="W61" s="1106">
        <f t="shared" si="8"/>
        <v>0</v>
      </c>
      <c r="X61" s="1108">
        <f t="shared" si="8"/>
        <v>0</v>
      </c>
      <c r="Y61" s="1107">
        <f t="shared" si="8"/>
        <v>0</v>
      </c>
      <c r="Z61" s="1108">
        <f t="shared" si="8"/>
        <v>0</v>
      </c>
      <c r="BA61" s="722" t="s">
        <v>425</v>
      </c>
      <c r="BB61" s="1044" t="s">
        <v>1439</v>
      </c>
      <c r="BC61" s="721"/>
      <c r="BD61" s="721"/>
      <c r="BE61" s="238">
        <v>59</v>
      </c>
      <c r="BF61" s="722" t="s">
        <v>425</v>
      </c>
      <c r="BG61" s="721"/>
      <c r="BH61" s="721"/>
      <c r="BJ61" s="436">
        <f t="shared" si="0"/>
        <v>61</v>
      </c>
      <c r="BM61" t="s">
        <v>1285</v>
      </c>
      <c r="BN61" s="1044" t="s">
        <v>1220</v>
      </c>
      <c r="BY61" s="1244">
        <v>20625</v>
      </c>
      <c r="BZ61" s="238">
        <f t="shared" si="5"/>
        <v>25625</v>
      </c>
    </row>
    <row r="62" spans="1:78" ht="13.5" thickBot="1">
      <c r="A62" s="397" t="s">
        <v>2100</v>
      </c>
      <c r="B62" s="239">
        <v>90</v>
      </c>
      <c r="C62" s="239">
        <v>91.9</v>
      </c>
      <c r="D62" s="241">
        <v>100</v>
      </c>
      <c r="E62" s="241" t="e">
        <f>IF(AND((OR(J1=1,J1=2,J1=3,J1=4,J1=5,J1=14)),(AND(E56&gt;=B62,E56&lt;=C62))),D62,0)</f>
        <v>#VALUE!</v>
      </c>
      <c r="F62" s="241" t="e">
        <f>IF(AND((OR(J1=1,J1=2,J1=3,J1=4,J1=5,J1=14)),(AND(F56&gt;=B62,F56&lt;=C62))),D62,0)</f>
        <v>#VALUE!</v>
      </c>
      <c r="G62" s="241" t="e">
        <f>IF(AND((OR(J1=1,J1=2,J1=3,J1=4,J1=5,J1=14)),(AND(G56&gt;=B62,G56&lt;=C62))),D62,0)</f>
        <v>#VALUE!</v>
      </c>
      <c r="H62" s="241" t="e">
        <f>IF(AND((OR(J1=1,J1=2,J1=3,J1=4,J1=5,J1=14)),(AND(H56&gt;=B62,H56&lt;=C62))),D62,0)</f>
        <v>#VALUE!</v>
      </c>
      <c r="I62" s="241" t="e">
        <f>IF(AND((OR(J1=1,J1=2,J1=3,J1=4,J1=5,J1=14)),(AND(I56&gt;=B62,I56&lt;=C62))),D62,0)</f>
        <v>#VALUE!</v>
      </c>
      <c r="J62" s="241" t="e">
        <f>IF(AND((OR(J1=1,J1=2,J1=3,J1=4,J1=5,J1=14)),(AND(J56&gt;=B62,J56&lt;=C62))),D62,0)</f>
        <v>#VALUE!</v>
      </c>
      <c r="K62" s="241" t="e">
        <f>IF(AND((OR(J1=1,J1=2,J1=3,J1=4,J1=5,J1=14)),(AND(K56&gt;=B62,K56&lt;=C62))),D62,0)</f>
        <v>#VALUE!</v>
      </c>
      <c r="L62" s="398" t="e">
        <f>IF(AND((OR(J1=1,J1=2,J1=3,J1=4,J1=5,J1=14)),(AND(L56&gt;=B62,L56&lt;=C62))),D62,0)</f>
        <v>#VALUE!</v>
      </c>
      <c r="M62" s="241"/>
      <c r="N62" s="1595" t="str">
        <f>Cores!A17</f>
        <v>0-2-C</v>
      </c>
      <c r="O62" s="1596"/>
      <c r="P62" s="1592" t="str">
        <f>IF(Cores!I17="","",10)</f>
        <v/>
      </c>
      <c r="Q62" s="1593"/>
      <c r="R62" s="1594"/>
      <c r="S62" s="241"/>
      <c r="T62" s="434" t="s">
        <v>1391</v>
      </c>
      <c r="U62" s="434" t="str">
        <f>IF(AND('Super Verify'!B5="",'Super Verify'!B12=""),"",IF(ABS(U61)&gt;0.6,CONCATENATE("*",TEXT(U61,"0.0")),U61))</f>
        <v/>
      </c>
      <c r="V62" s="1093" t="str">
        <f>IF(AND('Super Verify'!B5="",'Super Verify'!B12=""),"",IF(ABS(V61)&gt;0.6,CONCATENATE("*",TEXT(V61,"0.0")),V61))</f>
        <v/>
      </c>
      <c r="W62" s="434" t="str">
        <f>IF(AND('Super Verify'!B5="",'Super Verify'!B12=""),"",IF(ABS(W61)&gt;1.5,CONCATENATE("*",TEXT(W61,"0.0")),W61))</f>
        <v/>
      </c>
      <c r="X62" s="1093" t="str">
        <f>IF(AND('Super Verify'!B5="",'Super Verify'!B12=""),"",IF(ABS(X61)&gt;1.5,CONCATENATE("*",TEXT(X61,"0.0")),X61))</f>
        <v/>
      </c>
      <c r="Y62" s="402" t="str">
        <f>IF(AND('Super Verify'!B5="",'Super Verify'!B12=""),"",IF(ABS(Y61)&gt;1.2,CONCATENATE("*",TEXT(Y61,"0.0")),Y61))</f>
        <v/>
      </c>
      <c r="Z62" s="1093" t="str">
        <f>IF(AND('Super Verify'!B5="",'Super Verify'!B12=""),"",IF(ABS(Z61)&gt;1.2,CONCATENATE("*",TEXT(Z61,"0.0")),Z61))</f>
        <v/>
      </c>
      <c r="BA62" s="722" t="s">
        <v>423</v>
      </c>
      <c r="BB62" s="1044" t="s">
        <v>1440</v>
      </c>
      <c r="BC62" s="721"/>
      <c r="BD62" s="721"/>
      <c r="BE62" s="238">
        <v>60</v>
      </c>
      <c r="BF62" s="722" t="s">
        <v>423</v>
      </c>
      <c r="BG62" s="721"/>
      <c r="BH62" s="721"/>
      <c r="BJ62" s="436">
        <f t="shared" si="0"/>
        <v>62</v>
      </c>
      <c r="BM62" t="s">
        <v>1286</v>
      </c>
      <c r="BN62" s="1044" t="s">
        <v>1222</v>
      </c>
      <c r="BY62" s="1244">
        <v>20625</v>
      </c>
      <c r="BZ62" s="238">
        <f t="shared" si="5"/>
        <v>25625</v>
      </c>
    </row>
    <row r="63" spans="1:78" ht="13.5" thickTop="1">
      <c r="A63" s="397" t="s">
        <v>2100</v>
      </c>
      <c r="B63" s="239">
        <v>89</v>
      </c>
      <c r="C63" s="239">
        <v>89.9</v>
      </c>
      <c r="D63" s="241">
        <v>95</v>
      </c>
      <c r="E63" s="241" t="e">
        <f>IF(AND((OR(J1=1,J1=2,J1=3,J1=4,J1=5,J1=14)),(AND(E56&gt;=B63,E56&lt;=C63))),D63,0)</f>
        <v>#VALUE!</v>
      </c>
      <c r="F63" s="241" t="e">
        <f>IF(AND((OR(J1=1,J1=2,J1=3,J1=4,J1=5,J1=14)),(AND(F56&gt;=B63,F56&lt;=C63))),D63,0)</f>
        <v>#VALUE!</v>
      </c>
      <c r="G63" s="241" t="e">
        <f>IF(AND((OR(J1=1,J1=2,J1=3,J1=4,J1=5,J1=14)),(AND(G56&gt;=B63,G56&lt;=C63))),D63,0)</f>
        <v>#VALUE!</v>
      </c>
      <c r="H63" s="241" t="e">
        <f>IF(AND((OR(J1=1,J1=2,J1=3,J1=4,J1=5,J1=14)),(AND(H56&gt;=B63,H56&lt;=C63))),D63,0)</f>
        <v>#VALUE!</v>
      </c>
      <c r="I63" s="241" t="e">
        <f>IF(AND((OR(J1=1,J1=2,J1=3,J1=4,J1=5,J1=14)),(AND(I56&gt;=B63,I56&lt;=C63))),D63,0)</f>
        <v>#VALUE!</v>
      </c>
      <c r="J63" s="241" t="e">
        <f>IF(AND((OR(J1=1,J1=2,J1=3,J1=4,J1=5,J1=14)),(AND(J56&gt;=B63,J56&lt;=C63))),D63,0)</f>
        <v>#VALUE!</v>
      </c>
      <c r="K63" s="241" t="e">
        <f>IF(AND((OR(J1=1,J1=2,J1=3,J1=4,J1=5,J1=14)),(AND(K56&gt;=B63,K56&lt;=C63))),D63,0)</f>
        <v>#VALUE!</v>
      </c>
      <c r="L63" s="398" t="e">
        <f>IF(AND((OR(J1=1,J1=2,J1=3,J1=4,J1=5,J1=14)),(AND(L56&gt;=B63,L56&lt;=C63))),D63,0)</f>
        <v>#VALUE!</v>
      </c>
      <c r="M63" s="241"/>
      <c r="N63" s="1595" t="str">
        <f>Cores!A18</f>
        <v>0-2-D</v>
      </c>
      <c r="O63" s="1596"/>
      <c r="P63" s="1592" t="str">
        <f>IF(Cores!I18="","",10)</f>
        <v/>
      </c>
      <c r="Q63" s="1593"/>
      <c r="R63" s="1594"/>
      <c r="S63" s="241"/>
      <c r="T63" s="241"/>
      <c r="BA63" s="722" t="s">
        <v>423</v>
      </c>
      <c r="BB63" s="1044" t="s">
        <v>1441</v>
      </c>
      <c r="BC63" s="721"/>
      <c r="BD63" s="721"/>
      <c r="BE63" s="238">
        <v>61</v>
      </c>
      <c r="BF63" s="722" t="s">
        <v>423</v>
      </c>
      <c r="BG63" s="721"/>
      <c r="BH63" s="721"/>
      <c r="BJ63" s="436">
        <f t="shared" si="0"/>
        <v>63</v>
      </c>
      <c r="BM63" t="s">
        <v>1287</v>
      </c>
      <c r="BN63" s="1044" t="s">
        <v>1224</v>
      </c>
      <c r="BY63" s="1244">
        <v>20625</v>
      </c>
      <c r="BZ63" s="238">
        <f t="shared" si="5"/>
        <v>25625</v>
      </c>
    </row>
    <row r="64" spans="1:78" s="241" customFormat="1" ht="12.75">
      <c r="A64" s="397" t="s">
        <v>2100</v>
      </c>
      <c r="B64" s="239">
        <v>88</v>
      </c>
      <c r="C64" s="239">
        <v>88.9</v>
      </c>
      <c r="D64" s="241">
        <v>90</v>
      </c>
      <c r="E64" s="241" t="e">
        <f>IF(AND((OR(J1=1,J1=2,J1=3,J1=4,J1=5,J1=14)),(AND(E56&gt;=B64,E56&lt;=C64))),D64,0)</f>
        <v>#VALUE!</v>
      </c>
      <c r="F64" s="241" t="e">
        <f>IF(AND((OR(J1=1,J1=2,J1=3,J1=4,J1=5,J1=14)),(AND(F56&gt;=B64,F56&lt;=C64))),D64,0)</f>
        <v>#VALUE!</v>
      </c>
      <c r="G64" s="241" t="e">
        <f>IF(AND((OR(J1=1,J1=2,J1=3,J1=4,J1=5,J1=14)),(AND(G56&gt;=B64,G56&lt;=C64))),D64,0)</f>
        <v>#VALUE!</v>
      </c>
      <c r="H64" s="241" t="e">
        <f>IF(AND((OR(J1=1,J1=2,J1=3,J1=4,J1=5,J1=14)),(AND(H56&gt;=B64,H56&lt;=C64))),D64,0)</f>
        <v>#VALUE!</v>
      </c>
      <c r="I64" s="241" t="e">
        <f>IF(AND((OR(J1=1,J1=2,J1=3,J1=4,J1=5,J1=14)),(AND(I56&gt;=B64,I56&lt;=C64))),D64,0)</f>
        <v>#VALUE!</v>
      </c>
      <c r="J64" s="241" t="e">
        <f>IF(AND((OR(J1=1,J1=2,J1=3,J1=4,J1=5,J1=14)),(AND(J56&gt;=B64,J56&lt;=C64))),D64,0)</f>
        <v>#VALUE!</v>
      </c>
      <c r="K64" s="241" t="e">
        <f>IF(AND((OR(J1=1,J1=2,J1=3,J1=4,J1=5,J1=14)),(AND(K56&gt;=B64,K56&lt;=C64))),D64,0)</f>
        <v>#VALUE!</v>
      </c>
      <c r="L64" s="398" t="e">
        <f>IF(AND((OR(J1=1,J1=2,J1=3,J1=4,J1=5,J1=14)),(AND(L56&gt;=B64,L56&lt;=C64))),D64,0)</f>
        <v>#VALUE!</v>
      </c>
      <c r="N64" s="1595" t="str">
        <f>Cores!A20</f>
        <v>0-3-A</v>
      </c>
      <c r="O64" s="1596"/>
      <c r="P64" s="1592" t="str">
        <f>IF(Cores!I20="","",10)</f>
        <v/>
      </c>
      <c r="Q64" s="1593"/>
      <c r="R64" s="1594"/>
      <c r="BA64" s="722" t="s">
        <v>423</v>
      </c>
      <c r="BB64" s="1044" t="s">
        <v>1442</v>
      </c>
      <c r="BC64" s="721"/>
      <c r="BD64" s="721"/>
      <c r="BE64" s="253">
        <v>62</v>
      </c>
      <c r="BF64" s="722" t="s">
        <v>423</v>
      </c>
      <c r="BG64" s="721"/>
      <c r="BH64" s="721"/>
      <c r="BI64" s="238"/>
      <c r="BJ64" s="436">
        <f t="shared" si="0"/>
        <v>64</v>
      </c>
      <c r="BM64" t="s">
        <v>1288</v>
      </c>
      <c r="BN64" s="1044" t="s">
        <v>1226</v>
      </c>
      <c r="BY64" s="1244">
        <v>20625</v>
      </c>
      <c r="BZ64" s="238">
        <f t="shared" si="5"/>
        <v>25625</v>
      </c>
    </row>
    <row r="65" spans="1:78" s="241" customFormat="1" ht="12.75">
      <c r="A65" s="397" t="s">
        <v>2100</v>
      </c>
      <c r="B65" s="239">
        <v>0</v>
      </c>
      <c r="C65" s="239">
        <v>87.9</v>
      </c>
      <c r="D65" s="241">
        <v>75</v>
      </c>
      <c r="E65" s="241" t="e">
        <f>IF(AND((OR(J1=1,J1=2,J1=3,J1=4,J1=5,J1=14)),(AND(E56&gt;=B65,E56&lt;=C65))),D65,0)</f>
        <v>#VALUE!</v>
      </c>
      <c r="F65" s="241" t="e">
        <f>IF(AND((OR(J1=1,J1=2,J1=3,J1=4,J1=5,J1=14)),(AND(F56&gt;=B65,F56&lt;=C65))),D65,0)</f>
        <v>#VALUE!</v>
      </c>
      <c r="G65" s="241" t="e">
        <f>IF(AND((OR(J1=1,J1=2,J1=3,J1=4,J1=5,J1=14)),(AND(G56&gt;=B65,G56&lt;=C65))),D65,0)</f>
        <v>#VALUE!</v>
      </c>
      <c r="H65" s="241" t="e">
        <f>IF(AND((OR(J1=1,J1=2,J1=3,J1=4,J1=5,J1=14)),(AND(H56&gt;=B65,H56&lt;=C65))),D65,0)</f>
        <v>#VALUE!</v>
      </c>
      <c r="I65" s="241" t="e">
        <f>IF(AND((OR(J1=1,J1=2,J1=3,J1=4,J1=5,J1=14)),(AND(I56&gt;=B65,I56&lt;=C65))),D65,0)</f>
        <v>#VALUE!</v>
      </c>
      <c r="J65" s="241" t="e">
        <f>IF(AND((OR(J1=1,J1=2,J1=3,J1=4,J1=5,J1=14)),(AND(J56&gt;=B65,J56&lt;=C65))),D65,0)</f>
        <v>#VALUE!</v>
      </c>
      <c r="K65" s="241" t="e">
        <f>IF(AND((OR(J1=1,J1=2,J1=3,J1=4,J1=5,J1=14)),(AND(K56&gt;=B65,K56&lt;=C65))),D65,0)</f>
        <v>#VALUE!</v>
      </c>
      <c r="L65" s="398" t="e">
        <f>IF(AND((OR(J1=1,J1=2,J1=3,J1=4,J1=5,J1=14)),(AND(L56&gt;=B65,L56&lt;=C65))),D65,0)</f>
        <v>#VALUE!</v>
      </c>
      <c r="N65" s="1595" t="str">
        <f>Cores!A21</f>
        <v>0-3-B</v>
      </c>
      <c r="O65" s="1596"/>
      <c r="P65" s="1592" t="str">
        <f>IF(Cores!I21="","",10)</f>
        <v/>
      </c>
      <c r="Q65" s="1593"/>
      <c r="R65" s="1594"/>
      <c r="BA65" s="722" t="s">
        <v>423</v>
      </c>
      <c r="BB65" s="1044" t="s">
        <v>1443</v>
      </c>
      <c r="BC65" s="721"/>
      <c r="BD65" s="721"/>
      <c r="BE65" s="253">
        <v>63</v>
      </c>
      <c r="BF65" s="722" t="s">
        <v>423</v>
      </c>
      <c r="BG65" s="721"/>
      <c r="BH65" s="721"/>
      <c r="BI65" s="238"/>
      <c r="BJ65" s="436">
        <f t="shared" si="0"/>
        <v>65</v>
      </c>
      <c r="BM65" t="s">
        <v>1289</v>
      </c>
      <c r="BN65" s="1044" t="s">
        <v>1228</v>
      </c>
      <c r="BY65" s="1244">
        <v>20625</v>
      </c>
      <c r="BZ65" s="238">
        <f t="shared" si="5"/>
        <v>25625</v>
      </c>
    </row>
    <row r="66" spans="1:78" s="241" customFormat="1" ht="12.75">
      <c r="A66" s="397"/>
      <c r="B66" s="239"/>
      <c r="C66" s="239"/>
      <c r="J66" s="238"/>
      <c r="K66" s="238"/>
      <c r="L66" s="415"/>
      <c r="N66" s="1595" t="str">
        <f>Cores!A22</f>
        <v>0-3-C</v>
      </c>
      <c r="O66" s="1596"/>
      <c r="P66" s="1592" t="str">
        <f>IF(Cores!I22="","",10)</f>
        <v/>
      </c>
      <c r="Q66" s="1593"/>
      <c r="R66" s="1594"/>
      <c r="BA66" s="722" t="s">
        <v>423</v>
      </c>
      <c r="BB66" s="1044" t="s">
        <v>1444</v>
      </c>
      <c r="BC66" s="721"/>
      <c r="BD66" s="721"/>
      <c r="BE66" s="253">
        <v>64</v>
      </c>
      <c r="BF66" s="722" t="s">
        <v>423</v>
      </c>
      <c r="BG66" s="721"/>
      <c r="BH66" s="721"/>
      <c r="BI66" s="238"/>
      <c r="BJ66" s="436">
        <f t="shared" si="0"/>
        <v>66</v>
      </c>
      <c r="BM66" t="s">
        <v>1290</v>
      </c>
      <c r="BN66" s="1044" t="s">
        <v>1230</v>
      </c>
      <c r="BY66" s="1244">
        <v>20625</v>
      </c>
      <c r="BZ66" s="238">
        <f t="shared" si="5"/>
        <v>25625</v>
      </c>
    </row>
    <row r="67" spans="1:78" ht="13.5" thickBot="1">
      <c r="A67" s="399" t="s">
        <v>1662</v>
      </c>
      <c r="B67" s="400"/>
      <c r="C67" s="400"/>
      <c r="D67" s="401"/>
      <c r="E67" s="402" t="e">
        <f t="shared" ref="E67:L67" si="9">SUM(E58:E65)</f>
        <v>#VALUE!</v>
      </c>
      <c r="F67" s="402" t="e">
        <f t="shared" si="9"/>
        <v>#VALUE!</v>
      </c>
      <c r="G67" s="402" t="e">
        <f t="shared" si="9"/>
        <v>#VALUE!</v>
      </c>
      <c r="H67" s="402" t="e">
        <f t="shared" si="9"/>
        <v>#VALUE!</v>
      </c>
      <c r="I67" s="402" t="e">
        <f t="shared" si="9"/>
        <v>#VALUE!</v>
      </c>
      <c r="J67" s="402" t="e">
        <f t="shared" si="9"/>
        <v>#VALUE!</v>
      </c>
      <c r="K67" s="402" t="e">
        <f t="shared" si="9"/>
        <v>#VALUE!</v>
      </c>
      <c r="L67" s="403" t="e">
        <f t="shared" si="9"/>
        <v>#VALUE!</v>
      </c>
      <c r="M67"/>
      <c r="N67" s="1595" t="str">
        <f>Cores!A23</f>
        <v>0-3-D</v>
      </c>
      <c r="O67" s="1596"/>
      <c r="P67" s="1592" t="str">
        <f>IF(Cores!I23="","",10)</f>
        <v/>
      </c>
      <c r="Q67" s="1593"/>
      <c r="R67" s="1594"/>
      <c r="BA67" s="722" t="s">
        <v>421</v>
      </c>
      <c r="BB67" s="1044" t="s">
        <v>1445</v>
      </c>
      <c r="BC67" s="721"/>
      <c r="BD67" s="721"/>
      <c r="BE67" s="238">
        <v>65</v>
      </c>
      <c r="BF67" s="722" t="s">
        <v>421</v>
      </c>
      <c r="BG67" s="721"/>
      <c r="BH67" s="721"/>
      <c r="BJ67" s="436">
        <f t="shared" ref="BJ67:BJ99" si="10">BJ66+1</f>
        <v>67</v>
      </c>
      <c r="BM67" t="s">
        <v>1291</v>
      </c>
      <c r="BN67" s="1044" t="s">
        <v>1292</v>
      </c>
      <c r="BY67" s="1244">
        <v>20625</v>
      </c>
      <c r="BZ67" s="238">
        <f t="shared" si="5"/>
        <v>25625</v>
      </c>
    </row>
    <row r="68" spans="1:78" ht="13.5" thickTop="1">
      <c r="A68"/>
      <c r="B68"/>
      <c r="C68"/>
      <c r="D68"/>
      <c r="E68"/>
      <c r="F68"/>
      <c r="G68"/>
      <c r="H68"/>
      <c r="J68"/>
      <c r="K68"/>
      <c r="L68"/>
      <c r="M68"/>
      <c r="N68" s="1595" t="str">
        <f>Cores!A25</f>
        <v>0-4-A</v>
      </c>
      <c r="O68" s="1596"/>
      <c r="P68" s="1592" t="str">
        <f>IF(Cores!I25="","",10)</f>
        <v/>
      </c>
      <c r="Q68" s="1593"/>
      <c r="R68" s="1594"/>
      <c r="BA68" s="722" t="s">
        <v>421</v>
      </c>
      <c r="BB68" s="1044" t="s">
        <v>1420</v>
      </c>
      <c r="BC68" s="721"/>
      <c r="BD68" s="721"/>
      <c r="BE68" s="238">
        <v>66</v>
      </c>
      <c r="BF68" s="722" t="s">
        <v>421</v>
      </c>
      <c r="BG68" s="721"/>
      <c r="BH68" s="721"/>
      <c r="BJ68" s="436">
        <f t="shared" si="10"/>
        <v>68</v>
      </c>
      <c r="BM68" t="s">
        <v>1293</v>
      </c>
      <c r="BN68" s="1044" t="s">
        <v>1232</v>
      </c>
      <c r="BY68" s="1244">
        <v>20625</v>
      </c>
      <c r="BZ68" s="238">
        <f t="shared" si="5"/>
        <v>25625</v>
      </c>
    </row>
    <row r="69" spans="1:78" ht="12.75">
      <c r="A69"/>
      <c r="B69"/>
      <c r="C69"/>
      <c r="D69"/>
      <c r="E69"/>
      <c r="F69"/>
      <c r="G69"/>
      <c r="H69"/>
      <c r="J69"/>
      <c r="K69"/>
      <c r="L69"/>
      <c r="M69"/>
      <c r="N69" s="1595" t="str">
        <f>Cores!A26</f>
        <v>0-4-B</v>
      </c>
      <c r="O69" s="1596"/>
      <c r="P69" s="1592" t="str">
        <f>IF(Cores!I26="","",10)</f>
        <v/>
      </c>
      <c r="Q69" s="1593"/>
      <c r="R69" s="1594"/>
      <c r="BA69" s="722" t="s">
        <v>421</v>
      </c>
      <c r="BB69" s="1044" t="s">
        <v>1421</v>
      </c>
      <c r="BC69" s="721"/>
      <c r="BD69" s="721"/>
      <c r="BE69" s="238">
        <v>67</v>
      </c>
      <c r="BF69" s="722" t="s">
        <v>421</v>
      </c>
      <c r="BG69" s="721"/>
      <c r="BH69" s="721"/>
      <c r="BJ69" s="436">
        <f t="shared" si="10"/>
        <v>69</v>
      </c>
      <c r="BM69" t="s">
        <v>1294</v>
      </c>
      <c r="BN69" s="1044" t="s">
        <v>1234</v>
      </c>
      <c r="BY69" s="1244">
        <v>20625</v>
      </c>
      <c r="BZ69" s="238">
        <f t="shared" ref="BZ69:BZ132" si="11">BY69+5000</f>
        <v>25625</v>
      </c>
    </row>
    <row r="70" spans="1:78" ht="12.75">
      <c r="A70" t="s">
        <v>1811</v>
      </c>
      <c r="B70"/>
      <c r="C70"/>
      <c r="D70"/>
      <c r="E70"/>
      <c r="F70"/>
      <c r="G70"/>
      <c r="H70"/>
      <c r="J70"/>
      <c r="K70"/>
      <c r="L70"/>
      <c r="M70"/>
      <c r="N70" s="1595" t="str">
        <f>Cores!A27</f>
        <v>0-4-C</v>
      </c>
      <c r="O70" s="1596"/>
      <c r="P70" s="1592" t="str">
        <f>IF(Cores!I27="","",10)</f>
        <v/>
      </c>
      <c r="Q70" s="1593"/>
      <c r="R70" s="1594"/>
      <c r="BA70" s="722" t="s">
        <v>421</v>
      </c>
      <c r="BB70" s="1044" t="s">
        <v>1422</v>
      </c>
      <c r="BC70" s="721"/>
      <c r="BD70" s="721"/>
      <c r="BE70" s="238">
        <v>68</v>
      </c>
      <c r="BF70" s="722" t="s">
        <v>421</v>
      </c>
      <c r="BG70" s="721"/>
      <c r="BH70" s="721"/>
      <c r="BJ70" s="436">
        <f t="shared" si="10"/>
        <v>70</v>
      </c>
      <c r="BM70" t="s">
        <v>1295</v>
      </c>
      <c r="BN70" s="1044" t="s">
        <v>1240</v>
      </c>
      <c r="BY70" s="1244">
        <v>20625</v>
      </c>
      <c r="BZ70" s="238">
        <f t="shared" si="11"/>
        <v>25625</v>
      </c>
    </row>
    <row r="71" spans="1:78" ht="12.75">
      <c r="A71" t="e">
        <f>IF(H13=3,100,IF(H13=1,'Pay Values'!E41,IF('Pay Values'!B21="",('Pay Values'!B22*'Pay Values'!E21/100)+('Pay Values'!D17*'Pay Values'!E22/100)+('Pay Values'!G17*'Pay Values'!E23/100)+('Pay Values'!K17*'Pay Values'!E24/100),('Pay Values'!B21*'Pay Values'!E20/100)+('Pay Values'!B22*'Pay Values'!E21/100)+('Pay Values'!D17*'Pay Values'!E22/100)+('Pay Values'!G17*'Pay Values'!E23/100)+('Pay Values'!K17*'Pay Values'!E24/100))))</f>
        <v>#VALUE!</v>
      </c>
      <c r="B71"/>
      <c r="C71"/>
      <c r="D71"/>
      <c r="E71"/>
      <c r="F71"/>
      <c r="G71"/>
      <c r="H71"/>
      <c r="J71"/>
      <c r="K71"/>
      <c r="L71"/>
      <c r="M71"/>
      <c r="N71" s="1595" t="str">
        <f>Cores!A28</f>
        <v>0-4-D</v>
      </c>
      <c r="O71" s="1596"/>
      <c r="P71" s="1592" t="str">
        <f>IF(Cores!I28="","",10)</f>
        <v/>
      </c>
      <c r="Q71" s="1593"/>
      <c r="R71" s="1594"/>
      <c r="BA71" s="722" t="s">
        <v>421</v>
      </c>
      <c r="BB71" s="1044" t="s">
        <v>1424</v>
      </c>
      <c r="BC71" s="721"/>
      <c r="BD71" s="721"/>
      <c r="BE71" s="238">
        <v>69</v>
      </c>
      <c r="BF71" s="722" t="s">
        <v>421</v>
      </c>
      <c r="BG71" s="721"/>
      <c r="BH71" s="721"/>
      <c r="BJ71" s="436">
        <f t="shared" si="10"/>
        <v>71</v>
      </c>
      <c r="BM71" t="s">
        <v>1296</v>
      </c>
      <c r="BN71" s="1044" t="s">
        <v>1236</v>
      </c>
      <c r="BY71" s="1244">
        <v>20625</v>
      </c>
      <c r="BZ71" s="238">
        <f t="shared" si="11"/>
        <v>25625</v>
      </c>
    </row>
    <row r="72" spans="1:78" ht="12.75">
      <c r="A72" t="e">
        <f>IF(A71&gt;100,100,A71)</f>
        <v>#VALUE!</v>
      </c>
      <c r="B72"/>
      <c r="C72"/>
      <c r="D72"/>
      <c r="E72"/>
      <c r="F72"/>
      <c r="G72"/>
      <c r="H72"/>
      <c r="J72"/>
      <c r="K72"/>
      <c r="L72"/>
      <c r="M72"/>
      <c r="N72" s="1611" t="str">
        <f>Cores!A33</f>
        <v>0-1-J1</v>
      </c>
      <c r="O72" s="1612"/>
      <c r="P72" s="1619" t="str">
        <f>IF(Cores!I33="","",10)</f>
        <v/>
      </c>
      <c r="Q72" s="1620"/>
      <c r="R72" s="1621"/>
      <c r="BA72" s="722" t="s">
        <v>457</v>
      </c>
      <c r="BB72" s="1044" t="s">
        <v>458</v>
      </c>
      <c r="BC72" s="721"/>
      <c r="BD72" s="721"/>
      <c r="BE72" s="238">
        <v>70</v>
      </c>
      <c r="BF72" s="722" t="s">
        <v>457</v>
      </c>
      <c r="BG72" s="721"/>
      <c r="BH72" s="721"/>
      <c r="BJ72" s="436">
        <f t="shared" si="10"/>
        <v>72</v>
      </c>
      <c r="BM72" t="s">
        <v>1297</v>
      </c>
      <c r="BN72" s="1044" t="s">
        <v>1238</v>
      </c>
      <c r="BY72" s="1244">
        <v>20625</v>
      </c>
      <c r="BZ72" s="238">
        <f t="shared" si="11"/>
        <v>25625</v>
      </c>
    </row>
    <row r="73" spans="1:78" ht="12.75">
      <c r="A73" s="1127"/>
      <c r="B73"/>
      <c r="C73"/>
      <c r="D73"/>
      <c r="E73"/>
      <c r="F73"/>
      <c r="G73"/>
      <c r="H73"/>
      <c r="J73"/>
      <c r="K73"/>
      <c r="L73"/>
      <c r="M73"/>
      <c r="N73" s="1611" t="str">
        <f>Cores!A34</f>
        <v>0-1-J2</v>
      </c>
      <c r="O73" s="1612"/>
      <c r="P73" s="1619" t="str">
        <f>IF(Cores!I34="","",10)</f>
        <v/>
      </c>
      <c r="Q73" s="1620"/>
      <c r="R73" s="1621"/>
      <c r="BA73" s="722" t="s">
        <v>413</v>
      </c>
      <c r="BB73" s="1044" t="s">
        <v>459</v>
      </c>
      <c r="BC73" s="721"/>
      <c r="BD73" s="721"/>
      <c r="BE73" s="238">
        <v>71</v>
      </c>
      <c r="BF73" s="722" t="s">
        <v>413</v>
      </c>
      <c r="BG73" s="721"/>
      <c r="BH73" s="721"/>
      <c r="BJ73" s="436">
        <f t="shared" si="10"/>
        <v>73</v>
      </c>
      <c r="BM73" t="s">
        <v>1298</v>
      </c>
      <c r="BN73" s="1044" t="s">
        <v>1242</v>
      </c>
      <c r="BY73" s="1244">
        <v>20625</v>
      </c>
      <c r="BZ73" s="238">
        <f t="shared" si="11"/>
        <v>25625</v>
      </c>
    </row>
    <row r="74" spans="1:78" ht="12.75">
      <c r="A74" s="241"/>
      <c r="B74" s="239"/>
      <c r="C74" s="239"/>
      <c r="D74" s="241"/>
      <c r="E74" s="241"/>
      <c r="F74" s="241"/>
      <c r="G74" s="241"/>
      <c r="H74" s="241"/>
      <c r="J74"/>
      <c r="K74"/>
      <c r="L74"/>
      <c r="M74"/>
      <c r="N74" s="1611" t="str">
        <f>Cores!A36</f>
        <v>0-2-J1</v>
      </c>
      <c r="O74" s="1612"/>
      <c r="P74" s="1619" t="str">
        <f>IF(Cores!I36="","",10)</f>
        <v/>
      </c>
      <c r="Q74" s="1620"/>
      <c r="R74" s="1621"/>
      <c r="BA74" s="722" t="s">
        <v>415</v>
      </c>
      <c r="BB74" s="1044" t="s">
        <v>460</v>
      </c>
      <c r="BC74" s="721"/>
      <c r="BD74" s="721"/>
      <c r="BE74" s="238">
        <v>72</v>
      </c>
      <c r="BF74" s="722" t="s">
        <v>415</v>
      </c>
      <c r="BG74" s="721"/>
      <c r="BH74" s="721"/>
      <c r="BJ74" s="436">
        <f t="shared" si="10"/>
        <v>74</v>
      </c>
      <c r="BM74" t="s">
        <v>1299</v>
      </c>
      <c r="BN74" s="1044" t="s">
        <v>1244</v>
      </c>
      <c r="BY74" s="1244">
        <v>20600</v>
      </c>
      <c r="BZ74" s="238">
        <f t="shared" si="11"/>
        <v>25600</v>
      </c>
    </row>
    <row r="75" spans="1:78" ht="12.75">
      <c r="A75" s="241"/>
      <c r="B75" s="239"/>
      <c r="C75" s="239"/>
      <c r="D75" s="241"/>
      <c r="E75" s="241"/>
      <c r="F75" s="241"/>
      <c r="G75" s="241"/>
      <c r="H75" s="241"/>
      <c r="J75"/>
      <c r="K75"/>
      <c r="L75"/>
      <c r="M75"/>
      <c r="N75" s="1611" t="str">
        <f>Cores!A37</f>
        <v>0-2-J2</v>
      </c>
      <c r="O75" s="1612"/>
      <c r="P75" s="1619" t="str">
        <f>IF(Cores!I37="","",10)</f>
        <v/>
      </c>
      <c r="Q75" s="1620"/>
      <c r="R75" s="1621"/>
      <c r="BA75" s="722" t="s">
        <v>417</v>
      </c>
      <c r="BB75" s="1044" t="s">
        <v>461</v>
      </c>
      <c r="BC75" s="721"/>
      <c r="BD75" s="721"/>
      <c r="BE75" s="238">
        <v>73</v>
      </c>
      <c r="BF75" s="722" t="s">
        <v>417</v>
      </c>
      <c r="BG75" s="721"/>
      <c r="BH75" s="721"/>
      <c r="BJ75" s="436">
        <f t="shared" si="10"/>
        <v>75</v>
      </c>
      <c r="BM75" t="s">
        <v>1300</v>
      </c>
      <c r="BN75" s="1044" t="s">
        <v>1246</v>
      </c>
      <c r="BY75" s="1244">
        <v>20600</v>
      </c>
      <c r="BZ75" s="238">
        <f t="shared" si="11"/>
        <v>25600</v>
      </c>
    </row>
    <row r="76" spans="1:78" ht="12.75">
      <c r="A76" s="241"/>
      <c r="B76" s="239"/>
      <c r="C76" s="239"/>
      <c r="D76" s="241"/>
      <c r="E76" s="241"/>
      <c r="F76" s="241"/>
      <c r="G76" s="241"/>
      <c r="H76" s="241"/>
      <c r="J76"/>
      <c r="K76"/>
      <c r="L76"/>
      <c r="M76"/>
      <c r="N76" s="1611" t="str">
        <f>Cores!A39</f>
        <v>0-3-J1</v>
      </c>
      <c r="O76" s="1612"/>
      <c r="P76" s="1619" t="str">
        <f>IF(Cores!I39="","",10)</f>
        <v/>
      </c>
      <c r="Q76" s="1620"/>
      <c r="R76" s="1621"/>
      <c r="BA76" s="722" t="s">
        <v>419</v>
      </c>
      <c r="BB76" s="1044" t="s">
        <v>462</v>
      </c>
      <c r="BC76" s="721"/>
      <c r="BD76" s="721"/>
      <c r="BE76" s="238">
        <v>74</v>
      </c>
      <c r="BF76" s="722" t="s">
        <v>419</v>
      </c>
      <c r="BG76" s="721"/>
      <c r="BH76" s="721"/>
      <c r="BJ76" s="436">
        <f t="shared" si="10"/>
        <v>76</v>
      </c>
      <c r="BM76" t="s">
        <v>1301</v>
      </c>
      <c r="BN76" s="1044" t="s">
        <v>1248</v>
      </c>
      <c r="BY76" s="1244">
        <v>20600</v>
      </c>
      <c r="BZ76" s="238">
        <f t="shared" si="11"/>
        <v>25600</v>
      </c>
    </row>
    <row r="77" spans="1:78" ht="12.75">
      <c r="A77" s="241"/>
      <c r="B77" s="239"/>
      <c r="C77" s="239"/>
      <c r="D77" s="241"/>
      <c r="E77" s="241"/>
      <c r="F77" s="241"/>
      <c r="G77" s="241"/>
      <c r="H77" s="241"/>
      <c r="N77" s="1611" t="str">
        <f>Cores!A40</f>
        <v>0-3-J2</v>
      </c>
      <c r="O77" s="1612"/>
      <c r="P77" s="1619" t="str">
        <f>IF(Cores!I40="","",10)</f>
        <v/>
      </c>
      <c r="Q77" s="1620"/>
      <c r="R77" s="1621"/>
      <c r="BA77" s="722" t="s">
        <v>421</v>
      </c>
      <c r="BB77" s="1044" t="s">
        <v>463</v>
      </c>
      <c r="BC77" s="721"/>
      <c r="BD77" s="721"/>
      <c r="BE77" s="238">
        <v>75</v>
      </c>
      <c r="BF77" s="722" t="s">
        <v>421</v>
      </c>
      <c r="BG77" s="721"/>
      <c r="BH77" s="721"/>
      <c r="BJ77" s="436">
        <f t="shared" si="10"/>
        <v>77</v>
      </c>
      <c r="BM77" t="s">
        <v>1302</v>
      </c>
      <c r="BN77" s="1044" t="s">
        <v>1303</v>
      </c>
      <c r="BY77" s="1244">
        <v>20600</v>
      </c>
      <c r="BZ77" s="238">
        <f t="shared" si="11"/>
        <v>25600</v>
      </c>
    </row>
    <row r="78" spans="1:78" ht="12.75">
      <c r="A78" s="241"/>
      <c r="B78" s="239"/>
      <c r="C78" s="239"/>
      <c r="D78" s="241"/>
      <c r="E78" s="241"/>
      <c r="F78" s="241"/>
      <c r="G78" s="241"/>
      <c r="H78" s="241"/>
      <c r="N78" s="1611" t="str">
        <f>Cores!A42</f>
        <v>0-4-J1</v>
      </c>
      <c r="O78" s="1612"/>
      <c r="P78" s="1619" t="str">
        <f>IF(Cores!I42="","",10)</f>
        <v/>
      </c>
      <c r="Q78" s="1620"/>
      <c r="R78" s="1621"/>
      <c r="BA78" s="722" t="s">
        <v>464</v>
      </c>
      <c r="BB78" s="1044" t="s">
        <v>465</v>
      </c>
      <c r="BC78" s="721"/>
      <c r="BD78" s="721"/>
      <c r="BE78" s="238">
        <v>76</v>
      </c>
      <c r="BF78" s="722" t="s">
        <v>464</v>
      </c>
      <c r="BG78" s="721"/>
      <c r="BH78" s="721"/>
      <c r="BJ78" s="436">
        <f t="shared" si="10"/>
        <v>78</v>
      </c>
      <c r="BM78" t="s">
        <v>1304</v>
      </c>
      <c r="BN78" s="1044" t="s">
        <v>1246</v>
      </c>
      <c r="BY78" s="1244">
        <v>20600</v>
      </c>
      <c r="BZ78" s="238">
        <f t="shared" si="11"/>
        <v>25600</v>
      </c>
    </row>
    <row r="79" spans="1:78" ht="13.5" thickBot="1">
      <c r="A79" s="241"/>
      <c r="B79" s="239"/>
      <c r="C79" s="239"/>
      <c r="D79" s="241"/>
      <c r="E79" s="241"/>
      <c r="F79" s="241"/>
      <c r="G79" s="241"/>
      <c r="H79" s="241"/>
      <c r="N79" s="1613" t="str">
        <f>Cores!A43</f>
        <v>0-4-J2</v>
      </c>
      <c r="O79" s="1614"/>
      <c r="P79" s="1619" t="str">
        <f>IF(Cores!I43="","",10)</f>
        <v/>
      </c>
      <c r="Q79" s="1620"/>
      <c r="R79" s="1621"/>
      <c r="BA79" s="722" t="s">
        <v>464</v>
      </c>
      <c r="BB79" s="1044" t="s">
        <v>466</v>
      </c>
      <c r="BC79" s="721"/>
      <c r="BD79" s="721"/>
      <c r="BE79" s="238">
        <v>77</v>
      </c>
      <c r="BF79" s="722" t="s">
        <v>464</v>
      </c>
      <c r="BG79" s="721"/>
      <c r="BH79" s="721"/>
      <c r="BJ79" s="436">
        <f t="shared" si="10"/>
        <v>79</v>
      </c>
      <c r="BM79" t="s">
        <v>2203</v>
      </c>
      <c r="BN79" s="1044" t="s">
        <v>1016</v>
      </c>
      <c r="BY79" s="1244">
        <v>20600</v>
      </c>
      <c r="BZ79" s="238">
        <f t="shared" si="11"/>
        <v>25600</v>
      </c>
    </row>
    <row r="80" spans="1:78" ht="13.5" thickTop="1">
      <c r="A80" s="241"/>
      <c r="B80" s="239"/>
      <c r="C80" s="239"/>
      <c r="D80" s="241"/>
      <c r="E80" s="241"/>
      <c r="F80" s="241"/>
      <c r="G80" s="241"/>
      <c r="H80" s="241"/>
      <c r="N80" s="1615" t="s">
        <v>83</v>
      </c>
      <c r="O80" s="1616"/>
      <c r="P80" s="1619" t="str">
        <f>IF('Pay Values'!I38="","",IF(H13=2,120,""))</f>
        <v/>
      </c>
      <c r="Q80" s="1620"/>
      <c r="R80" s="1621"/>
      <c r="BA80" s="722" t="s">
        <v>467</v>
      </c>
      <c r="BB80" s="1044" t="s">
        <v>468</v>
      </c>
      <c r="BC80" s="721"/>
      <c r="BD80" s="721"/>
      <c r="BE80" s="238">
        <v>78</v>
      </c>
      <c r="BF80" s="722" t="s">
        <v>467</v>
      </c>
      <c r="BG80" s="721"/>
      <c r="BH80" s="721"/>
      <c r="BJ80" s="436">
        <f t="shared" si="10"/>
        <v>80</v>
      </c>
      <c r="BM80" s="1520" t="s">
        <v>3370</v>
      </c>
      <c r="BN80" s="1044" t="s">
        <v>1220</v>
      </c>
      <c r="BY80" s="1244">
        <v>20600</v>
      </c>
      <c r="BZ80" s="238">
        <f t="shared" si="11"/>
        <v>25600</v>
      </c>
    </row>
    <row r="81" spans="1:78" ht="13.5" thickBot="1">
      <c r="A81" s="241"/>
      <c r="B81" s="239"/>
      <c r="C81" s="239"/>
      <c r="D81" s="241"/>
      <c r="E81" s="241"/>
      <c r="F81" s="241"/>
      <c r="G81" s="241"/>
      <c r="H81" s="241"/>
      <c r="N81" s="1617" t="s">
        <v>83</v>
      </c>
      <c r="O81" s="1618"/>
      <c r="P81" s="1619" t="str">
        <f>IF('Pay Values'!I43="","",IF(H13=2,120,""))</f>
        <v/>
      </c>
      <c r="Q81" s="1620"/>
      <c r="R81" s="1621"/>
      <c r="BA81" s="722" t="s">
        <v>419</v>
      </c>
      <c r="BB81" s="1044" t="s">
        <v>1537</v>
      </c>
      <c r="BC81" s="721"/>
      <c r="BD81" s="721"/>
      <c r="BE81" s="238">
        <v>79</v>
      </c>
      <c r="BF81" s="722" t="s">
        <v>419</v>
      </c>
      <c r="BG81" s="721"/>
      <c r="BH81" s="721"/>
      <c r="BJ81" s="436">
        <f t="shared" si="10"/>
        <v>81</v>
      </c>
      <c r="BM81" s="1520" t="s">
        <v>3371</v>
      </c>
      <c r="BN81" s="1044" t="s">
        <v>1226</v>
      </c>
      <c r="BY81" s="1244">
        <v>20600</v>
      </c>
      <c r="BZ81" s="238">
        <f t="shared" si="11"/>
        <v>25600</v>
      </c>
    </row>
    <row r="82" spans="1:78" ht="13.5" thickTop="1">
      <c r="A82" s="241"/>
      <c r="B82" s="239"/>
      <c r="C82" s="239"/>
      <c r="D82" s="241"/>
      <c r="E82" s="241"/>
      <c r="F82" s="241"/>
      <c r="G82" s="241"/>
      <c r="H82" s="241"/>
      <c r="N82" s="1607" t="s">
        <v>84</v>
      </c>
      <c r="O82" s="1608"/>
      <c r="P82" s="1619" t="str">
        <f>IF('Super Verify'!B48="","",IF(H13=1,100,""))</f>
        <v/>
      </c>
      <c r="Q82" s="1620"/>
      <c r="R82" s="1621"/>
      <c r="BA82" s="722" t="s">
        <v>419</v>
      </c>
      <c r="BB82" s="1044" t="s">
        <v>1538</v>
      </c>
      <c r="BC82" s="721"/>
      <c r="BD82" s="721"/>
      <c r="BE82" s="238">
        <v>80</v>
      </c>
      <c r="BF82" s="722" t="s">
        <v>419</v>
      </c>
      <c r="BG82" s="721"/>
      <c r="BH82" s="721"/>
      <c r="BJ82" s="436">
        <f t="shared" si="10"/>
        <v>82</v>
      </c>
      <c r="BM82" s="1520" t="s">
        <v>3372</v>
      </c>
      <c r="BN82" s="1044" t="s">
        <v>1242</v>
      </c>
      <c r="BY82" s="1244">
        <v>20600</v>
      </c>
      <c r="BZ82" s="238">
        <f t="shared" si="11"/>
        <v>25600</v>
      </c>
    </row>
    <row r="83" spans="1:78" ht="13.5" thickBot="1">
      <c r="A83" s="241"/>
      <c r="B83" s="239"/>
      <c r="C83" s="239"/>
      <c r="D83" s="241"/>
      <c r="E83" s="241"/>
      <c r="F83" s="241"/>
      <c r="G83" s="241"/>
      <c r="H83" s="241"/>
      <c r="N83" s="1609" t="s">
        <v>85</v>
      </c>
      <c r="O83" s="1610"/>
      <c r="P83" s="1634" t="str">
        <f>IF('Super Verify'!E48="","",IF(H13=1,100,""))</f>
        <v/>
      </c>
      <c r="Q83" s="1635"/>
      <c r="R83" s="1636"/>
      <c r="BA83" s="722" t="s">
        <v>419</v>
      </c>
      <c r="BB83" s="1044" t="s">
        <v>1541</v>
      </c>
      <c r="BC83" s="721"/>
      <c r="BD83" s="721"/>
      <c r="BE83" s="238">
        <v>81</v>
      </c>
      <c r="BF83" s="722" t="s">
        <v>419</v>
      </c>
      <c r="BG83" s="721"/>
      <c r="BH83" s="721"/>
      <c r="BJ83" s="436">
        <f t="shared" si="10"/>
        <v>83</v>
      </c>
      <c r="BM83" s="1520" t="s">
        <v>3373</v>
      </c>
      <c r="BN83" s="1044" t="s">
        <v>1244</v>
      </c>
      <c r="BY83" s="1244">
        <v>20600</v>
      </c>
      <c r="BZ83" s="238">
        <f t="shared" si="11"/>
        <v>25600</v>
      </c>
    </row>
    <row r="84" spans="1:78" ht="14.25" thickTop="1" thickBot="1">
      <c r="A84" s="241"/>
      <c r="B84" s="239"/>
      <c r="C84" s="239"/>
      <c r="D84" s="241"/>
      <c r="E84" s="241"/>
      <c r="F84" s="241"/>
      <c r="G84" s="241"/>
      <c r="H84" s="241"/>
      <c r="P84" s="1637">
        <f xml:space="preserve"> SUM(P56:R83)</f>
        <v>0</v>
      </c>
      <c r="Q84" s="1638"/>
      <c r="R84" s="1639"/>
      <c r="BA84" s="722" t="s">
        <v>419</v>
      </c>
      <c r="BB84" s="1044" t="s">
        <v>1542</v>
      </c>
      <c r="BC84" s="721"/>
      <c r="BD84" s="721"/>
      <c r="BE84" s="238">
        <v>82</v>
      </c>
      <c r="BF84" s="722" t="s">
        <v>419</v>
      </c>
      <c r="BG84" s="721"/>
      <c r="BH84" s="721"/>
      <c r="BJ84" s="436">
        <f t="shared" si="10"/>
        <v>84</v>
      </c>
      <c r="BM84" t="s">
        <v>1017</v>
      </c>
      <c r="BN84" s="1044" t="s">
        <v>1230</v>
      </c>
      <c r="BY84" s="1244">
        <v>20600</v>
      </c>
      <c r="BZ84" s="238">
        <f t="shared" si="11"/>
        <v>25600</v>
      </c>
    </row>
    <row r="85" spans="1:78" ht="13.5" thickTop="1">
      <c r="A85" s="241"/>
      <c r="B85" s="239"/>
      <c r="C85" s="239"/>
      <c r="D85" s="241"/>
      <c r="E85" s="241"/>
      <c r="F85" s="241"/>
      <c r="G85" s="241"/>
      <c r="H85" s="241"/>
      <c r="BA85" s="722" t="s">
        <v>419</v>
      </c>
      <c r="BB85" s="1044" t="s">
        <v>1543</v>
      </c>
      <c r="BC85" s="721"/>
      <c r="BD85" s="721"/>
      <c r="BE85" s="238">
        <v>83</v>
      </c>
      <c r="BF85" s="722" t="s">
        <v>419</v>
      </c>
      <c r="BG85" s="721"/>
      <c r="BH85" s="721"/>
      <c r="BJ85" s="436">
        <f t="shared" si="10"/>
        <v>85</v>
      </c>
      <c r="BM85" t="s">
        <v>1018</v>
      </c>
      <c r="BN85" s="1195">
        <v>24035</v>
      </c>
      <c r="BY85" s="1244">
        <v>20600</v>
      </c>
      <c r="BZ85" s="238">
        <f t="shared" si="11"/>
        <v>25600</v>
      </c>
    </row>
    <row r="86" spans="1:78" ht="12.75">
      <c r="A86" s="241"/>
      <c r="B86" s="239"/>
      <c r="C86" s="239"/>
      <c r="D86" s="241"/>
      <c r="E86" s="241"/>
      <c r="F86" s="241"/>
      <c r="G86" s="241"/>
      <c r="H86" s="241"/>
      <c r="BA86" s="722" t="s">
        <v>415</v>
      </c>
      <c r="BB86" s="1044" t="s">
        <v>1544</v>
      </c>
      <c r="BC86" s="721"/>
      <c r="BD86" s="721"/>
      <c r="BE86" s="238">
        <v>84</v>
      </c>
      <c r="BF86" s="722" t="s">
        <v>415</v>
      </c>
      <c r="BG86" s="721"/>
      <c r="BH86" s="721"/>
      <c r="BJ86" s="436">
        <f t="shared" si="10"/>
        <v>86</v>
      </c>
      <c r="BM86" t="s">
        <v>2662</v>
      </c>
      <c r="BN86" s="1195">
        <v>10330</v>
      </c>
      <c r="BY86" s="1244">
        <v>20600</v>
      </c>
      <c r="BZ86" s="238">
        <f t="shared" si="11"/>
        <v>25600</v>
      </c>
    </row>
    <row r="87" spans="1:78" ht="12.75">
      <c r="A87" s="241"/>
      <c r="B87" s="239"/>
      <c r="C87" s="239"/>
      <c r="D87" s="241"/>
      <c r="E87" s="241"/>
      <c r="F87" s="241"/>
      <c r="G87" s="241"/>
      <c r="H87" s="241"/>
      <c r="BA87" s="722" t="s">
        <v>415</v>
      </c>
      <c r="BB87" s="1044" t="s">
        <v>1551</v>
      </c>
      <c r="BC87" s="721"/>
      <c r="BD87" s="721"/>
      <c r="BE87" s="238">
        <v>85</v>
      </c>
      <c r="BF87" s="722" t="s">
        <v>415</v>
      </c>
      <c r="BG87" s="721"/>
      <c r="BH87" s="721"/>
      <c r="BJ87" s="436">
        <f t="shared" si="10"/>
        <v>87</v>
      </c>
      <c r="BM87" t="s">
        <v>1019</v>
      </c>
      <c r="BN87" s="1044" t="s">
        <v>1255</v>
      </c>
      <c r="BY87" s="1244">
        <v>20600</v>
      </c>
      <c r="BZ87" s="238">
        <f t="shared" si="11"/>
        <v>25600</v>
      </c>
    </row>
    <row r="88" spans="1:78" ht="12.75">
      <c r="A88"/>
      <c r="B88"/>
      <c r="C88"/>
      <c r="D88"/>
      <c r="E88"/>
      <c r="F88"/>
      <c r="G88"/>
      <c r="H88"/>
      <c r="BA88" s="1128">
        <v>25525</v>
      </c>
      <c r="BB88" s="1044" t="s">
        <v>1517</v>
      </c>
      <c r="BC88" s="721"/>
      <c r="BD88" s="721"/>
      <c r="BE88" s="238">
        <v>86</v>
      </c>
      <c r="BF88" s="1128">
        <v>25525</v>
      </c>
      <c r="BG88" s="721"/>
      <c r="BH88" s="721"/>
      <c r="BJ88" s="436">
        <f t="shared" si="10"/>
        <v>88</v>
      </c>
      <c r="BM88" t="s">
        <v>1020</v>
      </c>
      <c r="BN88" s="1044" t="s">
        <v>1208</v>
      </c>
      <c r="BY88" s="1244">
        <v>20600</v>
      </c>
      <c r="BZ88" s="238">
        <f t="shared" si="11"/>
        <v>25600</v>
      </c>
    </row>
    <row r="89" spans="1:78" ht="12.75">
      <c r="A89"/>
      <c r="B89"/>
      <c r="C89"/>
      <c r="D89"/>
      <c r="E89"/>
      <c r="F89"/>
      <c r="G89"/>
      <c r="H89"/>
      <c r="BA89" s="722" t="s">
        <v>415</v>
      </c>
      <c r="BB89" s="1044" t="s">
        <v>469</v>
      </c>
      <c r="BC89" s="721"/>
      <c r="BD89" s="721"/>
      <c r="BE89" s="238">
        <v>87</v>
      </c>
      <c r="BF89" s="722" t="s">
        <v>415</v>
      </c>
      <c r="BG89" s="721"/>
      <c r="BH89" s="721"/>
      <c r="BJ89" s="436">
        <f t="shared" si="10"/>
        <v>89</v>
      </c>
      <c r="BM89" t="s">
        <v>1021</v>
      </c>
      <c r="BN89" s="1044" t="s">
        <v>1214</v>
      </c>
      <c r="BY89" s="1244">
        <v>20600</v>
      </c>
      <c r="BZ89" s="238">
        <f t="shared" si="11"/>
        <v>25600</v>
      </c>
    </row>
    <row r="90" spans="1:78" ht="12.75">
      <c r="A90"/>
      <c r="B90"/>
      <c r="C90"/>
      <c r="D90"/>
      <c r="E90"/>
      <c r="F90"/>
      <c r="G90"/>
      <c r="H90"/>
      <c r="BA90" s="1128">
        <v>25525</v>
      </c>
      <c r="BB90" s="1044" t="s">
        <v>1518</v>
      </c>
      <c r="BC90" s="721"/>
      <c r="BD90" s="721"/>
      <c r="BE90" s="238">
        <v>88</v>
      </c>
      <c r="BF90" s="1128">
        <v>25525</v>
      </c>
      <c r="BG90" s="721"/>
      <c r="BH90" s="721"/>
      <c r="BJ90" s="436">
        <f t="shared" si="10"/>
        <v>90</v>
      </c>
      <c r="BM90" t="s">
        <v>1022</v>
      </c>
      <c r="BN90" s="1044" t="s">
        <v>1220</v>
      </c>
      <c r="BY90" s="1244">
        <v>20600</v>
      </c>
      <c r="BZ90" s="238">
        <f t="shared" si="11"/>
        <v>25600</v>
      </c>
    </row>
    <row r="91" spans="1:78" ht="12.75">
      <c r="A91"/>
      <c r="B91"/>
      <c r="C91"/>
      <c r="D91"/>
      <c r="E91"/>
      <c r="F91"/>
      <c r="G91"/>
      <c r="H91"/>
      <c r="BA91" s="1128">
        <v>25525</v>
      </c>
      <c r="BB91" s="1044" t="s">
        <v>2708</v>
      </c>
      <c r="BC91" s="721"/>
      <c r="BD91" s="721"/>
      <c r="BE91" s="238">
        <v>89</v>
      </c>
      <c r="BF91" s="1128">
        <v>25525</v>
      </c>
      <c r="BG91" s="721"/>
      <c r="BH91" s="721"/>
      <c r="BJ91" s="436">
        <f t="shared" si="10"/>
        <v>91</v>
      </c>
      <c r="BM91" t="s">
        <v>1023</v>
      </c>
      <c r="BN91" s="1044" t="s">
        <v>1226</v>
      </c>
      <c r="BY91" s="1244">
        <v>20600</v>
      </c>
      <c r="BZ91" s="238">
        <f t="shared" si="11"/>
        <v>25600</v>
      </c>
    </row>
    <row r="92" spans="1:78" ht="12.75">
      <c r="A92"/>
      <c r="B92"/>
      <c r="C92"/>
      <c r="D92"/>
      <c r="E92"/>
      <c r="F92"/>
      <c r="G92"/>
      <c r="H92"/>
      <c r="BA92" s="1128">
        <v>25525</v>
      </c>
      <c r="BB92" s="1044" t="s">
        <v>1519</v>
      </c>
      <c r="BC92" s="721"/>
      <c r="BD92" s="721"/>
      <c r="BE92" s="238">
        <v>89</v>
      </c>
      <c r="BF92" s="1128">
        <v>25525</v>
      </c>
      <c r="BG92" s="721"/>
      <c r="BH92" s="721"/>
      <c r="BJ92" s="436">
        <f>BJ91+1</f>
        <v>92</v>
      </c>
      <c r="BM92" t="s">
        <v>1024</v>
      </c>
      <c r="BN92" s="1044" t="s">
        <v>1246</v>
      </c>
      <c r="BY92" s="1244">
        <v>20575</v>
      </c>
      <c r="BZ92" s="238">
        <f t="shared" si="11"/>
        <v>25575</v>
      </c>
    </row>
    <row r="93" spans="1:78" ht="12.75">
      <c r="A93"/>
      <c r="B93"/>
      <c r="C93"/>
      <c r="D93"/>
      <c r="E93"/>
      <c r="F93"/>
      <c r="G93"/>
      <c r="H93"/>
      <c r="BA93" s="1128">
        <v>25525</v>
      </c>
      <c r="BB93" s="1044" t="s">
        <v>2226</v>
      </c>
      <c r="BC93" s="721"/>
      <c r="BD93" s="721"/>
      <c r="BE93" s="238">
        <v>90</v>
      </c>
      <c r="BF93" s="1128">
        <v>25525</v>
      </c>
      <c r="BG93" s="721"/>
      <c r="BH93" s="721"/>
      <c r="BJ93" s="436">
        <f t="shared" si="10"/>
        <v>93</v>
      </c>
      <c r="BM93" t="s">
        <v>1025</v>
      </c>
      <c r="BN93" s="1044" t="s">
        <v>13</v>
      </c>
      <c r="BY93" s="1244">
        <v>20575</v>
      </c>
      <c r="BZ93" s="238">
        <f t="shared" si="11"/>
        <v>25575</v>
      </c>
    </row>
    <row r="94" spans="1:78" ht="12.75">
      <c r="BA94" s="1128">
        <v>25525</v>
      </c>
      <c r="BB94" s="1044" t="s">
        <v>1520</v>
      </c>
      <c r="BC94" s="721"/>
      <c r="BD94" s="721"/>
      <c r="BE94" s="238">
        <v>91</v>
      </c>
      <c r="BF94" s="1128">
        <v>25525</v>
      </c>
      <c r="BG94" s="721"/>
      <c r="BH94" s="721"/>
      <c r="BJ94" s="436">
        <f t="shared" si="10"/>
        <v>94</v>
      </c>
      <c r="BM94" t="s">
        <v>1026</v>
      </c>
      <c r="BN94" s="1044" t="s">
        <v>15</v>
      </c>
      <c r="BY94" s="1244">
        <v>20575</v>
      </c>
      <c r="BZ94" s="238">
        <f t="shared" si="11"/>
        <v>25575</v>
      </c>
    </row>
    <row r="95" spans="1:78" ht="12.75">
      <c r="BA95" s="1128">
        <v>25525</v>
      </c>
      <c r="BB95" s="1044" t="s">
        <v>1521</v>
      </c>
      <c r="BC95" s="721"/>
      <c r="BD95" s="721"/>
      <c r="BE95" s="238">
        <v>92</v>
      </c>
      <c r="BF95" s="1128">
        <v>25525</v>
      </c>
      <c r="BG95" s="721"/>
      <c r="BH95" s="721"/>
      <c r="BJ95" s="436">
        <f t="shared" si="10"/>
        <v>95</v>
      </c>
      <c r="BM95" t="s">
        <v>1027</v>
      </c>
      <c r="BN95" s="1044" t="s">
        <v>17</v>
      </c>
      <c r="BY95" s="1244">
        <v>20575</v>
      </c>
      <c r="BZ95" s="238">
        <f t="shared" si="11"/>
        <v>25575</v>
      </c>
    </row>
    <row r="96" spans="1:78" ht="12.75">
      <c r="B96" s="238">
        <v>1</v>
      </c>
      <c r="C96" s="238">
        <v>1</v>
      </c>
      <c r="D96" s="238">
        <v>2</v>
      </c>
      <c r="E96" s="238">
        <v>2</v>
      </c>
      <c r="F96" s="238">
        <v>3</v>
      </c>
      <c r="G96" s="238">
        <v>3</v>
      </c>
      <c r="H96" s="238">
        <v>4</v>
      </c>
      <c r="I96" s="238">
        <v>4</v>
      </c>
      <c r="J96" s="238">
        <v>5</v>
      </c>
      <c r="K96" s="238">
        <v>5</v>
      </c>
      <c r="AR96"/>
      <c r="AS96"/>
      <c r="AT96"/>
      <c r="AU96"/>
      <c r="AV96"/>
      <c r="AW96"/>
      <c r="AX96"/>
      <c r="AY96"/>
      <c r="AZ96"/>
      <c r="BA96" s="1128">
        <v>25525</v>
      </c>
      <c r="BB96" s="1044" t="s">
        <v>1522</v>
      </c>
      <c r="BC96" s="721"/>
      <c r="BD96" s="721"/>
      <c r="BE96" s="238">
        <v>93</v>
      </c>
      <c r="BF96" s="1128">
        <v>25525</v>
      </c>
      <c r="BG96" s="721"/>
      <c r="BH96" s="721"/>
      <c r="BJ96" s="436">
        <f t="shared" si="10"/>
        <v>96</v>
      </c>
      <c r="BM96" t="s">
        <v>1028</v>
      </c>
      <c r="BN96" s="1044" t="s">
        <v>19</v>
      </c>
      <c r="BY96" s="1244">
        <v>20575</v>
      </c>
      <c r="BZ96" s="238">
        <f t="shared" si="11"/>
        <v>25575</v>
      </c>
    </row>
    <row r="97" spans="1:78" ht="12.75">
      <c r="B97" s="238" t="s">
        <v>1649</v>
      </c>
      <c r="C97" s="238" t="s">
        <v>1973</v>
      </c>
      <c r="D97" s="238" t="s">
        <v>1649</v>
      </c>
      <c r="E97" s="238" t="s">
        <v>1973</v>
      </c>
      <c r="F97" s="238" t="s">
        <v>1649</v>
      </c>
      <c r="G97" s="238" t="s">
        <v>1973</v>
      </c>
      <c r="H97" s="238" t="s">
        <v>1649</v>
      </c>
      <c r="I97" s="238" t="s">
        <v>1973</v>
      </c>
      <c r="J97" s="238" t="s">
        <v>1649</v>
      </c>
      <c r="K97" s="238" t="s">
        <v>1973</v>
      </c>
      <c r="L97" s="238" t="s">
        <v>1649</v>
      </c>
      <c r="M97" s="238" t="s">
        <v>1973</v>
      </c>
      <c r="AR97"/>
      <c r="AS97"/>
      <c r="AT97"/>
      <c r="AU97"/>
      <c r="AV97"/>
      <c r="AW97"/>
      <c r="AX97"/>
      <c r="AY97"/>
      <c r="AZ97"/>
      <c r="BA97" s="1128">
        <v>25525</v>
      </c>
      <c r="BB97" s="1044" t="s">
        <v>2218</v>
      </c>
      <c r="BC97" s="721"/>
      <c r="BD97" s="721"/>
      <c r="BE97" s="238">
        <v>94</v>
      </c>
      <c r="BF97" s="1128">
        <v>25525</v>
      </c>
      <c r="BG97" s="721"/>
      <c r="BH97" s="721"/>
      <c r="BJ97" s="436">
        <f t="shared" si="10"/>
        <v>97</v>
      </c>
      <c r="BM97" t="s">
        <v>1029</v>
      </c>
      <c r="BN97" s="1044" t="s">
        <v>1230</v>
      </c>
      <c r="BY97" s="1244">
        <v>20575</v>
      </c>
      <c r="BZ97" s="238">
        <f t="shared" si="11"/>
        <v>25575</v>
      </c>
    </row>
    <row r="98" spans="1:78" ht="12.75">
      <c r="A98" s="160" t="s">
        <v>1608</v>
      </c>
      <c r="B98" s="238">
        <v>100</v>
      </c>
      <c r="C98" s="238">
        <v>100</v>
      </c>
      <c r="L98" s="238" t="e">
        <f>HLOOKUP(J1,B96:BA112,3,FALSE)</f>
        <v>#N/A</v>
      </c>
      <c r="M98" s="238" t="e">
        <f>IF(HLOOKUP(J1,B96:AQ112,3,TRUE)=0,100,HLOOKUP(J1,B96:AQ112,3,TRUE))</f>
        <v>#N/A</v>
      </c>
      <c r="AR98"/>
      <c r="AS98"/>
      <c r="AT98"/>
      <c r="AU98"/>
      <c r="AV98"/>
      <c r="AW98"/>
      <c r="AX98"/>
      <c r="AY98"/>
      <c r="AZ98"/>
      <c r="BA98" s="1128">
        <v>25525</v>
      </c>
      <c r="BB98" s="1044" t="s">
        <v>1523</v>
      </c>
      <c r="BC98" s="721"/>
      <c r="BD98" s="721"/>
      <c r="BE98" s="238">
        <v>95</v>
      </c>
      <c r="BF98" s="1128">
        <v>25525</v>
      </c>
      <c r="BG98" s="721"/>
      <c r="BH98" s="721"/>
      <c r="BJ98" s="436">
        <f t="shared" si="10"/>
        <v>98</v>
      </c>
      <c r="BM98" t="s">
        <v>1030</v>
      </c>
      <c r="BN98" s="1044" t="s">
        <v>1261</v>
      </c>
      <c r="BY98" s="1244">
        <v>20575</v>
      </c>
      <c r="BZ98" s="238">
        <f t="shared" si="11"/>
        <v>25575</v>
      </c>
    </row>
    <row r="99" spans="1:78" ht="12.75">
      <c r="A99" s="160" t="s">
        <v>1609</v>
      </c>
      <c r="B99" s="238">
        <v>90</v>
      </c>
      <c r="C99" s="238">
        <v>100</v>
      </c>
      <c r="D99" s="238">
        <v>100</v>
      </c>
      <c r="E99" s="238">
        <v>100</v>
      </c>
      <c r="L99" s="238" t="e">
        <f>HLOOKUP(J1,B96:BA112,4,FALSE)</f>
        <v>#N/A</v>
      </c>
      <c r="M99" s="238" t="e">
        <f>IF(HLOOKUP(J1,B96:AQ112,4,TRUE)=0,100,HLOOKUP(J1,B96:AQ112,4,TRUE))</f>
        <v>#N/A</v>
      </c>
      <c r="AR99"/>
      <c r="AS99"/>
      <c r="AT99"/>
      <c r="AU99"/>
      <c r="AV99"/>
      <c r="AW99"/>
      <c r="AX99"/>
      <c r="AY99"/>
      <c r="AZ99"/>
      <c r="BA99" s="1128">
        <v>25500</v>
      </c>
      <c r="BB99" s="1044" t="s">
        <v>2655</v>
      </c>
      <c r="BC99" s="721"/>
      <c r="BD99" s="721"/>
      <c r="BE99" s="238">
        <v>96</v>
      </c>
      <c r="BF99" s="1128">
        <v>25500</v>
      </c>
      <c r="BG99" s="721"/>
      <c r="BH99" s="721"/>
      <c r="BJ99" s="436">
        <f t="shared" si="10"/>
        <v>99</v>
      </c>
      <c r="BM99" t="s">
        <v>1031</v>
      </c>
      <c r="BN99" s="1044" t="s">
        <v>1242</v>
      </c>
      <c r="BY99" s="1244">
        <v>20575</v>
      </c>
      <c r="BZ99" s="238">
        <f t="shared" si="11"/>
        <v>25575</v>
      </c>
    </row>
    <row r="100" spans="1:78" ht="12.75">
      <c r="A100" s="160" t="s">
        <v>1610</v>
      </c>
      <c r="D100" s="238">
        <v>90</v>
      </c>
      <c r="E100" s="238">
        <v>100</v>
      </c>
      <c r="F100" s="238">
        <v>100</v>
      </c>
      <c r="G100" s="238">
        <v>100</v>
      </c>
      <c r="L100" s="238" t="e">
        <f>HLOOKUP(J1,B96:BA112,5,FALSE)</f>
        <v>#N/A</v>
      </c>
      <c r="M100" s="238" t="e">
        <f>IF(HLOOKUP(J1,B96:AQ112,5,TRUE)=0,100,HLOOKUP(J1,B96:AQ112,5,TRUE))</f>
        <v>#N/A</v>
      </c>
      <c r="AR100"/>
      <c r="AS100"/>
      <c r="AT100"/>
      <c r="AU100"/>
      <c r="AV100"/>
      <c r="AW100"/>
      <c r="AX100"/>
      <c r="AY100"/>
      <c r="AZ100"/>
      <c r="BA100" s="1128">
        <v>25525</v>
      </c>
      <c r="BB100" s="1044" t="s">
        <v>1524</v>
      </c>
      <c r="BC100" s="721"/>
      <c r="BD100" s="721"/>
      <c r="BE100" s="238">
        <v>97</v>
      </c>
      <c r="BF100" s="1128">
        <v>25525</v>
      </c>
      <c r="BG100" s="721"/>
      <c r="BH100" s="721"/>
      <c r="BJ100" s="436"/>
      <c r="BM100" t="s">
        <v>1032</v>
      </c>
      <c r="BN100" s="1044" t="s">
        <v>1244</v>
      </c>
      <c r="BY100" s="1244">
        <v>20575</v>
      </c>
      <c r="BZ100" s="238">
        <f t="shared" si="11"/>
        <v>25575</v>
      </c>
    </row>
    <row r="101" spans="1:78" ht="12.75">
      <c r="A101" s="160" t="s">
        <v>1611</v>
      </c>
      <c r="F101" s="238">
        <v>90</v>
      </c>
      <c r="G101" s="238">
        <v>100</v>
      </c>
      <c r="H101" s="238">
        <v>100</v>
      </c>
      <c r="I101" s="238">
        <v>100</v>
      </c>
      <c r="L101" s="238" t="e">
        <f>HLOOKUP(J1,B96:BA112,6,FALSE)</f>
        <v>#N/A</v>
      </c>
      <c r="M101" s="238" t="e">
        <f>IF(HLOOKUP(J1,B96:AQ112,6,TRUE)=0,100,HLOOKUP(J1,B96:AQ112,6,TRUE))</f>
        <v>#N/A</v>
      </c>
      <c r="AR101"/>
      <c r="AS101"/>
      <c r="AT101"/>
      <c r="AU101"/>
      <c r="AV101"/>
      <c r="AW101"/>
      <c r="AX101"/>
      <c r="AY101"/>
      <c r="AZ101"/>
      <c r="BA101" s="1128">
        <v>25500</v>
      </c>
      <c r="BB101" s="1044" t="s">
        <v>1560</v>
      </c>
      <c r="BC101" s="721"/>
      <c r="BD101" s="721"/>
      <c r="BE101" s="238">
        <v>98</v>
      </c>
      <c r="BF101" s="1128">
        <v>25500</v>
      </c>
      <c r="BG101" s="721"/>
      <c r="BH101" s="721"/>
      <c r="BJ101" s="436"/>
      <c r="BM101" t="s">
        <v>1033</v>
      </c>
      <c r="BN101" s="1044" t="s">
        <v>1303</v>
      </c>
      <c r="BY101" s="1244">
        <v>20575</v>
      </c>
      <c r="BZ101" s="238">
        <f t="shared" si="11"/>
        <v>25575</v>
      </c>
    </row>
    <row r="102" spans="1:78" ht="12.75">
      <c r="A102" s="160" t="s">
        <v>1974</v>
      </c>
      <c r="H102" s="238">
        <v>90</v>
      </c>
      <c r="I102" s="238">
        <v>100</v>
      </c>
      <c r="J102" s="238">
        <v>100</v>
      </c>
      <c r="K102" s="238">
        <v>100</v>
      </c>
      <c r="L102" s="238" t="e">
        <f>HLOOKUP(J1,B96:BA112,7,FALSE)</f>
        <v>#N/A</v>
      </c>
      <c r="M102" s="238" t="e">
        <f>IF(HLOOKUP(J1,B96:AQ112,7,TRUE)=0,100,HLOOKUP(J1,B96:AQ112,7,TRUE))</f>
        <v>#N/A</v>
      </c>
      <c r="N102" s="240" t="s">
        <v>885</v>
      </c>
      <c r="O102" s="240"/>
      <c r="AR102"/>
      <c r="AS102"/>
      <c r="AT102"/>
      <c r="AU102"/>
      <c r="AV102"/>
      <c r="AW102"/>
      <c r="AX102"/>
      <c r="AY102"/>
      <c r="AZ102"/>
      <c r="BA102" s="1128">
        <v>25500</v>
      </c>
      <c r="BB102" s="1044" t="s">
        <v>1525</v>
      </c>
      <c r="BC102" s="721"/>
      <c r="BD102" s="721"/>
      <c r="BE102" s="238">
        <v>99</v>
      </c>
      <c r="BF102" s="1128">
        <v>25500</v>
      </c>
      <c r="BG102" s="721"/>
      <c r="BH102" s="721"/>
      <c r="BJ102" s="436"/>
      <c r="BM102" t="s">
        <v>1034</v>
      </c>
      <c r="BN102" s="1044" t="s">
        <v>1236</v>
      </c>
      <c r="BY102" s="1244">
        <v>20575</v>
      </c>
      <c r="BZ102" s="238">
        <f t="shared" si="11"/>
        <v>25575</v>
      </c>
    </row>
    <row r="103" spans="1:78" ht="12.75">
      <c r="A103" s="160" t="s">
        <v>1615</v>
      </c>
      <c r="J103" s="238">
        <v>90</v>
      </c>
      <c r="K103" s="238">
        <v>100</v>
      </c>
      <c r="L103" s="238" t="e">
        <f>HLOOKUP(J1,B96:BA112,8,FALSE)</f>
        <v>#N/A</v>
      </c>
      <c r="M103" s="238" t="e">
        <f>IF(HLOOKUP(J1,B96:AQ112,8,TRUE)=0,100,HLOOKUP(J1,B96:AQ112,8,TRUE))</f>
        <v>#N/A</v>
      </c>
      <c r="N103" s="241" t="s">
        <v>1601</v>
      </c>
      <c r="O103" s="241" t="s">
        <v>1968</v>
      </c>
      <c r="AR103"/>
      <c r="AS103"/>
      <c r="AT103"/>
      <c r="AU103"/>
      <c r="AV103"/>
      <c r="AW103"/>
      <c r="AX103"/>
      <c r="AY103"/>
      <c r="AZ103"/>
      <c r="BA103" s="722" t="s">
        <v>415</v>
      </c>
      <c r="BB103" s="1044" t="s">
        <v>544</v>
      </c>
      <c r="BC103" s="721"/>
      <c r="BD103" s="721"/>
      <c r="BE103" s="238">
        <v>100</v>
      </c>
      <c r="BF103" s="722" t="s">
        <v>415</v>
      </c>
      <c r="BG103" s="721"/>
      <c r="BH103" s="721"/>
      <c r="BJ103" s="436"/>
      <c r="BM103" t="s">
        <v>1035</v>
      </c>
      <c r="BN103" s="1044" t="s">
        <v>1238</v>
      </c>
      <c r="BY103" s="1244">
        <v>20575</v>
      </c>
      <c r="BZ103" s="238">
        <f t="shared" si="11"/>
        <v>25575</v>
      </c>
    </row>
    <row r="104" spans="1:78" ht="12.75">
      <c r="A104" s="379" t="s">
        <v>1976</v>
      </c>
      <c r="L104" s="238" t="e">
        <f>HLOOKUP(J1,B96:BA112,9,FALSE)</f>
        <v>#N/A</v>
      </c>
      <c r="M104" s="238" t="e">
        <f>IF(HLOOKUP(J1,B96:AQ112,9,TRUE)=0,100,HLOOKUP(J1,B96:AQ112,9,TRUE))</f>
        <v>#N/A</v>
      </c>
      <c r="N104" s="241" t="s">
        <v>1709</v>
      </c>
      <c r="O104" s="241" t="s">
        <v>886</v>
      </c>
      <c r="AR104"/>
      <c r="AS104"/>
      <c r="AT104"/>
      <c r="AU104"/>
      <c r="AV104"/>
      <c r="AW104"/>
      <c r="AX104"/>
      <c r="AY104"/>
      <c r="AZ104"/>
      <c r="BA104" s="1128">
        <v>25500</v>
      </c>
      <c r="BB104" s="1044" t="s">
        <v>2219</v>
      </c>
      <c r="BC104" s="721"/>
      <c r="BD104" s="721"/>
      <c r="BE104" s="238">
        <v>101</v>
      </c>
      <c r="BF104" s="1128">
        <v>25500</v>
      </c>
      <c r="BG104" s="721"/>
      <c r="BH104" s="721"/>
      <c r="BJ104" s="436"/>
      <c r="BM104" t="s">
        <v>1036</v>
      </c>
      <c r="BN104" s="1044" t="s">
        <v>1267</v>
      </c>
      <c r="BY104" s="1244">
        <v>20575</v>
      </c>
      <c r="BZ104" s="238">
        <f t="shared" si="11"/>
        <v>25575</v>
      </c>
    </row>
    <row r="105" spans="1:78" ht="12.75">
      <c r="A105" s="160" t="s">
        <v>1977</v>
      </c>
      <c r="L105" s="238" t="e">
        <f>HLOOKUP(J1,B96:BA112,10,FALSE)</f>
        <v>#N/A</v>
      </c>
      <c r="M105" s="238" t="e">
        <f>IF(HLOOKUP(J1,B96:AQ112,10,TRUE)=0,100,HLOOKUP(J1,B96:AQ112,10,TRUE))</f>
        <v>#N/A</v>
      </c>
      <c r="N105" s="241">
        <v>4.75</v>
      </c>
      <c r="O105" s="241">
        <v>6</v>
      </c>
      <c r="AR105"/>
      <c r="AS105"/>
      <c r="AT105"/>
      <c r="AU105"/>
      <c r="AV105"/>
      <c r="AW105"/>
      <c r="AX105"/>
      <c r="AY105"/>
      <c r="AZ105"/>
      <c r="BA105" s="722" t="s">
        <v>415</v>
      </c>
      <c r="BB105" s="1044" t="s">
        <v>545</v>
      </c>
      <c r="BC105" s="721"/>
      <c r="BD105" s="721"/>
      <c r="BE105" s="238">
        <v>102</v>
      </c>
      <c r="BF105" s="722" t="s">
        <v>415</v>
      </c>
      <c r="BG105" s="721"/>
      <c r="BH105" s="721"/>
      <c r="BJ105" s="436"/>
      <c r="BM105" t="s">
        <v>1037</v>
      </c>
      <c r="BN105" s="1044" t="s">
        <v>1271</v>
      </c>
      <c r="BY105" s="1244">
        <v>20575</v>
      </c>
      <c r="BZ105" s="238">
        <f t="shared" si="11"/>
        <v>25575</v>
      </c>
    </row>
    <row r="106" spans="1:78" ht="12.75">
      <c r="A106" s="160" t="s">
        <v>1841</v>
      </c>
      <c r="B106" s="238">
        <v>15</v>
      </c>
      <c r="C106" s="238">
        <v>41</v>
      </c>
      <c r="D106" s="238">
        <v>19</v>
      </c>
      <c r="E106" s="238">
        <v>45</v>
      </c>
      <c r="F106" s="238">
        <v>23</v>
      </c>
      <c r="G106" s="238">
        <v>49</v>
      </c>
      <c r="H106" s="238">
        <v>28</v>
      </c>
      <c r="I106" s="238">
        <v>58</v>
      </c>
      <c r="J106" s="238">
        <v>32</v>
      </c>
      <c r="K106" s="238">
        <v>67</v>
      </c>
      <c r="L106" s="238" t="e">
        <f>HLOOKUP(J1,B96:BA112,11,FALSE)</f>
        <v>#N/A</v>
      </c>
      <c r="M106" s="238" t="e">
        <f>IF(HLOOKUP(J1,B96:AQ112,11,TRUE)=0,100,HLOOKUP(J1,B96:AQ112,11,TRUE))</f>
        <v>#N/A</v>
      </c>
      <c r="N106" s="241">
        <v>2.36</v>
      </c>
      <c r="O106" s="241">
        <v>4</v>
      </c>
      <c r="AR106"/>
      <c r="AS106"/>
      <c r="AT106"/>
      <c r="AU106"/>
      <c r="AV106"/>
      <c r="AW106"/>
      <c r="AX106"/>
      <c r="AY106"/>
      <c r="AZ106"/>
      <c r="BA106" s="722" t="s">
        <v>470</v>
      </c>
      <c r="BB106" s="1044" t="s">
        <v>471</v>
      </c>
      <c r="BC106" s="721"/>
      <c r="BD106" s="721"/>
      <c r="BE106" s="238">
        <v>103</v>
      </c>
      <c r="BF106" s="722" t="s">
        <v>470</v>
      </c>
      <c r="BG106" s="721"/>
      <c r="BH106" s="721"/>
      <c r="BJ106" s="436"/>
      <c r="BM106" t="s">
        <v>1038</v>
      </c>
      <c r="BN106" s="1044" t="s">
        <v>1269</v>
      </c>
      <c r="BY106" s="1244">
        <v>20575</v>
      </c>
      <c r="BZ106" s="238">
        <f t="shared" si="11"/>
        <v>25575</v>
      </c>
    </row>
    <row r="107" spans="1:78" ht="12.75">
      <c r="A107" s="160" t="s">
        <v>1842</v>
      </c>
      <c r="L107" s="238" t="e">
        <f>HLOOKUP(J1,B96:BA112,12,FALSE)</f>
        <v>#N/A</v>
      </c>
      <c r="M107" s="238" t="e">
        <f>IF(HLOOKUP(J1,B96:AQ112,12,TRUE)=0,100,HLOOKUP(J1,B96:AQ112,12,TRUE))</f>
        <v>#N/A</v>
      </c>
      <c r="AR107"/>
      <c r="AS107"/>
      <c r="AT107"/>
      <c r="AU107"/>
      <c r="AV107"/>
      <c r="AW107"/>
      <c r="AX107"/>
      <c r="AY107"/>
      <c r="AZ107"/>
      <c r="BA107" s="1128">
        <v>25500</v>
      </c>
      <c r="BB107" s="1044" t="s">
        <v>1526</v>
      </c>
      <c r="BC107" s="721"/>
      <c r="BD107" s="721"/>
      <c r="BE107" s="238">
        <v>104</v>
      </c>
      <c r="BF107" s="1128">
        <v>25500</v>
      </c>
      <c r="BG107" s="721"/>
      <c r="BH107" s="721"/>
      <c r="BJ107" s="436"/>
      <c r="BM107" t="s">
        <v>1039</v>
      </c>
      <c r="BN107" s="1044" t="s">
        <v>1274</v>
      </c>
      <c r="BY107" s="1244">
        <v>20575</v>
      </c>
      <c r="BZ107" s="238">
        <f t="shared" si="11"/>
        <v>25575</v>
      </c>
    </row>
    <row r="108" spans="1:78" ht="12.75">
      <c r="A108" s="160" t="s">
        <v>1843</v>
      </c>
      <c r="L108" s="238" t="e">
        <f>HLOOKUP(J1,B96:BA112,13,FALSE)</f>
        <v>#N/A</v>
      </c>
      <c r="M108" s="238" t="e">
        <f>IF(HLOOKUP(J1,B96:AQ112,13,TRUE)=0,100,HLOOKUP(J1,B96:AQ112,13,TRUE))</f>
        <v>#N/A</v>
      </c>
      <c r="AR108"/>
      <c r="AS108"/>
      <c r="AT108"/>
      <c r="AU108"/>
      <c r="AV108"/>
      <c r="AW108"/>
      <c r="AX108"/>
      <c r="AY108"/>
      <c r="AZ108"/>
      <c r="BA108" s="1128">
        <v>25500</v>
      </c>
      <c r="BB108" s="1044" t="s">
        <v>2234</v>
      </c>
      <c r="BC108" s="721"/>
      <c r="BD108" s="721"/>
      <c r="BE108" s="238">
        <v>105</v>
      </c>
      <c r="BF108" s="1128">
        <v>25500</v>
      </c>
      <c r="BG108" s="721"/>
      <c r="BH108" s="721"/>
      <c r="BJ108" s="436"/>
      <c r="BM108" t="s">
        <v>1040</v>
      </c>
      <c r="BN108" s="1044" t="s">
        <v>1255</v>
      </c>
      <c r="BY108" s="1244">
        <v>20575</v>
      </c>
      <c r="BZ108" s="238">
        <f t="shared" si="11"/>
        <v>25575</v>
      </c>
    </row>
    <row r="109" spans="1:78" ht="12.75">
      <c r="A109" s="160" t="s">
        <v>1844</v>
      </c>
      <c r="L109" s="238" t="e">
        <f>HLOOKUP(J1,B96:BA112,14,FALSE)</f>
        <v>#N/A</v>
      </c>
      <c r="M109" s="238" t="e">
        <f>IF(HLOOKUP(J1,B96:AQ112,14,TRUE)=0,100,HLOOKUP(J1,B96:AQ112,14,TRUE))</f>
        <v>#N/A</v>
      </c>
      <c r="AR109"/>
      <c r="AS109"/>
      <c r="AT109"/>
      <c r="AU109"/>
      <c r="AV109"/>
      <c r="AW109"/>
      <c r="AX109"/>
      <c r="AY109"/>
      <c r="AZ109"/>
      <c r="BA109" s="722" t="s">
        <v>415</v>
      </c>
      <c r="BB109" s="1044" t="s">
        <v>472</v>
      </c>
      <c r="BC109" s="721"/>
      <c r="BD109" s="721"/>
      <c r="BE109" s="238">
        <v>106</v>
      </c>
      <c r="BF109" s="722" t="s">
        <v>415</v>
      </c>
      <c r="BG109" s="721"/>
      <c r="BH109" s="721"/>
      <c r="BJ109" s="436"/>
      <c r="BM109" t="s">
        <v>1041</v>
      </c>
      <c r="BN109" s="1044" t="s">
        <v>2127</v>
      </c>
      <c r="BY109" s="1244">
        <v>20575</v>
      </c>
      <c r="BZ109" s="238">
        <f t="shared" si="11"/>
        <v>25575</v>
      </c>
    </row>
    <row r="110" spans="1:78" ht="12.75">
      <c r="A110" s="160" t="s">
        <v>1845</v>
      </c>
      <c r="L110" s="238" t="e">
        <f>HLOOKUP(J1,B96:BA112,15,FALSE)</f>
        <v>#N/A</v>
      </c>
      <c r="M110" s="238" t="e">
        <f>IF(HLOOKUP(J1,B96:AQ112,15,TRUE)=0,100,HLOOKUP(J1,B96:AQ112,15,TRUE))</f>
        <v>#N/A</v>
      </c>
      <c r="AR110"/>
      <c r="AS110"/>
      <c r="AT110"/>
      <c r="AU110"/>
      <c r="AV110"/>
      <c r="AW110"/>
      <c r="AX110"/>
      <c r="AY110"/>
      <c r="AZ110"/>
      <c r="BA110" s="722" t="s">
        <v>415</v>
      </c>
      <c r="BB110" s="1044" t="s">
        <v>473</v>
      </c>
      <c r="BC110" s="721"/>
      <c r="BD110" s="721"/>
      <c r="BE110" s="238">
        <v>107</v>
      </c>
      <c r="BF110" s="722" t="s">
        <v>415</v>
      </c>
      <c r="BG110" s="721"/>
      <c r="BH110" s="721"/>
      <c r="BJ110" s="436"/>
      <c r="BM110" t="s">
        <v>1042</v>
      </c>
      <c r="BN110" s="1044" t="s">
        <v>1202</v>
      </c>
      <c r="BY110" s="1244">
        <v>20500</v>
      </c>
      <c r="BZ110" s="238">
        <f t="shared" si="11"/>
        <v>25500</v>
      </c>
    </row>
    <row r="111" spans="1:78" ht="12.75">
      <c r="A111" s="160" t="s">
        <v>863</v>
      </c>
      <c r="B111" s="238">
        <v>0</v>
      </c>
      <c r="C111" s="238">
        <v>6</v>
      </c>
      <c r="D111" s="238">
        <v>1</v>
      </c>
      <c r="E111" s="238">
        <v>7</v>
      </c>
      <c r="F111" s="238">
        <v>2</v>
      </c>
      <c r="G111" s="238">
        <v>8</v>
      </c>
      <c r="H111" s="238">
        <v>2</v>
      </c>
      <c r="I111" s="238">
        <v>10</v>
      </c>
      <c r="J111" s="238">
        <v>2</v>
      </c>
      <c r="K111" s="238">
        <v>10</v>
      </c>
      <c r="L111" s="238" t="e">
        <f>HLOOKUP(J1,B96:BA112,16,FALSE)</f>
        <v>#N/A</v>
      </c>
      <c r="M111" s="238" t="e">
        <f>IF(HLOOKUP(J1,B96:AQ112,16,TRUE)=0,100,HLOOKUP(J1,B96:AQ112,16,TRUE))</f>
        <v>#N/A</v>
      </c>
      <c r="AR111"/>
      <c r="AS111"/>
      <c r="AT111"/>
      <c r="AU111"/>
      <c r="AV111"/>
      <c r="AW111"/>
      <c r="AX111"/>
      <c r="AY111"/>
      <c r="AZ111"/>
      <c r="BA111" s="722" t="s">
        <v>415</v>
      </c>
      <c r="BB111" s="1044" t="s">
        <v>474</v>
      </c>
      <c r="BC111" s="721"/>
      <c r="BD111" s="721"/>
      <c r="BE111" s="238">
        <v>108</v>
      </c>
      <c r="BF111" s="722" t="s">
        <v>415</v>
      </c>
      <c r="BG111" s="721"/>
      <c r="BH111" s="721"/>
      <c r="BJ111" s="436"/>
      <c r="BM111" t="s">
        <v>1043</v>
      </c>
      <c r="BN111" s="1044" t="s">
        <v>1204</v>
      </c>
      <c r="BY111" s="1244">
        <v>20500</v>
      </c>
      <c r="BZ111" s="238">
        <f t="shared" si="11"/>
        <v>25500</v>
      </c>
    </row>
    <row r="112" spans="1:78" ht="12.75">
      <c r="A112" s="253" t="s">
        <v>1650</v>
      </c>
      <c r="B112" s="238">
        <v>0.5</v>
      </c>
      <c r="D112" s="238">
        <v>0.5</v>
      </c>
      <c r="F112" s="238">
        <v>0.5</v>
      </c>
      <c r="H112" s="238">
        <v>0.5</v>
      </c>
      <c r="J112" s="238">
        <v>0.5</v>
      </c>
      <c r="L112" s="243" t="e">
        <f>HLOOKUP(J1,B96:BA112,17,FALSE)</f>
        <v>#N/A</v>
      </c>
      <c r="AR112"/>
      <c r="AS112"/>
      <c r="AT112"/>
      <c r="AU112"/>
      <c r="AV112"/>
      <c r="AW112"/>
      <c r="AX112"/>
      <c r="AY112"/>
      <c r="AZ112"/>
      <c r="BA112" s="722">
        <v>25500</v>
      </c>
      <c r="BB112" s="1044" t="s">
        <v>2236</v>
      </c>
      <c r="BC112" s="721"/>
      <c r="BD112" s="721"/>
      <c r="BE112" s="238">
        <v>109</v>
      </c>
      <c r="BF112" s="1128">
        <v>25500</v>
      </c>
      <c r="BG112" s="721"/>
      <c r="BH112" s="721"/>
      <c r="BJ112" s="436"/>
      <c r="BM112" t="s">
        <v>1044</v>
      </c>
      <c r="BN112" s="1044" t="s">
        <v>1206</v>
      </c>
      <c r="BY112" s="1244">
        <v>20500</v>
      </c>
      <c r="BZ112" s="238">
        <f t="shared" si="11"/>
        <v>25500</v>
      </c>
    </row>
    <row r="113" spans="1:78" ht="12.75">
      <c r="B113"/>
      <c r="C113"/>
      <c r="D113"/>
      <c r="E113"/>
      <c r="F113"/>
      <c r="G113"/>
      <c r="H113"/>
      <c r="I113"/>
      <c r="J113"/>
      <c r="K113"/>
      <c r="BA113" s="722">
        <v>28025</v>
      </c>
      <c r="BB113" s="1044" t="s">
        <v>2225</v>
      </c>
      <c r="BC113" s="721"/>
      <c r="BD113" s="721"/>
      <c r="BE113" s="238">
        <v>110</v>
      </c>
      <c r="BF113" s="1128">
        <v>28025</v>
      </c>
      <c r="BG113" s="721"/>
      <c r="BH113" s="721"/>
      <c r="BJ113" s="436"/>
      <c r="BM113" t="s">
        <v>1045</v>
      </c>
      <c r="BN113" s="1044" t="s">
        <v>1208</v>
      </c>
      <c r="BY113" s="1244">
        <v>20500</v>
      </c>
      <c r="BZ113" s="238">
        <f t="shared" si="11"/>
        <v>25500</v>
      </c>
    </row>
    <row r="114" spans="1:78" ht="12.75">
      <c r="B114"/>
      <c r="C114"/>
      <c r="D114"/>
      <c r="E114"/>
      <c r="F114"/>
      <c r="G114"/>
      <c r="H114"/>
      <c r="I114"/>
      <c r="J114"/>
      <c r="K114"/>
      <c r="BA114" s="722" t="s">
        <v>421</v>
      </c>
      <c r="BB114" s="1044" t="s">
        <v>475</v>
      </c>
      <c r="BC114" s="721"/>
      <c r="BD114" s="721"/>
      <c r="BE114" s="238">
        <v>111</v>
      </c>
      <c r="BF114" s="722" t="s">
        <v>421</v>
      </c>
      <c r="BG114" s="721"/>
      <c r="BH114" s="721"/>
      <c r="BJ114" s="436"/>
      <c r="BM114" t="s">
        <v>1046</v>
      </c>
      <c r="BN114" s="1044" t="s">
        <v>1210</v>
      </c>
      <c r="BY114" s="1244">
        <v>20550</v>
      </c>
      <c r="BZ114" s="238">
        <f t="shared" si="11"/>
        <v>25550</v>
      </c>
    </row>
    <row r="115" spans="1:78" ht="12.75">
      <c r="A115" s="238">
        <v>4.75</v>
      </c>
      <c r="B115" s="238">
        <f>'Accept. Grad. # 1'!B14</f>
        <v>0</v>
      </c>
      <c r="C115" s="238">
        <f>100-B115</f>
        <v>100</v>
      </c>
      <c r="D115" s="238">
        <f>C115</f>
        <v>100</v>
      </c>
      <c r="E115" s="238">
        <f>'Accept. Grad. # 2'!B14</f>
        <v>0</v>
      </c>
      <c r="F115" s="238">
        <f>100-E115</f>
        <v>100</v>
      </c>
      <c r="G115" s="238">
        <f>F115</f>
        <v>100</v>
      </c>
      <c r="H115" s="238">
        <f>'Accept. Grad. # 3'!B14</f>
        <v>0</v>
      </c>
      <c r="I115" s="238">
        <f>100-H115</f>
        <v>100</v>
      </c>
      <c r="J115" s="238">
        <f>I115</f>
        <v>100</v>
      </c>
      <c r="K115" s="238">
        <f>'Accept. Grad. # 4'!B14</f>
        <v>0</v>
      </c>
      <c r="L115" s="238">
        <f>100-K115</f>
        <v>100</v>
      </c>
      <c r="M115" s="238">
        <f>L115</f>
        <v>100</v>
      </c>
      <c r="N115" s="238" t="str">
        <f>'Accept. Grad. # 4'!E14</f>
        <v/>
      </c>
      <c r="O115" s="238" t="e">
        <f>100-N115</f>
        <v>#VALUE!</v>
      </c>
      <c r="P115" s="238" t="e">
        <f>O115</f>
        <v>#VALUE!</v>
      </c>
      <c r="Q115" s="238" t="str">
        <f>'Accept. Grad. # 4'!H14</f>
        <v/>
      </c>
      <c r="R115" s="238" t="e">
        <f>100-Q115</f>
        <v>#VALUE!</v>
      </c>
      <c r="S115" s="238" t="e">
        <f>R115</f>
        <v>#VALUE!</v>
      </c>
      <c r="BA115" s="722" t="s">
        <v>423</v>
      </c>
      <c r="BB115" s="1044" t="s">
        <v>476</v>
      </c>
      <c r="BC115" s="721"/>
      <c r="BD115" s="721"/>
      <c r="BE115" s="238">
        <v>112</v>
      </c>
      <c r="BF115" s="722" t="s">
        <v>423</v>
      </c>
      <c r="BG115" s="721"/>
      <c r="BH115" s="721"/>
      <c r="BJ115" s="436"/>
      <c r="BM115" t="s">
        <v>1047</v>
      </c>
      <c r="BN115" s="1044" t="s">
        <v>1212</v>
      </c>
      <c r="BY115" s="1244">
        <v>20550</v>
      </c>
      <c r="BZ115" s="238">
        <f t="shared" si="11"/>
        <v>25550</v>
      </c>
    </row>
    <row r="116" spans="1:78" ht="12.75">
      <c r="A116" s="238">
        <v>2.36</v>
      </c>
      <c r="B116" s="238">
        <f>'Accept. Grad. # 1'!B15</f>
        <v>0</v>
      </c>
      <c r="C116" s="238">
        <f>B115-B116</f>
        <v>0</v>
      </c>
      <c r="D116" s="238">
        <f>C116+D115</f>
        <v>100</v>
      </c>
      <c r="E116" s="238">
        <f>'Accept. Grad. # 2'!B15</f>
        <v>0</v>
      </c>
      <c r="F116" s="238">
        <f>E115-E116</f>
        <v>0</v>
      </c>
      <c r="G116" s="238">
        <f>F116+G115</f>
        <v>100</v>
      </c>
      <c r="H116" s="238">
        <f>'Accept. Grad. # 3'!B15</f>
        <v>0</v>
      </c>
      <c r="I116" s="238">
        <f>H115-H116</f>
        <v>0</v>
      </c>
      <c r="J116" s="238">
        <f>I116+J115</f>
        <v>100</v>
      </c>
      <c r="K116" s="238">
        <f>'Accept. Grad. # 4'!B15</f>
        <v>0</v>
      </c>
      <c r="L116" s="238">
        <f>K115-K116</f>
        <v>0</v>
      </c>
      <c r="M116" s="238">
        <f>L116+M115</f>
        <v>100</v>
      </c>
      <c r="N116" s="238" t="str">
        <f>'Accept. Grad. # 4'!E15</f>
        <v/>
      </c>
      <c r="O116" s="238" t="e">
        <f t="shared" ref="O116:R120" si="12">N115-N116</f>
        <v>#VALUE!</v>
      </c>
      <c r="P116" s="238" t="e">
        <f t="shared" ref="P116:S120" si="13">O116+P115</f>
        <v>#VALUE!</v>
      </c>
      <c r="Q116" s="238" t="str">
        <f>'Accept. Grad. # 4'!H15</f>
        <v/>
      </c>
      <c r="R116" s="238" t="e">
        <f t="shared" si="12"/>
        <v>#VALUE!</v>
      </c>
      <c r="S116" s="238" t="e">
        <f t="shared" si="13"/>
        <v>#VALUE!</v>
      </c>
      <c r="BA116" s="722" t="s">
        <v>425</v>
      </c>
      <c r="BB116" s="1044" t="s">
        <v>477</v>
      </c>
      <c r="BC116" s="721"/>
      <c r="BD116" s="721"/>
      <c r="BE116" s="238">
        <v>113</v>
      </c>
      <c r="BF116" s="722" t="s">
        <v>425</v>
      </c>
      <c r="BG116" s="721"/>
      <c r="BH116" s="721"/>
      <c r="BJ116" s="436"/>
      <c r="BM116" t="s">
        <v>1048</v>
      </c>
      <c r="BN116" s="1044" t="s">
        <v>1214</v>
      </c>
      <c r="BY116" s="1244">
        <v>20550</v>
      </c>
      <c r="BZ116" s="238">
        <f t="shared" si="11"/>
        <v>25550</v>
      </c>
    </row>
    <row r="117" spans="1:78" ht="12.75">
      <c r="A117" s="238">
        <v>1.18</v>
      </c>
      <c r="B117" s="238">
        <f>'Accept. Grad. # 1'!B16</f>
        <v>0</v>
      </c>
      <c r="C117" s="238">
        <f>B116-B117</f>
        <v>0</v>
      </c>
      <c r="D117" s="238">
        <f>C117+D116</f>
        <v>100</v>
      </c>
      <c r="E117" s="238">
        <f>'Accept. Grad. # 2'!B16</f>
        <v>0</v>
      </c>
      <c r="F117" s="238">
        <f>E116-E117</f>
        <v>0</v>
      </c>
      <c r="G117" s="238">
        <f>F117+G116</f>
        <v>100</v>
      </c>
      <c r="H117" s="238">
        <f>'Accept. Grad. # 3'!B16</f>
        <v>0</v>
      </c>
      <c r="I117" s="238">
        <f>H116-H117</f>
        <v>0</v>
      </c>
      <c r="J117" s="238">
        <f>I117+J116</f>
        <v>100</v>
      </c>
      <c r="K117" s="238">
        <f>'Accept. Grad. # 4'!B16</f>
        <v>0</v>
      </c>
      <c r="L117" s="238">
        <f>K116-K117</f>
        <v>0</v>
      </c>
      <c r="M117" s="238">
        <f>L117+M116</f>
        <v>100</v>
      </c>
      <c r="N117" s="238" t="str">
        <f>'Accept. Grad. # 4'!E16</f>
        <v/>
      </c>
      <c r="O117" s="238" t="e">
        <f t="shared" si="12"/>
        <v>#VALUE!</v>
      </c>
      <c r="P117" s="238" t="e">
        <f t="shared" si="13"/>
        <v>#VALUE!</v>
      </c>
      <c r="Q117" s="238" t="str">
        <f>'Accept. Grad. # 4'!H16</f>
        <v/>
      </c>
      <c r="R117" s="238" t="e">
        <f t="shared" si="12"/>
        <v>#VALUE!</v>
      </c>
      <c r="S117" s="238" t="e">
        <f t="shared" si="13"/>
        <v>#VALUE!</v>
      </c>
      <c r="BA117" s="722" t="s">
        <v>421</v>
      </c>
      <c r="BB117" s="1044" t="s">
        <v>478</v>
      </c>
      <c r="BC117" s="721"/>
      <c r="BD117" s="721"/>
      <c r="BE117" s="238">
        <v>114</v>
      </c>
      <c r="BF117" s="722" t="s">
        <v>421</v>
      </c>
      <c r="BG117" s="721"/>
      <c r="BH117" s="721"/>
      <c r="BJ117" s="436"/>
      <c r="BM117" t="s">
        <v>1049</v>
      </c>
      <c r="BN117" s="1044" t="s">
        <v>1216</v>
      </c>
      <c r="BY117" s="1244">
        <v>20550</v>
      </c>
      <c r="BZ117" s="238">
        <f t="shared" si="11"/>
        <v>25550</v>
      </c>
    </row>
    <row r="118" spans="1:78" ht="12.75">
      <c r="A118" s="244">
        <v>0.6</v>
      </c>
      <c r="B118" s="238">
        <f>'Accept. Grad. # 1'!B17</f>
        <v>0</v>
      </c>
      <c r="C118" s="238">
        <f>B117-B118</f>
        <v>0</v>
      </c>
      <c r="D118" s="238">
        <f>C118+D117</f>
        <v>100</v>
      </c>
      <c r="E118" s="238">
        <f>'Accept. Grad. # 2'!B17</f>
        <v>0</v>
      </c>
      <c r="F118" s="238">
        <f>E117-E118</f>
        <v>0</v>
      </c>
      <c r="G118" s="238">
        <f>F118+G117</f>
        <v>100</v>
      </c>
      <c r="H118" s="238">
        <f>'Accept. Grad. # 3'!B17</f>
        <v>0</v>
      </c>
      <c r="I118" s="238">
        <f>H117-H118</f>
        <v>0</v>
      </c>
      <c r="J118" s="238">
        <f>I118+J117</f>
        <v>100</v>
      </c>
      <c r="K118" s="238">
        <f>'Accept. Grad. # 4'!B17</f>
        <v>0</v>
      </c>
      <c r="L118" s="238">
        <f>K117-K118</f>
        <v>0</v>
      </c>
      <c r="M118" s="238">
        <f>L118+M117</f>
        <v>100</v>
      </c>
      <c r="N118" s="238" t="str">
        <f>'Accept. Grad. # 4'!E17</f>
        <v/>
      </c>
      <c r="O118" s="238" t="e">
        <f t="shared" si="12"/>
        <v>#VALUE!</v>
      </c>
      <c r="P118" s="238" t="e">
        <f t="shared" si="13"/>
        <v>#VALUE!</v>
      </c>
      <c r="Q118" s="238" t="str">
        <f>'Accept. Grad. # 4'!H17</f>
        <v/>
      </c>
      <c r="R118" s="238" t="e">
        <f t="shared" si="12"/>
        <v>#VALUE!</v>
      </c>
      <c r="S118" s="238" t="e">
        <f t="shared" si="13"/>
        <v>#VALUE!</v>
      </c>
      <c r="BA118" s="722" t="s">
        <v>423</v>
      </c>
      <c r="BB118" s="1044" t="s">
        <v>479</v>
      </c>
      <c r="BC118" s="721"/>
      <c r="BD118" s="721"/>
      <c r="BE118" s="238">
        <v>115</v>
      </c>
      <c r="BF118" s="722" t="s">
        <v>423</v>
      </c>
      <c r="BG118" s="721"/>
      <c r="BH118" s="721"/>
      <c r="BJ118" s="436"/>
      <c r="BM118" t="s">
        <v>1050</v>
      </c>
      <c r="BN118" s="1044" t="s">
        <v>1218</v>
      </c>
      <c r="BY118" s="1244">
        <v>20575</v>
      </c>
      <c r="BZ118" s="238">
        <f t="shared" si="11"/>
        <v>25575</v>
      </c>
    </row>
    <row r="119" spans="1:78" ht="12.75">
      <c r="A119" s="244">
        <v>0.3</v>
      </c>
      <c r="B119" s="238">
        <f>'Accept. Grad. # 1'!B18</f>
        <v>0</v>
      </c>
      <c r="C119" s="238">
        <f>B118-B119</f>
        <v>0</v>
      </c>
      <c r="D119" s="238">
        <f>C119+D118</f>
        <v>100</v>
      </c>
      <c r="E119" s="238">
        <f>'Accept. Grad. # 2'!B18</f>
        <v>0</v>
      </c>
      <c r="F119" s="238">
        <f>E118-E119</f>
        <v>0</v>
      </c>
      <c r="G119" s="238">
        <f>F119+G118</f>
        <v>100</v>
      </c>
      <c r="H119" s="238">
        <f>'Accept. Grad. # 3'!B18</f>
        <v>0</v>
      </c>
      <c r="I119" s="238">
        <f>H118-H119</f>
        <v>0</v>
      </c>
      <c r="J119" s="238">
        <f>I119+J118</f>
        <v>100</v>
      </c>
      <c r="K119" s="238">
        <f>'Accept. Grad. # 4'!B18</f>
        <v>0</v>
      </c>
      <c r="L119" s="238">
        <f>K118-K119</f>
        <v>0</v>
      </c>
      <c r="M119" s="238">
        <f>L119+M118</f>
        <v>100</v>
      </c>
      <c r="N119" s="238" t="str">
        <f>'Accept. Grad. # 4'!E18</f>
        <v/>
      </c>
      <c r="O119" s="238" t="e">
        <f t="shared" si="12"/>
        <v>#VALUE!</v>
      </c>
      <c r="P119" s="238" t="e">
        <f t="shared" si="13"/>
        <v>#VALUE!</v>
      </c>
      <c r="Q119" s="238" t="str">
        <f>'Accept. Grad. # 4'!H18</f>
        <v/>
      </c>
      <c r="R119" s="238" t="e">
        <f t="shared" si="12"/>
        <v>#VALUE!</v>
      </c>
      <c r="S119" s="238" t="e">
        <f t="shared" si="13"/>
        <v>#VALUE!</v>
      </c>
      <c r="BA119" s="722" t="s">
        <v>425</v>
      </c>
      <c r="BB119" s="1044" t="s">
        <v>480</v>
      </c>
      <c r="BC119" s="721"/>
      <c r="BD119" s="721"/>
      <c r="BE119" s="238">
        <v>116</v>
      </c>
      <c r="BF119" s="722" t="s">
        <v>425</v>
      </c>
      <c r="BG119" s="721"/>
      <c r="BH119" s="721"/>
      <c r="BJ119" s="436"/>
      <c r="BM119" t="s">
        <v>1051</v>
      </c>
      <c r="BN119" s="1044" t="s">
        <v>1220</v>
      </c>
      <c r="BY119" s="1244">
        <v>20575</v>
      </c>
      <c r="BZ119" s="238">
        <f t="shared" si="11"/>
        <v>25575</v>
      </c>
    </row>
    <row r="120" spans="1:78" ht="12.75">
      <c r="A120" s="244">
        <v>0.15</v>
      </c>
      <c r="B120" s="238">
        <f>'Accept. Grad. # 1'!B19</f>
        <v>0</v>
      </c>
      <c r="C120" s="238">
        <f>B119-B120</f>
        <v>0</v>
      </c>
      <c r="D120" s="238">
        <f>C120+D119</f>
        <v>100</v>
      </c>
      <c r="E120" s="238">
        <f>'Accept. Grad. # 2'!B19</f>
        <v>0</v>
      </c>
      <c r="F120" s="238">
        <f>E119-E120</f>
        <v>0</v>
      </c>
      <c r="G120" s="238">
        <f>F120+G119</f>
        <v>100</v>
      </c>
      <c r="H120" s="238">
        <f>'Accept. Grad. # 3'!B19</f>
        <v>0</v>
      </c>
      <c r="I120" s="238">
        <f>H119-H120</f>
        <v>0</v>
      </c>
      <c r="J120" s="238">
        <f>I120+J119</f>
        <v>100</v>
      </c>
      <c r="K120" s="238">
        <f>'Accept. Grad. # 4'!B19</f>
        <v>0</v>
      </c>
      <c r="L120" s="238">
        <f>K119-K120</f>
        <v>0</v>
      </c>
      <c r="M120" s="238">
        <f>L120+M119</f>
        <v>100</v>
      </c>
      <c r="N120" s="238" t="str">
        <f>'Accept. Grad. # 4'!E19</f>
        <v/>
      </c>
      <c r="O120" s="238" t="e">
        <f t="shared" si="12"/>
        <v>#VALUE!</v>
      </c>
      <c r="P120" s="238" t="e">
        <f t="shared" si="13"/>
        <v>#VALUE!</v>
      </c>
      <c r="Q120" s="238" t="str">
        <f>'Accept. Grad. # 4'!H19</f>
        <v/>
      </c>
      <c r="R120" s="238" t="e">
        <f t="shared" si="12"/>
        <v>#VALUE!</v>
      </c>
      <c r="S120" s="238" t="e">
        <f t="shared" si="13"/>
        <v>#VALUE!</v>
      </c>
      <c r="BA120" s="722" t="s">
        <v>413</v>
      </c>
      <c r="BB120" s="1044" t="s">
        <v>481</v>
      </c>
      <c r="BC120" s="721"/>
      <c r="BD120" s="721"/>
      <c r="BE120" s="238">
        <v>117</v>
      </c>
      <c r="BF120" s="722" t="s">
        <v>413</v>
      </c>
      <c r="BG120" s="721"/>
      <c r="BH120" s="721"/>
      <c r="BJ120" s="436"/>
      <c r="BM120" t="s">
        <v>1052</v>
      </c>
      <c r="BN120" s="1044" t="s">
        <v>1222</v>
      </c>
      <c r="BY120" s="1244">
        <v>20575</v>
      </c>
      <c r="BZ120" s="238">
        <f t="shared" si="11"/>
        <v>25575</v>
      </c>
    </row>
    <row r="121" spans="1:78" ht="12.75">
      <c r="D121" s="238" t="str">
        <f>IF(B115=0,"",SUM(D115:D120)/100)</f>
        <v/>
      </c>
      <c r="G121" s="238" t="str">
        <f>IF(E115=0,"",SUM(G115:G120)/100)</f>
        <v/>
      </c>
      <c r="J121" s="238" t="str">
        <f>IF(H115=0,"",SUM(J115:J120)/100)</f>
        <v/>
      </c>
      <c r="M121" s="238" t="str">
        <f>IF(K115=0,"",SUM(M115:M120)/100)</f>
        <v/>
      </c>
      <c r="BA121" s="722" t="s">
        <v>415</v>
      </c>
      <c r="BB121" s="1044" t="s">
        <v>482</v>
      </c>
      <c r="BC121" s="721"/>
      <c r="BD121" s="721"/>
      <c r="BE121" s="238">
        <v>118</v>
      </c>
      <c r="BF121" s="722" t="s">
        <v>415</v>
      </c>
      <c r="BG121" s="721"/>
      <c r="BH121" s="721"/>
      <c r="BJ121" s="436"/>
      <c r="BM121" t="s">
        <v>1053</v>
      </c>
      <c r="BN121" s="1044" t="s">
        <v>1224</v>
      </c>
      <c r="BY121" s="1244">
        <v>20575</v>
      </c>
      <c r="BZ121" s="238">
        <f t="shared" si="11"/>
        <v>25575</v>
      </c>
    </row>
    <row r="122" spans="1:78" ht="12.75">
      <c r="BA122" s="722" t="s">
        <v>417</v>
      </c>
      <c r="BB122" s="1044" t="s">
        <v>483</v>
      </c>
      <c r="BC122" s="721"/>
      <c r="BD122" s="721"/>
      <c r="BE122" s="238">
        <v>119</v>
      </c>
      <c r="BF122" s="722" t="s">
        <v>417</v>
      </c>
      <c r="BG122" s="721"/>
      <c r="BH122" s="721"/>
      <c r="BJ122" s="436"/>
      <c r="BM122" t="s">
        <v>1054</v>
      </c>
      <c r="BN122" s="1044" t="s">
        <v>1226</v>
      </c>
      <c r="BY122" s="1244">
        <v>20600</v>
      </c>
      <c r="BZ122" s="238">
        <f t="shared" si="11"/>
        <v>25600</v>
      </c>
    </row>
    <row r="123" spans="1:78" ht="12.75">
      <c r="BA123" s="722" t="s">
        <v>415</v>
      </c>
      <c r="BB123" s="1044" t="s">
        <v>1396</v>
      </c>
      <c r="BC123" s="721"/>
      <c r="BD123" s="721"/>
      <c r="BE123" s="238">
        <v>120</v>
      </c>
      <c r="BF123" s="722" t="s">
        <v>415</v>
      </c>
      <c r="BG123" s="721"/>
      <c r="BH123" s="721"/>
      <c r="BJ123" s="436"/>
      <c r="BM123" t="s">
        <v>1055</v>
      </c>
      <c r="BN123" s="1044" t="s">
        <v>1228</v>
      </c>
      <c r="BY123" s="1244">
        <v>20600</v>
      </c>
      <c r="BZ123" s="238">
        <f t="shared" si="11"/>
        <v>25600</v>
      </c>
    </row>
    <row r="124" spans="1:78" ht="12.75">
      <c r="A124" s="453" t="e">
        <f>100-Gradation!C23</f>
        <v>#VALUE!</v>
      </c>
      <c r="B124" s="238" t="e">
        <f>ROUND(A124-INT(A124),1)</f>
        <v>#VALUE!</v>
      </c>
      <c r="C124" s="243" t="e">
        <f>IF(AND(B124&gt;=0,B124&lt;=0.2),INT(A124),IF(AND(B124&gt;=0.3,B124&lt;=0.7),INT(A124)+0.5,INT(A124)+1))</f>
        <v>#VALUE!</v>
      </c>
      <c r="D124" s="238" t="e">
        <f>IF(AND(C124&gt;=AY29,C124&lt;=AZ29),VALUE(FIXED(C124,1)),CONCATENATE("* ",FIXED(C124,1)))</f>
        <v>#VALUE!</v>
      </c>
      <c r="E124" s="238" t="e">
        <f>IF(AND(C124&gt;=AY29,C124&lt;=AZ29),ROUND(A124,1),CONCATENATE("* ",ROUND(A124,1)))</f>
        <v>#VALUE!</v>
      </c>
      <c r="G124" s="238" t="str">
        <f>'Accept. Grad. # 1'!D39</f>
        <v/>
      </c>
      <c r="H124" s="238" t="e">
        <f>ROUND(G124-INT(G124),1)</f>
        <v>#VALUE!</v>
      </c>
      <c r="I124" s="243" t="e">
        <f>IF(AND(H124&gt;=0,H124&lt;=0.2),INT(G124),IF(AND(H124&gt;=0.3,H124&lt;=0.7),INT(G124)+0.5,INT(G124)+1))</f>
        <v>#VALUE!</v>
      </c>
      <c r="K124" s="238" t="str">
        <f>IF('Super Verify'!$B$5=1,'Super Verify'!$D$46,IF('Super Verify'!$B$12=1,'Super Verify'!$G$46,""))</f>
        <v/>
      </c>
      <c r="L124" s="238" t="str">
        <f>IF(K124="","",ROUND(K124-INT(K124),1))</f>
        <v/>
      </c>
      <c r="M124" s="243" t="str">
        <f>IF(K124="","",IF(AND(L124&gt;=0,L124&lt;=0.2),INT(K124),IF(AND(L124&gt;=0.3,L124&lt;=0.7),INT(K124)+0.5,INT(K124)+1)))</f>
        <v/>
      </c>
      <c r="O124" s="238" t="e">
        <f>IF(LEFT('Accept. Grad. # 1'!C20,1)="*",AVERAGE(VALUE(MID('Accept. Grad. # 1'!C20,3,LEN('Accept. Grad. # 1'!C20))),'Accept. Grad. # 1'!D20,'Accept. Grad. # 1'!E20),AVERAGE('Accept. Grad. # 1'!C20:E20))</f>
        <v>#DIV/0!</v>
      </c>
      <c r="P124" s="238" t="e">
        <f>ROUND(O124-INT(O124),1)</f>
        <v>#DIV/0!</v>
      </c>
      <c r="Q124" s="243" t="e">
        <f>IF(AND(P124&gt;=0,P124&lt;=0.2),INT(O124),IF(AND(P124&gt;=0.3,P124&lt;=0.7),INT(O124)+0.5,INT(O124)+1))</f>
        <v>#DIV/0!</v>
      </c>
      <c r="BA124" s="1128">
        <v>25600</v>
      </c>
      <c r="BB124" s="1044" t="s">
        <v>2185</v>
      </c>
      <c r="BC124" s="721"/>
      <c r="BD124" s="721"/>
      <c r="BE124" s="238">
        <v>121</v>
      </c>
      <c r="BF124" s="1128">
        <v>25600</v>
      </c>
      <c r="BG124" s="721"/>
      <c r="BH124" s="721"/>
      <c r="BJ124" s="436"/>
      <c r="BM124" t="s">
        <v>1056</v>
      </c>
      <c r="BN124" s="1044" t="s">
        <v>1292</v>
      </c>
      <c r="BY124" s="1244">
        <v>20600</v>
      </c>
      <c r="BZ124" s="238">
        <f t="shared" si="11"/>
        <v>25600</v>
      </c>
    </row>
    <row r="125" spans="1:78" ht="12.75">
      <c r="A125" s="453" t="e">
        <f>100-Gradation!F23</f>
        <v>#VALUE!</v>
      </c>
      <c r="B125" s="238" t="e">
        <f>ROUND(A125-INT(A125),1)</f>
        <v>#VALUE!</v>
      </c>
      <c r="C125" s="243" t="e">
        <f>IF(AND(B125&gt;=0,B125&lt;=0.2),INT(A125),IF(AND(B125&gt;=0.3,B125&lt;=0.7),INT(A125)+0.5,INT(A125)+1))</f>
        <v>#VALUE!</v>
      </c>
      <c r="D125" s="238" t="e">
        <f>IF(AND(C125&gt;=AY29,C125&lt;=AZ29),VALUE(FIXED(C125,1)),CONCATENATE("* ",FIXED(C125,1)))</f>
        <v>#VALUE!</v>
      </c>
      <c r="E125" s="238" t="e">
        <f>IF(AND(C125&gt;=AY29,C125&lt;=AZ29),ROUND(A125,1),CONCATENATE("* ",ROUND(A125,1)))</f>
        <v>#VALUE!</v>
      </c>
      <c r="G125" s="238" t="str">
        <f>'Accept. Grad. # 2'!D39</f>
        <v/>
      </c>
      <c r="H125" s="238" t="e">
        <f>ROUND(G125-INT(G125),1)</f>
        <v>#VALUE!</v>
      </c>
      <c r="I125" s="243" t="e">
        <f>IF(AND(H125&gt;=0,H125&lt;=0.2),INT(G125),IF(AND(H125&gt;=0.3,H125&lt;=0.7),INT(G125)+0.5,INT(G125)+1))</f>
        <v>#VALUE!</v>
      </c>
      <c r="K125" s="238" t="str">
        <f>IF('Super Verify'!$B$5=2,'Super Verify'!$D$46,IF('Super Verify'!$B$12=2,'Super Verify'!$G$46,""))</f>
        <v/>
      </c>
      <c r="L125" s="238" t="str">
        <f>IF(K125="","",ROUND(K125-INT(K125),1))</f>
        <v/>
      </c>
      <c r="M125" s="243" t="str">
        <f>IF(K125="","",IF(AND(L125&gt;=0,L125&lt;=0.2),INT(K125),IF(AND(L125&gt;=0.3,L125&lt;=0.7),INT(K125)+0.5,INT(K125)+1)))</f>
        <v/>
      </c>
      <c r="O125" s="238" t="e">
        <f>IF(LEFT('Accept. Grad. # 2'!C20,1)="*",AVERAGE(VALUE(MID('Accept. Grad. # 2'!C20,3,LEN('Accept. Grad. # 2'!C20))),'Accept. Grad. # 2'!D20,'Accept. Grad. # 2'!E20),AVERAGE('Accept. Grad. # 2'!C20:E20))</f>
        <v>#DIV/0!</v>
      </c>
      <c r="P125" s="238" t="e">
        <f>ROUND(O125-INT(O125),1)</f>
        <v>#DIV/0!</v>
      </c>
      <c r="Q125" s="243" t="e">
        <f>IF(AND(P125&gt;=0,P125&lt;=0.2),INT(O125),IF(AND(P125&gt;=0.3,P125&lt;=0.7),INT(O125)+0.5,INT(O125)+1))</f>
        <v>#DIV/0!</v>
      </c>
      <c r="BA125" s="722" t="s">
        <v>421</v>
      </c>
      <c r="BB125" s="1044" t="s">
        <v>484</v>
      </c>
      <c r="BC125" s="721"/>
      <c r="BD125" s="721"/>
      <c r="BE125" s="238">
        <v>122</v>
      </c>
      <c r="BF125" s="722" t="s">
        <v>421</v>
      </c>
      <c r="BG125" s="721"/>
      <c r="BH125" s="721"/>
      <c r="BM125" t="s">
        <v>1057</v>
      </c>
      <c r="BN125" s="1044" t="s">
        <v>1232</v>
      </c>
      <c r="BY125" s="1244">
        <v>20600</v>
      </c>
      <c r="BZ125" s="238">
        <f t="shared" si="11"/>
        <v>25600</v>
      </c>
    </row>
    <row r="126" spans="1:78" ht="12.75">
      <c r="A126" s="453" t="e">
        <f>100-Gradation!I23</f>
        <v>#VALUE!</v>
      </c>
      <c r="B126" s="238" t="e">
        <f>ROUND(A126-INT(A126),1)</f>
        <v>#VALUE!</v>
      </c>
      <c r="C126" s="243" t="e">
        <f>IF(AND(B126&gt;=0,B126&lt;=0.2),INT(A126),IF(AND(B126&gt;=0.3,B126&lt;=0.7),INT(A126)+0.5,INT(A126)+1))</f>
        <v>#VALUE!</v>
      </c>
      <c r="D126" s="238" t="e">
        <f>IF(AND(C126&gt;=AY29,C126&lt;=AZ29),VALUE(FIXED(C126,1)),CONCATENATE("* ",FIXED(C126,1)))</f>
        <v>#VALUE!</v>
      </c>
      <c r="E126" s="238" t="e">
        <f>IF(AND(C126&gt;=AY29,C126&lt;=AZ29),ROUND(A126,1),CONCATENATE("* ",ROUND(A126,1)))</f>
        <v>#VALUE!</v>
      </c>
      <c r="G126" s="238" t="str">
        <f>'Accept. Grad. # 3'!D39</f>
        <v/>
      </c>
      <c r="H126" s="238" t="e">
        <f>ROUND(G126-INT(G126),1)</f>
        <v>#VALUE!</v>
      </c>
      <c r="I126" s="243" t="e">
        <f>IF(AND(H126&gt;=0,H126&lt;=0.2),INT(G126),IF(AND(H126&gt;=0.3,H126&lt;=0.7),INT(G126)+0.5,INT(G126)+1))</f>
        <v>#VALUE!</v>
      </c>
      <c r="K126" s="238" t="str">
        <f>IF('Super Verify'!$B$5=3,'Super Verify'!$D$46,IF('Super Verify'!$B$12=3,'Super Verify'!$G$46,""))</f>
        <v/>
      </c>
      <c r="L126" s="238" t="str">
        <f>IF(K126="","",ROUND(K126-INT(K126),1))</f>
        <v/>
      </c>
      <c r="M126" s="243" t="str">
        <f>IF(K126="","",IF(AND(L126&gt;=0,L126&lt;=0.2),INT(K126),IF(AND(L126&gt;=0.3,L126&lt;=0.7),INT(K126)+0.5,INT(K126)+1)))</f>
        <v/>
      </c>
      <c r="O126" s="238" t="e">
        <f>IF(LEFT('Accept. Grad. # 3'!C20,1)="*",AVERAGE(VALUE(MID('Accept. Grad. # 3'!C20,3,LEN('Accept. Grad. # 3'!C20))),'Accept. Grad. # 3'!D20,'Accept. Grad. # 3'!E20),AVERAGE('Accept. Grad. # 3'!C20:E20))</f>
        <v>#DIV/0!</v>
      </c>
      <c r="P126" s="238" t="e">
        <f>ROUND(O126-INT(O126),1)</f>
        <v>#DIV/0!</v>
      </c>
      <c r="Q126" s="243" t="e">
        <f>IF(AND(P126&gt;=0,P126&lt;=0.2),INT(O126),IF(AND(P126&gt;=0.3,P126&lt;=0.7),INT(O126)+0.5,INT(O126)+1))</f>
        <v>#DIV/0!</v>
      </c>
      <c r="BA126" s="722" t="s">
        <v>423</v>
      </c>
      <c r="BB126" s="1044" t="s">
        <v>485</v>
      </c>
      <c r="BC126" s="721"/>
      <c r="BD126" s="721"/>
      <c r="BE126" s="238">
        <v>123</v>
      </c>
      <c r="BF126" s="722" t="s">
        <v>423</v>
      </c>
      <c r="BG126" s="721"/>
      <c r="BH126" s="721"/>
      <c r="BM126" t="s">
        <v>1058</v>
      </c>
      <c r="BN126" s="1044" t="s">
        <v>1234</v>
      </c>
      <c r="BY126" s="1244">
        <v>20625</v>
      </c>
      <c r="BZ126" s="238">
        <f t="shared" si="11"/>
        <v>25625</v>
      </c>
    </row>
    <row r="127" spans="1:78" ht="12.75">
      <c r="A127" s="453" t="e">
        <f>100-Gradation!L23</f>
        <v>#VALUE!</v>
      </c>
      <c r="B127" s="238" t="e">
        <f>ROUND(A127-INT(A127),1)</f>
        <v>#VALUE!</v>
      </c>
      <c r="C127" s="243" t="e">
        <f>IF(AND(B127&gt;=0,B127&lt;=0.2),INT(A127),IF(AND(B127&gt;=0.3,B127&lt;=0.7),INT(A127)+0.5,INT(A127)+1))</f>
        <v>#VALUE!</v>
      </c>
      <c r="D127" s="238" t="e">
        <f>IF(AND(C127&gt;=AY29,C127&lt;=AZ29),VALUE(FIXED(C127,1)),CONCATENATE("* ",FIXED(C127,1)))</f>
        <v>#VALUE!</v>
      </c>
      <c r="E127" s="238" t="e">
        <f>IF(AND(C127&gt;=AY29,C127&lt;=AZ29),ROUND(A127,1),CONCATENATE("* ",ROUND(A127,1)))</f>
        <v>#VALUE!</v>
      </c>
      <c r="G127" s="238" t="str">
        <f>'Accept. Grad. # 4'!D39</f>
        <v/>
      </c>
      <c r="H127" s="238" t="e">
        <f>ROUND(G127-INT(G127),1)</f>
        <v>#VALUE!</v>
      </c>
      <c r="I127" s="243" t="e">
        <f>IF(AND(H127&gt;=0,H127&lt;=0.2),INT(G127),IF(AND(H127&gt;=0.3,H127&lt;=0.7),INT(G127)+0.5,INT(G127)+1))</f>
        <v>#VALUE!</v>
      </c>
      <c r="K127" s="238" t="str">
        <f>IF('Super Verify'!$B$5=4,'Super Verify'!$D$46,IF('Super Verify'!$B$12=4,'Super Verify'!$G$46,""))</f>
        <v/>
      </c>
      <c r="L127" s="238" t="str">
        <f>IF(K127="","",ROUND(K127-INT(K127),1))</f>
        <v/>
      </c>
      <c r="M127" s="243" t="str">
        <f>IF(K127="","",IF(AND(L127&gt;=0,L127&lt;=0.2),INT(K127),IF(AND(L127&gt;=0.3,L127&lt;=0.7),INT(K127)+0.5,INT(K127)+1)))</f>
        <v/>
      </c>
      <c r="O127" s="238" t="e">
        <f>IF(LEFT('Accept. Grad. # 4'!C20,1)="*",AVERAGE(VALUE(MID('Accept. Grad. # 4'!C20,3,LEN('Accept. Grad. # 4'!C20))),'Accept. Grad. # 4'!D20,'Accept. Grad. # 4'!E20),AVERAGE('Accept. Grad. # 4'!C20:E20))</f>
        <v>#DIV/0!</v>
      </c>
      <c r="P127" s="238" t="e">
        <f>ROUND(O127-INT(O127),1)</f>
        <v>#DIV/0!</v>
      </c>
      <c r="Q127" s="243" t="e">
        <f>IF(AND(P127&gt;=0,P127&lt;=0.2),INT(O127),IF(AND(P127&gt;=0.3,P127&lt;=0.7),INT(O127)+0.5,INT(O127)+1))</f>
        <v>#DIV/0!</v>
      </c>
      <c r="BA127" s="722" t="s">
        <v>425</v>
      </c>
      <c r="BB127" s="1044" t="s">
        <v>486</v>
      </c>
      <c r="BC127" s="721"/>
      <c r="BD127" s="721"/>
      <c r="BE127" s="238">
        <v>124</v>
      </c>
      <c r="BF127" s="722" t="s">
        <v>425</v>
      </c>
      <c r="BG127" s="721"/>
      <c r="BH127" s="721"/>
      <c r="BM127" t="s">
        <v>1059</v>
      </c>
      <c r="BN127" s="1044" t="s">
        <v>1240</v>
      </c>
      <c r="BY127" s="1244">
        <v>20625</v>
      </c>
      <c r="BZ127" s="238">
        <f t="shared" si="11"/>
        <v>25625</v>
      </c>
    </row>
    <row r="128" spans="1:78" ht="12.75">
      <c r="BA128" s="1128">
        <v>25500</v>
      </c>
      <c r="BB128" s="1044" t="s">
        <v>2186</v>
      </c>
      <c r="BC128" s="721"/>
      <c r="BD128" s="721"/>
      <c r="BE128" s="238">
        <v>125</v>
      </c>
      <c r="BF128" s="1128">
        <v>25500</v>
      </c>
      <c r="BG128" s="721"/>
      <c r="BH128" s="721"/>
      <c r="BM128" t="s">
        <v>1060</v>
      </c>
      <c r="BN128" s="1044" t="s">
        <v>1246</v>
      </c>
      <c r="BY128" s="1244">
        <v>20625</v>
      </c>
      <c r="BZ128" s="238">
        <f t="shared" si="11"/>
        <v>25625</v>
      </c>
    </row>
    <row r="129" spans="1:78" ht="12.75">
      <c r="BA129" s="1128">
        <v>25500</v>
      </c>
      <c r="BB129" s="1044" t="s">
        <v>2235</v>
      </c>
      <c r="BC129" s="721"/>
      <c r="BD129" s="721"/>
      <c r="BE129" s="238">
        <v>126</v>
      </c>
      <c r="BF129" s="1128">
        <v>25500</v>
      </c>
      <c r="BG129" s="721"/>
      <c r="BH129" s="721"/>
      <c r="BM129" t="s">
        <v>1061</v>
      </c>
      <c r="BN129" s="1044" t="s">
        <v>1248</v>
      </c>
      <c r="BY129" s="1244">
        <v>20625</v>
      </c>
      <c r="BZ129" s="238">
        <f t="shared" si="11"/>
        <v>25625</v>
      </c>
    </row>
    <row r="130" spans="1:78" ht="12.75">
      <c r="A130"/>
      <c r="B130"/>
      <c r="C130"/>
      <c r="D130"/>
      <c r="E130"/>
      <c r="F130"/>
      <c r="G130"/>
      <c r="H130"/>
      <c r="I130"/>
      <c r="J130"/>
      <c r="K130"/>
      <c r="L130"/>
      <c r="M130"/>
      <c r="N130"/>
      <c r="O130"/>
      <c r="P130"/>
      <c r="Q130"/>
      <c r="R130"/>
      <c r="S130"/>
      <c r="T130"/>
      <c r="U130"/>
      <c r="V130"/>
      <c r="W130"/>
      <c r="X130"/>
      <c r="BA130" s="722" t="s">
        <v>487</v>
      </c>
      <c r="BB130" s="1044" t="s">
        <v>488</v>
      </c>
      <c r="BC130" s="721"/>
      <c r="BD130" s="721"/>
      <c r="BE130" s="238">
        <v>127</v>
      </c>
      <c r="BF130" s="722" t="s">
        <v>487</v>
      </c>
      <c r="BG130" s="721"/>
      <c r="BH130" s="721"/>
      <c r="BM130" s="238" t="s">
        <v>2204</v>
      </c>
      <c r="BN130" s="1196">
        <v>24030</v>
      </c>
      <c r="BY130" s="1244">
        <v>20575</v>
      </c>
      <c r="BZ130" s="238">
        <f t="shared" si="11"/>
        <v>25575</v>
      </c>
    </row>
    <row r="131" spans="1:78" ht="13.5" thickBot="1">
      <c r="A131"/>
      <c r="B131"/>
      <c r="C131"/>
      <c r="D131"/>
      <c r="E131"/>
      <c r="F131"/>
      <c r="G131"/>
      <c r="H131"/>
      <c r="I131"/>
      <c r="J131"/>
      <c r="K131"/>
      <c r="L131"/>
      <c r="M131"/>
      <c r="N131"/>
      <c r="O131"/>
      <c r="P131"/>
      <c r="Q131"/>
      <c r="R131"/>
      <c r="S131"/>
      <c r="T131"/>
      <c r="U131"/>
      <c r="V131"/>
      <c r="W131"/>
      <c r="X131"/>
      <c r="BA131" s="722">
        <v>25600</v>
      </c>
      <c r="BB131" s="1044" t="s">
        <v>2237</v>
      </c>
      <c r="BC131" s="721"/>
      <c r="BD131" s="721"/>
      <c r="BE131" s="238">
        <v>128</v>
      </c>
      <c r="BF131" s="1128">
        <v>25600</v>
      </c>
      <c r="BG131" s="721"/>
      <c r="BH131" s="721"/>
      <c r="BM131" s="238" t="s">
        <v>2205</v>
      </c>
      <c r="BN131" s="1196">
        <v>24033</v>
      </c>
      <c r="BY131" s="1244">
        <v>20575</v>
      </c>
      <c r="BZ131" s="238">
        <f t="shared" si="11"/>
        <v>25575</v>
      </c>
    </row>
    <row r="132" spans="1:78" ht="14.25" thickTop="1" thickBot="1">
      <c r="A132"/>
      <c r="B132" s="1597" t="s">
        <v>1412</v>
      </c>
      <c r="C132" s="1598"/>
      <c r="D132" s="1599"/>
      <c r="E132" s="1122" t="s">
        <v>1413</v>
      </c>
      <c r="F132" s="505"/>
      <c r="G132" s="506"/>
      <c r="H132" s="1122" t="s">
        <v>1414</v>
      </c>
      <c r="I132" s="505"/>
      <c r="J132" s="506"/>
      <c r="K132" s="1122" t="s">
        <v>1415</v>
      </c>
      <c r="L132" s="505"/>
      <c r="M132" s="506"/>
      <c r="N132"/>
      <c r="O132"/>
      <c r="P132"/>
      <c r="Q132"/>
      <c r="R132"/>
      <c r="S132"/>
      <c r="T132"/>
      <c r="U132"/>
      <c r="V132"/>
      <c r="W132"/>
      <c r="X132"/>
      <c r="BA132" s="1128">
        <v>25500</v>
      </c>
      <c r="BB132" s="1044" t="s">
        <v>2220</v>
      </c>
      <c r="BC132" s="721"/>
      <c r="BD132" s="721"/>
      <c r="BE132" s="238">
        <v>129</v>
      </c>
      <c r="BF132" s="1128">
        <v>25500</v>
      </c>
      <c r="BG132" s="721"/>
      <c r="BH132" s="721"/>
      <c r="BM132" s="238" t="s">
        <v>2206</v>
      </c>
      <c r="BN132" s="1196">
        <v>24045</v>
      </c>
      <c r="BY132" s="1244">
        <v>20575</v>
      </c>
      <c r="BZ132" s="238">
        <f t="shared" si="11"/>
        <v>25575</v>
      </c>
    </row>
    <row r="133" spans="1:78" ht="13.5" thickTop="1">
      <c r="A133"/>
      <c r="B133" s="1114" t="str">
        <f>IF(Superpave!Q3="","",Superpave!Q3)</f>
        <v/>
      </c>
      <c r="C133" s="1115" t="str">
        <f>IF(Superpave!R3="","",Superpave!R3)</f>
        <v/>
      </c>
      <c r="D133" s="1116" t="str">
        <f t="shared" ref="D133:D138" si="14">IF(ISERROR(C133/B133),"",C133/B133)</f>
        <v/>
      </c>
      <c r="E133" s="1114" t="str">
        <f>IF(Superpave!Q3="","",Superpave!Q3)</f>
        <v/>
      </c>
      <c r="F133" s="1115" t="str">
        <f>IF(Superpave!S3="","",Superpave!S3)</f>
        <v/>
      </c>
      <c r="G133" s="1116" t="str">
        <f t="shared" ref="G133:G138" si="15">IF(ISERROR(F133/E133),"",F133/E133)</f>
        <v/>
      </c>
      <c r="H133" s="1114" t="str">
        <f>IF(Superpave!Q3="","",Superpave!Q3)</f>
        <v/>
      </c>
      <c r="I133" s="1115" t="str">
        <f>IF(Superpave!T3="","",Superpave!T3)</f>
        <v/>
      </c>
      <c r="J133" s="1116" t="str">
        <f t="shared" ref="J133:J138" si="16">IF(ISERROR(I133/H133),"",I133/H133)</f>
        <v/>
      </c>
      <c r="K133" s="1114" t="str">
        <f>IF(Superpave!Q3="","",Superpave!Q3)</f>
        <v/>
      </c>
      <c r="L133" s="1115" t="str">
        <f>IF(Superpave!U3="","",Superpave!U3)</f>
        <v/>
      </c>
      <c r="M133" s="1116" t="str">
        <f t="shared" ref="M133:M138" si="17">IF(ISERROR(L133/K133),"",L133/K133)</f>
        <v/>
      </c>
      <c r="N133"/>
      <c r="O133"/>
      <c r="P133"/>
      <c r="Q133"/>
      <c r="R133"/>
      <c r="S133"/>
      <c r="T133"/>
      <c r="U133"/>
      <c r="V133"/>
      <c r="W133"/>
      <c r="X133"/>
      <c r="BA133" s="1128">
        <v>28125</v>
      </c>
      <c r="BB133" s="1044" t="s">
        <v>2187</v>
      </c>
      <c r="BC133" s="721"/>
      <c r="BD133" s="721"/>
      <c r="BE133" s="238">
        <v>130</v>
      </c>
      <c r="BF133" s="1128">
        <v>28125</v>
      </c>
      <c r="BG133" s="721"/>
      <c r="BH133" s="721"/>
      <c r="BM133" t="s">
        <v>2203</v>
      </c>
      <c r="BN133" s="1044" t="s">
        <v>1016</v>
      </c>
      <c r="BY133" s="1244">
        <v>20575</v>
      </c>
      <c r="BZ133" s="238">
        <f t="shared" ref="BZ133:BZ196" si="18">BY133+5000</f>
        <v>25575</v>
      </c>
    </row>
    <row r="134" spans="1:78" ht="12.75">
      <c r="A134"/>
      <c r="B134" s="1117" t="str">
        <f>IF(Superpave!Q4="","",Superpave!Q4)</f>
        <v/>
      </c>
      <c r="C134" s="583" t="str">
        <f>IF(Superpave!R4="","",Superpave!R4)</f>
        <v/>
      </c>
      <c r="D134" s="1118" t="str">
        <f t="shared" si="14"/>
        <v/>
      </c>
      <c r="E134" s="1117" t="str">
        <f>IF(Superpave!Q4="","",Superpave!Q4)</f>
        <v/>
      </c>
      <c r="F134" s="583" t="str">
        <f>IF(Superpave!S4="","",Superpave!S4)</f>
        <v/>
      </c>
      <c r="G134" s="1118" t="str">
        <f t="shared" si="15"/>
        <v/>
      </c>
      <c r="H134" s="1117" t="str">
        <f>IF(Superpave!Q4="","",Superpave!Q4)</f>
        <v/>
      </c>
      <c r="I134" s="583" t="str">
        <f>IF(Superpave!T4="","",Superpave!T4)</f>
        <v/>
      </c>
      <c r="J134" s="1118" t="str">
        <f t="shared" si="16"/>
        <v/>
      </c>
      <c r="K134" s="1117" t="str">
        <f>IF(Superpave!Q4="","",Superpave!Q4)</f>
        <v/>
      </c>
      <c r="L134" s="583" t="str">
        <f>IF(Superpave!U4="","",Superpave!U4)</f>
        <v/>
      </c>
      <c r="M134" s="1118" t="str">
        <f t="shared" si="17"/>
        <v/>
      </c>
      <c r="N134"/>
      <c r="O134"/>
      <c r="P134"/>
      <c r="Q134"/>
      <c r="R134"/>
      <c r="S134"/>
      <c r="T134"/>
      <c r="U134"/>
      <c r="V134"/>
      <c r="W134"/>
      <c r="X134"/>
      <c r="BA134" s="1128">
        <v>25575</v>
      </c>
      <c r="BB134" s="1044" t="s">
        <v>2227</v>
      </c>
      <c r="BC134" s="721"/>
      <c r="BD134" s="721"/>
      <c r="BE134" s="238">
        <v>131</v>
      </c>
      <c r="BF134" s="1128">
        <v>25575</v>
      </c>
      <c r="BG134" s="721"/>
      <c r="BH134" s="721"/>
      <c r="BM134" s="238" t="s">
        <v>2207</v>
      </c>
      <c r="BN134" s="1196">
        <v>10355</v>
      </c>
      <c r="BY134" s="1244">
        <v>20600</v>
      </c>
      <c r="BZ134" s="238">
        <f t="shared" si="18"/>
        <v>25600</v>
      </c>
    </row>
    <row r="135" spans="1:78" ht="12.75">
      <c r="A135"/>
      <c r="B135" s="1117" t="str">
        <f>IF(Superpave!Q5="","",Superpave!Q5)</f>
        <v/>
      </c>
      <c r="C135" s="583" t="str">
        <f>IF(Superpave!R5="","",Superpave!R5)</f>
        <v/>
      </c>
      <c r="D135" s="1118" t="str">
        <f t="shared" si="14"/>
        <v/>
      </c>
      <c r="E135" s="1117" t="str">
        <f>IF(Superpave!Q5="","",Superpave!Q5)</f>
        <v/>
      </c>
      <c r="F135" s="583" t="str">
        <f>IF(Superpave!S5="","",Superpave!S5)</f>
        <v/>
      </c>
      <c r="G135" s="1118" t="str">
        <f t="shared" si="15"/>
        <v/>
      </c>
      <c r="H135" s="1117" t="str">
        <f>IF(Superpave!Q5="","",Superpave!Q5)</f>
        <v/>
      </c>
      <c r="I135" s="583" t="str">
        <f>IF(Superpave!T5="","",Superpave!T5)</f>
        <v/>
      </c>
      <c r="J135" s="1118" t="str">
        <f t="shared" si="16"/>
        <v/>
      </c>
      <c r="K135" s="1117" t="str">
        <f>IF(Superpave!Q5="","",Superpave!Q5)</f>
        <v/>
      </c>
      <c r="L135" s="583" t="str">
        <f>IF(Superpave!U5="","",Superpave!U5)</f>
        <v/>
      </c>
      <c r="M135" s="1118" t="str">
        <f t="shared" si="17"/>
        <v/>
      </c>
      <c r="N135"/>
      <c r="O135"/>
      <c r="P135"/>
      <c r="Q135"/>
      <c r="R135"/>
      <c r="S135"/>
      <c r="T135"/>
      <c r="U135"/>
      <c r="V135"/>
      <c r="W135"/>
      <c r="X135"/>
      <c r="BA135" s="1128">
        <v>25500</v>
      </c>
      <c r="BB135" s="1044" t="s">
        <v>2228</v>
      </c>
      <c r="BC135" s="721"/>
      <c r="BD135" s="721"/>
      <c r="BE135" s="238">
        <v>132</v>
      </c>
      <c r="BF135" s="1128">
        <v>25500</v>
      </c>
      <c r="BG135" s="721"/>
      <c r="BH135" s="721"/>
      <c r="BM135" s="238" t="s">
        <v>2208</v>
      </c>
      <c r="BN135" s="1196">
        <v>10385</v>
      </c>
      <c r="BY135" s="1244">
        <v>20600</v>
      </c>
      <c r="BZ135" s="238">
        <f t="shared" si="18"/>
        <v>25600</v>
      </c>
    </row>
    <row r="136" spans="1:78" ht="12.75">
      <c r="A136"/>
      <c r="B136" s="1117" t="str">
        <f>IF(Superpave!Q6="","",Superpave!Q6)</f>
        <v/>
      </c>
      <c r="C136" s="583" t="str">
        <f>IF(Superpave!R6="","",Superpave!R6)</f>
        <v/>
      </c>
      <c r="D136" s="1118" t="str">
        <f t="shared" si="14"/>
        <v/>
      </c>
      <c r="E136" s="1117" t="str">
        <f>IF(Superpave!Q6="","",Superpave!Q6)</f>
        <v/>
      </c>
      <c r="F136" s="583" t="str">
        <f>IF(Superpave!S6="","",Superpave!S6)</f>
        <v/>
      </c>
      <c r="G136" s="1118" t="str">
        <f t="shared" si="15"/>
        <v/>
      </c>
      <c r="H136" s="1117" t="str">
        <f>IF(Superpave!Q6="","",Superpave!Q6)</f>
        <v/>
      </c>
      <c r="I136" s="583" t="str">
        <f>IF(Superpave!T6="","",Superpave!T6)</f>
        <v/>
      </c>
      <c r="J136" s="1118" t="str">
        <f t="shared" si="16"/>
        <v/>
      </c>
      <c r="K136" s="1117" t="str">
        <f>IF(Superpave!Q6="","",Superpave!Q6)</f>
        <v/>
      </c>
      <c r="L136" s="583" t="str">
        <f>IF(Superpave!U6="","",Superpave!U6)</f>
        <v/>
      </c>
      <c r="M136" s="1118" t="str">
        <f t="shared" si="17"/>
        <v/>
      </c>
      <c r="N136"/>
      <c r="O136"/>
      <c r="P136"/>
      <c r="Q136"/>
      <c r="R136"/>
      <c r="S136"/>
      <c r="T136"/>
      <c r="U136"/>
      <c r="V136"/>
      <c r="W136"/>
      <c r="X136"/>
      <c r="BA136" s="722" t="s">
        <v>487</v>
      </c>
      <c r="BB136" s="1044" t="s">
        <v>489</v>
      </c>
      <c r="BC136" s="721"/>
      <c r="BD136" s="721"/>
      <c r="BE136" s="238">
        <v>133</v>
      </c>
      <c r="BF136" s="722" t="s">
        <v>487</v>
      </c>
      <c r="BG136" s="721"/>
      <c r="BH136" s="721"/>
      <c r="BM136" s="238" t="s">
        <v>2209</v>
      </c>
      <c r="BN136" s="1196">
        <v>10400</v>
      </c>
      <c r="BY136" s="1244">
        <v>20600</v>
      </c>
      <c r="BZ136" s="238">
        <f t="shared" si="18"/>
        <v>25600</v>
      </c>
    </row>
    <row r="137" spans="1:78" ht="12.75">
      <c r="A137"/>
      <c r="B137" s="1117" t="str">
        <f>IF(Superpave!Q7="","",Superpave!Q7)</f>
        <v/>
      </c>
      <c r="C137" s="583" t="str">
        <f>IF(Superpave!R7="","",Superpave!R7)</f>
        <v/>
      </c>
      <c r="D137" s="1118" t="str">
        <f t="shared" si="14"/>
        <v/>
      </c>
      <c r="E137" s="1117" t="str">
        <f>IF(Superpave!Q7="","",Superpave!Q7)</f>
        <v/>
      </c>
      <c r="F137" s="583" t="str">
        <f>IF(Superpave!S7="","",Superpave!S7)</f>
        <v/>
      </c>
      <c r="G137" s="1118" t="str">
        <f t="shared" si="15"/>
        <v/>
      </c>
      <c r="H137" s="1117" t="str">
        <f>IF(Superpave!Q7="","",Superpave!Q7)</f>
        <v/>
      </c>
      <c r="I137" s="583" t="str">
        <f>IF(Superpave!T7="","",Superpave!T7)</f>
        <v/>
      </c>
      <c r="J137" s="1118" t="str">
        <f t="shared" si="16"/>
        <v/>
      </c>
      <c r="K137" s="1117" t="str">
        <f>IF(Superpave!Q7="","",Superpave!Q7)</f>
        <v/>
      </c>
      <c r="L137" s="583" t="str">
        <f>IF(Superpave!U7="","",Superpave!U7)</f>
        <v/>
      </c>
      <c r="M137" s="1118" t="str">
        <f t="shared" si="17"/>
        <v/>
      </c>
      <c r="N137"/>
      <c r="O137"/>
      <c r="P137"/>
      <c r="Q137"/>
      <c r="R137"/>
      <c r="S137"/>
      <c r="T137"/>
      <c r="U137"/>
      <c r="V137"/>
      <c r="W137"/>
      <c r="X137"/>
      <c r="BA137" s="722" t="s">
        <v>413</v>
      </c>
      <c r="BB137" s="1044" t="s">
        <v>1395</v>
      </c>
      <c r="BC137" s="721"/>
      <c r="BD137" s="721"/>
      <c r="BE137" s="238">
        <v>134</v>
      </c>
      <c r="BF137" s="722" t="s">
        <v>413</v>
      </c>
      <c r="BG137" s="721"/>
      <c r="BH137" s="721"/>
      <c r="BM137" s="238" t="s">
        <v>2210</v>
      </c>
      <c r="BN137" s="1196">
        <v>10415</v>
      </c>
      <c r="BY137" s="1244">
        <v>20600</v>
      </c>
      <c r="BZ137" s="238">
        <f t="shared" si="18"/>
        <v>25600</v>
      </c>
    </row>
    <row r="138" spans="1:78" ht="12.75">
      <c r="A138"/>
      <c r="B138" s="1117" t="str">
        <f>IF(Superpave!Q8="","",Superpave!Q8)</f>
        <v/>
      </c>
      <c r="C138" s="583" t="str">
        <f>IF(Superpave!R8="","",Superpave!R8)</f>
        <v/>
      </c>
      <c r="D138" s="1118" t="str">
        <f t="shared" si="14"/>
        <v/>
      </c>
      <c r="E138" s="1117" t="str">
        <f>IF(Superpave!Q8="","",Superpave!Q8)</f>
        <v/>
      </c>
      <c r="F138" s="583" t="str">
        <f>IF(Superpave!S8="","",Superpave!S8)</f>
        <v/>
      </c>
      <c r="G138" s="1118" t="str">
        <f t="shared" si="15"/>
        <v/>
      </c>
      <c r="H138" s="1117" t="str">
        <f>IF(Superpave!Q8="","",Superpave!Q8)</f>
        <v/>
      </c>
      <c r="I138" s="583" t="str">
        <f>IF(Superpave!T8="","",Superpave!T8)</f>
        <v/>
      </c>
      <c r="J138" s="1118" t="str">
        <f t="shared" si="16"/>
        <v/>
      </c>
      <c r="K138" s="1117" t="str">
        <f>IF(Superpave!Q8="","",Superpave!Q8)</f>
        <v/>
      </c>
      <c r="L138" s="583" t="str">
        <f>IF(Superpave!U8="","",Superpave!U8)</f>
        <v/>
      </c>
      <c r="M138" s="1118" t="str">
        <f t="shared" si="17"/>
        <v/>
      </c>
      <c r="N138"/>
      <c r="O138"/>
      <c r="P138"/>
      <c r="Q138"/>
      <c r="R138"/>
      <c r="S138"/>
      <c r="T138"/>
      <c r="U138"/>
      <c r="V138"/>
      <c r="W138"/>
      <c r="X138"/>
      <c r="BA138" s="722" t="s">
        <v>415</v>
      </c>
      <c r="BB138" s="1044" t="s">
        <v>490</v>
      </c>
      <c r="BC138" s="721"/>
      <c r="BD138" s="721"/>
      <c r="BE138" s="238">
        <v>135</v>
      </c>
      <c r="BF138" s="722" t="s">
        <v>415</v>
      </c>
      <c r="BG138" s="721"/>
      <c r="BH138" s="721"/>
      <c r="BM138" s="238" t="s">
        <v>2211</v>
      </c>
      <c r="BN138" s="1196">
        <v>10436</v>
      </c>
      <c r="BY138" s="1244">
        <v>20625</v>
      </c>
      <c r="BZ138" s="238">
        <f t="shared" si="18"/>
        <v>25625</v>
      </c>
    </row>
    <row r="139" spans="1:78" ht="13.5" thickBot="1">
      <c r="A139"/>
      <c r="B139" s="1119"/>
      <c r="C139" s="1120"/>
      <c r="D139" s="1121" t="str">
        <f>IF(D133="","",SUM(D133:D138))</f>
        <v/>
      </c>
      <c r="E139" s="1119"/>
      <c r="F139" s="1120"/>
      <c r="G139" s="1121" t="str">
        <f>IF(G133="","",SUM(G133:G138))</f>
        <v/>
      </c>
      <c r="H139" s="1119"/>
      <c r="I139" s="1120"/>
      <c r="J139" s="1121" t="str">
        <f>IF(J133="","",SUM(J133:J138))</f>
        <v/>
      </c>
      <c r="K139" s="1119"/>
      <c r="L139" s="1120"/>
      <c r="M139" s="1121" t="str">
        <f>IF(M133="","",SUM(M133:M138))</f>
        <v/>
      </c>
      <c r="N139"/>
      <c r="O139"/>
      <c r="P139"/>
      <c r="Q139"/>
      <c r="R139"/>
      <c r="S139"/>
      <c r="T139"/>
      <c r="U139"/>
      <c r="V139"/>
      <c r="W139"/>
      <c r="X139"/>
      <c r="BA139" s="722" t="s">
        <v>417</v>
      </c>
      <c r="BB139" s="1044" t="s">
        <v>491</v>
      </c>
      <c r="BC139" s="721"/>
      <c r="BD139" s="721"/>
      <c r="BE139" s="238">
        <v>136</v>
      </c>
      <c r="BF139" s="722" t="s">
        <v>417</v>
      </c>
      <c r="BG139" s="721"/>
      <c r="BH139" s="721"/>
      <c r="BM139" s="238" t="s">
        <v>2696</v>
      </c>
      <c r="BN139" s="238" t="s">
        <v>1214</v>
      </c>
      <c r="BY139" s="1244">
        <v>20625</v>
      </c>
      <c r="BZ139" s="238">
        <f t="shared" si="18"/>
        <v>25625</v>
      </c>
    </row>
    <row r="140" spans="1:78" ht="13.5" thickTop="1">
      <c r="A140"/>
      <c r="B140"/>
      <c r="C140"/>
      <c r="D140"/>
      <c r="E140"/>
      <c r="F140"/>
      <c r="G140"/>
      <c r="H140"/>
      <c r="I140"/>
      <c r="J140"/>
      <c r="K140"/>
      <c r="L140"/>
      <c r="M140"/>
      <c r="N140"/>
      <c r="O140"/>
      <c r="P140"/>
      <c r="Q140"/>
      <c r="R140"/>
      <c r="S140"/>
      <c r="T140"/>
      <c r="U140"/>
      <c r="V140"/>
      <c r="W140"/>
      <c r="X140"/>
      <c r="BA140" s="722" t="s">
        <v>409</v>
      </c>
      <c r="BB140" s="1044" t="s">
        <v>492</v>
      </c>
      <c r="BC140" s="721"/>
      <c r="BD140" s="721"/>
      <c r="BE140" s="238">
        <v>137</v>
      </c>
      <c r="BF140" s="722" t="s">
        <v>409</v>
      </c>
      <c r="BG140" s="721"/>
      <c r="BH140" s="721"/>
      <c r="BM140" s="238" t="s">
        <v>2697</v>
      </c>
      <c r="BN140" s="238" t="s">
        <v>1220</v>
      </c>
      <c r="BY140" s="1244">
        <v>20625</v>
      </c>
      <c r="BZ140" s="238">
        <f t="shared" si="18"/>
        <v>25625</v>
      </c>
    </row>
    <row r="141" spans="1:78" ht="12.75">
      <c r="A141"/>
      <c r="B141"/>
      <c r="C141"/>
      <c r="D141"/>
      <c r="E141"/>
      <c r="F141"/>
      <c r="G141"/>
      <c r="H141"/>
      <c r="I141"/>
      <c r="J141"/>
      <c r="K141"/>
      <c r="L141"/>
      <c r="M141"/>
      <c r="N141"/>
      <c r="O141"/>
      <c r="P141"/>
      <c r="Q141"/>
      <c r="R141"/>
      <c r="S141"/>
      <c r="T141"/>
      <c r="U141"/>
      <c r="V141"/>
      <c r="W141"/>
      <c r="X141"/>
      <c r="BA141" s="722" t="s">
        <v>410</v>
      </c>
      <c r="BB141" s="1044" t="s">
        <v>493</v>
      </c>
      <c r="BC141" s="721"/>
      <c r="BD141" s="721"/>
      <c r="BE141" s="238">
        <v>138</v>
      </c>
      <c r="BF141" s="722" t="s">
        <v>410</v>
      </c>
      <c r="BG141" s="721"/>
      <c r="BH141" s="721"/>
      <c r="BM141" s="238" t="s">
        <v>2698</v>
      </c>
      <c r="BN141" s="238" t="s">
        <v>1226</v>
      </c>
      <c r="BY141" s="1244">
        <v>20625</v>
      </c>
      <c r="BZ141" s="238">
        <f t="shared" si="18"/>
        <v>25625</v>
      </c>
    </row>
    <row r="142" spans="1:78" ht="12.75">
      <c r="A142"/>
      <c r="B142"/>
      <c r="C142"/>
      <c r="D142"/>
      <c r="E142"/>
      <c r="F142"/>
      <c r="G142"/>
      <c r="H142"/>
      <c r="I142"/>
      <c r="J142"/>
      <c r="K142"/>
      <c r="L142"/>
      <c r="M142"/>
      <c r="N142"/>
      <c r="O142"/>
      <c r="P142"/>
      <c r="Q142"/>
      <c r="R142"/>
      <c r="S142"/>
      <c r="T142"/>
      <c r="U142"/>
      <c r="V142"/>
      <c r="W142"/>
      <c r="X142"/>
      <c r="BA142" s="722" t="s">
        <v>411</v>
      </c>
      <c r="BB142" s="1044" t="s">
        <v>494</v>
      </c>
      <c r="BC142" s="721"/>
      <c r="BD142" s="721"/>
      <c r="BE142" s="238">
        <v>139</v>
      </c>
      <c r="BF142" s="722" t="s">
        <v>411</v>
      </c>
      <c r="BG142" s="721"/>
      <c r="BH142" s="721"/>
      <c r="BM142" s="238" t="s">
        <v>2699</v>
      </c>
      <c r="BN142" s="238" t="s">
        <v>19</v>
      </c>
      <c r="BY142" s="1243">
        <v>20225</v>
      </c>
      <c r="BZ142" s="238">
        <f t="shared" si="18"/>
        <v>25225</v>
      </c>
    </row>
    <row r="143" spans="1:78" ht="12.75">
      <c r="A143"/>
      <c r="B143"/>
      <c r="C143"/>
      <c r="D143"/>
      <c r="E143"/>
      <c r="F143"/>
      <c r="G143"/>
      <c r="H143"/>
      <c r="I143"/>
      <c r="J143"/>
      <c r="K143"/>
      <c r="L143"/>
      <c r="M143"/>
      <c r="N143"/>
      <c r="O143"/>
      <c r="P143"/>
      <c r="Q143"/>
      <c r="R143"/>
      <c r="S143"/>
      <c r="T143"/>
      <c r="U143"/>
      <c r="V143"/>
      <c r="W143"/>
      <c r="X143"/>
      <c r="BA143" s="722" t="s">
        <v>412</v>
      </c>
      <c r="BB143" s="1044" t="s">
        <v>495</v>
      </c>
      <c r="BC143" s="721"/>
      <c r="BD143" s="721"/>
      <c r="BE143" s="238">
        <v>140</v>
      </c>
      <c r="BF143" s="722" t="s">
        <v>412</v>
      </c>
      <c r="BG143" s="721"/>
      <c r="BH143" s="721"/>
      <c r="BM143" s="238" t="s">
        <v>2700</v>
      </c>
      <c r="BN143" s="238" t="s">
        <v>1242</v>
      </c>
      <c r="BY143" s="1243">
        <v>20225</v>
      </c>
      <c r="BZ143" s="238">
        <f t="shared" si="18"/>
        <v>25225</v>
      </c>
    </row>
    <row r="144" spans="1:78" ht="12.75">
      <c r="A144"/>
      <c r="B144"/>
      <c r="C144"/>
      <c r="D144"/>
      <c r="E144"/>
      <c r="F144"/>
      <c r="G144"/>
      <c r="H144"/>
      <c r="I144"/>
      <c r="J144"/>
      <c r="K144"/>
      <c r="L144"/>
      <c r="M144"/>
      <c r="N144"/>
      <c r="O144"/>
      <c r="P144"/>
      <c r="Q144"/>
      <c r="R144"/>
      <c r="S144"/>
      <c r="T144"/>
      <c r="U144"/>
      <c r="V144"/>
      <c r="W144"/>
      <c r="X144"/>
      <c r="BA144" s="722" t="s">
        <v>413</v>
      </c>
      <c r="BB144" s="1044" t="s">
        <v>496</v>
      </c>
      <c r="BC144" s="721"/>
      <c r="BD144" s="721"/>
      <c r="BE144" s="238">
        <v>141</v>
      </c>
      <c r="BF144" s="722" t="s">
        <v>413</v>
      </c>
      <c r="BG144" s="721"/>
      <c r="BH144" s="721"/>
      <c r="BM144" s="238" t="s">
        <v>2701</v>
      </c>
      <c r="BN144" s="238" t="s">
        <v>1244</v>
      </c>
      <c r="BY144" s="1243">
        <v>20225</v>
      </c>
      <c r="BZ144" s="238">
        <f t="shared" si="18"/>
        <v>25225</v>
      </c>
    </row>
    <row r="145" spans="1:78" ht="12.75">
      <c r="BA145" s="722" t="s">
        <v>415</v>
      </c>
      <c r="BB145" s="1044" t="s">
        <v>497</v>
      </c>
      <c r="BC145" s="721"/>
      <c r="BD145" s="721"/>
      <c r="BE145" s="238">
        <v>142</v>
      </c>
      <c r="BF145" s="722" t="s">
        <v>415</v>
      </c>
      <c r="BG145" s="721"/>
      <c r="BH145" s="721"/>
      <c r="BY145" s="1243">
        <v>20225</v>
      </c>
      <c r="BZ145" s="238">
        <f t="shared" si="18"/>
        <v>25225</v>
      </c>
    </row>
    <row r="146" spans="1:78" ht="12.75">
      <c r="BA146" s="722" t="s">
        <v>417</v>
      </c>
      <c r="BB146" s="1044" t="s">
        <v>498</v>
      </c>
      <c r="BC146" s="721"/>
      <c r="BD146" s="721"/>
      <c r="BE146" s="238">
        <v>143</v>
      </c>
      <c r="BF146" s="722" t="s">
        <v>417</v>
      </c>
      <c r="BG146" s="721"/>
      <c r="BH146" s="721"/>
      <c r="BY146" s="1243">
        <v>20225</v>
      </c>
      <c r="BZ146" s="238">
        <f t="shared" si="18"/>
        <v>25225</v>
      </c>
    </row>
    <row r="147" spans="1:78" ht="12.75">
      <c r="A147" s="238">
        <v>1</v>
      </c>
      <c r="B147" s="238" t="s">
        <v>2642</v>
      </c>
      <c r="C147" s="238" t="s">
        <v>887</v>
      </c>
      <c r="D147" s="1082"/>
      <c r="E147" s="238" t="e">
        <f>VLOOKUP(D147,A147:B161,2,FALSE)</f>
        <v>#N/A</v>
      </c>
      <c r="F147"/>
      <c r="BA147" s="722" t="s">
        <v>419</v>
      </c>
      <c r="BB147" s="1044" t="s">
        <v>499</v>
      </c>
      <c r="BC147" s="721"/>
      <c r="BD147" s="721"/>
      <c r="BE147" s="238">
        <v>144</v>
      </c>
      <c r="BF147" s="722" t="s">
        <v>419</v>
      </c>
      <c r="BG147" s="721"/>
      <c r="BH147" s="721"/>
      <c r="BY147" s="1243">
        <v>20225</v>
      </c>
      <c r="BZ147" s="238">
        <f t="shared" si="18"/>
        <v>25225</v>
      </c>
    </row>
    <row r="148" spans="1:78" ht="12.75">
      <c r="A148" s="238">
        <v>2</v>
      </c>
      <c r="B148" s="238" t="s">
        <v>2623</v>
      </c>
      <c r="C148" s="238" t="s">
        <v>1067</v>
      </c>
      <c r="D148" s="241" t="str">
        <f>IF(D147=0,"",LOOKUP(D147,A147:A161,C147:C161))</f>
        <v/>
      </c>
      <c r="F148"/>
      <c r="BA148" s="722" t="s">
        <v>421</v>
      </c>
      <c r="BB148" s="1044" t="s">
        <v>500</v>
      </c>
      <c r="BC148" s="721"/>
      <c r="BD148" s="721"/>
      <c r="BE148" s="238">
        <v>145</v>
      </c>
      <c r="BF148" s="722" t="s">
        <v>421</v>
      </c>
      <c r="BG148" s="721"/>
      <c r="BH148" s="721"/>
      <c r="BY148" s="1243">
        <v>20225</v>
      </c>
      <c r="BZ148" s="238">
        <f t="shared" si="18"/>
        <v>25225</v>
      </c>
    </row>
    <row r="149" spans="1:78" ht="12.75">
      <c r="A149" s="238">
        <v>3</v>
      </c>
      <c r="B149" s="238" t="s">
        <v>2643</v>
      </c>
      <c r="C149" s="238" t="s">
        <v>1068</v>
      </c>
      <c r="F149"/>
      <c r="BA149" s="722" t="s">
        <v>423</v>
      </c>
      <c r="BB149" s="1044" t="s">
        <v>501</v>
      </c>
      <c r="BC149" s="721"/>
      <c r="BD149" s="721"/>
      <c r="BE149" s="238">
        <v>146</v>
      </c>
      <c r="BF149" s="722" t="s">
        <v>423</v>
      </c>
      <c r="BG149" s="721"/>
      <c r="BH149" s="721"/>
      <c r="BY149" s="1243">
        <v>20225</v>
      </c>
      <c r="BZ149" s="238">
        <f t="shared" si="18"/>
        <v>25225</v>
      </c>
    </row>
    <row r="150" spans="1:78" ht="12.75">
      <c r="A150" s="238">
        <v>4</v>
      </c>
      <c r="B150" s="238" t="s">
        <v>2621</v>
      </c>
      <c r="C150" s="238" t="s">
        <v>1069</v>
      </c>
      <c r="F150"/>
      <c r="BA150" s="722" t="s">
        <v>425</v>
      </c>
      <c r="BB150" s="1044" t="s">
        <v>502</v>
      </c>
      <c r="BC150" s="721"/>
      <c r="BD150" s="721"/>
      <c r="BE150" s="238">
        <v>147</v>
      </c>
      <c r="BF150" s="722" t="s">
        <v>425</v>
      </c>
      <c r="BG150" s="721"/>
      <c r="BH150" s="721"/>
      <c r="BY150" s="1243">
        <v>20225</v>
      </c>
      <c r="BZ150" s="238">
        <f t="shared" si="18"/>
        <v>25225</v>
      </c>
    </row>
    <row r="151" spans="1:78" ht="12.75">
      <c r="A151" s="238">
        <v>5</v>
      </c>
      <c r="B151" s="238" t="s">
        <v>2644</v>
      </c>
      <c r="C151" s="238" t="s">
        <v>1070</v>
      </c>
      <c r="F151"/>
      <c r="BA151" s="722" t="s">
        <v>409</v>
      </c>
      <c r="BB151" s="1044" t="s">
        <v>503</v>
      </c>
      <c r="BC151" s="721"/>
      <c r="BD151" s="721"/>
      <c r="BE151" s="238">
        <v>148</v>
      </c>
      <c r="BF151" s="722" t="s">
        <v>409</v>
      </c>
      <c r="BG151" s="721"/>
      <c r="BH151" s="721"/>
      <c r="BY151" s="1243">
        <v>20225</v>
      </c>
      <c r="BZ151" s="238">
        <f t="shared" si="18"/>
        <v>25225</v>
      </c>
    </row>
    <row r="152" spans="1:78" ht="12.75">
      <c r="A152" s="238">
        <v>6</v>
      </c>
      <c r="B152" s="238" t="s">
        <v>2645</v>
      </c>
      <c r="C152" s="238" t="s">
        <v>1071</v>
      </c>
      <c r="F152"/>
      <c r="BA152" s="722" t="s">
        <v>410</v>
      </c>
      <c r="BB152" s="1044" t="s">
        <v>504</v>
      </c>
      <c r="BC152" s="721"/>
      <c r="BD152" s="721"/>
      <c r="BE152" s="238">
        <v>149</v>
      </c>
      <c r="BF152" s="722" t="s">
        <v>410</v>
      </c>
      <c r="BG152" s="721"/>
      <c r="BH152" s="721"/>
      <c r="BY152" s="1243">
        <v>20050</v>
      </c>
      <c r="BZ152" s="238">
        <f t="shared" si="18"/>
        <v>25050</v>
      </c>
    </row>
    <row r="153" spans="1:78" ht="12.75">
      <c r="A153" s="238">
        <v>7</v>
      </c>
      <c r="B153" s="238" t="s">
        <v>2646</v>
      </c>
      <c r="C153" s="238" t="s">
        <v>1072</v>
      </c>
      <c r="F153"/>
      <c r="BA153" s="722" t="s">
        <v>411</v>
      </c>
      <c r="BB153" s="1044" t="s">
        <v>505</v>
      </c>
      <c r="BC153" s="721"/>
      <c r="BD153" s="721"/>
      <c r="BE153" s="238">
        <v>150</v>
      </c>
      <c r="BF153" s="722" t="s">
        <v>411</v>
      </c>
      <c r="BG153" s="721"/>
      <c r="BH153" s="721"/>
      <c r="BY153" s="1243">
        <v>20050</v>
      </c>
      <c r="BZ153" s="238">
        <f t="shared" si="18"/>
        <v>25050</v>
      </c>
    </row>
    <row r="154" spans="1:78" ht="12.75">
      <c r="A154" s="238">
        <v>8</v>
      </c>
      <c r="B154" s="238" t="s">
        <v>2647</v>
      </c>
      <c r="C154" s="238" t="s">
        <v>1073</v>
      </c>
      <c r="F154"/>
      <c r="BA154" s="1044" t="s">
        <v>412</v>
      </c>
      <c r="BB154" s="1044" t="s">
        <v>506</v>
      </c>
      <c r="BC154" s="721"/>
      <c r="BD154" s="721"/>
      <c r="BE154" s="238">
        <v>151</v>
      </c>
      <c r="BF154" s="721" t="s">
        <v>412</v>
      </c>
      <c r="BG154" s="721"/>
      <c r="BH154" s="721"/>
      <c r="BY154" s="1243">
        <v>20050</v>
      </c>
      <c r="BZ154" s="238">
        <f t="shared" si="18"/>
        <v>25050</v>
      </c>
    </row>
    <row r="155" spans="1:78" ht="12.75">
      <c r="A155" s="238">
        <v>9</v>
      </c>
      <c r="B155" s="238" t="s">
        <v>2648</v>
      </c>
      <c r="C155" s="238" t="str">
        <f>LOWER("I")</f>
        <v>i</v>
      </c>
      <c r="F155"/>
      <c r="BA155" s="1044" t="s">
        <v>413</v>
      </c>
      <c r="BB155" s="1044" t="s">
        <v>507</v>
      </c>
      <c r="BC155" s="721"/>
      <c r="BD155" s="721"/>
      <c r="BE155" s="238">
        <v>152</v>
      </c>
      <c r="BF155" s="721" t="s">
        <v>413</v>
      </c>
      <c r="BG155" s="721"/>
      <c r="BH155" s="721"/>
      <c r="BY155" s="1243">
        <v>20050</v>
      </c>
      <c r="BZ155" s="238">
        <f t="shared" si="18"/>
        <v>25050</v>
      </c>
    </row>
    <row r="156" spans="1:78" ht="12.75">
      <c r="A156" s="238">
        <v>10</v>
      </c>
      <c r="B156" s="238" t="s">
        <v>2622</v>
      </c>
      <c r="C156" s="238" t="s">
        <v>2128</v>
      </c>
      <c r="F156"/>
      <c r="BA156" s="1044" t="s">
        <v>415</v>
      </c>
      <c r="BB156" s="1044" t="s">
        <v>508</v>
      </c>
      <c r="BC156" s="721"/>
      <c r="BD156" s="721"/>
      <c r="BE156" s="238">
        <v>153</v>
      </c>
      <c r="BF156" s="721" t="s">
        <v>415</v>
      </c>
      <c r="BG156" s="721"/>
      <c r="BH156" s="721"/>
      <c r="BY156" s="1243">
        <v>20050</v>
      </c>
      <c r="BZ156" s="238">
        <f t="shared" si="18"/>
        <v>25050</v>
      </c>
    </row>
    <row r="157" spans="1:78" ht="12.75">
      <c r="A157" s="238">
        <v>11</v>
      </c>
      <c r="B157" s="238" t="s">
        <v>2649</v>
      </c>
      <c r="C157" s="238" t="s">
        <v>2129</v>
      </c>
      <c r="F157"/>
      <c r="BA157" s="1044" t="s">
        <v>417</v>
      </c>
      <c r="BB157" s="1044" t="s">
        <v>509</v>
      </c>
      <c r="BC157" s="721"/>
      <c r="BD157" s="721"/>
      <c r="BE157" s="238">
        <v>154</v>
      </c>
      <c r="BF157" s="721" t="s">
        <v>417</v>
      </c>
      <c r="BG157" s="721"/>
      <c r="BH157" s="721"/>
      <c r="BY157" s="1243">
        <v>20050</v>
      </c>
      <c r="BZ157" s="238">
        <f t="shared" si="18"/>
        <v>25050</v>
      </c>
    </row>
    <row r="158" spans="1:78" ht="12.75">
      <c r="A158" s="238">
        <v>12</v>
      </c>
      <c r="B158" s="238" t="s">
        <v>2650</v>
      </c>
      <c r="C158" s="238" t="s">
        <v>2130</v>
      </c>
      <c r="F158"/>
      <c r="BA158" s="1044" t="s">
        <v>419</v>
      </c>
      <c r="BB158" s="1044" t="s">
        <v>510</v>
      </c>
      <c r="BC158" s="721"/>
      <c r="BD158" s="721"/>
      <c r="BE158" s="238">
        <v>155</v>
      </c>
      <c r="BF158" s="721" t="s">
        <v>419</v>
      </c>
      <c r="BG158" s="721"/>
      <c r="BH158" s="721"/>
      <c r="BY158" s="1243">
        <v>20075</v>
      </c>
      <c r="BZ158" s="238">
        <f t="shared" si="18"/>
        <v>25075</v>
      </c>
    </row>
    <row r="159" spans="1:78" ht="12.75">
      <c r="A159" s="238">
        <v>13</v>
      </c>
      <c r="B159" s="238" t="s">
        <v>2651</v>
      </c>
      <c r="C159" s="238" t="s">
        <v>2131</v>
      </c>
      <c r="F159"/>
      <c r="I159"/>
      <c r="BA159" s="1044" t="s">
        <v>421</v>
      </c>
      <c r="BB159" s="1044" t="s">
        <v>511</v>
      </c>
      <c r="BC159" s="721"/>
      <c r="BD159" s="721"/>
      <c r="BE159" s="238">
        <v>156</v>
      </c>
      <c r="BF159" s="721" t="s">
        <v>421</v>
      </c>
      <c r="BG159" s="721"/>
      <c r="BH159" s="721"/>
      <c r="BY159" s="1244">
        <v>20550</v>
      </c>
      <c r="BZ159" s="238">
        <f t="shared" si="18"/>
        <v>25550</v>
      </c>
    </row>
    <row r="160" spans="1:78" ht="12.75">
      <c r="A160" s="238">
        <v>14</v>
      </c>
      <c r="B160" s="238" t="s">
        <v>2652</v>
      </c>
      <c r="C160" s="238" t="s">
        <v>2132</v>
      </c>
      <c r="F160"/>
      <c r="I160"/>
      <c r="BA160" s="1044" t="s">
        <v>423</v>
      </c>
      <c r="BB160" s="1044" t="s">
        <v>1527</v>
      </c>
      <c r="BC160" s="721"/>
      <c r="BD160" s="721"/>
      <c r="BE160" s="238">
        <v>157</v>
      </c>
      <c r="BF160" s="721" t="s">
        <v>423</v>
      </c>
      <c r="BG160" s="721"/>
      <c r="BH160" s="721"/>
      <c r="BY160" s="1244">
        <v>20550</v>
      </c>
      <c r="BZ160" s="238">
        <f t="shared" si="18"/>
        <v>25550</v>
      </c>
    </row>
    <row r="161" spans="1:78" ht="12.75">
      <c r="A161" s="238">
        <v>15</v>
      </c>
      <c r="B161" s="238" t="s">
        <v>2653</v>
      </c>
      <c r="C161" s="238" t="s">
        <v>2133</v>
      </c>
      <c r="F161"/>
      <c r="I161"/>
      <c r="BA161" s="1044" t="s">
        <v>425</v>
      </c>
      <c r="BB161" s="1044" t="s">
        <v>512</v>
      </c>
      <c r="BC161" s="721"/>
      <c r="BD161" s="721"/>
      <c r="BE161" s="238">
        <v>158</v>
      </c>
      <c r="BF161" s="721" t="s">
        <v>425</v>
      </c>
      <c r="BG161" s="721"/>
      <c r="BH161" s="721"/>
      <c r="BY161" s="1244">
        <v>20550</v>
      </c>
      <c r="BZ161" s="238">
        <f t="shared" si="18"/>
        <v>25550</v>
      </c>
    </row>
    <row r="162" spans="1:78" ht="12.75">
      <c r="F162"/>
      <c r="I162"/>
      <c r="P162"/>
      <c r="Q162"/>
      <c r="R162"/>
      <c r="S162"/>
      <c r="T162"/>
      <c r="U162"/>
      <c r="V162"/>
      <c r="BA162" s="1044" t="s">
        <v>409</v>
      </c>
      <c r="BB162" s="1044" t="s">
        <v>513</v>
      </c>
      <c r="BC162" s="721"/>
      <c r="BD162" s="721"/>
      <c r="BE162" s="238">
        <v>159</v>
      </c>
      <c r="BF162" s="721" t="s">
        <v>409</v>
      </c>
      <c r="BG162" s="721"/>
      <c r="BH162" s="721"/>
      <c r="BY162" s="1244">
        <v>20550</v>
      </c>
      <c r="BZ162" s="238">
        <f t="shared" si="18"/>
        <v>25550</v>
      </c>
    </row>
    <row r="163" spans="1:78" ht="12.75">
      <c r="F163"/>
      <c r="I163"/>
      <c r="BA163" s="1044" t="s">
        <v>410</v>
      </c>
      <c r="BB163" s="1044" t="s">
        <v>514</v>
      </c>
      <c r="BC163" s="721"/>
      <c r="BD163" s="721"/>
      <c r="BE163" s="238">
        <v>160</v>
      </c>
      <c r="BF163" s="721" t="s">
        <v>410</v>
      </c>
      <c r="BG163" s="721"/>
      <c r="BH163" s="721"/>
      <c r="BY163" s="1244">
        <v>20550</v>
      </c>
      <c r="BZ163" s="238">
        <f t="shared" si="18"/>
        <v>25550</v>
      </c>
    </row>
    <row r="164" spans="1:78" ht="12.75">
      <c r="F164"/>
      <c r="I164"/>
      <c r="BA164" s="1044" t="s">
        <v>411</v>
      </c>
      <c r="BB164" s="1044" t="s">
        <v>515</v>
      </c>
      <c r="BC164" s="721"/>
      <c r="BD164" s="721"/>
      <c r="BE164" s="238">
        <v>161</v>
      </c>
      <c r="BF164" s="721" t="s">
        <v>411</v>
      </c>
      <c r="BG164" s="721"/>
      <c r="BH164" s="721"/>
      <c r="BY164" s="1244">
        <v>20550</v>
      </c>
      <c r="BZ164" s="238">
        <f t="shared" si="18"/>
        <v>25550</v>
      </c>
    </row>
    <row r="165" spans="1:78" ht="12.75">
      <c r="F165"/>
      <c r="I165"/>
      <c r="BA165" s="1044" t="s">
        <v>412</v>
      </c>
      <c r="BB165" s="1044" t="s">
        <v>516</v>
      </c>
      <c r="BC165" s="721"/>
      <c r="BD165" s="721"/>
      <c r="BE165" s="238">
        <v>162</v>
      </c>
      <c r="BF165" s="721" t="s">
        <v>412</v>
      </c>
      <c r="BG165" s="721"/>
      <c r="BH165" s="721"/>
      <c r="BY165" s="1244">
        <v>20550</v>
      </c>
      <c r="BZ165" s="238">
        <f t="shared" si="18"/>
        <v>25550</v>
      </c>
    </row>
    <row r="166" spans="1:78" ht="12.75">
      <c r="F166"/>
      <c r="I166"/>
      <c r="BA166" s="1044" t="s">
        <v>413</v>
      </c>
      <c r="BB166" s="1044" t="s">
        <v>517</v>
      </c>
      <c r="BC166" s="721"/>
      <c r="BD166" s="721"/>
      <c r="BE166" s="238">
        <v>163</v>
      </c>
      <c r="BF166" s="721" t="s">
        <v>413</v>
      </c>
      <c r="BG166" s="721"/>
      <c r="BH166" s="721"/>
      <c r="BY166" s="1244">
        <v>20550</v>
      </c>
      <c r="BZ166" s="238">
        <f t="shared" si="18"/>
        <v>25550</v>
      </c>
    </row>
    <row r="167" spans="1:78" ht="12.75">
      <c r="F167"/>
      <c r="I167"/>
      <c r="BA167" s="1044" t="s">
        <v>415</v>
      </c>
      <c r="BB167" s="1044" t="s">
        <v>518</v>
      </c>
      <c r="BC167" s="721"/>
      <c r="BD167" s="721"/>
      <c r="BE167" s="238">
        <v>164</v>
      </c>
      <c r="BF167" s="721" t="s">
        <v>415</v>
      </c>
      <c r="BG167" s="721"/>
      <c r="BH167" s="721"/>
      <c r="BY167" s="1244">
        <v>20550</v>
      </c>
      <c r="BZ167" s="238">
        <f t="shared" si="18"/>
        <v>25550</v>
      </c>
    </row>
    <row r="168" spans="1:78" ht="12.75">
      <c r="B168" s="238">
        <f>'Pay Values'!A13-0.5</f>
        <v>-0.5</v>
      </c>
      <c r="C168" s="238">
        <f>'Pay Values'!A13+0.5</f>
        <v>0.5</v>
      </c>
      <c r="F168"/>
      <c r="I168"/>
      <c r="BA168" s="1044" t="s">
        <v>417</v>
      </c>
      <c r="BB168" s="1044" t="s">
        <v>519</v>
      </c>
      <c r="BC168" s="721"/>
      <c r="BD168" s="721"/>
      <c r="BE168" s="238">
        <v>165</v>
      </c>
      <c r="BF168" s="721" t="s">
        <v>417</v>
      </c>
      <c r="BG168" s="721"/>
      <c r="BH168" s="721"/>
      <c r="BY168" s="1244">
        <v>20550</v>
      </c>
      <c r="BZ168" s="238">
        <f t="shared" si="18"/>
        <v>25550</v>
      </c>
    </row>
    <row r="169" spans="1:78" ht="12.75">
      <c r="B169" s="238">
        <f>'Pay Values'!A14-0.5</f>
        <v>-0.5</v>
      </c>
      <c r="C169" s="238">
        <f>'Pay Values'!A14+0.5</f>
        <v>0.5</v>
      </c>
      <c r="F169"/>
      <c r="I169"/>
      <c r="BA169" s="1044" t="s">
        <v>419</v>
      </c>
      <c r="BB169" s="1044" t="s">
        <v>520</v>
      </c>
      <c r="BC169" s="721"/>
      <c r="BD169" s="721"/>
      <c r="BE169" s="238">
        <v>166</v>
      </c>
      <c r="BF169" s="721" t="s">
        <v>419</v>
      </c>
      <c r="BG169" s="721"/>
      <c r="BH169" s="721"/>
      <c r="BY169" s="1244">
        <v>20550</v>
      </c>
      <c r="BZ169" s="238">
        <f t="shared" si="18"/>
        <v>25550</v>
      </c>
    </row>
    <row r="170" spans="1:78" ht="12.75">
      <c r="B170" s="238">
        <f>'Pay Values'!A15-0.5</f>
        <v>-0.5</v>
      </c>
      <c r="C170" s="238">
        <f>'Pay Values'!A15+0.5</f>
        <v>0.5</v>
      </c>
      <c r="F170"/>
      <c r="I170"/>
      <c r="BA170" s="1044" t="s">
        <v>421</v>
      </c>
      <c r="BB170" s="1044" t="s">
        <v>521</v>
      </c>
      <c r="BC170" s="721"/>
      <c r="BD170" s="721"/>
      <c r="BE170" s="238">
        <v>167</v>
      </c>
      <c r="BF170" s="721" t="s">
        <v>421</v>
      </c>
      <c r="BG170" s="721"/>
      <c r="BH170" s="721"/>
      <c r="BY170" s="1244">
        <v>20550</v>
      </c>
      <c r="BZ170" s="238">
        <f t="shared" si="18"/>
        <v>25550</v>
      </c>
    </row>
    <row r="171" spans="1:78" ht="12.75">
      <c r="B171" s="238">
        <f>'Pay Values'!A16-0.5</f>
        <v>-0.5</v>
      </c>
      <c r="C171" s="238">
        <f>'Pay Values'!A16+0.5</f>
        <v>0.5</v>
      </c>
      <c r="F171"/>
      <c r="I171"/>
      <c r="BA171" s="722" t="s">
        <v>423</v>
      </c>
      <c r="BB171" s="1044" t="s">
        <v>522</v>
      </c>
      <c r="BC171" s="721"/>
      <c r="BD171" s="721"/>
      <c r="BE171" s="238">
        <v>168</v>
      </c>
      <c r="BF171" s="722" t="s">
        <v>423</v>
      </c>
      <c r="BG171" s="721"/>
      <c r="BH171" s="721"/>
      <c r="BY171" s="1244">
        <v>20550</v>
      </c>
      <c r="BZ171" s="238">
        <f t="shared" si="18"/>
        <v>25550</v>
      </c>
    </row>
    <row r="172" spans="1:78" ht="12.75">
      <c r="F172"/>
      <c r="I172"/>
      <c r="BA172" s="722" t="s">
        <v>425</v>
      </c>
      <c r="BB172" s="1044" t="s">
        <v>523</v>
      </c>
      <c r="BC172" s="721"/>
      <c r="BD172" s="721"/>
      <c r="BE172" s="238">
        <v>169</v>
      </c>
      <c r="BF172" s="722" t="s">
        <v>425</v>
      </c>
      <c r="BG172" s="721"/>
      <c r="BH172" s="721"/>
      <c r="BY172" s="1244">
        <v>20550</v>
      </c>
      <c r="BZ172" s="238">
        <f t="shared" si="18"/>
        <v>25550</v>
      </c>
    </row>
    <row r="173" spans="1:78" ht="12.75">
      <c r="F173"/>
      <c r="I173"/>
      <c r="BA173" s="722" t="s">
        <v>415</v>
      </c>
      <c r="BB173" s="1044" t="s">
        <v>524</v>
      </c>
      <c r="BC173"/>
      <c r="BD173"/>
      <c r="BE173" s="238">
        <v>170</v>
      </c>
      <c r="BF173" s="722" t="s">
        <v>415</v>
      </c>
      <c r="BG173" s="721"/>
      <c r="BH173" s="721"/>
      <c r="BY173" s="1244">
        <v>20550</v>
      </c>
      <c r="BZ173" s="238">
        <f t="shared" si="18"/>
        <v>25550</v>
      </c>
    </row>
    <row r="174" spans="1:78" ht="12.75">
      <c r="B174" s="238">
        <v>4</v>
      </c>
      <c r="F174"/>
      <c r="I174"/>
      <c r="BA174" s="1128">
        <v>25500</v>
      </c>
      <c r="BB174" s="1044" t="s">
        <v>1528</v>
      </c>
      <c r="BC174"/>
      <c r="BD174"/>
      <c r="BE174" s="238">
        <v>171</v>
      </c>
      <c r="BF174" s="1128">
        <v>25500</v>
      </c>
      <c r="BG174" s="721"/>
      <c r="BH174" s="721"/>
      <c r="BY174" s="1244">
        <v>20550</v>
      </c>
      <c r="BZ174" s="238">
        <f t="shared" si="18"/>
        <v>25550</v>
      </c>
    </row>
    <row r="175" spans="1:78" ht="12.75">
      <c r="B175" s="238">
        <v>4</v>
      </c>
      <c r="F175"/>
      <c r="I175"/>
      <c r="BA175" s="675">
        <v>25525</v>
      </c>
      <c r="BB175" s="1044" t="s">
        <v>2188</v>
      </c>
      <c r="BC175"/>
      <c r="BD175"/>
      <c r="BE175" s="238">
        <v>172</v>
      </c>
      <c r="BF175" s="675">
        <v>25525</v>
      </c>
      <c r="BG175" s="721"/>
      <c r="BH175" s="721"/>
      <c r="BY175" s="1244">
        <v>20550</v>
      </c>
      <c r="BZ175" s="238">
        <f t="shared" si="18"/>
        <v>25550</v>
      </c>
    </row>
    <row r="176" spans="1:78" ht="12.75">
      <c r="B176" s="238">
        <v>4</v>
      </c>
      <c r="F176"/>
      <c r="I176"/>
      <c r="BA176" s="675">
        <v>25525</v>
      </c>
      <c r="BB176" s="1044" t="s">
        <v>2189</v>
      </c>
      <c r="BC176"/>
      <c r="BD176"/>
      <c r="BE176" s="238">
        <v>173</v>
      </c>
      <c r="BF176" s="675">
        <v>25525</v>
      </c>
      <c r="BG176" s="721"/>
      <c r="BH176" s="721"/>
      <c r="BY176" s="1244">
        <v>20550</v>
      </c>
      <c r="BZ176" s="238">
        <f t="shared" si="18"/>
        <v>25550</v>
      </c>
    </row>
    <row r="177" spans="2:78" ht="12.75">
      <c r="B177" s="238">
        <v>4</v>
      </c>
      <c r="F177"/>
      <c r="I177"/>
      <c r="BA177" s="675">
        <v>25490</v>
      </c>
      <c r="BB177" s="1044" t="s">
        <v>2190</v>
      </c>
      <c r="BC177"/>
      <c r="BD177"/>
      <c r="BE177" s="238">
        <v>174</v>
      </c>
      <c r="BF177" s="675">
        <v>25490</v>
      </c>
      <c r="BG177" s="721"/>
      <c r="BH177" s="721"/>
      <c r="BY177" s="1244">
        <v>20500</v>
      </c>
      <c r="BZ177" s="238">
        <f t="shared" si="18"/>
        <v>25500</v>
      </c>
    </row>
    <row r="178" spans="2:78" ht="12.75">
      <c r="F178"/>
      <c r="I178"/>
      <c r="BA178" s="675">
        <v>25525</v>
      </c>
      <c r="BB178" s="1044" t="s">
        <v>2191</v>
      </c>
      <c r="BC178"/>
      <c r="BD178"/>
      <c r="BE178" s="238">
        <v>175</v>
      </c>
      <c r="BF178" s="675">
        <v>25525</v>
      </c>
      <c r="BG178" s="721"/>
      <c r="BH178" s="721"/>
      <c r="BY178" s="1244">
        <v>20500</v>
      </c>
      <c r="BZ178" s="238">
        <f t="shared" si="18"/>
        <v>25500</v>
      </c>
    </row>
    <row r="179" spans="2:78" ht="12.75">
      <c r="F179"/>
      <c r="I179"/>
      <c r="BA179" s="675">
        <v>25525</v>
      </c>
      <c r="BB179" s="1044" t="s">
        <v>2192</v>
      </c>
      <c r="BC179"/>
      <c r="BD179"/>
      <c r="BE179" s="238">
        <v>176</v>
      </c>
      <c r="BF179" s="675">
        <v>25525</v>
      </c>
      <c r="BG179" s="721"/>
      <c r="BH179" s="721"/>
      <c r="BY179" s="1244">
        <v>20500</v>
      </c>
      <c r="BZ179" s="238">
        <f t="shared" si="18"/>
        <v>25500</v>
      </c>
    </row>
    <row r="180" spans="2:78" ht="12.75">
      <c r="B180" s="243" t="e">
        <f>E22</f>
        <v>#VALUE!</v>
      </c>
      <c r="D180" s="243" t="e">
        <f>E56</f>
        <v>#VALUE!</v>
      </c>
      <c r="F180"/>
      <c r="I180"/>
      <c r="BA180" s="675">
        <v>25600</v>
      </c>
      <c r="BB180" s="1044" t="s">
        <v>2230</v>
      </c>
      <c r="BC180"/>
      <c r="BD180"/>
      <c r="BE180" s="238">
        <v>177</v>
      </c>
      <c r="BF180" s="1128">
        <v>25600</v>
      </c>
      <c r="BG180" s="721"/>
      <c r="BH180" s="721"/>
      <c r="BY180" s="1244">
        <v>20500</v>
      </c>
      <c r="BZ180" s="238">
        <f t="shared" si="18"/>
        <v>25500</v>
      </c>
    </row>
    <row r="181" spans="2:78" ht="12.75">
      <c r="B181" s="243" t="e">
        <f>F22</f>
        <v>#VALUE!</v>
      </c>
      <c r="D181" s="243" t="e">
        <f>F56</f>
        <v>#VALUE!</v>
      </c>
      <c r="F181"/>
      <c r="I181"/>
      <c r="BA181" s="675">
        <v>25575</v>
      </c>
      <c r="BB181" s="1044" t="s">
        <v>2229</v>
      </c>
      <c r="BC181"/>
      <c r="BD181"/>
      <c r="BE181" s="238">
        <v>178</v>
      </c>
      <c r="BF181" s="1128">
        <v>25575</v>
      </c>
      <c r="BG181" s="721"/>
      <c r="BH181" s="721"/>
      <c r="BY181" s="1244">
        <v>20500</v>
      </c>
      <c r="BZ181" s="238">
        <f t="shared" si="18"/>
        <v>25500</v>
      </c>
    </row>
    <row r="182" spans="2:78" ht="12.75">
      <c r="B182" s="243" t="e">
        <f>G22</f>
        <v>#VALUE!</v>
      </c>
      <c r="D182" s="243" t="e">
        <f>G56</f>
        <v>#VALUE!</v>
      </c>
      <c r="F182"/>
      <c r="G182"/>
      <c r="H182"/>
      <c r="I182"/>
      <c r="BA182" s="675">
        <v>25490</v>
      </c>
      <c r="BB182" s="1044" t="s">
        <v>2656</v>
      </c>
      <c r="BC182"/>
      <c r="BD182"/>
      <c r="BE182" s="238">
        <v>179</v>
      </c>
      <c r="BF182" s="1128">
        <v>25490</v>
      </c>
      <c r="BG182" s="721"/>
      <c r="BH182" s="721"/>
      <c r="BY182" s="1244">
        <v>20500</v>
      </c>
      <c r="BZ182" s="238">
        <f t="shared" si="18"/>
        <v>25500</v>
      </c>
    </row>
    <row r="183" spans="2:78" ht="12.75">
      <c r="B183" s="243" t="e">
        <f>H22</f>
        <v>#VALUE!</v>
      </c>
      <c r="D183" s="243" t="e">
        <f>H56</f>
        <v>#VALUE!</v>
      </c>
      <c r="BA183" s="675">
        <v>25500</v>
      </c>
      <c r="BB183" s="1044" t="s">
        <v>2657</v>
      </c>
      <c r="BC183"/>
      <c r="BD183"/>
      <c r="BE183" s="238">
        <v>180</v>
      </c>
      <c r="BF183" s="1128">
        <v>25500</v>
      </c>
      <c r="BG183" s="721"/>
      <c r="BH183" s="721"/>
      <c r="BY183" s="1244">
        <v>20500</v>
      </c>
      <c r="BZ183" s="238">
        <f t="shared" si="18"/>
        <v>25500</v>
      </c>
    </row>
    <row r="184" spans="2:78" ht="12.75">
      <c r="B184" s="243" t="e">
        <f>I22</f>
        <v>#VALUE!</v>
      </c>
      <c r="D184" s="243" t="e">
        <f>I56</f>
        <v>#VALUE!</v>
      </c>
      <c r="BA184" s="675">
        <v>25500</v>
      </c>
      <c r="BB184" s="1044" t="s">
        <v>2658</v>
      </c>
      <c r="BC184"/>
      <c r="BD184"/>
      <c r="BE184" s="238">
        <v>181</v>
      </c>
      <c r="BF184" s="1128">
        <v>25500</v>
      </c>
      <c r="BG184" s="721"/>
      <c r="BH184" s="721"/>
      <c r="BY184" s="1244">
        <v>20500</v>
      </c>
      <c r="BZ184" s="238">
        <f t="shared" si="18"/>
        <v>25500</v>
      </c>
    </row>
    <row r="185" spans="2:78" ht="12.75">
      <c r="B185" s="243" t="e">
        <f>J22</f>
        <v>#VALUE!</v>
      </c>
      <c r="D185" s="243" t="e">
        <f>J56</f>
        <v>#VALUE!</v>
      </c>
      <c r="BA185" s="675">
        <v>25600</v>
      </c>
      <c r="BB185" s="1044" t="s">
        <v>2659</v>
      </c>
      <c r="BC185"/>
      <c r="BD185"/>
      <c r="BE185" s="238">
        <v>182</v>
      </c>
      <c r="BF185" s="1128">
        <v>25600</v>
      </c>
      <c r="BG185" s="721"/>
      <c r="BH185" s="721"/>
      <c r="BY185" s="1244">
        <v>20500</v>
      </c>
      <c r="BZ185" s="238">
        <f t="shared" si="18"/>
        <v>25500</v>
      </c>
    </row>
    <row r="186" spans="2:78" ht="12.75">
      <c r="B186" s="243" t="e">
        <f>K22</f>
        <v>#VALUE!</v>
      </c>
      <c r="D186" s="243" t="e">
        <f>K56</f>
        <v>#VALUE!</v>
      </c>
      <c r="BA186" s="675">
        <v>25500</v>
      </c>
      <c r="BB186" s="1044" t="s">
        <v>2660</v>
      </c>
      <c r="BC186"/>
      <c r="BD186"/>
      <c r="BE186" s="238">
        <v>183</v>
      </c>
      <c r="BF186" s="1128">
        <v>25500</v>
      </c>
      <c r="BG186" s="721"/>
      <c r="BH186" s="721"/>
      <c r="BY186" s="1244">
        <v>20500</v>
      </c>
      <c r="BZ186" s="238">
        <f t="shared" si="18"/>
        <v>25500</v>
      </c>
    </row>
    <row r="187" spans="2:78" ht="12.75">
      <c r="B187" s="243" t="e">
        <f>L22</f>
        <v>#VALUE!</v>
      </c>
      <c r="D187" s="243" t="e">
        <f>L56</f>
        <v>#VALUE!</v>
      </c>
      <c r="BA187" s="675">
        <v>25490</v>
      </c>
      <c r="BB187" s="1044" t="s">
        <v>2695</v>
      </c>
      <c r="BC187"/>
      <c r="BD187"/>
      <c r="BE187" s="238">
        <v>184</v>
      </c>
      <c r="BF187" s="1128">
        <v>25490</v>
      </c>
      <c r="BG187" s="721"/>
      <c r="BH187" s="721"/>
      <c r="BY187" s="1244">
        <v>20500</v>
      </c>
      <c r="BZ187" s="238">
        <f t="shared" si="18"/>
        <v>25500</v>
      </c>
    </row>
    <row r="188" spans="2:78" ht="12.75">
      <c r="B188" s="243" t="e">
        <f>M22</f>
        <v>#VALUE!</v>
      </c>
      <c r="BA188" s="675">
        <v>25490</v>
      </c>
      <c r="BB188" s="1044" t="s">
        <v>2707</v>
      </c>
      <c r="BC188"/>
      <c r="BD188"/>
      <c r="BE188" s="238">
        <v>185</v>
      </c>
      <c r="BF188" s="1128">
        <v>25490</v>
      </c>
      <c r="BG188" s="721"/>
      <c r="BH188" s="721"/>
      <c r="BY188" s="1244">
        <v>20500</v>
      </c>
      <c r="BZ188" s="238">
        <f t="shared" si="18"/>
        <v>25500</v>
      </c>
    </row>
    <row r="189" spans="2:78" ht="12.75">
      <c r="B189" s="243" t="e">
        <f>N22</f>
        <v>#VALUE!</v>
      </c>
      <c r="BA189"/>
      <c r="BB189"/>
      <c r="BC189"/>
      <c r="BD189"/>
      <c r="BE189" s="238">
        <v>187</v>
      </c>
      <c r="BF189" s="722"/>
      <c r="BG189" s="721"/>
      <c r="BH189" s="721"/>
      <c r="BY189" s="1244">
        <v>20500</v>
      </c>
      <c r="BZ189" s="238">
        <f t="shared" si="18"/>
        <v>25500</v>
      </c>
    </row>
    <row r="190" spans="2:78" ht="12.75">
      <c r="B190" s="243" t="e">
        <f>O22</f>
        <v>#VALUE!</v>
      </c>
      <c r="BA190"/>
      <c r="BB190"/>
      <c r="BC190"/>
      <c r="BD190"/>
      <c r="BE190" s="238">
        <v>188</v>
      </c>
      <c r="BF190" s="722"/>
      <c r="BG190" s="721"/>
      <c r="BH190" s="721"/>
      <c r="BY190" s="1244">
        <v>20500</v>
      </c>
      <c r="BZ190" s="238">
        <f t="shared" si="18"/>
        <v>25500</v>
      </c>
    </row>
    <row r="191" spans="2:78" ht="12.75">
      <c r="B191" s="243" t="e">
        <f>P22</f>
        <v>#VALUE!</v>
      </c>
      <c r="BA191"/>
      <c r="BB191"/>
      <c r="BC191"/>
      <c r="BD191"/>
      <c r="BE191" s="238">
        <v>189</v>
      </c>
      <c r="BF191" s="722"/>
      <c r="BG191" s="721"/>
      <c r="BH191" s="721"/>
      <c r="BY191" s="1244">
        <v>20500</v>
      </c>
      <c r="BZ191" s="238">
        <f t="shared" si="18"/>
        <v>25500</v>
      </c>
    </row>
    <row r="192" spans="2:78" ht="12.75">
      <c r="B192" s="243" t="e">
        <f>Q22</f>
        <v>#VALUE!</v>
      </c>
      <c r="BA192"/>
      <c r="BB192"/>
      <c r="BC192"/>
      <c r="BD192"/>
      <c r="BE192" s="238">
        <v>190</v>
      </c>
      <c r="BF192" s="722"/>
      <c r="BG192" s="721"/>
      <c r="BH192" s="721"/>
      <c r="BY192" s="1244">
        <v>20500</v>
      </c>
      <c r="BZ192" s="238">
        <f t="shared" si="18"/>
        <v>25500</v>
      </c>
    </row>
    <row r="193" spans="2:78" ht="12.75">
      <c r="B193" s="243" t="e">
        <f>R22</f>
        <v>#VALUE!</v>
      </c>
      <c r="BA193"/>
      <c r="BB193"/>
      <c r="BC193"/>
      <c r="BD193"/>
      <c r="BE193" s="238">
        <v>191</v>
      </c>
      <c r="BF193" s="722"/>
      <c r="BG193" s="721"/>
      <c r="BH193" s="721"/>
      <c r="BY193" s="1244">
        <v>20500</v>
      </c>
      <c r="BZ193" s="238">
        <f t="shared" si="18"/>
        <v>25500</v>
      </c>
    </row>
    <row r="194" spans="2:78" ht="12.75">
      <c r="B194" s="243" t="e">
        <f>S22</f>
        <v>#VALUE!</v>
      </c>
      <c r="BA194"/>
      <c r="BB194"/>
      <c r="BC194"/>
      <c r="BD194"/>
      <c r="BE194" s="238">
        <v>192</v>
      </c>
      <c r="BF194" s="722"/>
      <c r="BG194" s="721"/>
      <c r="BH194" s="721"/>
      <c r="BY194" s="1244">
        <v>20500</v>
      </c>
      <c r="BZ194" s="238">
        <f t="shared" si="18"/>
        <v>25500</v>
      </c>
    </row>
    <row r="195" spans="2:78" ht="12.75">
      <c r="B195" s="243" t="e">
        <f>T22</f>
        <v>#VALUE!</v>
      </c>
      <c r="BA195"/>
      <c r="BB195"/>
      <c r="BC195"/>
      <c r="BD195"/>
      <c r="BE195" s="238">
        <v>193</v>
      </c>
      <c r="BF195" s="722"/>
      <c r="BG195" s="721"/>
      <c r="BH195" s="721"/>
      <c r="BY195" s="1244">
        <v>20525</v>
      </c>
      <c r="BZ195" s="238">
        <f t="shared" si="18"/>
        <v>25525</v>
      </c>
    </row>
    <row r="196" spans="2:78" ht="12.75">
      <c r="BA196"/>
      <c r="BB196"/>
      <c r="BC196"/>
      <c r="BD196"/>
      <c r="BE196" s="238">
        <v>194</v>
      </c>
      <c r="BF196" s="722"/>
      <c r="BG196" s="721"/>
      <c r="BH196" s="721"/>
      <c r="BY196" s="1244">
        <v>20525</v>
      </c>
      <c r="BZ196" s="238">
        <f t="shared" si="18"/>
        <v>25525</v>
      </c>
    </row>
    <row r="197" spans="2:78" ht="12.75">
      <c r="BA197"/>
      <c r="BB197"/>
      <c r="BC197"/>
      <c r="BD197"/>
      <c r="BE197" s="238">
        <v>195</v>
      </c>
      <c r="BF197" s="722"/>
      <c r="BG197" s="721"/>
      <c r="BH197" s="721"/>
      <c r="BY197" s="1244">
        <v>20525</v>
      </c>
      <c r="BZ197" s="238">
        <f t="shared" ref="BZ197:BZ260" si="19">BY197+5000</f>
        <v>25525</v>
      </c>
    </row>
    <row r="198" spans="2:78" ht="12.75">
      <c r="BA198"/>
      <c r="BB198"/>
      <c r="BC198"/>
      <c r="BD198"/>
      <c r="BE198" s="238">
        <v>196</v>
      </c>
      <c r="BF198" s="722"/>
      <c r="BG198" s="721"/>
      <c r="BH198" s="721"/>
      <c r="BY198" s="1244">
        <v>20525</v>
      </c>
      <c r="BZ198" s="238">
        <f t="shared" si="19"/>
        <v>25525</v>
      </c>
    </row>
    <row r="199" spans="2:78" ht="12.75">
      <c r="BA199"/>
      <c r="BB199"/>
      <c r="BC199"/>
      <c r="BD199"/>
      <c r="BE199" s="238">
        <v>197</v>
      </c>
      <c r="BF199" s="722"/>
      <c r="BG199" s="721"/>
      <c r="BH199" s="721"/>
      <c r="BY199" s="1244">
        <v>20525</v>
      </c>
      <c r="BZ199" s="238">
        <f t="shared" si="19"/>
        <v>25525</v>
      </c>
    </row>
    <row r="200" spans="2:78" ht="12.75">
      <c r="BA200"/>
      <c r="BB200"/>
      <c r="BC200"/>
      <c r="BD200"/>
      <c r="BE200" s="238">
        <v>198</v>
      </c>
      <c r="BF200" s="722"/>
      <c r="BG200" s="721"/>
      <c r="BH200" s="721"/>
      <c r="BY200" s="1244">
        <v>20525</v>
      </c>
      <c r="BZ200" s="238">
        <f t="shared" si="19"/>
        <v>25525</v>
      </c>
    </row>
    <row r="201" spans="2:78" ht="12.75">
      <c r="BA201"/>
      <c r="BB201"/>
      <c r="BC201"/>
      <c r="BD201"/>
      <c r="BE201" s="238">
        <v>199</v>
      </c>
      <c r="BF201" s="722"/>
      <c r="BG201" s="721"/>
      <c r="BH201" s="721"/>
      <c r="BY201" s="1244">
        <v>20525</v>
      </c>
      <c r="BZ201" s="238">
        <f t="shared" si="19"/>
        <v>25525</v>
      </c>
    </row>
    <row r="202" spans="2:78" ht="12.75">
      <c r="BA202"/>
      <c r="BB202"/>
      <c r="BC202"/>
      <c r="BD202"/>
      <c r="BE202" s="238">
        <v>200</v>
      </c>
      <c r="BF202" s="722"/>
      <c r="BG202" s="721"/>
      <c r="BH202" s="721"/>
      <c r="BY202" s="1244">
        <v>20525</v>
      </c>
      <c r="BZ202" s="238">
        <f t="shared" si="19"/>
        <v>25525</v>
      </c>
    </row>
    <row r="203" spans="2:78" ht="12.75">
      <c r="BA203"/>
      <c r="BB203"/>
      <c r="BC203"/>
      <c r="BD203"/>
      <c r="BE203" s="238">
        <v>201</v>
      </c>
      <c r="BF203" s="722"/>
      <c r="BG203" s="721"/>
      <c r="BH203" s="721"/>
      <c r="BY203" s="1244">
        <v>20525</v>
      </c>
      <c r="BZ203" s="238">
        <f t="shared" si="19"/>
        <v>25525</v>
      </c>
    </row>
    <row r="204" spans="2:78" ht="12.75">
      <c r="BA204"/>
      <c r="BB204"/>
      <c r="BC204"/>
      <c r="BD204"/>
      <c r="BE204" s="238">
        <v>202</v>
      </c>
      <c r="BF204" s="722"/>
      <c r="BG204" s="721"/>
      <c r="BH204" s="721"/>
      <c r="BY204" s="1244">
        <v>20525</v>
      </c>
      <c r="BZ204" s="238">
        <f t="shared" si="19"/>
        <v>25525</v>
      </c>
    </row>
    <row r="205" spans="2:78" ht="12.75">
      <c r="BA205"/>
      <c r="BB205"/>
      <c r="BC205"/>
      <c r="BD205"/>
      <c r="BE205" s="238">
        <v>203</v>
      </c>
      <c r="BF205" s="722"/>
      <c r="BG205" s="721"/>
      <c r="BH205" s="721"/>
      <c r="BY205" s="1244">
        <v>20525</v>
      </c>
      <c r="BZ205" s="238">
        <f t="shared" si="19"/>
        <v>25525</v>
      </c>
    </row>
    <row r="206" spans="2:78" ht="12.75">
      <c r="BA206"/>
      <c r="BB206"/>
      <c r="BC206"/>
      <c r="BD206"/>
      <c r="BE206" s="238">
        <v>204</v>
      </c>
      <c r="BF206" s="722"/>
      <c r="BG206" s="721"/>
      <c r="BH206" s="721"/>
      <c r="BY206" s="1244">
        <v>20525</v>
      </c>
      <c r="BZ206" s="238">
        <f t="shared" si="19"/>
        <v>25525</v>
      </c>
    </row>
    <row r="207" spans="2:78" ht="12.75">
      <c r="BA207"/>
      <c r="BB207"/>
      <c r="BC207"/>
      <c r="BD207"/>
      <c r="BE207" s="238">
        <v>205</v>
      </c>
      <c r="BF207" s="722"/>
      <c r="BG207" s="721"/>
      <c r="BH207" s="721"/>
      <c r="BY207" s="1244">
        <v>20525</v>
      </c>
      <c r="BZ207" s="238">
        <f t="shared" si="19"/>
        <v>25525</v>
      </c>
    </row>
    <row r="208" spans="2:78" ht="12.75">
      <c r="BA208"/>
      <c r="BB208"/>
      <c r="BC208"/>
      <c r="BD208"/>
      <c r="BE208" s="238">
        <v>206</v>
      </c>
      <c r="BF208" s="722"/>
      <c r="BG208" s="721"/>
      <c r="BH208" s="721"/>
      <c r="BY208" s="1244">
        <v>20525</v>
      </c>
      <c r="BZ208" s="238">
        <f t="shared" si="19"/>
        <v>25525</v>
      </c>
    </row>
    <row r="209" spans="53:78" ht="12.75">
      <c r="BA209"/>
      <c r="BB209"/>
      <c r="BC209"/>
      <c r="BD209"/>
      <c r="BE209" s="238">
        <v>207</v>
      </c>
      <c r="BF209" s="722"/>
      <c r="BG209" s="721"/>
      <c r="BH209" s="721"/>
      <c r="BY209" s="1244">
        <v>20525</v>
      </c>
      <c r="BZ209" s="238">
        <f t="shared" si="19"/>
        <v>25525</v>
      </c>
    </row>
    <row r="210" spans="53:78" ht="12.75">
      <c r="BA210"/>
      <c r="BB210"/>
      <c r="BC210"/>
      <c r="BD210"/>
      <c r="BE210" s="238">
        <v>208</v>
      </c>
      <c r="BF210" s="722"/>
      <c r="BG210" s="721"/>
      <c r="BH210" s="721"/>
      <c r="BY210" s="1244">
        <v>20525</v>
      </c>
      <c r="BZ210" s="238">
        <f t="shared" si="19"/>
        <v>25525</v>
      </c>
    </row>
    <row r="211" spans="53:78" ht="12.75">
      <c r="BA211"/>
      <c r="BB211"/>
      <c r="BC211"/>
      <c r="BD211"/>
      <c r="BE211" s="238">
        <v>209</v>
      </c>
      <c r="BF211" s="722"/>
      <c r="BG211" s="721"/>
      <c r="BH211" s="721"/>
      <c r="BY211" s="1244">
        <v>20525</v>
      </c>
      <c r="BZ211" s="238">
        <f t="shared" si="19"/>
        <v>25525</v>
      </c>
    </row>
    <row r="212" spans="53:78" ht="12.75">
      <c r="BA212"/>
      <c r="BB212"/>
      <c r="BC212"/>
      <c r="BD212"/>
      <c r="BE212" s="238">
        <v>210</v>
      </c>
      <c r="BF212" s="722"/>
      <c r="BG212" s="721"/>
      <c r="BH212" s="721"/>
      <c r="BY212" s="1244">
        <v>20525</v>
      </c>
      <c r="BZ212" s="238">
        <f t="shared" si="19"/>
        <v>25525</v>
      </c>
    </row>
    <row r="213" spans="53:78" ht="12.75">
      <c r="BA213"/>
      <c r="BB213"/>
      <c r="BC213"/>
      <c r="BD213"/>
      <c r="BE213" s="238">
        <v>211</v>
      </c>
      <c r="BF213" s="722"/>
      <c r="BG213" s="721"/>
      <c r="BH213" s="721"/>
      <c r="BY213" s="1244">
        <v>20525</v>
      </c>
      <c r="BZ213" s="238">
        <f t="shared" si="19"/>
        <v>25525</v>
      </c>
    </row>
    <row r="214" spans="53:78" ht="12.75">
      <c r="BA214"/>
      <c r="BB214"/>
      <c r="BC214"/>
      <c r="BD214"/>
      <c r="BE214" s="238">
        <v>212</v>
      </c>
      <c r="BF214" s="722"/>
      <c r="BG214" s="721"/>
      <c r="BH214" s="721"/>
      <c r="BY214" s="1244">
        <v>20525</v>
      </c>
      <c r="BZ214" s="238">
        <f t="shared" si="19"/>
        <v>25525</v>
      </c>
    </row>
    <row r="215" spans="53:78" ht="12.75">
      <c r="BA215"/>
      <c r="BB215"/>
      <c r="BC215"/>
      <c r="BD215"/>
      <c r="BE215" s="238">
        <v>213</v>
      </c>
      <c r="BF215" s="722"/>
      <c r="BG215" s="721"/>
      <c r="BH215" s="721"/>
      <c r="BY215" s="1244">
        <v>20525</v>
      </c>
      <c r="BZ215" s="238">
        <f t="shared" si="19"/>
        <v>25525</v>
      </c>
    </row>
    <row r="216" spans="53:78" ht="12.75">
      <c r="BA216"/>
      <c r="BB216"/>
      <c r="BC216"/>
      <c r="BD216"/>
      <c r="BE216" s="238">
        <v>214</v>
      </c>
      <c r="BF216" s="722"/>
      <c r="BG216" s="721"/>
      <c r="BH216" s="721"/>
      <c r="BY216" s="1244">
        <v>20525</v>
      </c>
      <c r="BZ216" s="238">
        <f t="shared" si="19"/>
        <v>25525</v>
      </c>
    </row>
    <row r="217" spans="53:78" ht="12.75">
      <c r="BA217"/>
      <c r="BB217"/>
      <c r="BC217"/>
      <c r="BD217"/>
      <c r="BE217" s="238">
        <v>215</v>
      </c>
      <c r="BF217" s="722"/>
      <c r="BG217" s="721"/>
      <c r="BH217" s="721"/>
      <c r="BY217" s="1244">
        <v>20525</v>
      </c>
      <c r="BZ217" s="238">
        <f t="shared" si="19"/>
        <v>25525</v>
      </c>
    </row>
    <row r="218" spans="53:78" ht="12.75">
      <c r="BA218"/>
      <c r="BB218"/>
      <c r="BC218"/>
      <c r="BD218"/>
      <c r="BE218" s="238">
        <v>216</v>
      </c>
      <c r="BF218" s="722"/>
      <c r="BG218" s="721"/>
      <c r="BH218" s="721"/>
      <c r="BY218" s="1244">
        <v>20525</v>
      </c>
      <c r="BZ218" s="238">
        <f t="shared" si="19"/>
        <v>25525</v>
      </c>
    </row>
    <row r="219" spans="53:78" ht="12.75">
      <c r="BA219"/>
      <c r="BB219"/>
      <c r="BC219"/>
      <c r="BD219"/>
      <c r="BE219" s="238">
        <v>217</v>
      </c>
      <c r="BF219" s="722"/>
      <c r="BG219" s="721"/>
      <c r="BH219" s="721"/>
      <c r="BY219" s="1244">
        <v>20525</v>
      </c>
      <c r="BZ219" s="238">
        <f t="shared" si="19"/>
        <v>25525</v>
      </c>
    </row>
    <row r="220" spans="53:78" ht="12.75">
      <c r="BA220"/>
      <c r="BB220"/>
      <c r="BC220" s="721"/>
      <c r="BD220" s="721"/>
      <c r="BE220" s="238">
        <v>218</v>
      </c>
      <c r="BF220" s="722"/>
      <c r="BG220" s="721"/>
      <c r="BH220" s="721"/>
      <c r="BY220" s="1244">
        <v>20525</v>
      </c>
      <c r="BZ220" s="238">
        <f t="shared" si="19"/>
        <v>25525</v>
      </c>
    </row>
    <row r="221" spans="53:78" ht="12.75">
      <c r="BA221"/>
      <c r="BB221"/>
      <c r="BC221" s="721"/>
      <c r="BD221" s="721"/>
      <c r="BE221" s="238">
        <v>219</v>
      </c>
      <c r="BF221" s="722"/>
      <c r="BG221" s="721"/>
      <c r="BH221" s="721"/>
      <c r="BY221" s="1244">
        <v>20525</v>
      </c>
      <c r="BZ221" s="238">
        <f t="shared" si="19"/>
        <v>25525</v>
      </c>
    </row>
    <row r="222" spans="53:78" ht="12.75">
      <c r="BA222" s="722"/>
      <c r="BB222" s="1044"/>
      <c r="BC222" s="721"/>
      <c r="BD222" s="721"/>
      <c r="BE222" s="238">
        <v>220</v>
      </c>
      <c r="BF222" s="722"/>
      <c r="BG222" s="721"/>
      <c r="BH222" s="721"/>
      <c r="BY222" s="1244">
        <v>20525</v>
      </c>
      <c r="BZ222" s="238">
        <f t="shared" si="19"/>
        <v>25525</v>
      </c>
    </row>
    <row r="223" spans="53:78" ht="12.75">
      <c r="BA223" s="722"/>
      <c r="BB223" s="1044"/>
      <c r="BC223" s="721"/>
      <c r="BD223" s="721"/>
      <c r="BE223" s="238">
        <v>221</v>
      </c>
      <c r="BF223" s="722"/>
      <c r="BG223" s="721"/>
      <c r="BH223" s="721"/>
      <c r="BY223" s="1244">
        <v>20525</v>
      </c>
      <c r="BZ223" s="238">
        <f t="shared" si="19"/>
        <v>25525</v>
      </c>
    </row>
    <row r="224" spans="53:78" ht="12.75">
      <c r="BA224" s="722"/>
      <c r="BB224" s="1044"/>
      <c r="BC224" s="721"/>
      <c r="BD224" s="721"/>
      <c r="BE224" s="238">
        <v>222</v>
      </c>
      <c r="BF224" s="722"/>
      <c r="BG224" s="721"/>
      <c r="BH224" s="721"/>
      <c r="BY224" s="1244">
        <v>20525</v>
      </c>
      <c r="BZ224" s="238">
        <f t="shared" si="19"/>
        <v>25525</v>
      </c>
    </row>
    <row r="225" spans="53:78" ht="12.75">
      <c r="BA225" s="722"/>
      <c r="BB225" s="1044"/>
      <c r="BC225" s="721"/>
      <c r="BD225" s="721"/>
      <c r="BE225" s="238">
        <v>223</v>
      </c>
      <c r="BF225" s="722"/>
      <c r="BG225" s="721"/>
      <c r="BH225" s="721"/>
      <c r="BY225" s="1244">
        <v>20525</v>
      </c>
      <c r="BZ225" s="238">
        <f t="shared" si="19"/>
        <v>25525</v>
      </c>
    </row>
    <row r="226" spans="53:78" ht="12.75">
      <c r="BA226" s="722"/>
      <c r="BB226" s="1044"/>
      <c r="BC226" s="721"/>
      <c r="BD226" s="721"/>
      <c r="BE226" s="238">
        <v>224</v>
      </c>
      <c r="BF226" s="722"/>
      <c r="BG226" s="721"/>
      <c r="BH226" s="721"/>
      <c r="BY226" s="1244">
        <v>20525</v>
      </c>
      <c r="BZ226" s="238">
        <f t="shared" si="19"/>
        <v>25525</v>
      </c>
    </row>
    <row r="227" spans="53:78" ht="12.75">
      <c r="BA227" s="722"/>
      <c r="BB227" s="1044"/>
      <c r="BC227" s="721"/>
      <c r="BD227" s="721"/>
      <c r="BE227" s="238">
        <v>225</v>
      </c>
      <c r="BF227" s="722"/>
      <c r="BG227" s="721"/>
      <c r="BH227" s="721"/>
      <c r="BY227" s="1244">
        <v>20525</v>
      </c>
      <c r="BZ227" s="238">
        <f t="shared" si="19"/>
        <v>25525</v>
      </c>
    </row>
    <row r="228" spans="53:78" ht="12.75">
      <c r="BA228" s="722"/>
      <c r="BB228" s="1044"/>
      <c r="BC228" s="721"/>
      <c r="BD228" s="721"/>
      <c r="BE228" s="238">
        <v>226</v>
      </c>
      <c r="BF228" s="722"/>
      <c r="BG228" s="721"/>
      <c r="BH228" s="721"/>
      <c r="BY228" s="1244">
        <v>20525</v>
      </c>
      <c r="BZ228" s="238">
        <f t="shared" si="19"/>
        <v>25525</v>
      </c>
    </row>
    <row r="229" spans="53:78" ht="12.75">
      <c r="BA229" s="722"/>
      <c r="BB229" s="1044"/>
      <c r="BC229" s="721"/>
      <c r="BD229" s="721"/>
      <c r="BE229" s="238">
        <v>227</v>
      </c>
      <c r="BF229" s="722"/>
      <c r="BG229" s="721"/>
      <c r="BH229" s="721"/>
      <c r="BY229" s="1244">
        <v>20525</v>
      </c>
      <c r="BZ229" s="238">
        <f t="shared" si="19"/>
        <v>25525</v>
      </c>
    </row>
    <row r="230" spans="53:78" ht="12.75">
      <c r="BA230" s="722"/>
      <c r="BB230" s="1044"/>
      <c r="BC230" s="721"/>
      <c r="BD230" s="721"/>
      <c r="BE230" s="238">
        <v>228</v>
      </c>
      <c r="BF230" s="722"/>
      <c r="BG230" s="721"/>
      <c r="BH230" s="721"/>
      <c r="BY230" s="1244">
        <v>20525</v>
      </c>
      <c r="BZ230" s="238">
        <f t="shared" si="19"/>
        <v>25525</v>
      </c>
    </row>
    <row r="231" spans="53:78" ht="12.75">
      <c r="BA231" s="722"/>
      <c r="BB231" s="1044"/>
      <c r="BC231" s="721"/>
      <c r="BD231" s="721"/>
      <c r="BE231" s="238">
        <v>229</v>
      </c>
      <c r="BF231" s="722"/>
      <c r="BG231" s="721"/>
      <c r="BH231" s="721"/>
      <c r="BY231" s="1244">
        <v>20525</v>
      </c>
      <c r="BZ231" s="238">
        <f t="shared" si="19"/>
        <v>25525</v>
      </c>
    </row>
    <row r="232" spans="53:78" ht="12.75">
      <c r="BA232" s="722"/>
      <c r="BB232" s="1044"/>
      <c r="BC232" s="721"/>
      <c r="BD232" s="721"/>
      <c r="BE232" s="238">
        <v>230</v>
      </c>
      <c r="BF232" s="722"/>
      <c r="BG232" s="721"/>
      <c r="BH232" s="721"/>
      <c r="BY232" s="1244">
        <v>20525</v>
      </c>
      <c r="BZ232" s="238">
        <f t="shared" si="19"/>
        <v>25525</v>
      </c>
    </row>
    <row r="233" spans="53:78" ht="12.75">
      <c r="BA233" s="722"/>
      <c r="BB233" s="1044"/>
      <c r="BC233" s="721"/>
      <c r="BD233" s="721"/>
      <c r="BE233" s="238">
        <v>231</v>
      </c>
      <c r="BF233" s="722"/>
      <c r="BG233" s="721"/>
      <c r="BH233" s="721"/>
      <c r="BY233" s="1244">
        <v>20525</v>
      </c>
      <c r="BZ233" s="238">
        <f t="shared" si="19"/>
        <v>25525</v>
      </c>
    </row>
    <row r="234" spans="53:78" ht="12.75">
      <c r="BA234" s="722"/>
      <c r="BB234" s="1044"/>
      <c r="BC234" s="721"/>
      <c r="BD234" s="721"/>
      <c r="BE234" s="238">
        <v>232</v>
      </c>
      <c r="BF234" s="722"/>
      <c r="BG234" s="721"/>
      <c r="BH234" s="721"/>
      <c r="BY234" s="1244">
        <v>20525</v>
      </c>
      <c r="BZ234" s="238">
        <f t="shared" si="19"/>
        <v>25525</v>
      </c>
    </row>
    <row r="235" spans="53:78" ht="12.75">
      <c r="BA235" s="722"/>
      <c r="BB235" s="1044"/>
      <c r="BC235" s="721"/>
      <c r="BD235" s="721"/>
      <c r="BE235" s="238">
        <v>233</v>
      </c>
      <c r="BF235" s="722"/>
      <c r="BG235" s="721"/>
      <c r="BH235" s="721"/>
      <c r="BY235" s="1244">
        <v>20525</v>
      </c>
      <c r="BZ235" s="238">
        <f t="shared" si="19"/>
        <v>25525</v>
      </c>
    </row>
    <row r="236" spans="53:78" ht="12.75">
      <c r="BA236" s="722"/>
      <c r="BB236" s="1044"/>
      <c r="BC236" s="721"/>
      <c r="BD236" s="721"/>
      <c r="BE236" s="238">
        <v>234</v>
      </c>
      <c r="BF236" s="722"/>
      <c r="BG236" s="721"/>
      <c r="BH236" s="721"/>
      <c r="BY236" s="1244">
        <v>20525</v>
      </c>
      <c r="BZ236" s="238">
        <f t="shared" si="19"/>
        <v>25525</v>
      </c>
    </row>
    <row r="237" spans="53:78" ht="12.75">
      <c r="BA237" s="722"/>
      <c r="BB237" s="1044"/>
      <c r="BC237" s="721"/>
      <c r="BD237" s="721"/>
      <c r="BE237" s="238">
        <v>235</v>
      </c>
      <c r="BF237" s="722"/>
      <c r="BG237" s="721"/>
      <c r="BH237" s="721"/>
      <c r="BY237" s="1244">
        <v>20525</v>
      </c>
      <c r="BZ237" s="238">
        <f t="shared" si="19"/>
        <v>25525</v>
      </c>
    </row>
    <row r="238" spans="53:78" ht="12.75">
      <c r="BA238" s="722"/>
      <c r="BB238" s="1044"/>
      <c r="BC238" s="721"/>
      <c r="BD238" s="721"/>
      <c r="BE238" s="238">
        <v>236</v>
      </c>
      <c r="BF238" s="722"/>
      <c r="BG238" s="721"/>
      <c r="BH238" s="721"/>
      <c r="BY238" s="1244">
        <v>20525</v>
      </c>
      <c r="BZ238" s="238">
        <f t="shared" si="19"/>
        <v>25525</v>
      </c>
    </row>
    <row r="239" spans="53:78" ht="12.75">
      <c r="BA239" s="722"/>
      <c r="BB239" s="1044"/>
      <c r="BC239" s="721"/>
      <c r="BD239" s="721"/>
      <c r="BE239" s="238">
        <v>237</v>
      </c>
      <c r="BF239" s="722"/>
      <c r="BG239" s="721"/>
      <c r="BH239" s="721"/>
      <c r="BY239" s="1244">
        <v>20525</v>
      </c>
      <c r="BZ239" s="238">
        <f t="shared" si="19"/>
        <v>25525</v>
      </c>
    </row>
    <row r="240" spans="53:78" ht="12.75">
      <c r="BA240" s="722"/>
      <c r="BB240" s="1044"/>
      <c r="BC240" s="721"/>
      <c r="BD240" s="721"/>
      <c r="BE240" s="238">
        <v>238</v>
      </c>
      <c r="BF240" s="722"/>
      <c r="BG240" s="721"/>
      <c r="BH240" s="721"/>
      <c r="BY240" s="1244">
        <v>20525</v>
      </c>
      <c r="BZ240" s="238">
        <f t="shared" si="19"/>
        <v>25525</v>
      </c>
    </row>
    <row r="241" spans="53:78" ht="12.75">
      <c r="BA241" s="722"/>
      <c r="BB241" s="1044"/>
      <c r="BC241" s="721"/>
      <c r="BD241" s="721"/>
      <c r="BE241" s="238">
        <v>239</v>
      </c>
      <c r="BF241" s="722"/>
      <c r="BG241" s="721"/>
      <c r="BH241" s="721"/>
      <c r="BY241" s="1244">
        <v>20525</v>
      </c>
      <c r="BZ241" s="238">
        <f t="shared" si="19"/>
        <v>25525</v>
      </c>
    </row>
    <row r="242" spans="53:78" ht="12.75">
      <c r="BA242" s="722"/>
      <c r="BB242" s="1044"/>
      <c r="BC242" s="721"/>
      <c r="BD242" s="721"/>
      <c r="BE242" s="238">
        <v>240</v>
      </c>
      <c r="BF242" s="722"/>
      <c r="BG242" s="721"/>
      <c r="BH242" s="721"/>
      <c r="BY242" s="1244">
        <v>20525</v>
      </c>
      <c r="BZ242" s="238">
        <f t="shared" si="19"/>
        <v>25525</v>
      </c>
    </row>
    <row r="243" spans="53:78" ht="12.75">
      <c r="BA243" s="722"/>
      <c r="BB243" s="1044"/>
      <c r="BC243" s="721"/>
      <c r="BD243" s="721"/>
      <c r="BE243" s="238">
        <v>241</v>
      </c>
      <c r="BF243" s="722"/>
      <c r="BG243" s="721"/>
      <c r="BH243" s="721"/>
      <c r="BY243" s="1244">
        <v>20525</v>
      </c>
      <c r="BZ243" s="238">
        <f t="shared" si="19"/>
        <v>25525</v>
      </c>
    </row>
    <row r="244" spans="53:78" ht="12.75">
      <c r="BA244" s="722"/>
      <c r="BB244" s="1044"/>
      <c r="BC244" s="721"/>
      <c r="BD244" s="721"/>
      <c r="BE244" s="238">
        <v>242</v>
      </c>
      <c r="BF244" s="722"/>
      <c r="BG244" s="721"/>
      <c r="BH244" s="721"/>
      <c r="BY244" s="1244">
        <v>20525</v>
      </c>
      <c r="BZ244" s="238">
        <f t="shared" si="19"/>
        <v>25525</v>
      </c>
    </row>
    <row r="245" spans="53:78" ht="12.75">
      <c r="BA245" s="722"/>
      <c r="BB245" s="1044"/>
      <c r="BC245" s="721"/>
      <c r="BD245" s="721"/>
      <c r="BE245" s="238">
        <v>243</v>
      </c>
      <c r="BF245" s="722"/>
      <c r="BG245" s="721"/>
      <c r="BH245" s="721"/>
      <c r="BY245" s="1244">
        <v>20500</v>
      </c>
      <c r="BZ245" s="238">
        <f t="shared" si="19"/>
        <v>25500</v>
      </c>
    </row>
    <row r="246" spans="53:78" ht="12.75">
      <c r="BA246" s="722"/>
      <c r="BB246" s="1044"/>
      <c r="BC246" s="721"/>
      <c r="BD246" s="721"/>
      <c r="BE246" s="238">
        <v>244</v>
      </c>
      <c r="BF246" s="722"/>
      <c r="BG246" s="721"/>
      <c r="BH246" s="721"/>
      <c r="BY246" s="1244">
        <v>20500</v>
      </c>
      <c r="BZ246" s="238">
        <f t="shared" si="19"/>
        <v>25500</v>
      </c>
    </row>
    <row r="247" spans="53:78" ht="12.75">
      <c r="BA247" s="722"/>
      <c r="BB247" s="1044"/>
      <c r="BC247" s="721"/>
      <c r="BD247" s="721"/>
      <c r="BE247" s="238">
        <v>245</v>
      </c>
      <c r="BF247" s="722"/>
      <c r="BG247" s="721"/>
      <c r="BH247" s="721"/>
      <c r="BY247" s="1244">
        <v>20500</v>
      </c>
      <c r="BZ247" s="238">
        <f t="shared" si="19"/>
        <v>25500</v>
      </c>
    </row>
    <row r="248" spans="53:78" ht="12.75">
      <c r="BA248" s="722"/>
      <c r="BB248" s="1044"/>
      <c r="BC248" s="721"/>
      <c r="BD248" s="721"/>
      <c r="BE248" s="238">
        <v>246</v>
      </c>
      <c r="BF248" s="722"/>
      <c r="BG248" s="721"/>
      <c r="BH248" s="721"/>
      <c r="BY248" s="1244">
        <v>20500</v>
      </c>
      <c r="BZ248" s="238">
        <f t="shared" si="19"/>
        <v>25500</v>
      </c>
    </row>
    <row r="249" spans="53:78" ht="12.75">
      <c r="BA249" s="722"/>
      <c r="BB249" s="1044"/>
      <c r="BC249" s="721"/>
      <c r="BD249" s="721"/>
      <c r="BE249" s="238">
        <v>247</v>
      </c>
      <c r="BF249" s="722"/>
      <c r="BG249" s="721"/>
      <c r="BH249" s="721"/>
      <c r="BY249" s="1244">
        <v>20500</v>
      </c>
      <c r="BZ249" s="238">
        <f t="shared" si="19"/>
        <v>25500</v>
      </c>
    </row>
    <row r="250" spans="53:78" ht="12.75">
      <c r="BA250" s="722"/>
      <c r="BB250" s="1044"/>
      <c r="BC250" s="721"/>
      <c r="BD250" s="721"/>
      <c r="BE250" s="238">
        <v>248</v>
      </c>
      <c r="BF250" s="722"/>
      <c r="BG250" s="721"/>
      <c r="BH250" s="721"/>
      <c r="BY250" s="1244">
        <v>20500</v>
      </c>
      <c r="BZ250" s="238">
        <f t="shared" si="19"/>
        <v>25500</v>
      </c>
    </row>
    <row r="251" spans="53:78" ht="12.75">
      <c r="BA251" s="722"/>
      <c r="BB251" s="1044"/>
      <c r="BC251" s="721"/>
      <c r="BD251" s="721"/>
      <c r="BE251" s="238">
        <v>249</v>
      </c>
      <c r="BF251" s="722"/>
      <c r="BG251" s="721"/>
      <c r="BH251" s="721"/>
      <c r="BY251" s="1244">
        <v>20500</v>
      </c>
      <c r="BZ251" s="238">
        <f t="shared" si="19"/>
        <v>25500</v>
      </c>
    </row>
    <row r="252" spans="53:78" ht="12.75">
      <c r="BA252" s="722"/>
      <c r="BB252" s="1044"/>
      <c r="BC252" s="721"/>
      <c r="BD252" s="721"/>
      <c r="BE252" s="238">
        <v>250</v>
      </c>
      <c r="BF252" s="722"/>
      <c r="BG252" s="721"/>
      <c r="BH252" s="721"/>
      <c r="BY252" s="1244">
        <v>20500</v>
      </c>
      <c r="BZ252" s="238">
        <f t="shared" si="19"/>
        <v>25500</v>
      </c>
    </row>
    <row r="253" spans="53:78" ht="12.75">
      <c r="BA253" s="722"/>
      <c r="BB253" s="1044"/>
      <c r="BC253" s="721"/>
      <c r="BD253" s="721"/>
      <c r="BE253" s="238">
        <v>251</v>
      </c>
      <c r="BF253" s="722"/>
      <c r="BG253" s="721"/>
      <c r="BH253" s="721"/>
      <c r="BY253" s="1244">
        <v>20500</v>
      </c>
      <c r="BZ253" s="238">
        <f t="shared" si="19"/>
        <v>25500</v>
      </c>
    </row>
    <row r="254" spans="53:78" ht="12.75">
      <c r="BA254" s="722"/>
      <c r="BB254" s="1044"/>
      <c r="BC254" s="721"/>
      <c r="BD254" s="721"/>
      <c r="BE254" s="238">
        <v>252</v>
      </c>
      <c r="BF254" s="722"/>
      <c r="BG254" s="721"/>
      <c r="BH254" s="721"/>
      <c r="BY254" s="1244">
        <v>20500</v>
      </c>
      <c r="BZ254" s="238">
        <f t="shared" si="19"/>
        <v>25500</v>
      </c>
    </row>
    <row r="255" spans="53:78" ht="12.75">
      <c r="BA255" s="722"/>
      <c r="BB255" s="1044"/>
      <c r="BC255" s="721"/>
      <c r="BD255" s="721"/>
      <c r="BE255" s="238">
        <v>253</v>
      </c>
      <c r="BF255" s="722"/>
      <c r="BG255" s="721"/>
      <c r="BH255" s="721"/>
      <c r="BY255" s="1244">
        <v>20500</v>
      </c>
      <c r="BZ255" s="238">
        <f t="shared" si="19"/>
        <v>25500</v>
      </c>
    </row>
    <row r="256" spans="53:78" ht="12.75">
      <c r="BA256" s="722"/>
      <c r="BB256" s="1044"/>
      <c r="BC256" s="721"/>
      <c r="BD256" s="721"/>
      <c r="BE256" s="238">
        <v>254</v>
      </c>
      <c r="BF256" s="722"/>
      <c r="BG256" s="721"/>
      <c r="BH256" s="721"/>
      <c r="BY256" s="1244">
        <v>20500</v>
      </c>
      <c r="BZ256" s="238">
        <f t="shared" si="19"/>
        <v>25500</v>
      </c>
    </row>
    <row r="257" spans="53:78" ht="12.75">
      <c r="BA257" s="722"/>
      <c r="BB257" s="1044"/>
      <c r="BC257" s="721"/>
      <c r="BD257" s="721"/>
      <c r="BE257" s="238">
        <v>255</v>
      </c>
      <c r="BF257" s="722"/>
      <c r="BG257" s="721"/>
      <c r="BH257" s="721"/>
      <c r="BY257" s="1243">
        <v>20100</v>
      </c>
      <c r="BZ257" s="238">
        <f t="shared" si="19"/>
        <v>25100</v>
      </c>
    </row>
    <row r="258" spans="53:78" ht="12.75">
      <c r="BA258" s="722"/>
      <c r="BB258" s="1044"/>
      <c r="BC258" s="721"/>
      <c r="BD258" s="721"/>
      <c r="BE258" s="238">
        <v>256</v>
      </c>
      <c r="BF258" s="722"/>
      <c r="BG258" s="721"/>
      <c r="BH258" s="721"/>
      <c r="BY258" s="1243">
        <v>20125</v>
      </c>
      <c r="BZ258" s="238">
        <f t="shared" si="19"/>
        <v>25125</v>
      </c>
    </row>
    <row r="259" spans="53:78" ht="12.75">
      <c r="BA259" s="722"/>
      <c r="BB259" s="1044"/>
      <c r="BC259" s="721"/>
      <c r="BD259" s="721"/>
      <c r="BE259" s="238">
        <v>257</v>
      </c>
      <c r="BF259" s="722"/>
      <c r="BG259" s="721"/>
      <c r="BH259" s="721"/>
      <c r="BY259" s="1243">
        <v>23025</v>
      </c>
      <c r="BZ259" s="238">
        <f t="shared" si="19"/>
        <v>28025</v>
      </c>
    </row>
    <row r="260" spans="53:78" ht="12.75">
      <c r="BA260" s="722"/>
      <c r="BB260" s="1044"/>
      <c r="BC260" s="721"/>
      <c r="BD260" s="721"/>
      <c r="BE260" s="238">
        <v>258</v>
      </c>
      <c r="BF260" s="722"/>
      <c r="BG260" s="721"/>
      <c r="BH260" s="721"/>
      <c r="BY260" s="1243">
        <v>23025</v>
      </c>
      <c r="BZ260" s="238">
        <f t="shared" si="19"/>
        <v>28025</v>
      </c>
    </row>
    <row r="261" spans="53:78" ht="12.75">
      <c r="BA261" s="722"/>
      <c r="BB261" s="1044"/>
      <c r="BC261" s="721"/>
      <c r="BD261" s="721"/>
      <c r="BE261" s="238">
        <v>259</v>
      </c>
      <c r="BF261" s="722"/>
      <c r="BG261" s="721"/>
      <c r="BH261" s="721"/>
      <c r="BY261" s="1243">
        <v>23050</v>
      </c>
      <c r="BZ261" s="238">
        <f t="shared" ref="BZ261:BZ324" si="20">BY261+5000</f>
        <v>28050</v>
      </c>
    </row>
    <row r="262" spans="53:78" ht="12.75">
      <c r="BA262" s="1044"/>
      <c r="BB262" s="1044"/>
      <c r="BC262" s="721"/>
      <c r="BD262" s="721"/>
      <c r="BE262" s="238">
        <v>260</v>
      </c>
      <c r="BF262" s="721"/>
      <c r="BG262" s="721"/>
      <c r="BH262" s="721"/>
      <c r="BY262" s="1243">
        <v>23050</v>
      </c>
      <c r="BZ262" s="238">
        <f t="shared" si="20"/>
        <v>28050</v>
      </c>
    </row>
    <row r="263" spans="53:78" ht="12.75">
      <c r="BA263" s="1044"/>
      <c r="BB263" s="1044"/>
      <c r="BC263" s="721"/>
      <c r="BD263" s="721"/>
      <c r="BE263" s="238">
        <v>261</v>
      </c>
      <c r="BF263" s="721"/>
      <c r="BG263" s="721"/>
      <c r="BH263" s="721"/>
      <c r="BY263" s="1243">
        <v>23050</v>
      </c>
      <c r="BZ263" s="238">
        <f t="shared" si="20"/>
        <v>28050</v>
      </c>
    </row>
    <row r="264" spans="53:78" ht="12.75">
      <c r="BA264" s="1044"/>
      <c r="BB264" s="1044"/>
      <c r="BC264" s="721"/>
      <c r="BD264" s="721"/>
      <c r="BE264" s="238">
        <v>262</v>
      </c>
      <c r="BF264" s="721"/>
      <c r="BG264" s="721"/>
      <c r="BH264" s="721"/>
      <c r="BY264" s="1243">
        <v>23050</v>
      </c>
      <c r="BZ264" s="238">
        <f t="shared" si="20"/>
        <v>28050</v>
      </c>
    </row>
    <row r="265" spans="53:78" ht="12.75">
      <c r="BA265" s="1044"/>
      <c r="BB265" s="1044"/>
      <c r="BC265" s="721"/>
      <c r="BD265" s="721"/>
      <c r="BE265" s="238">
        <v>263</v>
      </c>
      <c r="BF265" s="721"/>
      <c r="BG265" s="721"/>
      <c r="BH265" s="721"/>
      <c r="BY265" s="1243">
        <v>23050</v>
      </c>
      <c r="BZ265" s="238">
        <f t="shared" si="20"/>
        <v>28050</v>
      </c>
    </row>
    <row r="266" spans="53:78" ht="12.75">
      <c r="BA266" s="1044"/>
      <c r="BB266" s="1044"/>
      <c r="BC266" s="721"/>
      <c r="BD266" s="721"/>
      <c r="BE266" s="238">
        <v>264</v>
      </c>
      <c r="BF266" s="721"/>
      <c r="BG266" s="721"/>
      <c r="BH266" s="721"/>
      <c r="BY266" s="1243">
        <v>23050</v>
      </c>
      <c r="BZ266" s="238">
        <f t="shared" si="20"/>
        <v>28050</v>
      </c>
    </row>
    <row r="267" spans="53:78" ht="12.75">
      <c r="BA267" s="1044"/>
      <c r="BB267" s="1044"/>
      <c r="BC267" s="721"/>
      <c r="BD267" s="721"/>
      <c r="BE267" s="238">
        <v>265</v>
      </c>
      <c r="BF267" s="721"/>
      <c r="BG267" s="721"/>
      <c r="BH267" s="721"/>
      <c r="BY267" s="1243">
        <v>23050</v>
      </c>
      <c r="BZ267" s="238">
        <f t="shared" si="20"/>
        <v>28050</v>
      </c>
    </row>
    <row r="268" spans="53:78" ht="12.75">
      <c r="BA268" s="1044"/>
      <c r="BB268" s="1044"/>
      <c r="BC268" s="721"/>
      <c r="BD268" s="721"/>
      <c r="BE268" s="238">
        <v>266</v>
      </c>
      <c r="BF268" s="721"/>
      <c r="BG268" s="721"/>
      <c r="BH268" s="721"/>
      <c r="BY268" s="1243">
        <v>23050</v>
      </c>
      <c r="BZ268" s="238">
        <f t="shared" si="20"/>
        <v>28050</v>
      </c>
    </row>
    <row r="269" spans="53:78" ht="12.75">
      <c r="BA269" s="1044"/>
      <c r="BB269" s="1044"/>
      <c r="BC269" s="721"/>
      <c r="BD269" s="721"/>
      <c r="BE269" s="238">
        <v>267</v>
      </c>
      <c r="BF269" s="721"/>
      <c r="BG269" s="721"/>
      <c r="BH269" s="721"/>
      <c r="BY269" s="1243">
        <v>23050</v>
      </c>
      <c r="BZ269" s="238">
        <f t="shared" si="20"/>
        <v>28050</v>
      </c>
    </row>
    <row r="270" spans="53:78" ht="12.75">
      <c r="BA270" s="1044"/>
      <c r="BB270" s="1044"/>
      <c r="BC270" s="721"/>
      <c r="BD270" s="721"/>
      <c r="BE270" s="238">
        <v>268</v>
      </c>
      <c r="BF270" s="721"/>
      <c r="BG270" s="721"/>
      <c r="BH270" s="721"/>
      <c r="BY270" s="1243">
        <v>23050</v>
      </c>
      <c r="BZ270" s="238">
        <f t="shared" si="20"/>
        <v>28050</v>
      </c>
    </row>
    <row r="271" spans="53:78" ht="12.75">
      <c r="BA271" s="1044"/>
      <c r="BB271" s="1044"/>
      <c r="BC271" s="721"/>
      <c r="BD271" s="721"/>
      <c r="BE271" s="238">
        <v>269</v>
      </c>
      <c r="BF271" s="721"/>
      <c r="BG271" s="721"/>
      <c r="BH271" s="721"/>
      <c r="BY271" s="1243">
        <v>23050</v>
      </c>
      <c r="BZ271" s="238">
        <f t="shared" si="20"/>
        <v>28050</v>
      </c>
    </row>
    <row r="272" spans="53:78" ht="12.75">
      <c r="BA272" s="1044"/>
      <c r="BB272" s="1044"/>
      <c r="BC272" s="721"/>
      <c r="BD272" s="721"/>
      <c r="BE272" s="238">
        <v>270</v>
      </c>
      <c r="BF272" s="721"/>
      <c r="BG272" s="721"/>
      <c r="BH272" s="721"/>
      <c r="BY272" s="1243">
        <v>23050</v>
      </c>
      <c r="BZ272" s="238">
        <f t="shared" si="20"/>
        <v>28050</v>
      </c>
    </row>
    <row r="273" spans="53:78" ht="12.75">
      <c r="BA273" s="1044"/>
      <c r="BB273" s="1044"/>
      <c r="BC273" s="721"/>
      <c r="BD273" s="721"/>
      <c r="BE273" s="238">
        <v>271</v>
      </c>
      <c r="BF273" s="721"/>
      <c r="BG273" s="721"/>
      <c r="BH273" s="721"/>
      <c r="BY273" s="1243">
        <v>23050</v>
      </c>
      <c r="BZ273" s="238">
        <f t="shared" si="20"/>
        <v>28050</v>
      </c>
    </row>
    <row r="274" spans="53:78" ht="12.75">
      <c r="BA274" s="1044"/>
      <c r="BB274" s="1044"/>
      <c r="BC274" s="721"/>
      <c r="BD274" s="721"/>
      <c r="BE274" s="238">
        <v>272</v>
      </c>
      <c r="BF274" s="721"/>
      <c r="BG274" s="721"/>
      <c r="BH274" s="721"/>
      <c r="BY274" s="1243">
        <v>23050</v>
      </c>
      <c r="BZ274" s="238">
        <f t="shared" si="20"/>
        <v>28050</v>
      </c>
    </row>
    <row r="275" spans="53:78" ht="12.75">
      <c r="BA275" s="1044"/>
      <c r="BB275" s="1044"/>
      <c r="BC275" s="721"/>
      <c r="BD275" s="721"/>
      <c r="BE275" s="238">
        <v>273</v>
      </c>
      <c r="BF275" s="721"/>
      <c r="BG275" s="721"/>
      <c r="BH275" s="721"/>
      <c r="BY275" s="1243">
        <v>23050</v>
      </c>
      <c r="BZ275" s="238">
        <f t="shared" si="20"/>
        <v>28050</v>
      </c>
    </row>
    <row r="276" spans="53:78" ht="12.75">
      <c r="BA276" s="1044"/>
      <c r="BB276" s="1044"/>
      <c r="BC276" s="721"/>
      <c r="BD276" s="721"/>
      <c r="BE276" s="238">
        <v>274</v>
      </c>
      <c r="BF276" s="721"/>
      <c r="BG276" s="721"/>
      <c r="BH276" s="721"/>
      <c r="BY276" s="1243">
        <v>23050</v>
      </c>
      <c r="BZ276" s="238">
        <f t="shared" si="20"/>
        <v>28050</v>
      </c>
    </row>
    <row r="277" spans="53:78" ht="12.75">
      <c r="BA277" s="1044"/>
      <c r="BB277" s="1044"/>
      <c r="BC277" s="721"/>
      <c r="BD277" s="721"/>
      <c r="BE277" s="238">
        <v>275</v>
      </c>
      <c r="BF277" s="721"/>
      <c r="BG277" s="721"/>
      <c r="BH277" s="721"/>
      <c r="BY277" s="1243">
        <v>23050</v>
      </c>
      <c r="BZ277" s="238">
        <f t="shared" si="20"/>
        <v>28050</v>
      </c>
    </row>
    <row r="278" spans="53:78" ht="12.75">
      <c r="BA278" s="1044"/>
      <c r="BB278" s="1044"/>
      <c r="BC278" s="721"/>
      <c r="BD278" s="721"/>
      <c r="BE278" s="238">
        <v>276</v>
      </c>
      <c r="BF278" s="721"/>
      <c r="BG278" s="721"/>
      <c r="BH278" s="721"/>
      <c r="BY278" s="1243">
        <v>23050</v>
      </c>
      <c r="BZ278" s="238">
        <f t="shared" si="20"/>
        <v>28050</v>
      </c>
    </row>
    <row r="279" spans="53:78" ht="12.75">
      <c r="BA279" s="1044"/>
      <c r="BB279" s="1044"/>
      <c r="BC279" s="721"/>
      <c r="BD279" s="721"/>
      <c r="BE279" s="238">
        <v>277</v>
      </c>
      <c r="BF279" s="721"/>
      <c r="BG279" s="721"/>
      <c r="BH279" s="721"/>
      <c r="BY279" s="1243">
        <v>23050</v>
      </c>
      <c r="BZ279" s="238">
        <f t="shared" si="20"/>
        <v>28050</v>
      </c>
    </row>
    <row r="280" spans="53:78" ht="12.75">
      <c r="BA280" s="1044"/>
      <c r="BB280" s="1044"/>
      <c r="BC280" s="721"/>
      <c r="BD280" s="721"/>
      <c r="BE280" s="238">
        <v>278</v>
      </c>
      <c r="BF280" s="721"/>
      <c r="BG280" s="721"/>
      <c r="BH280" s="721"/>
      <c r="BY280" s="1243">
        <v>23050</v>
      </c>
      <c r="BZ280" s="238">
        <f t="shared" si="20"/>
        <v>28050</v>
      </c>
    </row>
    <row r="281" spans="53:78" ht="12.75">
      <c r="BA281" s="1044"/>
      <c r="BB281" s="1044"/>
      <c r="BC281" s="721"/>
      <c r="BD281" s="721"/>
      <c r="BE281" s="238">
        <v>279</v>
      </c>
      <c r="BF281" s="721"/>
      <c r="BG281" s="721"/>
      <c r="BH281" s="721"/>
      <c r="BY281" s="1243">
        <v>23050</v>
      </c>
      <c r="BZ281" s="238">
        <f t="shared" si="20"/>
        <v>28050</v>
      </c>
    </row>
    <row r="282" spans="53:78" ht="12.75">
      <c r="BA282" s="1044"/>
      <c r="BB282" s="1044"/>
      <c r="BC282" s="721"/>
      <c r="BD282" s="721"/>
      <c r="BE282" s="238">
        <v>280</v>
      </c>
      <c r="BF282" s="721"/>
      <c r="BG282" s="721"/>
      <c r="BH282" s="721"/>
      <c r="BY282" s="1243">
        <v>23050</v>
      </c>
      <c r="BZ282" s="238">
        <f t="shared" si="20"/>
        <v>28050</v>
      </c>
    </row>
    <row r="283" spans="53:78" ht="12.75">
      <c r="BA283" s="1044"/>
      <c r="BB283" s="1044"/>
      <c r="BC283" s="721"/>
      <c r="BD283" s="721"/>
      <c r="BE283" s="238">
        <v>281</v>
      </c>
      <c r="BF283" s="721"/>
      <c r="BG283" s="721"/>
      <c r="BH283" s="721"/>
      <c r="BY283" s="1243">
        <v>23050</v>
      </c>
      <c r="BZ283" s="238">
        <f t="shared" si="20"/>
        <v>28050</v>
      </c>
    </row>
    <row r="284" spans="53:78" ht="12.75">
      <c r="BA284" s="1044"/>
      <c r="BB284" s="1044"/>
      <c r="BC284" s="721"/>
      <c r="BD284" s="721"/>
      <c r="BE284" s="238">
        <v>282</v>
      </c>
      <c r="BF284" s="721"/>
      <c r="BG284" s="721"/>
      <c r="BH284" s="721"/>
      <c r="BY284" s="1243">
        <v>23050</v>
      </c>
      <c r="BZ284" s="238">
        <f t="shared" si="20"/>
        <v>28050</v>
      </c>
    </row>
    <row r="285" spans="53:78" ht="12.75">
      <c r="BA285" s="1044"/>
      <c r="BB285" s="1044"/>
      <c r="BC285" s="721"/>
      <c r="BD285" s="721"/>
      <c r="BE285" s="238">
        <v>283</v>
      </c>
      <c r="BF285" s="721"/>
      <c r="BG285" s="721"/>
      <c r="BH285" s="721"/>
      <c r="BY285" s="1243">
        <v>20200</v>
      </c>
      <c r="BZ285" s="238">
        <f t="shared" si="20"/>
        <v>25200</v>
      </c>
    </row>
    <row r="286" spans="53:78" ht="12.75">
      <c r="BA286" s="1044"/>
      <c r="BB286" s="1044"/>
      <c r="BC286" s="721"/>
      <c r="BD286" s="721"/>
      <c r="BE286" s="238">
        <v>284</v>
      </c>
      <c r="BF286" s="721"/>
      <c r="BG286" s="721"/>
      <c r="BH286" s="721"/>
      <c r="BY286" s="1243">
        <v>20175</v>
      </c>
      <c r="BZ286" s="238">
        <f t="shared" si="20"/>
        <v>25175</v>
      </c>
    </row>
    <row r="287" spans="53:78" ht="12.75">
      <c r="BA287" s="1044"/>
      <c r="BB287" s="1044"/>
      <c r="BC287" s="721"/>
      <c r="BD287" s="721"/>
      <c r="BE287" s="238">
        <v>285</v>
      </c>
      <c r="BF287" s="721"/>
      <c r="BG287" s="721"/>
      <c r="BH287" s="721"/>
      <c r="BY287" s="1244">
        <v>20525</v>
      </c>
      <c r="BZ287" s="238">
        <f t="shared" si="20"/>
        <v>25525</v>
      </c>
    </row>
    <row r="288" spans="53:78" ht="12.75">
      <c r="BA288" s="1044"/>
      <c r="BB288" s="1044"/>
      <c r="BC288" s="721"/>
      <c r="BD288" s="721"/>
      <c r="BE288" s="238">
        <v>286</v>
      </c>
      <c r="BF288" s="721"/>
      <c r="BG288" s="721"/>
      <c r="BH288" s="721"/>
      <c r="BY288" s="1244">
        <v>20525</v>
      </c>
      <c r="BZ288" s="238">
        <f t="shared" si="20"/>
        <v>25525</v>
      </c>
    </row>
    <row r="289" spans="53:78" ht="12.75">
      <c r="BA289" s="1044"/>
      <c r="BB289" s="1044"/>
      <c r="BC289" s="721"/>
      <c r="BD289" s="721"/>
      <c r="BE289" s="238">
        <v>287</v>
      </c>
      <c r="BF289" s="721"/>
      <c r="BG289" s="721"/>
      <c r="BH289" s="721"/>
      <c r="BY289" s="1244">
        <v>20500</v>
      </c>
      <c r="BZ289" s="238">
        <f t="shared" si="20"/>
        <v>25500</v>
      </c>
    </row>
    <row r="290" spans="53:78" ht="12.75">
      <c r="BA290" s="1044"/>
      <c r="BB290" s="1044"/>
      <c r="BC290" s="721"/>
      <c r="BD290" s="721"/>
      <c r="BE290" s="238">
        <v>288</v>
      </c>
      <c r="BF290" s="721"/>
      <c r="BG290" s="721"/>
      <c r="BH290" s="721"/>
      <c r="BY290" s="1244">
        <v>20500</v>
      </c>
      <c r="BZ290" s="238">
        <f t="shared" si="20"/>
        <v>25500</v>
      </c>
    </row>
    <row r="291" spans="53:78" ht="12.75">
      <c r="BA291" s="1044"/>
      <c r="BB291" s="1044"/>
      <c r="BC291" s="721"/>
      <c r="BD291" s="721"/>
      <c r="BE291" s="238">
        <v>289</v>
      </c>
      <c r="BF291" s="721"/>
      <c r="BG291" s="721"/>
      <c r="BH291" s="721"/>
      <c r="BY291" s="1243">
        <v>22100</v>
      </c>
      <c r="BZ291" s="238">
        <f t="shared" si="20"/>
        <v>27100</v>
      </c>
    </row>
    <row r="292" spans="53:78" ht="12.75">
      <c r="BA292" s="722"/>
      <c r="BB292" s="1044"/>
      <c r="BC292" s="721"/>
      <c r="BD292" s="721"/>
      <c r="BE292" s="238">
        <v>290</v>
      </c>
      <c r="BF292" s="722"/>
      <c r="BY292" s="1243">
        <v>22100</v>
      </c>
      <c r="BZ292" s="238">
        <f t="shared" si="20"/>
        <v>27100</v>
      </c>
    </row>
    <row r="293" spans="53:78" ht="12.75">
      <c r="BA293" s="722"/>
      <c r="BB293" s="1044"/>
      <c r="BC293" s="721"/>
      <c r="BD293" s="721"/>
      <c r="BE293" s="238">
        <v>291</v>
      </c>
      <c r="BF293" s="722"/>
      <c r="BY293" s="1244">
        <v>20600</v>
      </c>
      <c r="BZ293" s="238">
        <f t="shared" si="20"/>
        <v>25600</v>
      </c>
    </row>
    <row r="294" spans="53:78" ht="12.75">
      <c r="BA294" s="722"/>
      <c r="BB294" s="1044"/>
      <c r="BC294" s="721"/>
      <c r="BD294" s="721"/>
      <c r="BE294" s="238">
        <v>292</v>
      </c>
      <c r="BF294" s="722"/>
      <c r="BY294" s="1243">
        <v>20575</v>
      </c>
      <c r="BZ294" s="238">
        <f t="shared" si="20"/>
        <v>25575</v>
      </c>
    </row>
    <row r="295" spans="53:78" ht="12.75">
      <c r="BA295" s="722"/>
      <c r="BB295" s="1044"/>
      <c r="BC295" s="721"/>
      <c r="BD295" s="721"/>
      <c r="BE295" s="238">
        <v>293</v>
      </c>
      <c r="BF295" s="722"/>
      <c r="BY295" s="1243">
        <v>20575</v>
      </c>
      <c r="BZ295" s="238">
        <f t="shared" si="20"/>
        <v>25575</v>
      </c>
    </row>
    <row r="296" spans="53:78" ht="12.75">
      <c r="BA296" s="1044"/>
      <c r="BB296" s="1044"/>
      <c r="BE296" s="238">
        <v>294</v>
      </c>
      <c r="BF296" s="721"/>
      <c r="BY296" s="1244">
        <v>20600</v>
      </c>
      <c r="BZ296" s="238">
        <f t="shared" si="20"/>
        <v>25600</v>
      </c>
    </row>
    <row r="297" spans="53:78" ht="12.75">
      <c r="BA297" s="1044"/>
      <c r="BB297" s="1044"/>
      <c r="BE297" s="238">
        <v>295</v>
      </c>
      <c r="BF297" s="721"/>
      <c r="BY297" s="1244">
        <v>20600</v>
      </c>
      <c r="BZ297" s="238">
        <f t="shared" si="20"/>
        <v>25600</v>
      </c>
    </row>
    <row r="298" spans="53:78" ht="12.75">
      <c r="BA298" s="722"/>
      <c r="BB298" s="1044"/>
      <c r="BE298" s="238">
        <v>296</v>
      </c>
      <c r="BF298" s="722"/>
      <c r="BY298" s="1243">
        <v>20575</v>
      </c>
      <c r="BZ298" s="238">
        <f t="shared" si="20"/>
        <v>25575</v>
      </c>
    </row>
    <row r="299" spans="53:78" ht="12.75">
      <c r="BA299" s="1044"/>
      <c r="BB299" s="1044"/>
      <c r="BE299" s="238">
        <v>297</v>
      </c>
      <c r="BF299" s="1044"/>
      <c r="BY299" s="1244">
        <v>20600</v>
      </c>
      <c r="BZ299" s="238">
        <f t="shared" si="20"/>
        <v>25600</v>
      </c>
    </row>
    <row r="300" spans="53:78" ht="12.75">
      <c r="BA300" s="1044"/>
      <c r="BB300" s="1044"/>
      <c r="BE300" s="238">
        <v>298</v>
      </c>
      <c r="BF300" s="1044"/>
      <c r="BY300" s="1244">
        <v>20600</v>
      </c>
      <c r="BZ300" s="238">
        <f t="shared" si="20"/>
        <v>25600</v>
      </c>
    </row>
    <row r="301" spans="53:78" ht="12.75">
      <c r="BA301" s="722"/>
      <c r="BB301" s="1044"/>
      <c r="BE301" s="238">
        <v>299</v>
      </c>
      <c r="BF301" s="722"/>
      <c r="BY301" s="1244">
        <v>20500</v>
      </c>
      <c r="BZ301" s="238">
        <f t="shared" si="20"/>
        <v>25500</v>
      </c>
    </row>
    <row r="302" spans="53:78" ht="12.75">
      <c r="BA302" s="722"/>
      <c r="BB302" s="1044"/>
      <c r="BE302" s="238">
        <v>300</v>
      </c>
      <c r="BF302" s="722"/>
      <c r="BY302" s="1244">
        <v>20500</v>
      </c>
      <c r="BZ302" s="238">
        <f t="shared" si="20"/>
        <v>25500</v>
      </c>
    </row>
    <row r="303" spans="53:78" ht="12.75">
      <c r="BA303" s="1044"/>
      <c r="BB303" s="1044"/>
      <c r="BE303" s="238">
        <v>301</v>
      </c>
      <c r="BF303" s="1044"/>
      <c r="BY303" s="1244">
        <v>20500</v>
      </c>
      <c r="BZ303" s="238">
        <f t="shared" si="20"/>
        <v>25500</v>
      </c>
    </row>
    <row r="304" spans="53:78" ht="12.75">
      <c r="BA304" s="722"/>
      <c r="BB304" s="1044"/>
      <c r="BE304" s="238">
        <v>302</v>
      </c>
      <c r="BF304" s="722"/>
      <c r="BY304" s="1244">
        <v>20500</v>
      </c>
      <c r="BZ304" s="238">
        <f t="shared" si="20"/>
        <v>25500</v>
      </c>
    </row>
    <row r="305" spans="53:78" ht="12.75">
      <c r="BA305" s="722"/>
      <c r="BB305" s="1044"/>
      <c r="BE305" s="238">
        <v>303</v>
      </c>
      <c r="BF305" s="722"/>
      <c r="BY305" s="1244">
        <v>20500</v>
      </c>
      <c r="BZ305" s="238">
        <f t="shared" si="20"/>
        <v>25500</v>
      </c>
    </row>
    <row r="306" spans="53:78" ht="12.75">
      <c r="BA306" s="722"/>
      <c r="BB306" s="1044"/>
      <c r="BE306" s="238">
        <v>304</v>
      </c>
      <c r="BF306" s="722"/>
      <c r="BY306" s="1244">
        <v>20500</v>
      </c>
      <c r="BZ306" s="238">
        <f t="shared" si="20"/>
        <v>25500</v>
      </c>
    </row>
    <row r="307" spans="53:78" ht="12.75">
      <c r="BA307" s="722"/>
      <c r="BB307" s="1044"/>
      <c r="BE307" s="238">
        <v>305</v>
      </c>
      <c r="BF307" s="722"/>
      <c r="BY307" s="1244">
        <v>20500</v>
      </c>
      <c r="BZ307" s="238">
        <f t="shared" si="20"/>
        <v>25500</v>
      </c>
    </row>
    <row r="308" spans="53:78" ht="12.75">
      <c r="BA308" s="722"/>
      <c r="BB308" s="1044"/>
      <c r="BE308" s="238">
        <v>306</v>
      </c>
      <c r="BF308" s="722"/>
      <c r="BY308" s="1244">
        <v>20500</v>
      </c>
      <c r="BZ308" s="238">
        <f t="shared" si="20"/>
        <v>25500</v>
      </c>
    </row>
    <row r="309" spans="53:78" ht="12.75">
      <c r="BA309" s="722"/>
      <c r="BB309" s="1044"/>
      <c r="BE309" s="238">
        <v>307</v>
      </c>
      <c r="BF309" s="722"/>
      <c r="BY309" s="1244">
        <v>20525</v>
      </c>
      <c r="BZ309" s="238">
        <f t="shared" si="20"/>
        <v>25525</v>
      </c>
    </row>
    <row r="310" spans="53:78" ht="12.75">
      <c r="BA310" s="722"/>
      <c r="BB310" s="1044"/>
      <c r="BE310" s="238">
        <v>308</v>
      </c>
      <c r="BF310" s="722"/>
      <c r="BY310" s="1244">
        <v>20525</v>
      </c>
      <c r="BZ310" s="238">
        <f t="shared" si="20"/>
        <v>25525</v>
      </c>
    </row>
    <row r="311" spans="53:78" ht="12.75">
      <c r="BA311" s="722"/>
      <c r="BB311" s="1044"/>
      <c r="BE311" s="238">
        <v>309</v>
      </c>
      <c r="BF311" s="722"/>
      <c r="BY311" s="1244">
        <v>20525</v>
      </c>
      <c r="BZ311" s="238">
        <f t="shared" si="20"/>
        <v>25525</v>
      </c>
    </row>
    <row r="312" spans="53:78" ht="12.75">
      <c r="BA312" s="722"/>
      <c r="BB312" s="1044"/>
      <c r="BE312" s="238">
        <v>310</v>
      </c>
      <c r="BF312" s="722"/>
      <c r="BY312" s="1244">
        <v>20525</v>
      </c>
      <c r="BZ312" s="238">
        <f t="shared" si="20"/>
        <v>25525</v>
      </c>
    </row>
    <row r="313" spans="53:78" ht="12.75">
      <c r="BA313" s="722"/>
      <c r="BB313" s="1044"/>
      <c r="BE313" s="238">
        <v>311</v>
      </c>
      <c r="BF313" s="722"/>
      <c r="BY313" s="1244">
        <v>20500</v>
      </c>
      <c r="BZ313" s="238">
        <f t="shared" si="20"/>
        <v>25500</v>
      </c>
    </row>
    <row r="314" spans="53:78" ht="12.75">
      <c r="BA314" s="722"/>
      <c r="BB314" s="1044"/>
      <c r="BE314" s="238">
        <v>312</v>
      </c>
      <c r="BF314" s="722"/>
      <c r="BY314" s="1243">
        <v>20490</v>
      </c>
      <c r="BZ314" s="238">
        <f t="shared" si="20"/>
        <v>25490</v>
      </c>
    </row>
    <row r="315" spans="53:78" ht="12.75">
      <c r="BA315" s="722"/>
      <c r="BB315" s="1044"/>
      <c r="BE315" s="238">
        <v>313</v>
      </c>
      <c r="BF315" s="722"/>
      <c r="BY315" s="1244">
        <v>20525</v>
      </c>
      <c r="BZ315" s="238">
        <f t="shared" si="20"/>
        <v>25525</v>
      </c>
    </row>
    <row r="316" spans="53:78" ht="12.75">
      <c r="BA316" s="722"/>
      <c r="BB316" s="1044"/>
      <c r="BE316" s="238">
        <v>314</v>
      </c>
      <c r="BF316" s="722"/>
      <c r="BY316" s="1244">
        <v>20500</v>
      </c>
      <c r="BZ316" s="238">
        <f t="shared" si="20"/>
        <v>25500</v>
      </c>
    </row>
    <row r="317" spans="53:78" ht="12.75">
      <c r="BA317" s="722"/>
      <c r="BB317" s="1044"/>
      <c r="BE317" s="238">
        <v>315</v>
      </c>
      <c r="BF317" s="722"/>
      <c r="BY317" s="1244">
        <v>20500</v>
      </c>
      <c r="BZ317" s="238">
        <f t="shared" si="20"/>
        <v>25500</v>
      </c>
    </row>
    <row r="318" spans="53:78" ht="12.75">
      <c r="BA318" s="722"/>
      <c r="BB318" s="1044"/>
      <c r="BE318" s="238">
        <v>316</v>
      </c>
      <c r="BF318" s="722"/>
      <c r="BY318" s="1244">
        <v>20500</v>
      </c>
      <c r="BZ318" s="238">
        <f t="shared" si="20"/>
        <v>25500</v>
      </c>
    </row>
    <row r="319" spans="53:78" ht="12.75">
      <c r="BA319" s="1044"/>
      <c r="BB319" s="1044"/>
      <c r="BE319" s="238">
        <v>317</v>
      </c>
      <c r="BF319" s="1044"/>
      <c r="BY319" s="1244">
        <v>20500</v>
      </c>
      <c r="BZ319" s="238">
        <f t="shared" si="20"/>
        <v>25500</v>
      </c>
    </row>
    <row r="320" spans="53:78" ht="12.75">
      <c r="BA320" s="722"/>
      <c r="BB320" s="1044"/>
      <c r="BE320" s="238">
        <v>318</v>
      </c>
      <c r="BF320" s="722"/>
      <c r="BY320" s="1244">
        <v>20500</v>
      </c>
      <c r="BZ320" s="238">
        <f t="shared" si="20"/>
        <v>25500</v>
      </c>
    </row>
    <row r="321" spans="53:78" ht="12.75">
      <c r="BA321" s="722"/>
      <c r="BB321" s="1044"/>
      <c r="BE321" s="238">
        <v>319</v>
      </c>
      <c r="BF321" s="722"/>
      <c r="BY321" s="1244">
        <v>20500</v>
      </c>
      <c r="BZ321" s="238">
        <f t="shared" si="20"/>
        <v>25500</v>
      </c>
    </row>
    <row r="322" spans="53:78" ht="12.75">
      <c r="BA322" s="722"/>
      <c r="BB322" s="1044"/>
      <c r="BE322" s="238">
        <v>320</v>
      </c>
      <c r="BF322" s="722"/>
      <c r="BY322" s="1244">
        <v>20500</v>
      </c>
      <c r="BZ322" s="238">
        <f t="shared" si="20"/>
        <v>25500</v>
      </c>
    </row>
    <row r="323" spans="53:78" ht="12.75">
      <c r="BA323" s="722"/>
      <c r="BB323" s="1044"/>
      <c r="BE323" s="238">
        <v>321</v>
      </c>
      <c r="BF323" s="722"/>
      <c r="BY323" s="1244">
        <v>20525</v>
      </c>
      <c r="BZ323" s="238">
        <f t="shared" si="20"/>
        <v>25525</v>
      </c>
    </row>
    <row r="324" spans="53:78" ht="12.75">
      <c r="BA324" s="722"/>
      <c r="BB324" s="1044"/>
      <c r="BE324" s="238">
        <v>322</v>
      </c>
      <c r="BF324" s="722"/>
      <c r="BY324" s="1244">
        <v>20525</v>
      </c>
      <c r="BZ324" s="238">
        <f t="shared" si="20"/>
        <v>25525</v>
      </c>
    </row>
    <row r="325" spans="53:78" ht="12.75">
      <c r="BA325" s="722"/>
      <c r="BB325" s="1044"/>
      <c r="BE325" s="238">
        <v>323</v>
      </c>
      <c r="BF325" s="722"/>
      <c r="BY325" s="1244">
        <v>20525</v>
      </c>
      <c r="BZ325" s="238">
        <f t="shared" ref="BZ325:BZ334" si="21">BY325+5000</f>
        <v>25525</v>
      </c>
    </row>
    <row r="326" spans="53:78" ht="12.75">
      <c r="BA326" s="722"/>
      <c r="BB326" s="1044"/>
      <c r="BE326" s="238">
        <v>324</v>
      </c>
      <c r="BF326" s="722"/>
      <c r="BY326" s="1244">
        <v>20525</v>
      </c>
      <c r="BZ326" s="238">
        <f t="shared" si="21"/>
        <v>25525</v>
      </c>
    </row>
    <row r="327" spans="53:78" ht="12.75">
      <c r="BA327" s="722"/>
      <c r="BB327" s="1044"/>
      <c r="BE327" s="238">
        <v>325</v>
      </c>
      <c r="BF327" s="722"/>
      <c r="BY327" s="1243">
        <v>20575</v>
      </c>
      <c r="BZ327" s="238">
        <f t="shared" si="21"/>
        <v>25575</v>
      </c>
    </row>
    <row r="328" spans="53:78" ht="12.75">
      <c r="BA328" s="722"/>
      <c r="BB328" s="1044"/>
      <c r="BE328" s="238">
        <v>326</v>
      </c>
      <c r="BF328" s="722"/>
      <c r="BY328" s="1244">
        <v>20500</v>
      </c>
      <c r="BZ328" s="238">
        <f t="shared" si="21"/>
        <v>25500</v>
      </c>
    </row>
    <row r="329" spans="53:78" ht="12.75">
      <c r="BA329" s="722"/>
      <c r="BB329" s="1044"/>
      <c r="BE329" s="238">
        <v>327</v>
      </c>
      <c r="BF329" s="722"/>
      <c r="BY329" s="1243">
        <v>20490</v>
      </c>
      <c r="BZ329" s="238">
        <f t="shared" si="21"/>
        <v>25490</v>
      </c>
    </row>
    <row r="330" spans="53:78" ht="12.75">
      <c r="BA330" s="722"/>
      <c r="BB330" s="1044"/>
      <c r="BE330" s="238">
        <v>328</v>
      </c>
      <c r="BF330" s="722"/>
      <c r="BY330" s="1243">
        <v>20575</v>
      </c>
      <c r="BZ330" s="238">
        <f t="shared" si="21"/>
        <v>25575</v>
      </c>
    </row>
    <row r="331" spans="53:78" ht="12.75">
      <c r="BA331" s="722"/>
      <c r="BB331" s="1044"/>
      <c r="BE331" s="238">
        <v>329</v>
      </c>
      <c r="BF331" s="722"/>
      <c r="BY331" s="1244">
        <v>20625</v>
      </c>
      <c r="BZ331" s="238">
        <f t="shared" si="21"/>
        <v>25625</v>
      </c>
    </row>
    <row r="332" spans="53:78" ht="12.75">
      <c r="BA332" s="1044"/>
      <c r="BB332" s="1044"/>
      <c r="BE332" s="238">
        <v>330</v>
      </c>
      <c r="BF332" s="1044"/>
      <c r="BY332" s="1244">
        <v>20500</v>
      </c>
      <c r="BZ332" s="238">
        <f t="shared" si="21"/>
        <v>25500</v>
      </c>
    </row>
    <row r="333" spans="53:78" ht="12.75">
      <c r="BA333" s="722"/>
      <c r="BB333" s="1044"/>
      <c r="BE333" s="238">
        <v>331</v>
      </c>
      <c r="BF333" s="722"/>
      <c r="BY333" s="1244">
        <v>20500</v>
      </c>
      <c r="BZ333" s="238">
        <f t="shared" si="21"/>
        <v>25500</v>
      </c>
    </row>
    <row r="334" spans="53:78" ht="12.75">
      <c r="BA334" s="1044"/>
      <c r="BB334" s="1044"/>
      <c r="BF334" s="1044"/>
      <c r="BY334" s="1244">
        <v>20525</v>
      </c>
      <c r="BZ334" s="238">
        <f t="shared" si="21"/>
        <v>25525</v>
      </c>
    </row>
    <row r="335" spans="53:78" ht="12.75">
      <c r="BA335" s="1044"/>
      <c r="BB335" s="1044"/>
      <c r="BF335" s="1044"/>
    </row>
    <row r="336" spans="53:78" ht="12.75">
      <c r="BA336" s="722"/>
      <c r="BB336" s="1044"/>
      <c r="BF336" s="722"/>
    </row>
    <row r="337" spans="53:58" ht="12.75">
      <c r="BA337" s="722"/>
      <c r="BB337" s="1044"/>
      <c r="BF337" s="722"/>
    </row>
    <row r="338" spans="53:58" ht="12.75">
      <c r="BA338" s="722"/>
      <c r="BB338" s="1044"/>
      <c r="BF338" s="722"/>
    </row>
    <row r="339" spans="53:58" ht="12.75">
      <c r="BA339" s="722"/>
      <c r="BB339" s="1044"/>
      <c r="BF339" s="722"/>
    </row>
  </sheetData>
  <mergeCells count="72">
    <mergeCell ref="B132:D132"/>
    <mergeCell ref="AW13:AX13"/>
    <mergeCell ref="AU36:AY36"/>
    <mergeCell ref="AU37:AY37"/>
    <mergeCell ref="AU38:AY38"/>
    <mergeCell ref="AU32:AY32"/>
    <mergeCell ref="AU33:AY33"/>
    <mergeCell ref="AU34:AY34"/>
    <mergeCell ref="AU35:AY35"/>
    <mergeCell ref="P83:R83"/>
    <mergeCell ref="P84:R84"/>
    <mergeCell ref="P79:R79"/>
    <mergeCell ref="P80:R80"/>
    <mergeCell ref="P81:R81"/>
    <mergeCell ref="P82:R82"/>
    <mergeCell ref="P75:R75"/>
    <mergeCell ref="P76:R76"/>
    <mergeCell ref="P77:R77"/>
    <mergeCell ref="P78:R78"/>
    <mergeCell ref="P71:R71"/>
    <mergeCell ref="P72:R72"/>
    <mergeCell ref="P73:R73"/>
    <mergeCell ref="P74:R74"/>
    <mergeCell ref="N82:O82"/>
    <mergeCell ref="N83:O83"/>
    <mergeCell ref="N70:O70"/>
    <mergeCell ref="N71:O71"/>
    <mergeCell ref="N72:O72"/>
    <mergeCell ref="N73:O73"/>
    <mergeCell ref="N78:O78"/>
    <mergeCell ref="N79:O79"/>
    <mergeCell ref="N80:O80"/>
    <mergeCell ref="N81:O81"/>
    <mergeCell ref="N76:O76"/>
    <mergeCell ref="N77:O77"/>
    <mergeCell ref="N74:O74"/>
    <mergeCell ref="N75:O75"/>
    <mergeCell ref="N68:O68"/>
    <mergeCell ref="N69:O69"/>
    <mergeCell ref="N62:O62"/>
    <mergeCell ref="N63:O63"/>
    <mergeCell ref="N64:O64"/>
    <mergeCell ref="N65:O65"/>
    <mergeCell ref="P70:R70"/>
    <mergeCell ref="N61:O61"/>
    <mergeCell ref="A46:H46"/>
    <mergeCell ref="A54:D54"/>
    <mergeCell ref="N56:O56"/>
    <mergeCell ref="N57:O57"/>
    <mergeCell ref="N59:O59"/>
    <mergeCell ref="N58:O58"/>
    <mergeCell ref="P56:R56"/>
    <mergeCell ref="P57:R57"/>
    <mergeCell ref="P58:R58"/>
    <mergeCell ref="N60:O60"/>
    <mergeCell ref="P60:R60"/>
    <mergeCell ref="P59:R59"/>
    <mergeCell ref="N66:O66"/>
    <mergeCell ref="N67:O67"/>
    <mergeCell ref="T55:T56"/>
    <mergeCell ref="U55:V55"/>
    <mergeCell ref="W55:X55"/>
    <mergeCell ref="Y55:Z55"/>
    <mergeCell ref="P69:R69"/>
    <mergeCell ref="P61:R61"/>
    <mergeCell ref="P64:R64"/>
    <mergeCell ref="P65:R65"/>
    <mergeCell ref="P66:R66"/>
    <mergeCell ref="P68:R68"/>
    <mergeCell ref="P67:R67"/>
    <mergeCell ref="P62:R62"/>
    <mergeCell ref="P63:R63"/>
  </mergeCells>
  <phoneticPr fontId="31" type="noConversion"/>
  <pageMargins left="0.75" right="0.75" top="1" bottom="1" header="0.5" footer="0.5"/>
  <pageSetup orientation="portrait" horizontalDpi="300" verticalDpi="300"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V49"/>
  <sheetViews>
    <sheetView showGridLines="0" workbookViewId="0"/>
  </sheetViews>
  <sheetFormatPr defaultRowHeight="12"/>
  <cols>
    <col min="1" max="1" width="13" style="265" customWidth="1"/>
    <col min="2" max="5" width="9.140625" style="265"/>
    <col min="6" max="6" width="10.7109375" style="265" customWidth="1"/>
    <col min="7" max="8" width="9.140625" style="265"/>
    <col min="9" max="9" width="11.42578125" style="265" customWidth="1"/>
    <col min="10" max="10" width="10.5703125" style="265" customWidth="1"/>
    <col min="11" max="13" width="9.140625" style="265"/>
    <col min="14" max="14" width="15.7109375" style="265" customWidth="1"/>
    <col min="15" max="15" width="12.140625" style="265" customWidth="1"/>
    <col min="16" max="16" width="9.140625" style="265"/>
    <col min="17" max="17" width="9.5703125" style="265" customWidth="1"/>
    <col min="18" max="18" width="10.7109375" style="265" customWidth="1"/>
    <col min="19" max="21" width="9.140625" style="265"/>
    <col min="22" max="22" width="10" style="265" customWidth="1"/>
    <col min="23" max="16384" width="9.140625" style="265"/>
  </cols>
  <sheetData>
    <row r="1" spans="1:22" ht="15.75" thickTop="1" thickBot="1">
      <c r="A1" s="655" t="s">
        <v>1086</v>
      </c>
      <c r="B1" s="262" t="str">
        <f>IF('Pay Values'!B3="","",'Pay Values'!B3)</f>
        <v/>
      </c>
      <c r="C1" s="263"/>
      <c r="D1" s="264" t="s">
        <v>1631</v>
      </c>
      <c r="E1" s="263" t="str">
        <f>IF('Pay Values'!I3="","",'Pay Values'!I3)</f>
        <v/>
      </c>
      <c r="F1" s="270"/>
      <c r="G1" s="278"/>
      <c r="H1" s="1642" t="s">
        <v>1705</v>
      </c>
      <c r="I1" s="1643"/>
      <c r="J1" s="1643"/>
      <c r="K1" s="1643"/>
      <c r="L1" s="1643"/>
      <c r="M1" s="1644"/>
      <c r="N1" s="268" t="s">
        <v>1706</v>
      </c>
      <c r="O1" s="269"/>
      <c r="P1" s="269"/>
      <c r="Q1" s="269"/>
      <c r="R1" s="367" t="s">
        <v>1693</v>
      </c>
      <c r="S1" s="367" t="s">
        <v>1694</v>
      </c>
      <c r="T1" s="367" t="s">
        <v>1695</v>
      </c>
      <c r="U1" s="370" t="s">
        <v>1696</v>
      </c>
      <c r="V1" s="1640" t="s">
        <v>2618</v>
      </c>
    </row>
    <row r="2" spans="1:22" ht="15.75" thickTop="1" thickBot="1">
      <c r="A2" s="658" t="s">
        <v>914</v>
      </c>
      <c r="B2" s="262" t="str">
        <f>IF('Pay Values'!B4="","",'Pay Values'!B4)</f>
        <v/>
      </c>
      <c r="C2" s="270"/>
      <c r="D2" s="261"/>
      <c r="F2" s="968"/>
      <c r="G2" s="674"/>
      <c r="H2" s="271" t="s">
        <v>1645</v>
      </c>
      <c r="I2" s="271" t="s">
        <v>1735</v>
      </c>
      <c r="J2" s="272" t="s">
        <v>916</v>
      </c>
      <c r="K2" s="273" t="s">
        <v>1707</v>
      </c>
      <c r="L2" s="274" t="s">
        <v>1708</v>
      </c>
      <c r="M2" s="345" t="s">
        <v>349</v>
      </c>
      <c r="N2" s="732" t="s">
        <v>912</v>
      </c>
      <c r="O2" s="1645" t="s">
        <v>913</v>
      </c>
      <c r="P2" s="1646"/>
      <c r="Q2" s="368" t="s">
        <v>1710</v>
      </c>
      <c r="R2" s="369" t="s">
        <v>1682</v>
      </c>
      <c r="S2" s="369" t="s">
        <v>1682</v>
      </c>
      <c r="T2" s="369" t="s">
        <v>1682</v>
      </c>
      <c r="U2" s="276" t="s">
        <v>1682</v>
      </c>
      <c r="V2" s="1641"/>
    </row>
    <row r="3" spans="1:22" ht="13.5" thickTop="1">
      <c r="A3" s="261" t="s">
        <v>1633</v>
      </c>
      <c r="B3" s="262" t="str">
        <f>IF('Pay Values'!B5="","",'Pay Values'!B5)</f>
        <v/>
      </c>
      <c r="C3" s="263"/>
      <c r="H3" s="668">
        <v>1</v>
      </c>
      <c r="I3" s="1027"/>
      <c r="J3" s="922"/>
      <c r="K3" s="665"/>
      <c r="L3" s="1110"/>
      <c r="M3" s="1124"/>
      <c r="N3" s="735" t="str">
        <f>IF('Pay Values'!D29="","",'Pay Values'!D29)</f>
        <v/>
      </c>
      <c r="O3" s="738" t="str">
        <f>IF('Pay Values'!F29="","",'Pay Values'!F29)</f>
        <v/>
      </c>
      <c r="P3" s="739"/>
      <c r="Q3" s="521"/>
      <c r="R3" s="522"/>
      <c r="S3" s="522"/>
      <c r="T3" s="522"/>
      <c r="U3" s="1239"/>
      <c r="V3" s="1241"/>
    </row>
    <row r="4" spans="1:22" ht="15" customHeight="1" thickBot="1">
      <c r="H4" s="669">
        <v>2</v>
      </c>
      <c r="I4" s="1028"/>
      <c r="J4" s="923"/>
      <c r="K4" s="666"/>
      <c r="L4" s="1111"/>
      <c r="M4" s="1125"/>
      <c r="N4" s="736" t="str">
        <f>IF('Pay Values'!D30="","",'Pay Values'!D30)</f>
        <v/>
      </c>
      <c r="O4" s="738" t="str">
        <f>IF('Pay Values'!F30="","",'Pay Values'!F30)</f>
        <v/>
      </c>
      <c r="P4" s="740"/>
      <c r="Q4" s="521"/>
      <c r="R4" s="522"/>
      <c r="S4" s="522"/>
      <c r="T4" s="522"/>
      <c r="U4" s="1240"/>
      <c r="V4" s="1242"/>
    </row>
    <row r="5" spans="1:22" ht="15" customHeight="1" thickTop="1" thickBot="1">
      <c r="A5" s="1647" t="s">
        <v>918</v>
      </c>
      <c r="B5" s="1647"/>
      <c r="C5" s="1647"/>
      <c r="D5" s="1647" t="s">
        <v>919</v>
      </c>
      <c r="E5" s="1647"/>
      <c r="F5" s="1647"/>
      <c r="G5" s="371"/>
      <c r="H5" s="669">
        <v>3</v>
      </c>
      <c r="I5" s="1028"/>
      <c r="J5" s="923"/>
      <c r="K5" s="666"/>
      <c r="L5" s="1111"/>
      <c r="M5" s="1125"/>
      <c r="N5" s="736" t="str">
        <f>IF('Pay Values'!D31="","",'Pay Values'!D31)</f>
        <v/>
      </c>
      <c r="O5" s="738" t="str">
        <f>IF('Pay Values'!F31="","",'Pay Values'!F31)</f>
        <v/>
      </c>
      <c r="P5" s="740"/>
      <c r="Q5" s="521"/>
      <c r="R5" s="522"/>
      <c r="S5" s="522"/>
      <c r="T5" s="522"/>
      <c r="U5" s="1240"/>
      <c r="V5" s="1242"/>
    </row>
    <row r="6" spans="1:22" ht="15" customHeight="1" thickTop="1" thickBot="1">
      <c r="B6" s="672" t="s">
        <v>1915</v>
      </c>
      <c r="C6" s="673"/>
      <c r="D6" s="673"/>
      <c r="E6" s="1024" t="s">
        <v>1915</v>
      </c>
      <c r="H6" s="670">
        <v>4</v>
      </c>
      <c r="I6" s="1029"/>
      <c r="J6" s="924"/>
      <c r="K6" s="667"/>
      <c r="L6" s="1112"/>
      <c r="M6" s="1126"/>
      <c r="N6" s="736" t="str">
        <f>IF('Pay Values'!D32="","",'Pay Values'!D32)</f>
        <v/>
      </c>
      <c r="O6" s="738" t="str">
        <f>IF('Pay Values'!F32="","",'Pay Values'!F32)</f>
        <v/>
      </c>
      <c r="P6" s="740"/>
      <c r="Q6" s="521"/>
      <c r="R6" s="522"/>
      <c r="S6" s="522"/>
      <c r="T6" s="522"/>
      <c r="U6" s="1240"/>
      <c r="V6" s="1242"/>
    </row>
    <row r="7" spans="1:22" ht="15" customHeight="1" thickTop="1" thickBot="1">
      <c r="A7" s="1647" t="s">
        <v>917</v>
      </c>
      <c r="B7" s="1647"/>
      <c r="C7" s="1647"/>
      <c r="D7" s="1647" t="s">
        <v>920</v>
      </c>
      <c r="E7" s="1647"/>
      <c r="F7" s="1647"/>
      <c r="J7" s="671" t="s">
        <v>718</v>
      </c>
      <c r="N7" s="736" t="str">
        <f>IF('Pay Values'!D33="","",'Pay Values'!D33)</f>
        <v/>
      </c>
      <c r="O7" s="738" t="str">
        <f>IF('Pay Values'!F33="","",'Pay Values'!F33)</f>
        <v/>
      </c>
      <c r="P7" s="740"/>
      <c r="Q7" s="521"/>
      <c r="R7" s="522"/>
      <c r="S7" s="522"/>
      <c r="T7" s="522"/>
      <c r="U7" s="523"/>
      <c r="V7" s="1242"/>
    </row>
    <row r="8" spans="1:22" ht="15" customHeight="1" thickTop="1" thickBot="1">
      <c r="B8" s="1024" t="s">
        <v>1915</v>
      </c>
      <c r="E8" s="1024" t="s">
        <v>1915</v>
      </c>
      <c r="J8" s="279" t="str">
        <f>IF(N43="","",(100-N43)/((100/N42)-(N43/1.03)))</f>
        <v/>
      </c>
      <c r="N8" s="737" t="str">
        <f>IF('Pay Values'!D34="","",'Pay Values'!D34)</f>
        <v/>
      </c>
      <c r="O8" s="973" t="str">
        <f>IF('Pay Values'!F34="","",'Pay Values'!F34)</f>
        <v/>
      </c>
      <c r="P8" s="741"/>
      <c r="Q8" s="524"/>
      <c r="R8" s="525"/>
      <c r="S8" s="525"/>
      <c r="T8" s="525"/>
      <c r="U8" s="526"/>
      <c r="V8" s="1266"/>
    </row>
    <row r="9" spans="1:22" ht="15" thickTop="1" thickBot="1">
      <c r="P9" s="278" t="s">
        <v>1711</v>
      </c>
      <c r="Q9" s="278"/>
      <c r="R9" s="1113" t="str">
        <f>IF(Q3="","",(100/Calculations!D139))</f>
        <v/>
      </c>
      <c r="S9" s="1113" t="str">
        <f>IF(S3="","",(100/Calculations!G139))</f>
        <v/>
      </c>
      <c r="T9" s="485" t="str">
        <f>IF(T3="","",(100/Calculations!J139))</f>
        <v/>
      </c>
      <c r="U9" s="485" t="str">
        <f>IF(U3="","",(100/Calculations!M139))</f>
        <v/>
      </c>
    </row>
    <row r="10" spans="1:22" ht="14.25" thickTop="1" thickBot="1">
      <c r="A10" s="280" t="s">
        <v>1693</v>
      </c>
      <c r="B10" s="281" t="s">
        <v>1650</v>
      </c>
      <c r="C10" s="282"/>
      <c r="D10" s="283" t="s">
        <v>1712</v>
      </c>
      <c r="E10" s="284"/>
      <c r="F10" s="281" t="s">
        <v>1713</v>
      </c>
      <c r="G10" s="281" t="s">
        <v>1714</v>
      </c>
      <c r="H10" s="281" t="s">
        <v>1715</v>
      </c>
      <c r="I10" s="281" t="s">
        <v>1716</v>
      </c>
      <c r="J10" s="285" t="s">
        <v>1717</v>
      </c>
      <c r="K10" s="281" t="s">
        <v>1718</v>
      </c>
      <c r="L10" s="281" t="s">
        <v>1717</v>
      </c>
      <c r="M10" s="281" t="s">
        <v>1682</v>
      </c>
      <c r="N10" s="281" t="s">
        <v>1717</v>
      </c>
      <c r="O10" s="286" t="s">
        <v>1719</v>
      </c>
      <c r="P10" s="357"/>
      <c r="S10" s="1236"/>
      <c r="T10" s="1236"/>
      <c r="U10" s="1236"/>
    </row>
    <row r="11" spans="1:22" ht="14.25" thickTop="1" thickBot="1">
      <c r="A11" s="287" t="s">
        <v>1720</v>
      </c>
      <c r="B11" s="288" t="s">
        <v>1721</v>
      </c>
      <c r="C11" s="288" t="s">
        <v>1722</v>
      </c>
      <c r="D11" s="288" t="s">
        <v>1723</v>
      </c>
      <c r="E11" s="288" t="s">
        <v>1724</v>
      </c>
      <c r="F11" s="289" t="s">
        <v>1725</v>
      </c>
      <c r="G11" s="289"/>
      <c r="H11" s="289" t="s">
        <v>1726</v>
      </c>
      <c r="I11" s="288" t="s">
        <v>1727</v>
      </c>
      <c r="J11" s="289" t="s">
        <v>1728</v>
      </c>
      <c r="K11" s="288" t="s">
        <v>1721</v>
      </c>
      <c r="L11" s="288" t="s">
        <v>1729</v>
      </c>
      <c r="M11" s="289" t="s">
        <v>1730</v>
      </c>
      <c r="N11" s="289" t="s">
        <v>1731</v>
      </c>
      <c r="O11" s="376" t="s">
        <v>1732</v>
      </c>
      <c r="P11" s="1252"/>
      <c r="Q11" s="1249" t="s">
        <v>2619</v>
      </c>
      <c r="R11" s="1250"/>
      <c r="S11" s="1258"/>
      <c r="T11" s="1251"/>
      <c r="U11" s="1261"/>
    </row>
    <row r="12" spans="1:22" ht="13.5" thickTop="1">
      <c r="A12" s="290">
        <v>1</v>
      </c>
      <c r="B12" s="291" t="s">
        <v>1637</v>
      </c>
      <c r="C12" s="527"/>
      <c r="D12" s="528"/>
      <c r="E12" s="527"/>
      <c r="F12" s="292" t="str">
        <f>IF(E12="","",ROUND(E12-D12,1))</f>
        <v/>
      </c>
      <c r="G12" s="293" t="str">
        <f>IF(C12="","",ROUND(C12/F12,3))</f>
        <v/>
      </c>
      <c r="H12" s="294" t="str">
        <f>IF(ISERROR(G12*1000),"",(G12*62.4))</f>
        <v/>
      </c>
      <c r="I12" s="293"/>
      <c r="J12" s="295"/>
      <c r="K12" s="296"/>
      <c r="L12" s="296"/>
      <c r="M12" s="296"/>
      <c r="N12" s="297"/>
      <c r="O12" s="377"/>
      <c r="P12" s="1253"/>
      <c r="Q12" s="1254" t="s">
        <v>2617</v>
      </c>
      <c r="R12" s="1255" t="str">
        <f>IF(B14="","",B14-R11)</f>
        <v/>
      </c>
      <c r="S12" s="1259" t="str">
        <f>IF(B20="","",B20-S11)</f>
        <v/>
      </c>
      <c r="T12" s="1255" t="str">
        <f>IF(B26="","",B26-T11)</f>
        <v/>
      </c>
      <c r="U12" s="1267" t="str">
        <f>IF(B32="","",B32-U11)</f>
        <v/>
      </c>
    </row>
    <row r="13" spans="1:22" ht="13.5" thickBot="1">
      <c r="A13" s="298">
        <v>2</v>
      </c>
      <c r="B13" s="288"/>
      <c r="C13" s="565"/>
      <c r="D13" s="566"/>
      <c r="E13" s="660"/>
      <c r="F13" s="661" t="str">
        <f>IF(E13="","",ROUND(E13-D13,1))</f>
        <v/>
      </c>
      <c r="G13" s="662" t="str">
        <f>IF(C13="","",ROUND(C13/F13,3))</f>
        <v/>
      </c>
      <c r="H13" s="301" t="str">
        <f>IF(ISERROR(G13*1000),"",(G13*62.4))</f>
        <v/>
      </c>
      <c r="I13" s="300"/>
      <c r="J13" s="302"/>
      <c r="K13" s="303"/>
      <c r="L13" s="303"/>
      <c r="M13" s="303"/>
      <c r="N13" s="304"/>
      <c r="O13" s="378"/>
      <c r="P13" s="1253"/>
      <c r="Q13" s="1256" t="s">
        <v>2620</v>
      </c>
      <c r="R13" s="1257" t="str">
        <f>IF(L14="","",ROUND(R11/L14*100,0))</f>
        <v/>
      </c>
      <c r="S13" s="1260" t="str">
        <f>IF(L20="","",ROUND(S11/L20*100,0))</f>
        <v/>
      </c>
      <c r="T13" s="1257" t="str">
        <f>IF(L26="","",ROUND(T11/L26*100,0))</f>
        <v/>
      </c>
      <c r="U13" s="1262" t="str">
        <f>IF(L32="","",ROUND(U11/L32*100,0))</f>
        <v/>
      </c>
    </row>
    <row r="14" spans="1:22" ht="14.25" thickTop="1" thickBot="1">
      <c r="A14" s="298" t="s">
        <v>1733</v>
      </c>
      <c r="B14" s="302" t="str">
        <f>IF(AND(Gradation!D33="",Gradation!D34=""),"",IF(Gradation!D33="",Gradation!D34,Gradation!D33))</f>
        <v/>
      </c>
      <c r="C14" s="610"/>
      <c r="D14" s="611"/>
      <c r="E14" s="612" t="s">
        <v>1637</v>
      </c>
      <c r="F14" s="299"/>
      <c r="G14" s="300" t="str">
        <f>IF(G12="","",AVERAGE(G12:G13))</f>
        <v/>
      </c>
      <c r="H14" s="302" t="str">
        <f>IF(H12="","",AVERAGE(H12:H13))</f>
        <v/>
      </c>
      <c r="I14" s="300" t="str">
        <f>IF(D42="","",D42)</f>
        <v/>
      </c>
      <c r="J14" s="302" t="str">
        <f>IF(G14="","",((I14-G14)/I14)*100)</f>
        <v/>
      </c>
      <c r="K14" s="306" t="str">
        <f>IF(B14="","",((100-B14)*(100*(((J8-R9)/(R9*J8))*1.03)))/100)</f>
        <v/>
      </c>
      <c r="L14" s="302" t="str">
        <f>IF(B14="","",(B14-K14))</f>
        <v/>
      </c>
      <c r="M14" s="302" t="str">
        <f>IF(G14="","",(100-(G14*(100-B14)/R9)))</f>
        <v/>
      </c>
      <c r="N14" s="307" t="str">
        <f>IF(M14="","",(100*(M14-J14)/M14))</f>
        <v/>
      </c>
      <c r="O14" s="378" t="str">
        <f>IF(OR(Gradation!D23="",L14=""),"",IF((100-Gradation!C23)/L14&gt;1.6,"&gt;1.6",IF((100-Gradation!C23)/L14&lt;0.6,"&lt;0.6",(100-Gradation!C23)/L14)))</f>
        <v/>
      </c>
      <c r="P14" s="1246"/>
      <c r="Q14" s="1248" t="s">
        <v>2639</v>
      </c>
      <c r="R14" s="1247" t="str">
        <f>IF(ISERROR(Calculations!CM17),"",Calculations!CM17)</f>
        <v/>
      </c>
      <c r="S14" s="1263" t="str">
        <f>IF(ISERROR(Calculations!CN17),"",Calculations!CN17)</f>
        <v/>
      </c>
      <c r="T14" s="1263" t="str">
        <f>IF(ISERROR(Calculations!CO17),"",Calculations!CO17)</f>
        <v/>
      </c>
      <c r="U14" s="1264" t="str">
        <f>IF(ISERROR(Calculations!CP17),"",Calculations!CP17)</f>
        <v/>
      </c>
    </row>
    <row r="15" spans="1:22" ht="14.25" thickTop="1" thickBot="1">
      <c r="C15" s="613"/>
      <c r="D15" s="613"/>
      <c r="E15" s="613"/>
      <c r="O15" s="1500" t="str">
        <f>IF(OR(O14="&gt;1.6",O14="&lt;0.6"),"* Does not satisfy KY Specification Subsection 402.03.02 D) 5)","")</f>
        <v/>
      </c>
      <c r="Q15" s="1234"/>
      <c r="R15" s="1265" t="str">
        <f>IF(OR(R14="*",S14="*",T14="*",U14="*"),"*Does not satisfy KY Specification Subsection 409.03.03","")</f>
        <v/>
      </c>
      <c r="S15" s="1265"/>
      <c r="T15" s="1265"/>
      <c r="U15" s="1265"/>
    </row>
    <row r="16" spans="1:22" ht="13.5" thickTop="1">
      <c r="A16" s="280" t="s">
        <v>1694</v>
      </c>
      <c r="B16" s="281" t="s">
        <v>1650</v>
      </c>
      <c r="C16" s="614"/>
      <c r="D16" s="615" t="s">
        <v>1712</v>
      </c>
      <c r="E16" s="616"/>
      <c r="F16" s="281" t="s">
        <v>1713</v>
      </c>
      <c r="G16" s="281" t="s">
        <v>1714</v>
      </c>
      <c r="H16" s="281" t="s">
        <v>1715</v>
      </c>
      <c r="I16" s="281" t="s">
        <v>1716</v>
      </c>
      <c r="J16" s="285" t="s">
        <v>1717</v>
      </c>
      <c r="K16" s="281" t="s">
        <v>1718</v>
      </c>
      <c r="L16" s="281" t="s">
        <v>1717</v>
      </c>
      <c r="M16" s="281" t="s">
        <v>1682</v>
      </c>
      <c r="N16" s="281" t="s">
        <v>1717</v>
      </c>
      <c r="O16" s="286" t="s">
        <v>1719</v>
      </c>
      <c r="P16" s="357"/>
      <c r="Q16" s="1234"/>
      <c r="R16" s="1237"/>
      <c r="S16" s="1235"/>
      <c r="T16" s="1235"/>
      <c r="U16" s="1236"/>
    </row>
    <row r="17" spans="1:21" ht="13.5" thickBot="1">
      <c r="A17" s="287" t="s">
        <v>1720</v>
      </c>
      <c r="B17" s="288" t="s">
        <v>1721</v>
      </c>
      <c r="C17" s="617" t="s">
        <v>1722</v>
      </c>
      <c r="D17" s="617" t="s">
        <v>1723</v>
      </c>
      <c r="E17" s="617" t="s">
        <v>1724</v>
      </c>
      <c r="F17" s="289" t="s">
        <v>1725</v>
      </c>
      <c r="G17" s="289"/>
      <c r="H17" s="289" t="s">
        <v>1726</v>
      </c>
      <c r="I17" s="288" t="s">
        <v>1727</v>
      </c>
      <c r="J17" s="289" t="s">
        <v>1728</v>
      </c>
      <c r="K17" s="288" t="s">
        <v>1721</v>
      </c>
      <c r="L17" s="288" t="s">
        <v>1729</v>
      </c>
      <c r="M17" s="289" t="s">
        <v>1730</v>
      </c>
      <c r="N17" s="289" t="s">
        <v>1731</v>
      </c>
      <c r="O17" s="376" t="s">
        <v>1732</v>
      </c>
      <c r="P17" s="375"/>
      <c r="Q17" s="1234"/>
      <c r="R17" s="1238"/>
      <c r="S17" s="260"/>
      <c r="T17" s="260"/>
      <c r="U17" s="375"/>
    </row>
    <row r="18" spans="1:21" ht="14.25" thickTop="1" thickBot="1">
      <c r="A18" s="290">
        <v>1</v>
      </c>
      <c r="B18" s="291" t="s">
        <v>1637</v>
      </c>
      <c r="C18" s="527"/>
      <c r="D18" s="528"/>
      <c r="E18" s="527"/>
      <c r="F18" s="292" t="str">
        <f>IF(E18="","",ROUND(E18-D18,1))</f>
        <v/>
      </c>
      <c r="G18" s="293" t="str">
        <f>IF(C18="","",ROUND(C18/F18,3))</f>
        <v/>
      </c>
      <c r="H18" s="294" t="str">
        <f>IF(ISERROR(G18*1000),"",(G18*62.4))</f>
        <v/>
      </c>
      <c r="I18" s="293"/>
      <c r="J18" s="295"/>
      <c r="K18" s="296"/>
      <c r="L18" s="296"/>
      <c r="M18" s="296"/>
      <c r="N18" s="297"/>
      <c r="O18" s="377"/>
      <c r="P18" s="358"/>
      <c r="Q18" s="358"/>
      <c r="R18" s="260"/>
      <c r="S18" s="358"/>
      <c r="T18" s="358"/>
      <c r="U18" s="358"/>
    </row>
    <row r="19" spans="1:21" ht="13.5" thickTop="1" thickBot="1">
      <c r="A19" s="298">
        <v>2</v>
      </c>
      <c r="B19" s="288"/>
      <c r="C19" s="565"/>
      <c r="D19" s="566"/>
      <c r="E19" s="660"/>
      <c r="F19" s="661" t="str">
        <f>IF(E19="","",ROUND(E19-D19,1))</f>
        <v/>
      </c>
      <c r="G19" s="662" t="str">
        <f>IF(C19="","",ROUND(C19/F19,3))</f>
        <v/>
      </c>
      <c r="H19" s="663" t="str">
        <f>IF(ISERROR(G19*1000),"",(G19*62.4))</f>
        <v/>
      </c>
      <c r="I19" s="300"/>
      <c r="J19" s="302"/>
      <c r="K19" s="303"/>
      <c r="L19" s="303"/>
      <c r="M19" s="303"/>
      <c r="N19" s="304"/>
      <c r="O19" s="378"/>
      <c r="P19" s="358"/>
      <c r="Q19" s="312" t="s">
        <v>1734</v>
      </c>
      <c r="R19" s="313"/>
      <c r="S19" s="314"/>
      <c r="T19" s="358"/>
      <c r="U19" s="358"/>
    </row>
    <row r="20" spans="1:21" ht="13.5" thickTop="1" thickBot="1">
      <c r="A20" s="298" t="s">
        <v>1733</v>
      </c>
      <c r="B20" s="302" t="str">
        <f>IF(AND(Gradation!G33="",Gradation!G34=""),"",IF(Gradation!G33="",Gradation!G34,Gradation!G33))</f>
        <v/>
      </c>
      <c r="C20" s="610"/>
      <c r="D20" s="611"/>
      <c r="E20" s="612" t="s">
        <v>1637</v>
      </c>
      <c r="F20" s="299"/>
      <c r="G20" s="300" t="str">
        <f>IF(G18="","",AVERAGE(G18:G19))</f>
        <v/>
      </c>
      <c r="H20" s="302" t="str">
        <f>IF(H18="","",AVERAGE(H18:H19))</f>
        <v/>
      </c>
      <c r="I20" s="300" t="str">
        <f>IF(F42="","",F42)</f>
        <v/>
      </c>
      <c r="J20" s="302" t="str">
        <f>IF(I20="","",((I20-G20)/I20)*100)</f>
        <v/>
      </c>
      <c r="K20" s="306" t="str">
        <f>IF(B20="","",((100-B20)*(100*(((J8-S9)/(S9*J8))*1.03)))/100)</f>
        <v/>
      </c>
      <c r="L20" s="302" t="str">
        <f>IF(B20="","",(B20-K20))</f>
        <v/>
      </c>
      <c r="M20" s="302" t="str">
        <f>IF(G20="","",(100-(G20*(100-B20)/S9)))</f>
        <v/>
      </c>
      <c r="N20" s="307" t="str">
        <f>IF(M20="","",(100*(M20-J20)/M20))</f>
        <v/>
      </c>
      <c r="O20" s="378" t="str">
        <f>IF(OR(Gradation!G23="",L20=""),"",IF((100-Gradation!F23)/L20&gt;1.6,"&gt;1.6",IF((100-Gradation!F23)/L20&lt;0.6,"&lt;0.6",(100-Gradation!F23)/L20)))</f>
        <v/>
      </c>
      <c r="P20" s="358"/>
      <c r="Q20" s="321" t="s">
        <v>1735</v>
      </c>
      <c r="R20" s="322" t="s">
        <v>1736</v>
      </c>
      <c r="S20" s="323" t="s">
        <v>1737</v>
      </c>
      <c r="T20" s="358"/>
      <c r="U20" s="358"/>
    </row>
    <row r="21" spans="1:21" ht="13.5" thickTop="1" thickBot="1">
      <c r="C21" s="613"/>
      <c r="D21" s="613"/>
      <c r="E21" s="613"/>
      <c r="O21" s="1500" t="str">
        <f>IF(OR(O20="&gt;1.6",O20="&lt;0.6"),"* Does not satisfy KY Specification Subsection 402.03.02 D) 5)","")</f>
        <v/>
      </c>
      <c r="Q21" s="537"/>
      <c r="R21" s="538"/>
      <c r="S21" s="539"/>
      <c r="T21" s="358"/>
      <c r="U21" s="358"/>
    </row>
    <row r="22" spans="1:21" ht="12.75" thickTop="1">
      <c r="A22" s="280" t="s">
        <v>1695</v>
      </c>
      <c r="B22" s="281" t="s">
        <v>1650</v>
      </c>
      <c r="C22" s="614"/>
      <c r="D22" s="615" t="s">
        <v>1712</v>
      </c>
      <c r="E22" s="616"/>
      <c r="F22" s="281" t="s">
        <v>1713</v>
      </c>
      <c r="G22" s="281" t="s">
        <v>1714</v>
      </c>
      <c r="H22" s="281" t="s">
        <v>1715</v>
      </c>
      <c r="I22" s="281" t="s">
        <v>1716</v>
      </c>
      <c r="J22" s="285" t="s">
        <v>1717</v>
      </c>
      <c r="K22" s="281" t="s">
        <v>1718</v>
      </c>
      <c r="L22" s="281" t="s">
        <v>1717</v>
      </c>
      <c r="M22" s="281" t="s">
        <v>1682</v>
      </c>
      <c r="N22" s="281" t="s">
        <v>1717</v>
      </c>
      <c r="O22" s="286" t="s">
        <v>1719</v>
      </c>
      <c r="P22" s="357"/>
      <c r="Q22" s="537"/>
      <c r="R22" s="538"/>
      <c r="S22" s="539"/>
      <c r="T22" s="357"/>
      <c r="U22" s="357"/>
    </row>
    <row r="23" spans="1:21" ht="12.75" thickBot="1">
      <c r="A23" s="287" t="s">
        <v>1720</v>
      </c>
      <c r="B23" s="288" t="s">
        <v>1721</v>
      </c>
      <c r="C23" s="617" t="s">
        <v>1722</v>
      </c>
      <c r="D23" s="617" t="s">
        <v>1723</v>
      </c>
      <c r="E23" s="617" t="s">
        <v>1724</v>
      </c>
      <c r="F23" s="289" t="s">
        <v>1725</v>
      </c>
      <c r="G23" s="289"/>
      <c r="H23" s="289" t="s">
        <v>1726</v>
      </c>
      <c r="I23" s="288" t="s">
        <v>1727</v>
      </c>
      <c r="J23" s="289" t="s">
        <v>1728</v>
      </c>
      <c r="K23" s="288" t="s">
        <v>1721</v>
      </c>
      <c r="L23" s="288" t="s">
        <v>1729</v>
      </c>
      <c r="M23" s="289" t="s">
        <v>1730</v>
      </c>
      <c r="N23" s="289" t="s">
        <v>1731</v>
      </c>
      <c r="O23" s="376" t="s">
        <v>1732</v>
      </c>
      <c r="P23" s="375"/>
      <c r="Q23" s="540"/>
      <c r="R23" s="541"/>
      <c r="S23" s="542"/>
      <c r="T23" s="375"/>
      <c r="U23" s="375"/>
    </row>
    <row r="24" spans="1:21" ht="12.75" thickTop="1">
      <c r="A24" s="290">
        <v>1</v>
      </c>
      <c r="B24" s="291" t="s">
        <v>1637</v>
      </c>
      <c r="C24" s="527"/>
      <c r="D24" s="528"/>
      <c r="E24" s="527"/>
      <c r="F24" s="292" t="str">
        <f>IF(E24="","",ROUND(E24-D24,1))</f>
        <v/>
      </c>
      <c r="G24" s="293" t="str">
        <f>IF(C24="","",ROUND(C24/F24,3))</f>
        <v/>
      </c>
      <c r="H24" s="294" t="str">
        <f>IF(ISERROR(G24*1000),"",(G24*62.4))</f>
        <v/>
      </c>
      <c r="I24" s="293"/>
      <c r="J24" s="295"/>
      <c r="K24" s="296"/>
      <c r="L24" s="296"/>
      <c r="M24" s="296"/>
      <c r="N24" s="297"/>
      <c r="O24" s="377"/>
      <c r="P24" s="358"/>
      <c r="Q24" s="540"/>
      <c r="R24" s="541"/>
      <c r="S24" s="542"/>
      <c r="T24" s="358"/>
      <c r="U24" s="358"/>
    </row>
    <row r="25" spans="1:21" ht="12.75" thickBot="1">
      <c r="A25" s="298">
        <v>2</v>
      </c>
      <c r="B25" s="288"/>
      <c r="C25" s="565"/>
      <c r="D25" s="664"/>
      <c r="E25" s="565"/>
      <c r="F25" s="661" t="str">
        <f>IF(E25="","",ROUND(E25-D25,1))</f>
        <v/>
      </c>
      <c r="G25" s="662" t="str">
        <f>IF(C25="","",ROUND(C25/F25,3))</f>
        <v/>
      </c>
      <c r="H25" s="663" t="str">
        <f>IF(ISERROR(G25*1000),"",(G25*62.4))</f>
        <v/>
      </c>
      <c r="I25" s="300"/>
      <c r="J25" s="302"/>
      <c r="K25" s="303"/>
      <c r="L25" s="303"/>
      <c r="M25" s="303"/>
      <c r="N25" s="304"/>
      <c r="O25" s="378"/>
      <c r="P25" s="358"/>
      <c r="Q25" s="543"/>
      <c r="R25" s="544"/>
      <c r="S25" s="545"/>
      <c r="T25" s="358"/>
      <c r="U25" s="358"/>
    </row>
    <row r="26" spans="1:21" ht="14.25" thickTop="1" thickBot="1">
      <c r="A26" s="298" t="s">
        <v>1733</v>
      </c>
      <c r="B26" s="302" t="str">
        <f>IF(AND(Gradation!J33="",Gradation!J34=""),"",IF(Gradation!J33="",Gradation!J34,Gradation!J33))</f>
        <v/>
      </c>
      <c r="C26" s="610"/>
      <c r="D26" s="611"/>
      <c r="E26" s="612" t="s">
        <v>1637</v>
      </c>
      <c r="F26" s="299"/>
      <c r="G26" s="300" t="str">
        <f>IF(G24="","",AVERAGE(G24:G25))</f>
        <v/>
      </c>
      <c r="H26" s="302" t="str">
        <f>IF(H24="","",AVERAGE(H24:H25))</f>
        <v/>
      </c>
      <c r="I26" s="300" t="str">
        <f>IF(H42="","",H42)</f>
        <v/>
      </c>
      <c r="J26" s="302" t="str">
        <f>IF(I26="","",((I26-G26)/I26)*100)</f>
        <v/>
      </c>
      <c r="K26" s="306" t="str">
        <f>IF(B26="","",((100-B26)*(100*(((J8-T9)/(T9*J8))*1.03)))/100)</f>
        <v/>
      </c>
      <c r="L26" s="302" t="str">
        <f>IF(B26="","",(B26-K26))</f>
        <v/>
      </c>
      <c r="M26" s="302" t="str">
        <f>IF(G26="","",(100-(G26*(100-B26)/T9)))</f>
        <v/>
      </c>
      <c r="N26" s="307" t="str">
        <f>IF(M26="","",(100*(M26-J26)/M26))</f>
        <v/>
      </c>
      <c r="O26" s="378" t="str">
        <f>IF(OR(Gradation!J23="",L26=""),"",IF((100-Gradation!I23)/L26&gt;1.6,"&gt;1.6",IF((100-Gradation!I23)/L26&lt;0.6,"&lt;0.6",(100-Gradation!I23)/L26)))</f>
        <v/>
      </c>
      <c r="P26" s="358"/>
      <c r="Q26" s="365"/>
      <c r="R26" s="260"/>
      <c r="S26" s="358"/>
      <c r="T26" s="358"/>
      <c r="U26" s="358"/>
    </row>
    <row r="27" spans="1:21" ht="14.25" thickTop="1" thickBot="1">
      <c r="C27" s="613"/>
      <c r="D27" s="613"/>
      <c r="E27" s="613"/>
      <c r="O27" s="1500" t="str">
        <f>IF(OR(O26="&gt;1.6",O26="&lt;0.6"),"* Does not satisfy KY Specification Subsection 402.03.02 D) 5)","")</f>
        <v/>
      </c>
      <c r="R27" s="260"/>
    </row>
    <row r="28" spans="1:21" ht="13.5" thickTop="1" thickBot="1">
      <c r="A28" s="280" t="s">
        <v>1696</v>
      </c>
      <c r="B28" s="281" t="s">
        <v>1650</v>
      </c>
      <c r="C28" s="614"/>
      <c r="D28" s="615" t="s">
        <v>1712</v>
      </c>
      <c r="E28" s="616"/>
      <c r="F28" s="281" t="s">
        <v>1713</v>
      </c>
      <c r="G28" s="281" t="s">
        <v>1714</v>
      </c>
      <c r="H28" s="281" t="s">
        <v>1715</v>
      </c>
      <c r="I28" s="281" t="s">
        <v>1716</v>
      </c>
      <c r="J28" s="285" t="s">
        <v>1717</v>
      </c>
      <c r="K28" s="281" t="s">
        <v>1718</v>
      </c>
      <c r="L28" s="281" t="s">
        <v>1717</v>
      </c>
      <c r="M28" s="281" t="s">
        <v>1682</v>
      </c>
      <c r="N28" s="281" t="s">
        <v>1717</v>
      </c>
      <c r="O28" s="286" t="s">
        <v>1719</v>
      </c>
      <c r="P28" s="357"/>
      <c r="Q28" s="266" t="s">
        <v>1738</v>
      </c>
      <c r="R28" s="311"/>
      <c r="S28" s="357"/>
      <c r="T28" s="357"/>
      <c r="U28" s="357"/>
    </row>
    <row r="29" spans="1:21" ht="15" thickTop="1" thickBot="1">
      <c r="A29" s="287" t="s">
        <v>1720</v>
      </c>
      <c r="B29" s="288" t="s">
        <v>1721</v>
      </c>
      <c r="C29" s="617" t="s">
        <v>1722</v>
      </c>
      <c r="D29" s="617" t="s">
        <v>1723</v>
      </c>
      <c r="E29" s="617" t="s">
        <v>1724</v>
      </c>
      <c r="F29" s="289" t="s">
        <v>1725</v>
      </c>
      <c r="G29" s="289"/>
      <c r="H29" s="289" t="s">
        <v>1726</v>
      </c>
      <c r="I29" s="288" t="s">
        <v>1727</v>
      </c>
      <c r="J29" s="289" t="s">
        <v>1728</v>
      </c>
      <c r="K29" s="288" t="s">
        <v>1721</v>
      </c>
      <c r="L29" s="288" t="s">
        <v>1729</v>
      </c>
      <c r="M29" s="289" t="s">
        <v>1730</v>
      </c>
      <c r="N29" s="289" t="s">
        <v>1731</v>
      </c>
      <c r="O29" s="376" t="s">
        <v>1732</v>
      </c>
      <c r="P29" s="375"/>
      <c r="Q29" s="326" t="s">
        <v>1739</v>
      </c>
      <c r="R29" s="546"/>
      <c r="S29" s="375"/>
      <c r="T29" s="375"/>
      <c r="U29" s="375"/>
    </row>
    <row r="30" spans="1:21" ht="12.75" thickTop="1">
      <c r="A30" s="290">
        <v>1</v>
      </c>
      <c r="B30" s="291" t="s">
        <v>1637</v>
      </c>
      <c r="C30" s="527"/>
      <c r="D30" s="528"/>
      <c r="E30" s="527"/>
      <c r="F30" s="292" t="str">
        <f>IF(E30="","",ROUND(E30-D30,1))</f>
        <v/>
      </c>
      <c r="G30" s="293" t="str">
        <f>IF(C30="","",ROUND(C30/F30,3))</f>
        <v/>
      </c>
      <c r="H30" s="294" t="str">
        <f>IF(ISERROR(G30*1000),"",(G30*62.4))</f>
        <v/>
      </c>
      <c r="I30" s="293"/>
      <c r="J30" s="295"/>
      <c r="K30" s="296"/>
      <c r="L30" s="296"/>
      <c r="M30" s="296"/>
      <c r="N30" s="297"/>
      <c r="O30" s="377"/>
      <c r="P30" s="358"/>
      <c r="Q30" s="358"/>
      <c r="R30" s="358"/>
      <c r="S30" s="358"/>
      <c r="T30" s="358"/>
      <c r="U30" s="358"/>
    </row>
    <row r="31" spans="1:21" ht="13.5" thickBot="1">
      <c r="A31" s="298">
        <v>2</v>
      </c>
      <c r="B31" s="288"/>
      <c r="C31" s="565"/>
      <c r="D31" s="566"/>
      <c r="E31" s="660"/>
      <c r="F31" s="661" t="str">
        <f>IF(E31="","",ROUND(E31-D31,1))</f>
        <v/>
      </c>
      <c r="G31" s="662" t="str">
        <f>IF(C31="","",ROUND(C31/F31,3))</f>
        <v/>
      </c>
      <c r="H31" s="301" t="str">
        <f>IF(ISERROR(G31*1000),"",(G31*62.4))</f>
        <v/>
      </c>
      <c r="I31" s="300"/>
      <c r="J31" s="302"/>
      <c r="K31" s="303"/>
      <c r="L31" s="303"/>
      <c r="M31" s="303"/>
      <c r="N31" s="304"/>
      <c r="O31" s="378"/>
      <c r="P31" s="358"/>
      <c r="Q31" s="365"/>
      <c r="R31" s="260"/>
      <c r="S31" s="358"/>
    </row>
    <row r="32" spans="1:21" ht="13.5" thickTop="1" thickBot="1">
      <c r="A32" s="298" t="s">
        <v>1733</v>
      </c>
      <c r="B32" s="302" t="str">
        <f>IF(AND(Gradation!M33="",Gradation!M34=""),"",IF(Gradation!M33="",Gradation!M34,Gradation!M33))</f>
        <v/>
      </c>
      <c r="C32" s="610"/>
      <c r="D32" s="611"/>
      <c r="E32" s="612" t="s">
        <v>1637</v>
      </c>
      <c r="F32" s="299"/>
      <c r="G32" s="300" t="str">
        <f>IF(G30="","",AVERAGE(G30:G31))</f>
        <v/>
      </c>
      <c r="H32" s="302" t="str">
        <f>IF(H30="","",AVERAGE(H30:H31))</f>
        <v/>
      </c>
      <c r="I32" s="300" t="str">
        <f>IF(J42="","",J42)</f>
        <v/>
      </c>
      <c r="J32" s="302" t="str">
        <f>IF(I32="","",((I32-G32)/I32)*100)</f>
        <v/>
      </c>
      <c r="K32" s="306" t="str">
        <f>IF(B32="","",((100-B32)*(100*(((J8-U9)/(U9*J8))*1.03)))/100)</f>
        <v/>
      </c>
      <c r="L32" s="302" t="str">
        <f>IF(B32="","",(B32-K32))</f>
        <v/>
      </c>
      <c r="M32" s="302" t="str">
        <f>IF(G32="","",(100-(G32*(100-B32)/U9)))</f>
        <v/>
      </c>
      <c r="N32" s="307" t="str">
        <f>IF(M32="","",(100*(M32-J32)/M32))</f>
        <v/>
      </c>
      <c r="O32" s="378" t="str">
        <f>IF(OR(Gradation!M23="",L32=""),"",IF((100-Gradation!L23)/L32&gt;1.6,"&gt;1.6",IF((100-Gradation!L23)/L32&lt;0.6,"&lt;0.6",(100-Gradation!L23)/L32)))</f>
        <v/>
      </c>
      <c r="P32" s="358"/>
      <c r="S32" s="358"/>
      <c r="T32" s="358"/>
      <c r="U32" s="358"/>
    </row>
    <row r="33" spans="1:21" ht="14.25" thickTop="1" thickBot="1">
      <c r="F33" s="278"/>
      <c r="O33" s="1500" t="str">
        <f>IF(OR(O32="&gt;1.6",O32="&lt;0.6"),"* Does not satisfy KY Specification Subsection 402.03.02 D) 5)","")</f>
        <v/>
      </c>
      <c r="Q33" s="260"/>
    </row>
    <row r="34" spans="1:21" ht="14.25" thickTop="1" thickBot="1">
      <c r="A34" s="266" t="s">
        <v>1740</v>
      </c>
      <c r="B34" s="267"/>
      <c r="C34" s="267"/>
      <c r="D34" s="267"/>
      <c r="E34" s="267"/>
      <c r="F34" s="267"/>
      <c r="G34" s="267"/>
      <c r="H34" s="267"/>
      <c r="I34" s="267"/>
      <c r="J34" s="308"/>
      <c r="K34" s="275" t="s">
        <v>1741</v>
      </c>
      <c r="L34" s="309"/>
      <c r="M34" s="309"/>
      <c r="N34" s="310"/>
      <c r="P34" s="260"/>
      <c r="Q34" s="260"/>
      <c r="S34" s="260"/>
      <c r="T34" s="260"/>
      <c r="U34" s="260"/>
    </row>
    <row r="35" spans="1:21" ht="14.25" thickTop="1" thickBot="1">
      <c r="A35" s="315"/>
      <c r="B35" s="316"/>
      <c r="C35" s="317" t="s">
        <v>1742</v>
      </c>
      <c r="D35" s="318" t="s">
        <v>1743</v>
      </c>
      <c r="E35" s="317" t="s">
        <v>1744</v>
      </c>
      <c r="F35" s="318" t="s">
        <v>1745</v>
      </c>
      <c r="G35" s="317" t="s">
        <v>1746</v>
      </c>
      <c r="H35" s="318" t="s">
        <v>1747</v>
      </c>
      <c r="I35" s="317" t="s">
        <v>1748</v>
      </c>
      <c r="J35" s="319" t="s">
        <v>1749</v>
      </c>
      <c r="K35" s="271" t="s">
        <v>1750</v>
      </c>
      <c r="L35" s="273"/>
      <c r="M35" s="273"/>
      <c r="N35" s="320"/>
      <c r="P35" s="260"/>
      <c r="Q35" s="260"/>
      <c r="S35" s="260"/>
      <c r="T35" s="260"/>
      <c r="U35" s="260"/>
    </row>
    <row r="36" spans="1:21" ht="13.5" thickTop="1">
      <c r="A36" s="277" t="s">
        <v>1751</v>
      </c>
      <c r="B36" s="324"/>
      <c r="C36" s="529"/>
      <c r="D36" s="529"/>
      <c r="E36" s="529"/>
      <c r="F36" s="529"/>
      <c r="G36" s="529"/>
      <c r="H36" s="529"/>
      <c r="I36" s="529"/>
      <c r="J36" s="529"/>
      <c r="K36" s="277" t="s">
        <v>1751</v>
      </c>
      <c r="L36" s="324"/>
      <c r="M36" s="529"/>
      <c r="N36" s="529"/>
      <c r="O36" s="349"/>
      <c r="P36" s="260"/>
      <c r="Q36" s="260"/>
      <c r="S36" s="260"/>
      <c r="T36" s="260"/>
      <c r="U36" s="260"/>
    </row>
    <row r="37" spans="1:21" ht="12.75">
      <c r="A37" s="277" t="s">
        <v>1883</v>
      </c>
      <c r="B37" s="325"/>
      <c r="C37" s="530"/>
      <c r="D37" s="530"/>
      <c r="E37" s="530"/>
      <c r="F37" s="530"/>
      <c r="G37" s="530"/>
      <c r="H37" s="530"/>
      <c r="I37" s="530"/>
      <c r="J37" s="530"/>
      <c r="K37" s="277" t="s">
        <v>1883</v>
      </c>
      <c r="L37" s="325"/>
      <c r="M37" s="530"/>
      <c r="N37" s="530"/>
      <c r="O37" s="349"/>
      <c r="P37" s="260"/>
      <c r="S37" s="260"/>
      <c r="T37" s="260"/>
      <c r="U37" s="260"/>
    </row>
    <row r="38" spans="1:21" ht="12.75">
      <c r="A38" s="327" t="s">
        <v>1884</v>
      </c>
      <c r="B38" s="328"/>
      <c r="C38" s="329" t="str">
        <f t="shared" ref="C38:J38" si="0">IF(C37="","",C36+C37)</f>
        <v/>
      </c>
      <c r="D38" s="330" t="str">
        <f t="shared" si="0"/>
        <v/>
      </c>
      <c r="E38" s="329" t="str">
        <f t="shared" si="0"/>
        <v/>
      </c>
      <c r="F38" s="330" t="str">
        <f t="shared" si="0"/>
        <v/>
      </c>
      <c r="G38" s="329" t="str">
        <f t="shared" si="0"/>
        <v/>
      </c>
      <c r="H38" s="330" t="str">
        <f t="shared" si="0"/>
        <v/>
      </c>
      <c r="I38" s="329" t="str">
        <f t="shared" si="0"/>
        <v/>
      </c>
      <c r="J38" s="330" t="str">
        <f t="shared" si="0"/>
        <v/>
      </c>
      <c r="K38" s="327" t="s">
        <v>1884</v>
      </c>
      <c r="L38" s="328"/>
      <c r="M38" s="330" t="str">
        <f>IF(M37="","",(M36+M37))</f>
        <v/>
      </c>
      <c r="N38" s="330" t="str">
        <f>IF(N37="","",(N36+N37))</f>
        <v/>
      </c>
      <c r="O38" s="349"/>
      <c r="S38" s="260"/>
      <c r="T38" s="260"/>
      <c r="U38" s="260"/>
    </row>
    <row r="39" spans="1:21" ht="12.75">
      <c r="A39" s="327" t="s">
        <v>1885</v>
      </c>
      <c r="B39" s="328"/>
      <c r="C39" s="531"/>
      <c r="D39" s="531"/>
      <c r="E39" s="531"/>
      <c r="F39" s="531"/>
      <c r="G39" s="531"/>
      <c r="H39" s="531"/>
      <c r="I39" s="531"/>
      <c r="J39" s="531"/>
      <c r="K39" s="327" t="s">
        <v>1885</v>
      </c>
      <c r="L39" s="328"/>
      <c r="M39" s="531"/>
      <c r="N39" s="531"/>
      <c r="O39" s="349"/>
      <c r="S39" s="260"/>
      <c r="T39" s="260"/>
      <c r="U39" s="260"/>
    </row>
    <row r="40" spans="1:21" ht="12.75">
      <c r="A40" s="327" t="s">
        <v>1886</v>
      </c>
      <c r="B40" s="328"/>
      <c r="C40" s="532"/>
      <c r="D40" s="532"/>
      <c r="E40" s="532"/>
      <c r="F40" s="532"/>
      <c r="G40" s="532"/>
      <c r="H40" s="532"/>
      <c r="I40" s="532"/>
      <c r="J40" s="532"/>
      <c r="K40" s="327" t="s">
        <v>1886</v>
      </c>
      <c r="L40" s="328"/>
      <c r="M40" s="535"/>
      <c r="N40" s="535"/>
      <c r="O40" s="349"/>
      <c r="S40" s="260"/>
      <c r="T40" s="260"/>
      <c r="U40" s="260"/>
    </row>
    <row r="41" spans="1:21" ht="12.75" thickBot="1">
      <c r="A41" s="331" t="s">
        <v>1887</v>
      </c>
      <c r="B41" s="332"/>
      <c r="C41" s="333" t="str">
        <f>IF(C39="","",ROUND(C36/(C38-C39+C40),3))</f>
        <v/>
      </c>
      <c r="D41" s="333" t="str">
        <f>IF(D39="","",ROUND(D36/(D38-D39+D40),3))</f>
        <v/>
      </c>
      <c r="E41" s="333" t="str">
        <f t="shared" ref="E41:J41" si="1">IF(E39="","",ROUND(E36/(E38-E39+E40),3))</f>
        <v/>
      </c>
      <c r="F41" s="333" t="str">
        <f t="shared" si="1"/>
        <v/>
      </c>
      <c r="G41" s="333" t="str">
        <f t="shared" si="1"/>
        <v/>
      </c>
      <c r="H41" s="333" t="str">
        <f t="shared" si="1"/>
        <v/>
      </c>
      <c r="I41" s="333" t="str">
        <f t="shared" si="1"/>
        <v/>
      </c>
      <c r="J41" s="496" t="str">
        <f t="shared" si="1"/>
        <v/>
      </c>
      <c r="K41" s="331" t="s">
        <v>1887</v>
      </c>
      <c r="L41" s="332"/>
      <c r="M41" s="334" t="str">
        <f>IF(M39="","",M36/(M38-M39+M40))</f>
        <v/>
      </c>
      <c r="N41" s="334" t="str">
        <f>IF(N39="","",N36/(N38-N39+N40))</f>
        <v/>
      </c>
    </row>
    <row r="42" spans="1:21" ht="13.5" thickTop="1" thickBot="1">
      <c r="B42" s="335"/>
      <c r="C42" s="335" t="s">
        <v>1888</v>
      </c>
      <c r="D42" s="336" t="str">
        <f>IF(ISERROR(AVERAGE(C41:D41)),"",AVERAGE(C41:D41))</f>
        <v/>
      </c>
      <c r="E42" s="335" t="s">
        <v>1888</v>
      </c>
      <c r="F42" s="336" t="str">
        <f>IF(ISERROR(AVERAGE(E41:F41)),"",AVERAGE(E41:F41))</f>
        <v/>
      </c>
      <c r="G42" s="335" t="s">
        <v>1888</v>
      </c>
      <c r="H42" s="336" t="str">
        <f>IF(ISERROR(AVERAGE(G41:H41)),"",AVERAGE(G41:H41))</f>
        <v/>
      </c>
      <c r="I42" s="335" t="s">
        <v>1888</v>
      </c>
      <c r="J42" s="336" t="str">
        <f>IF(ISERROR(AVERAGE(I41:J41)),"",AVERAGE(I41:J41))</f>
        <v/>
      </c>
      <c r="M42" s="337" t="s">
        <v>1888</v>
      </c>
      <c r="N42" s="338" t="str">
        <f>IF(ISERROR(AVERAGE(M41:N41)),"",AVERAGE(M41:N41))</f>
        <v/>
      </c>
    </row>
    <row r="43" spans="1:21" ht="13.5" thickTop="1" thickBot="1">
      <c r="M43" s="317" t="s">
        <v>1889</v>
      </c>
      <c r="N43" s="536"/>
    </row>
    <row r="44" spans="1:21" ht="13.5" thickTop="1" thickBot="1">
      <c r="G44" s="464" t="s">
        <v>1693</v>
      </c>
      <c r="H44" s="464" t="s">
        <v>1694</v>
      </c>
      <c r="I44" s="464" t="s">
        <v>1695</v>
      </c>
      <c r="J44" s="464" t="s">
        <v>1696</v>
      </c>
    </row>
    <row r="45" spans="1:21" ht="13.5" thickTop="1">
      <c r="A45" s="518"/>
      <c r="B45" s="519"/>
      <c r="C45" s="454" t="s">
        <v>1890</v>
      </c>
      <c r="D45" s="455"/>
      <c r="E45" s="455"/>
      <c r="F45" s="456"/>
      <c r="G45" s="533"/>
      <c r="H45" s="533"/>
      <c r="I45" s="533"/>
      <c r="J45" s="533"/>
    </row>
    <row r="46" spans="1:21">
      <c r="A46" s="466" t="s">
        <v>1891</v>
      </c>
      <c r="B46" s="467"/>
      <c r="C46" s="457" t="s">
        <v>1892</v>
      </c>
      <c r="D46" s="458"/>
      <c r="E46" s="458"/>
      <c r="F46" s="459"/>
      <c r="G46" s="534"/>
      <c r="H46" s="534"/>
      <c r="I46" s="534"/>
      <c r="J46" s="534"/>
    </row>
    <row r="47" spans="1:21">
      <c r="A47" s="466" t="s">
        <v>1893</v>
      </c>
      <c r="B47" s="467"/>
      <c r="C47" s="457" t="s">
        <v>1894</v>
      </c>
      <c r="D47" s="458"/>
      <c r="E47" s="458"/>
      <c r="F47" s="459"/>
      <c r="G47" s="534"/>
      <c r="H47" s="534"/>
      <c r="I47" s="534"/>
      <c r="J47" s="534"/>
    </row>
    <row r="48" spans="1:21" ht="12.75" thickBot="1">
      <c r="A48" s="315"/>
      <c r="B48" s="316"/>
      <c r="C48" s="460" t="s">
        <v>1895</v>
      </c>
      <c r="D48" s="461"/>
      <c r="E48" s="461"/>
      <c r="F48" s="462"/>
      <c r="G48" s="463" t="str">
        <f>IF(G45="","",IF(G45-G47=0,0,(((G45-G47)-(G46-G47))/(G45-G47))*100))</f>
        <v/>
      </c>
      <c r="H48" s="463" t="str">
        <f>IF(H45="","",IF(H45-H47=0,0,(((H45-H47)-(H46-H47))/(H45-H47))*100))</f>
        <v/>
      </c>
      <c r="I48" s="463" t="str">
        <f>IF(I45="","",IF(I45-I47=0,0,(((I45-I47)-(I46-I47))/(I45-I47))*100))</f>
        <v/>
      </c>
      <c r="J48" s="463" t="str">
        <f>IF(J45="","",IF(J45-J47=0,0,(((J45-J47)-(J46-J47))/(J45-J47))*100))</f>
        <v/>
      </c>
    </row>
    <row r="49" spans="7:7" ht="12.75" thickTop="1">
      <c r="G49" s="493"/>
    </row>
  </sheetData>
  <sheetProtection algorithmName="SHA-512" hashValue="5u94F8yzEzOpOiMv+MZ+jHbJ+K+RILQs8QJs1fmFe5IVLZItd91ue8g3SN5APfCSeQ22O2CHPdXAafsdVoSKpA==" saltValue="sVY03zTWxnzksbn70dp88A==" spinCount="100000" sheet="1" objects="1" scenarios="1"/>
  <mergeCells count="7">
    <mergeCell ref="V1:V2"/>
    <mergeCell ref="H1:M1"/>
    <mergeCell ref="O2:P2"/>
    <mergeCell ref="A5:C5"/>
    <mergeCell ref="A7:C7"/>
    <mergeCell ref="D5:F5"/>
    <mergeCell ref="D7:F7"/>
  </mergeCells>
  <phoneticPr fontId="31" type="noConversion"/>
  <conditionalFormatting sqref="R14">
    <cfRule type="cellIs" dxfId="142" priority="13" stopIfTrue="1" operator="equal">
      <formula>"*"</formula>
    </cfRule>
  </conditionalFormatting>
  <conditionalFormatting sqref="S14">
    <cfRule type="cellIs" dxfId="141" priority="11" stopIfTrue="1" operator="equal">
      <formula>"*"</formula>
    </cfRule>
  </conditionalFormatting>
  <conditionalFormatting sqref="T14">
    <cfRule type="cellIs" dxfId="140" priority="10" stopIfTrue="1" operator="equal">
      <formula>"*"</formula>
    </cfRule>
  </conditionalFormatting>
  <conditionalFormatting sqref="U14">
    <cfRule type="cellIs" dxfId="139" priority="9" stopIfTrue="1" operator="equal">
      <formula>"*"</formula>
    </cfRule>
  </conditionalFormatting>
  <conditionalFormatting sqref="O14">
    <cfRule type="cellIs" dxfId="138" priority="7" operator="lessThan">
      <formula>0.6</formula>
    </cfRule>
    <cfRule type="cellIs" dxfId="137" priority="8" operator="greaterThan">
      <formula>1.6</formula>
    </cfRule>
  </conditionalFormatting>
  <conditionalFormatting sqref="O20">
    <cfRule type="cellIs" dxfId="136" priority="5" operator="lessThan">
      <formula>0.6</formula>
    </cfRule>
    <cfRule type="cellIs" dxfId="135" priority="6" operator="greaterThan">
      <formula>1.6</formula>
    </cfRule>
  </conditionalFormatting>
  <conditionalFormatting sqref="O26">
    <cfRule type="cellIs" dxfId="134" priority="3" operator="lessThan">
      <formula>0.6</formula>
    </cfRule>
    <cfRule type="cellIs" dxfId="133" priority="4" operator="greaterThan">
      <formula>1.6</formula>
    </cfRule>
  </conditionalFormatting>
  <conditionalFormatting sqref="O32">
    <cfRule type="cellIs" dxfId="132" priority="1" operator="lessThan">
      <formula>0.6</formula>
    </cfRule>
    <cfRule type="cellIs" dxfId="131" priority="2" operator="greaterThan">
      <formula>1.6</formula>
    </cfRule>
  </conditionalFormatting>
  <printOptions horizontalCentered="1" verticalCentered="1"/>
  <pageMargins left="0.25" right="0.25" top="0.25" bottom="0.25" header="0.5" footer="0.25"/>
  <pageSetup scale="65" orientation="landscape" blackAndWhite="1" horizontalDpi="300" verticalDpi="300" r:id="rId1"/>
  <headerFooter alignWithMargins="0">
    <oddFooter>&amp;CPage 2</oddFooter>
  </headerFooter>
  <drawing r:id="rId2"/>
  <legacyDrawing r:id="rId3"/>
  <controls>
    <mc:AlternateContent xmlns:mc="http://schemas.openxmlformats.org/markup-compatibility/2006">
      <mc:Choice Requires="x14">
        <control shapeId="14340" r:id="rId4" name="ComboBox4">
          <controlPr defaultSize="0" autoLine="0" autoPict="0" linkedCell="Superpave!$E$8" listFillRange="'Cert. Techs'!$B$2:$C$22" r:id="rId5">
            <anchor moveWithCells="1">
              <from>
                <xdr:col>3</xdr:col>
                <xdr:colOff>0</xdr:colOff>
                <xdr:row>7</xdr:row>
                <xdr:rowOff>28575</xdr:rowOff>
              </from>
              <to>
                <xdr:col>6</xdr:col>
                <xdr:colOff>38100</xdr:colOff>
                <xdr:row>8</xdr:row>
                <xdr:rowOff>66675</xdr:rowOff>
              </to>
            </anchor>
          </controlPr>
        </control>
      </mc:Choice>
      <mc:Fallback>
        <control shapeId="14340" r:id="rId4" name="ComboBox4"/>
      </mc:Fallback>
    </mc:AlternateContent>
    <mc:AlternateContent xmlns:mc="http://schemas.openxmlformats.org/markup-compatibility/2006">
      <mc:Choice Requires="x14">
        <control shapeId="14339" r:id="rId6" name="ComboBox3">
          <controlPr defaultSize="0" autoLine="0" autoPict="0" linkedCell="Superpave!$B$8" listFillRange="'Cert. Techs'!$B$2:$C$22" r:id="rId7">
            <anchor moveWithCells="1">
              <from>
                <xdr:col>0</xdr:col>
                <xdr:colOff>28575</xdr:colOff>
                <xdr:row>7</xdr:row>
                <xdr:rowOff>9525</xdr:rowOff>
              </from>
              <to>
                <xdr:col>3</xdr:col>
                <xdr:colOff>0</xdr:colOff>
                <xdr:row>8</xdr:row>
                <xdr:rowOff>66675</xdr:rowOff>
              </to>
            </anchor>
          </controlPr>
        </control>
      </mc:Choice>
      <mc:Fallback>
        <control shapeId="14339" r:id="rId6" name="ComboBox3"/>
      </mc:Fallback>
    </mc:AlternateContent>
    <mc:AlternateContent xmlns:mc="http://schemas.openxmlformats.org/markup-compatibility/2006">
      <mc:Choice Requires="x14">
        <control shapeId="14338" r:id="rId8" name="ComboBox2">
          <controlPr defaultSize="0" autoLine="0" linkedCell="Superpave!$E$6" listFillRange="'Cert. Techs'!$B$2:$C$22" r:id="rId9">
            <anchor moveWithCells="1">
              <from>
                <xdr:col>3</xdr:col>
                <xdr:colOff>0</xdr:colOff>
                <xdr:row>5</xdr:row>
                <xdr:rowOff>0</xdr:rowOff>
              </from>
              <to>
                <xdr:col>6</xdr:col>
                <xdr:colOff>28575</xdr:colOff>
                <xdr:row>6</xdr:row>
                <xdr:rowOff>38100</xdr:rowOff>
              </to>
            </anchor>
          </controlPr>
        </control>
      </mc:Choice>
      <mc:Fallback>
        <control shapeId="14338" r:id="rId8" name="ComboBox2"/>
      </mc:Fallback>
    </mc:AlternateContent>
    <mc:AlternateContent xmlns:mc="http://schemas.openxmlformats.org/markup-compatibility/2006">
      <mc:Choice Requires="x14">
        <control shapeId="14337" r:id="rId10" name="ComboBox1">
          <controlPr defaultSize="0" autoLine="0" autoPict="0" linkedCell="Superpave!$B$6" listFillRange="'Cert. Techs'!$B$2:$C$22" r:id="rId11">
            <anchor moveWithCells="1">
              <from>
                <xdr:col>0</xdr:col>
                <xdr:colOff>9525</xdr:colOff>
                <xdr:row>4</xdr:row>
                <xdr:rowOff>180975</xdr:rowOff>
              </from>
              <to>
                <xdr:col>3</xdr:col>
                <xdr:colOff>0</xdr:colOff>
                <xdr:row>6</xdr:row>
                <xdr:rowOff>38100</xdr:rowOff>
              </to>
            </anchor>
          </controlPr>
        </control>
      </mc:Choice>
      <mc:Fallback>
        <control shapeId="14337" r:id="rId10" name="ComboBox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2:K52"/>
  <sheetViews>
    <sheetView showGridLines="0" workbookViewId="0"/>
  </sheetViews>
  <sheetFormatPr defaultRowHeight="12"/>
  <cols>
    <col min="1" max="16384" width="9.140625" style="53"/>
  </cols>
  <sheetData>
    <row r="2" spans="1:11">
      <c r="A2" s="51" t="s">
        <v>1554</v>
      </c>
      <c r="B2" s="51"/>
      <c r="C2" s="52" t="str">
        <f>IF('Pay Values'!B3="","",'Pay Values'!B3)</f>
        <v/>
      </c>
      <c r="D2" s="52"/>
      <c r="E2" s="51" t="s">
        <v>1896</v>
      </c>
      <c r="F2" s="51"/>
      <c r="G2" s="1648"/>
      <c r="H2" s="1648"/>
      <c r="I2" s="1648"/>
      <c r="J2" s="1648"/>
    </row>
    <row r="3" spans="1:11">
      <c r="A3" s="51" t="s">
        <v>8</v>
      </c>
      <c r="B3" s="51"/>
      <c r="C3" s="52" t="str">
        <f>IF('Pay Values'!B4="","",'Pay Values'!B4)</f>
        <v/>
      </c>
      <c r="D3" s="52"/>
      <c r="E3" s="51" t="s">
        <v>1897</v>
      </c>
      <c r="F3" s="51"/>
      <c r="G3" s="1649"/>
      <c r="H3" s="1649"/>
      <c r="I3" s="1649"/>
      <c r="J3" s="1649"/>
    </row>
    <row r="4" spans="1:11">
      <c r="A4" s="51" t="s">
        <v>1898</v>
      </c>
      <c r="B4" s="51"/>
      <c r="C4" s="52" t="str">
        <f>'Pay Values'!B5</f>
        <v/>
      </c>
      <c r="D4" s="52"/>
      <c r="E4" s="51" t="s">
        <v>1635</v>
      </c>
      <c r="F4" s="51"/>
      <c r="G4" s="52" t="e">
        <f>IF('Pay Values'!C6="","",'Pay Values'!C6)</f>
        <v>#N/A</v>
      </c>
      <c r="H4" s="52"/>
      <c r="I4" s="52"/>
      <c r="J4" s="52"/>
    </row>
    <row r="5" spans="1:11" ht="12.75" thickBot="1">
      <c r="A5" s="54"/>
      <c r="B5" s="55"/>
    </row>
    <row r="6" spans="1:11" ht="13.5" thickTop="1" thickBot="1">
      <c r="A6" s="56" t="s">
        <v>1899</v>
      </c>
      <c r="B6" s="57"/>
      <c r="C6" s="58"/>
      <c r="D6" s="58"/>
      <c r="E6" s="58"/>
      <c r="F6" s="58"/>
      <c r="G6" s="58"/>
      <c r="H6" s="58"/>
      <c r="I6" s="58"/>
      <c r="J6" s="59"/>
      <c r="K6" s="60"/>
    </row>
    <row r="7" spans="1:11" ht="12.75" thickTop="1">
      <c r="A7" s="61" t="s">
        <v>1900</v>
      </c>
      <c r="B7" s="62" t="s">
        <v>1901</v>
      </c>
      <c r="C7" s="63" t="s">
        <v>1902</v>
      </c>
      <c r="D7" s="62" t="s">
        <v>1903</v>
      </c>
      <c r="E7" s="62" t="s">
        <v>1903</v>
      </c>
      <c r="F7" s="62" t="s">
        <v>1903</v>
      </c>
      <c r="G7" s="62" t="s">
        <v>1904</v>
      </c>
      <c r="H7" s="62" t="s">
        <v>1900</v>
      </c>
      <c r="I7" s="64" t="s">
        <v>1905</v>
      </c>
      <c r="J7" s="65" t="s">
        <v>1647</v>
      </c>
    </row>
    <row r="8" spans="1:11">
      <c r="A8" s="66" t="s">
        <v>1906</v>
      </c>
      <c r="B8" s="63" t="s">
        <v>1907</v>
      </c>
      <c r="C8" s="63" t="s">
        <v>1645</v>
      </c>
      <c r="D8" s="63" t="s">
        <v>1908</v>
      </c>
      <c r="E8" s="63" t="s">
        <v>1909</v>
      </c>
      <c r="F8" s="63" t="s">
        <v>1910</v>
      </c>
      <c r="G8" s="63" t="s">
        <v>1727</v>
      </c>
      <c r="H8" s="63" t="s">
        <v>1658</v>
      </c>
      <c r="I8" s="67" t="s">
        <v>1658</v>
      </c>
      <c r="J8" s="68" t="s">
        <v>1911</v>
      </c>
    </row>
    <row r="9" spans="1:11" ht="14.25" thickBot="1">
      <c r="A9" s="69"/>
      <c r="B9" s="70" t="s">
        <v>1912</v>
      </c>
      <c r="C9" s="70"/>
      <c r="D9" s="70" t="s">
        <v>1913</v>
      </c>
      <c r="E9" s="70" t="s">
        <v>1913</v>
      </c>
      <c r="F9" s="70" t="s">
        <v>1913</v>
      </c>
      <c r="G9" s="70"/>
      <c r="H9" s="70" t="s">
        <v>1914</v>
      </c>
      <c r="I9" s="71" t="s">
        <v>1653</v>
      </c>
      <c r="J9" s="72" t="s">
        <v>1653</v>
      </c>
    </row>
    <row r="10" spans="1:11" ht="13.5" thickTop="1" thickBot="1">
      <c r="A10" s="73" t="str">
        <f>CONCATENATE('Pay Values'!F3,"-1-A")</f>
        <v>0-1-A</v>
      </c>
      <c r="B10" s="74"/>
      <c r="C10" s="44" t="str">
        <f>IF(Calculations!J1&lt;=5,Superpave!D42,"")</f>
        <v/>
      </c>
      <c r="D10" s="1231"/>
      <c r="E10" s="1231"/>
      <c r="F10" s="1231"/>
      <c r="G10" s="76" t="str">
        <f>IF(D10="","",D10/(F10-E10))</f>
        <v/>
      </c>
      <c r="H10" s="969" t="str">
        <f>IF(G10="","",G10*62.4)</f>
        <v/>
      </c>
      <c r="I10" s="77" t="str">
        <f>IF(H10="","",(H10/(C10*62.4))*100)</f>
        <v/>
      </c>
      <c r="J10" s="78" t="str">
        <f>IF(I10="","",Calculations!E34)</f>
        <v/>
      </c>
    </row>
    <row r="11" spans="1:11" ht="12.75" thickTop="1">
      <c r="A11" s="79" t="str">
        <f>CONCATENATE('Pay Values'!F3,"-1-B")</f>
        <v>0-1-B</v>
      </c>
      <c r="B11" s="80"/>
      <c r="C11" s="81" t="s">
        <v>1915</v>
      </c>
      <c r="D11" s="1231"/>
      <c r="E11" s="1231"/>
      <c r="F11" s="1231"/>
      <c r="G11" s="76" t="str">
        <f>IF(D11="","",D11/(F11-E11))</f>
        <v/>
      </c>
      <c r="H11" s="969" t="str">
        <f t="shared" ref="H11:H28" si="0">IF(G11="","",G11*62.4)</f>
        <v/>
      </c>
      <c r="I11" s="77" t="str">
        <f>IF(H11="","",(H11/(C10*62.4))*100)</f>
        <v/>
      </c>
      <c r="J11" s="78" t="str">
        <f>IF(I11="","",Calculations!F34)</f>
        <v/>
      </c>
    </row>
    <row r="12" spans="1:11">
      <c r="A12" s="79" t="str">
        <f>CONCATENATE('Pay Values'!F3,"-1-C")</f>
        <v>0-1-C</v>
      </c>
      <c r="B12" s="74"/>
      <c r="C12" s="76" t="s">
        <v>1915</v>
      </c>
      <c r="D12" s="1231"/>
      <c r="E12" s="1231"/>
      <c r="F12" s="1231"/>
      <c r="G12" s="76" t="str">
        <f>IF(D12="","",D12/(F12-E12))</f>
        <v/>
      </c>
      <c r="H12" s="969" t="str">
        <f t="shared" si="0"/>
        <v/>
      </c>
      <c r="I12" s="77" t="str">
        <f>IF(H12="","",(H12/(C10*62.4))*100)</f>
        <v/>
      </c>
      <c r="J12" s="78" t="str">
        <f>IF(I12="","",Calculations!G34)</f>
        <v/>
      </c>
    </row>
    <row r="13" spans="1:11">
      <c r="A13" s="79" t="str">
        <f>CONCATENATE('Pay Values'!F3,"-1-D")</f>
        <v>0-1-D</v>
      </c>
      <c r="B13" s="80"/>
      <c r="C13" s="81" t="s">
        <v>1915</v>
      </c>
      <c r="D13" s="1231"/>
      <c r="E13" s="1231"/>
      <c r="F13" s="1231"/>
      <c r="G13" s="76" t="str">
        <f>IF(D13="","",D13/(F13-E13))</f>
        <v/>
      </c>
      <c r="H13" s="969" t="str">
        <f t="shared" si="0"/>
        <v/>
      </c>
      <c r="I13" s="77" t="str">
        <f>IF(H13="","",(H13/(C10*62.4))*100)</f>
        <v/>
      </c>
      <c r="J13" s="78" t="str">
        <f>IF(I13="","",Calculations!H34)</f>
        <v/>
      </c>
    </row>
    <row r="14" spans="1:11" ht="12.75" thickBot="1">
      <c r="A14" s="79"/>
      <c r="B14" s="82" t="s">
        <v>1916</v>
      </c>
      <c r="C14" s="83"/>
      <c r="D14" s="84"/>
      <c r="E14" s="84"/>
      <c r="F14" s="84"/>
      <c r="G14" s="83"/>
      <c r="H14" s="85"/>
      <c r="I14" s="86"/>
      <c r="J14" s="87" t="str">
        <f>IF(Calculations!H12=2,0,IF(C10="","",IF(AND(J10="",'Pay Values'!F3=1),100,IF(J10="","",IF(AVERAGE(J10:J13)=65,"Call MCL",IF('Pay Values'!F3=1,100,AVERAGE(J10:J13)))))))</f>
        <v/>
      </c>
    </row>
    <row r="15" spans="1:11" ht="13.5" thickTop="1" thickBot="1">
      <c r="A15" s="79" t="str">
        <f>CONCATENATE('Pay Values'!F3,"-2-A")</f>
        <v>0-2-A</v>
      </c>
      <c r="B15" s="74"/>
      <c r="C15" s="44" t="str">
        <f>IF(Calculations!J1&lt;=5,Superpave!F42,"")</f>
        <v/>
      </c>
      <c r="D15" s="1231"/>
      <c r="E15" s="1231"/>
      <c r="F15" s="1231"/>
      <c r="G15" s="76" t="str">
        <f>IF(D15="","",D15/(F15-E15))</f>
        <v/>
      </c>
      <c r="H15" s="969" t="str">
        <f t="shared" si="0"/>
        <v/>
      </c>
      <c r="I15" s="77" t="str">
        <f>IF(H15="","",(H15/(C15*62.4))*100)</f>
        <v/>
      </c>
      <c r="J15" s="78" t="str">
        <f>IF(I15="","",Calculations!I34)</f>
        <v/>
      </c>
    </row>
    <row r="16" spans="1:11" ht="12.75" thickTop="1">
      <c r="A16" s="79" t="str">
        <f>CONCATENATE('Pay Values'!F3,"-2-B")</f>
        <v>0-2-B</v>
      </c>
      <c r="B16" s="74"/>
      <c r="C16" s="81"/>
      <c r="D16" s="1231"/>
      <c r="E16" s="1231"/>
      <c r="F16" s="1231"/>
      <c r="G16" s="76" t="str">
        <f>IF(D16="","",D16/(F16-E16))</f>
        <v/>
      </c>
      <c r="H16" s="969" t="str">
        <f>IF(G16="","",G16*62.4)</f>
        <v/>
      </c>
      <c r="I16" s="77" t="str">
        <f>IF(H16="","",(H16/(C15*62.4))*100)</f>
        <v/>
      </c>
      <c r="J16" s="78" t="str">
        <f>IF(I16="","",Calculations!J34)</f>
        <v/>
      </c>
    </row>
    <row r="17" spans="1:10">
      <c r="A17" s="79" t="str">
        <f>CONCATENATE('Pay Values'!F3,"-2-C")</f>
        <v>0-2-C</v>
      </c>
      <c r="B17" s="74"/>
      <c r="C17" s="76"/>
      <c r="D17" s="1231"/>
      <c r="E17" s="1231"/>
      <c r="F17" s="1231"/>
      <c r="G17" s="76" t="str">
        <f>IF(D17="","",D17/(F17-E17))</f>
        <v/>
      </c>
      <c r="H17" s="969" t="str">
        <f>IF(G17="","",G17*62.4)</f>
        <v/>
      </c>
      <c r="I17" s="77" t="str">
        <f>IF(H17="","",(H17/(C15*62.4))*100)</f>
        <v/>
      </c>
      <c r="J17" s="78" t="str">
        <f>IF(I17="","",Calculations!K34)</f>
        <v/>
      </c>
    </row>
    <row r="18" spans="1:10">
      <c r="A18" s="79" t="str">
        <f>CONCATENATE('Pay Values'!F3,"-2-D")</f>
        <v>0-2-D</v>
      </c>
      <c r="B18" s="74"/>
      <c r="C18" s="88"/>
      <c r="D18" s="1231"/>
      <c r="E18" s="1231"/>
      <c r="F18" s="1231"/>
      <c r="G18" s="76" t="str">
        <f>IF(D18="","",D18/(F18-E18))</f>
        <v/>
      </c>
      <c r="H18" s="969" t="str">
        <f>IF(G18="","",G18*62.4)</f>
        <v/>
      </c>
      <c r="I18" s="77" t="str">
        <f>IF(H18="","",(H18/(C15*62.4))*100)</f>
        <v/>
      </c>
      <c r="J18" s="78" t="str">
        <f>IF(I18="","",Calculations!L34)</f>
        <v/>
      </c>
    </row>
    <row r="19" spans="1:10" ht="12.75" thickBot="1">
      <c r="A19" s="79"/>
      <c r="B19" s="82" t="s">
        <v>1916</v>
      </c>
      <c r="C19" s="89"/>
      <c r="D19" s="90"/>
      <c r="E19" s="90"/>
      <c r="F19" s="90"/>
      <c r="G19" s="89"/>
      <c r="H19" s="91"/>
      <c r="I19" s="86"/>
      <c r="J19" s="87" t="str">
        <f>IF(J15="","",IF(AVERAGE(J15:J18)=65,"Call MCL",AVERAGE(J15:J18)))</f>
        <v/>
      </c>
    </row>
    <row r="20" spans="1:10" ht="13.5" thickTop="1" thickBot="1">
      <c r="A20" s="79" t="str">
        <f>CONCATENATE('Pay Values'!F3,"-3-A")</f>
        <v>0-3-A</v>
      </c>
      <c r="B20" s="74"/>
      <c r="C20" s="44" t="str">
        <f>IF(Calculations!J1&lt;=5,Superpave!H42,"")</f>
        <v/>
      </c>
      <c r="D20" s="1231"/>
      <c r="E20" s="1231"/>
      <c r="F20" s="1231"/>
      <c r="G20" s="76" t="str">
        <f>IF(D20="","",D20/(F20-E20))</f>
        <v/>
      </c>
      <c r="H20" s="969" t="str">
        <f t="shared" si="0"/>
        <v/>
      </c>
      <c r="I20" s="77" t="str">
        <f>IF(H20="","",(H20/(C20*62.4))*100)</f>
        <v/>
      </c>
      <c r="J20" s="78" t="str">
        <f>IF(I20="","",Calculations!M34)</f>
        <v/>
      </c>
    </row>
    <row r="21" spans="1:10" ht="12.75" thickTop="1">
      <c r="A21" s="79" t="str">
        <f>CONCATENATE('Pay Values'!F3,"-3-B")</f>
        <v>0-3-B</v>
      </c>
      <c r="B21" s="74"/>
      <c r="C21" s="81" t="s">
        <v>1915</v>
      </c>
      <c r="D21" s="1231"/>
      <c r="E21" s="1231"/>
      <c r="F21" s="1231"/>
      <c r="G21" s="76" t="str">
        <f>IF(D21="","",D21/(F21-E21))</f>
        <v/>
      </c>
      <c r="H21" s="969" t="str">
        <f t="shared" si="0"/>
        <v/>
      </c>
      <c r="I21" s="77" t="str">
        <f>IF(H21="","",(H21/(C20*62.4))*100)</f>
        <v/>
      </c>
      <c r="J21" s="78" t="str">
        <f>IF(I21="","",Calculations!N34)</f>
        <v/>
      </c>
    </row>
    <row r="22" spans="1:10">
      <c r="A22" s="79" t="str">
        <f>CONCATENATE('Pay Values'!F3,"-3-C")</f>
        <v>0-3-C</v>
      </c>
      <c r="B22" s="74"/>
      <c r="C22" s="76" t="s">
        <v>1915</v>
      </c>
      <c r="D22" s="1231"/>
      <c r="E22" s="1231"/>
      <c r="F22" s="1231"/>
      <c r="G22" s="76" t="str">
        <f>IF(D22="","",D22/(F22-E22))</f>
        <v/>
      </c>
      <c r="H22" s="969" t="str">
        <f t="shared" si="0"/>
        <v/>
      </c>
      <c r="I22" s="77" t="str">
        <f>IF(H22="","",(H22/(C20*62.4))*100)</f>
        <v/>
      </c>
      <c r="J22" s="78" t="str">
        <f>IF(I22="","",Calculations!O34)</f>
        <v/>
      </c>
    </row>
    <row r="23" spans="1:10">
      <c r="A23" s="79" t="str">
        <f>CONCATENATE('Pay Values'!F3,"-3-D")</f>
        <v>0-3-D</v>
      </c>
      <c r="B23" s="74"/>
      <c r="C23" s="81" t="s">
        <v>1915</v>
      </c>
      <c r="D23" s="1231"/>
      <c r="E23" s="1231"/>
      <c r="F23" s="1231"/>
      <c r="G23" s="76" t="str">
        <f>IF(D23="","",D23/(F23-E23))</f>
        <v/>
      </c>
      <c r="H23" s="969" t="str">
        <f t="shared" si="0"/>
        <v/>
      </c>
      <c r="I23" s="77" t="str">
        <f>IF(H23="","",(H23/(C20*62.4))*100)</f>
        <v/>
      </c>
      <c r="J23" s="78" t="str">
        <f>IF(I23="","",Calculations!P34)</f>
        <v/>
      </c>
    </row>
    <row r="24" spans="1:10" ht="12.75" thickBot="1">
      <c r="A24" s="79"/>
      <c r="B24" s="82" t="s">
        <v>1916</v>
      </c>
      <c r="C24" s="83"/>
      <c r="D24" s="84"/>
      <c r="E24" s="84"/>
      <c r="F24" s="84"/>
      <c r="G24" s="83"/>
      <c r="H24" s="85"/>
      <c r="I24" s="86"/>
      <c r="J24" s="87" t="str">
        <f>IF(J20="","",IF(AVERAGE(J20:J23)=65,"Call MCL",AVERAGE(J20:J23)))</f>
        <v/>
      </c>
    </row>
    <row r="25" spans="1:10" ht="13.5" thickTop="1" thickBot="1">
      <c r="A25" s="79" t="str">
        <f>CONCATENATE('Pay Values'!F3,"-4-A")</f>
        <v>0-4-A</v>
      </c>
      <c r="B25" s="74"/>
      <c r="C25" s="44" t="str">
        <f>IF(Calculations!J1&lt;=5,Superpave!J42,"")</f>
        <v/>
      </c>
      <c r="D25" s="1231"/>
      <c r="E25" s="1231"/>
      <c r="F25" s="1231"/>
      <c r="G25" s="76" t="str">
        <f>IF(D25="","",D25/(F25-E25))</f>
        <v/>
      </c>
      <c r="H25" s="969" t="str">
        <f t="shared" si="0"/>
        <v/>
      </c>
      <c r="I25" s="77" t="str">
        <f>IF(H25="","",(H25/(C25*62.4))*100)</f>
        <v/>
      </c>
      <c r="J25" s="78" t="str">
        <f>IF(I25="","",Calculations!Q34)</f>
        <v/>
      </c>
    </row>
    <row r="26" spans="1:10" ht="12.75" thickTop="1">
      <c r="A26" s="79" t="str">
        <f>CONCATENATE('Pay Values'!F3,"-4-B")</f>
        <v>0-4-B</v>
      </c>
      <c r="B26" s="74"/>
      <c r="C26" s="81" t="s">
        <v>1915</v>
      </c>
      <c r="D26" s="1231"/>
      <c r="E26" s="1231"/>
      <c r="F26" s="1231"/>
      <c r="G26" s="76" t="str">
        <f>IF(D26="","",D26/(F26-E26))</f>
        <v/>
      </c>
      <c r="H26" s="969" t="str">
        <f t="shared" si="0"/>
        <v/>
      </c>
      <c r="I26" s="77" t="str">
        <f>IF(H26="","",(H26/(C25*62.4))*100)</f>
        <v/>
      </c>
      <c r="J26" s="78" t="str">
        <f>IF(I26="","",Calculations!R34)</f>
        <v/>
      </c>
    </row>
    <row r="27" spans="1:10">
      <c r="A27" s="79" t="str">
        <f>CONCATENATE('Pay Values'!F3,"-4-C")</f>
        <v>0-4-C</v>
      </c>
      <c r="B27" s="74"/>
      <c r="C27" s="76" t="s">
        <v>1915</v>
      </c>
      <c r="D27" s="1231"/>
      <c r="E27" s="1231"/>
      <c r="F27" s="1231"/>
      <c r="G27" s="76" t="str">
        <f>IF(D27="","",D27/(F27-E27))</f>
        <v/>
      </c>
      <c r="H27" s="969" t="str">
        <f t="shared" si="0"/>
        <v/>
      </c>
      <c r="I27" s="77" t="str">
        <f>IF(H27="","",(H27/(C25*62.4))*100)</f>
        <v/>
      </c>
      <c r="J27" s="78" t="str">
        <f>IF(I27="","",Calculations!S34)</f>
        <v/>
      </c>
    </row>
    <row r="28" spans="1:10">
      <c r="A28" s="79" t="str">
        <f>CONCATENATE('Pay Values'!F3,"-4-D")</f>
        <v>0-4-D</v>
      </c>
      <c r="B28" s="74"/>
      <c r="C28" s="81" t="s">
        <v>1915</v>
      </c>
      <c r="D28" s="1231"/>
      <c r="E28" s="1231"/>
      <c r="F28" s="1231"/>
      <c r="G28" s="76" t="str">
        <f>IF(D28="","",D28/(F28-E28))</f>
        <v/>
      </c>
      <c r="H28" s="969" t="str">
        <f t="shared" si="0"/>
        <v/>
      </c>
      <c r="I28" s="77" t="str">
        <f>IF(H28="","",(H28/(C25*62.4))*100)</f>
        <v/>
      </c>
      <c r="J28" s="78" t="str">
        <f>IF(I28="","",Calculations!T34)</f>
        <v/>
      </c>
    </row>
    <row r="29" spans="1:10" ht="12.75" thickBot="1">
      <c r="A29" s="92"/>
      <c r="B29" s="93" t="s">
        <v>1916</v>
      </c>
      <c r="C29" s="93"/>
      <c r="D29" s="94"/>
      <c r="E29" s="94"/>
      <c r="F29" s="94"/>
      <c r="G29" s="95"/>
      <c r="H29" s="94"/>
      <c r="I29" s="96"/>
      <c r="J29" s="97" t="str">
        <f>IF(J25="","",IF(AVERAGE(J25:J28)=65,"Call MCL",AVERAGE(J25:J28)))</f>
        <v/>
      </c>
    </row>
    <row r="30" spans="1:10" ht="13.5" thickTop="1" thickBot="1">
      <c r="A30" s="98" t="s">
        <v>1657</v>
      </c>
      <c r="B30" s="99"/>
      <c r="C30" s="99"/>
      <c r="D30" s="99"/>
      <c r="E30" s="99"/>
      <c r="F30" s="99"/>
      <c r="G30" s="99"/>
      <c r="H30" s="100"/>
      <c r="I30" s="100"/>
      <c r="J30" s="101" t="str">
        <f>IF(J14="","",IF(OR(J14="Call MCL",J19="Call MCL",J24="Call MCL",J29="Call MCL"),"Call MCL",IF(AVERAGE(J14,J19,J24,J29)=65,"Call MCL",AVERAGE(J14,J19,J24,J29))))</f>
        <v/>
      </c>
    </row>
    <row r="31" spans="1:10" ht="14.25" thickTop="1" thickBot="1">
      <c r="A31"/>
      <c r="B31" s="51"/>
      <c r="C31" s="51"/>
      <c r="D31" s="51"/>
      <c r="E31" s="51"/>
      <c r="F31" s="51"/>
      <c r="G31" s="51"/>
      <c r="H31" s="51"/>
      <c r="I31" s="51"/>
      <c r="J31" s="51"/>
    </row>
    <row r="32" spans="1:10" ht="14.25" thickTop="1" thickBot="1">
      <c r="A32" s="102" t="s">
        <v>1917</v>
      </c>
      <c r="B32" s="444"/>
      <c r="C32" s="444"/>
      <c r="D32" s="444"/>
      <c r="E32" s="103"/>
      <c r="F32" s="103"/>
      <c r="G32" s="103"/>
      <c r="H32" s="103"/>
      <c r="I32" s="103"/>
      <c r="J32" s="104"/>
    </row>
    <row r="33" spans="1:10" ht="14.25" thickTop="1" thickBot="1">
      <c r="A33" s="73" t="str">
        <f>CONCATENATE('Pay Values'!F3,"-1-J1")</f>
        <v>0-1-J1</v>
      </c>
      <c r="B33" s="517"/>
      <c r="C33" s="44" t="str">
        <f>IF(Calculations!J1&lt;=5,Superpave!D42,"")</f>
        <v/>
      </c>
      <c r="D33" s="75"/>
      <c r="E33" s="75"/>
      <c r="F33" s="75"/>
      <c r="G33" s="76" t="str">
        <f t="shared" ref="G33:G43" si="1">IF(D33="","",D33/(F33-E33))</f>
        <v/>
      </c>
      <c r="H33" s="969" t="str">
        <f t="shared" ref="H33:H43" si="2">IF(G33="","",G33*62.4)</f>
        <v/>
      </c>
      <c r="I33" s="77" t="str">
        <f>IF(H33="","",(H33/(C33*62.4))*100)</f>
        <v/>
      </c>
      <c r="J33" s="637" t="str">
        <f>IF(Calculations!H11=2,"",IF(I33="","",Calculations!E67))</f>
        <v/>
      </c>
    </row>
    <row r="34" spans="1:10" ht="13.5" thickTop="1">
      <c r="A34" s="79" t="str">
        <f>CONCATENATE('Pay Values'!F3,"-1-J2")</f>
        <v>0-1-J2</v>
      </c>
      <c r="B34" s="517"/>
      <c r="C34" s="583"/>
      <c r="D34" s="75"/>
      <c r="E34" s="75"/>
      <c r="F34" s="75"/>
      <c r="G34" s="76" t="str">
        <f t="shared" si="1"/>
        <v/>
      </c>
      <c r="H34" s="969" t="str">
        <f t="shared" si="2"/>
        <v/>
      </c>
      <c r="I34" s="77" t="str">
        <f>IF(H34="","",(H34/(C33*62.4))*100)</f>
        <v/>
      </c>
      <c r="J34" s="637" t="str">
        <f>IF(I34="","",Calculations!F67)</f>
        <v/>
      </c>
    </row>
    <row r="35" spans="1:10" ht="12.75" thickBot="1">
      <c r="A35" s="51"/>
      <c r="B35" s="93" t="s">
        <v>1916</v>
      </c>
      <c r="C35" s="51"/>
      <c r="D35" s="51"/>
      <c r="E35" s="51"/>
      <c r="F35" s="51"/>
      <c r="G35" s="51"/>
      <c r="H35" s="51"/>
      <c r="I35" s="51"/>
      <c r="J35" s="623" t="str">
        <f>IF(Calculations!H11=2,"",IF(AND(Calculations!H11=1,'Pay Values'!F3=1),100,IF(C33="","",IF(J33="","",AVERAGE(J33:J34)))))</f>
        <v/>
      </c>
    </row>
    <row r="36" spans="1:10" ht="14.25" thickTop="1" thickBot="1">
      <c r="A36" s="621" t="str">
        <f>CONCATENATE('Pay Values'!F3,"-2-J1")</f>
        <v>0-2-J1</v>
      </c>
      <c r="B36" s="517"/>
      <c r="C36" s="44" t="str">
        <f>IF(Calculations!J1&lt;=5,Superpave!F42,"")</f>
        <v/>
      </c>
      <c r="D36" s="75"/>
      <c r="E36" s="75"/>
      <c r="F36" s="75"/>
      <c r="G36" s="76" t="str">
        <f t="shared" si="1"/>
        <v/>
      </c>
      <c r="H36" s="969" t="str">
        <f t="shared" si="2"/>
        <v/>
      </c>
      <c r="I36" s="77" t="str">
        <f>IF(H36="","",(H36/(C36*62.4))*100)</f>
        <v/>
      </c>
      <c r="J36" s="637" t="str">
        <f>IF(I36="","",Calculations!G67)</f>
        <v/>
      </c>
    </row>
    <row r="37" spans="1:10" ht="13.5" thickTop="1">
      <c r="A37" s="79" t="str">
        <f>CONCATENATE('Pay Values'!F3,"-2-J2")</f>
        <v>0-2-J2</v>
      </c>
      <c r="B37" s="517"/>
      <c r="C37" s="583"/>
      <c r="D37" s="75"/>
      <c r="E37" s="75"/>
      <c r="F37" s="75"/>
      <c r="G37" s="76" t="str">
        <f t="shared" si="1"/>
        <v/>
      </c>
      <c r="H37" s="969" t="str">
        <f t="shared" si="2"/>
        <v/>
      </c>
      <c r="I37" s="77" t="str">
        <f>IF(H37="","",(H37/(C36*62.4))*100)</f>
        <v/>
      </c>
      <c r="J37" s="637" t="str">
        <f>IF(I37="","",Calculations!H67)</f>
        <v/>
      </c>
    </row>
    <row r="38" spans="1:10" ht="12.75" thickBot="1">
      <c r="A38" s="51"/>
      <c r="B38" s="93" t="s">
        <v>1916</v>
      </c>
      <c r="C38" s="51"/>
      <c r="D38" s="51"/>
      <c r="E38" s="51"/>
      <c r="F38" s="51"/>
      <c r="G38" s="624"/>
      <c r="H38" s="625"/>
      <c r="I38" s="626"/>
      <c r="J38" s="623" t="str">
        <f>IF(J36="","",AVERAGE(J36:J37))</f>
        <v/>
      </c>
    </row>
    <row r="39" spans="1:10" ht="14.25" thickTop="1" thickBot="1">
      <c r="A39" s="621" t="str">
        <f>CONCATENATE('Pay Values'!F3,"-3-J1")</f>
        <v>0-3-J1</v>
      </c>
      <c r="B39" s="517"/>
      <c r="C39" s="44" t="str">
        <f>IF(Calculations!J1&lt;=5,Superpave!H42,"")</f>
        <v/>
      </c>
      <c r="D39" s="75"/>
      <c r="E39" s="75"/>
      <c r="F39" s="75"/>
      <c r="G39" s="76" t="str">
        <f t="shared" si="1"/>
        <v/>
      </c>
      <c r="H39" s="969" t="str">
        <f t="shared" si="2"/>
        <v/>
      </c>
      <c r="I39" s="77" t="str">
        <f>IF(H39="","",(H39/(C39*62.4))*100)</f>
        <v/>
      </c>
      <c r="J39" s="637" t="str">
        <f>IF(I39="","",Calculations!I67)</f>
        <v/>
      </c>
    </row>
    <row r="40" spans="1:10" ht="13.5" thickTop="1">
      <c r="A40" s="79" t="str">
        <f>CONCATENATE('Pay Values'!F3,"-3-J2")</f>
        <v>0-3-J2</v>
      </c>
      <c r="B40" s="517"/>
      <c r="C40" s="583"/>
      <c r="D40" s="75"/>
      <c r="E40" s="75"/>
      <c r="F40" s="75"/>
      <c r="G40" s="76" t="str">
        <f t="shared" si="1"/>
        <v/>
      </c>
      <c r="H40" s="969" t="str">
        <f t="shared" si="2"/>
        <v/>
      </c>
      <c r="I40" s="77" t="str">
        <f>IF(H40="","",(H40/(C39*62.4))*100)</f>
        <v/>
      </c>
      <c r="J40" s="637" t="str">
        <f>IF(I40="","",Calculations!J67)</f>
        <v/>
      </c>
    </row>
    <row r="41" spans="1:10" ht="12.75" thickBot="1">
      <c r="A41" s="51"/>
      <c r="B41" s="93" t="s">
        <v>1916</v>
      </c>
      <c r="C41" s="51"/>
      <c r="D41" s="51"/>
      <c r="E41" s="51"/>
      <c r="F41" s="51"/>
      <c r="G41" s="624"/>
      <c r="H41" s="625"/>
      <c r="I41" s="627"/>
      <c r="J41" s="87" t="str">
        <f>IF(J39="","",AVERAGE(J39:J40))</f>
        <v/>
      </c>
    </row>
    <row r="42" spans="1:10" ht="14.25" thickTop="1" thickBot="1">
      <c r="A42" s="621" t="str">
        <f>CONCATENATE('Pay Values'!F3,"-4-J1")</f>
        <v>0-4-J1</v>
      </c>
      <c r="B42" s="517"/>
      <c r="C42" s="44" t="str">
        <f>IF(Calculations!J1&lt;=5,Superpave!J42,"")</f>
        <v/>
      </c>
      <c r="D42" s="75"/>
      <c r="E42" s="75"/>
      <c r="F42" s="75"/>
      <c r="G42" s="76" t="str">
        <f t="shared" si="1"/>
        <v/>
      </c>
      <c r="H42" s="969" t="str">
        <f t="shared" si="2"/>
        <v/>
      </c>
      <c r="I42" s="77" t="str">
        <f>IF(H42="","",(H42/(C42*62.4))*100)</f>
        <v/>
      </c>
      <c r="J42" s="637" t="str">
        <f>IF(I42="","",Calculations!K67)</f>
        <v/>
      </c>
    </row>
    <row r="43" spans="1:10" ht="13.5" thickTop="1">
      <c r="A43" s="79" t="str">
        <f>CONCATENATE('Pay Values'!F3,"-4-J2")</f>
        <v>0-4-J2</v>
      </c>
      <c r="B43" s="517"/>
      <c r="C43" s="583"/>
      <c r="D43" s="75"/>
      <c r="E43" s="75"/>
      <c r="F43" s="75"/>
      <c r="G43" s="76" t="str">
        <f t="shared" si="1"/>
        <v/>
      </c>
      <c r="H43" s="969" t="str">
        <f t="shared" si="2"/>
        <v/>
      </c>
      <c r="I43" s="77" t="str">
        <f>IF(H43="","",(H43/(C42*62.4))*100)</f>
        <v/>
      </c>
      <c r="J43" s="637" t="str">
        <f>IF(I43="","",Calculations!L67)</f>
        <v/>
      </c>
    </row>
    <row r="44" spans="1:10" ht="12.75" thickBot="1">
      <c r="A44" s="100"/>
      <c r="B44" s="93" t="s">
        <v>1916</v>
      </c>
      <c r="C44" s="100"/>
      <c r="D44" s="100"/>
      <c r="E44" s="100"/>
      <c r="F44" s="100"/>
      <c r="G44" s="100"/>
      <c r="H44" s="100"/>
      <c r="I44" s="100"/>
      <c r="J44" s="622" t="str">
        <f>IF(J42="","",AVERAGE(J42:J43))</f>
        <v/>
      </c>
    </row>
    <row r="45" spans="1:10" ht="13.5" thickTop="1" thickBot="1">
      <c r="A45" s="98" t="s">
        <v>1657</v>
      </c>
      <c r="B45" s="99"/>
      <c r="C45" s="99"/>
      <c r="D45" s="99"/>
      <c r="E45" s="99"/>
      <c r="F45" s="99"/>
      <c r="G45" s="99"/>
      <c r="H45" s="100"/>
      <c r="I45" s="100"/>
      <c r="J45" s="101" t="str">
        <f>IF(J35="","",AVERAGE(J35,J38,J41,J44))</f>
        <v/>
      </c>
    </row>
    <row r="46" spans="1:10" ht="12.75" thickTop="1"/>
    <row r="48" spans="1:10" ht="12.75" thickBot="1"/>
    <row r="49" spans="1:4" ht="13.5" thickTop="1" thickBot="1">
      <c r="A49" s="102" t="s">
        <v>1918</v>
      </c>
      <c r="B49" s="103"/>
      <c r="C49" s="103"/>
      <c r="D49" s="104"/>
    </row>
    <row r="50" spans="1:4" ht="12.75" thickTop="1">
      <c r="A50" s="105" t="s">
        <v>1693</v>
      </c>
      <c r="B50" s="974"/>
      <c r="C50" s="106" t="s">
        <v>1695</v>
      </c>
      <c r="D50" s="976"/>
    </row>
    <row r="51" spans="1:4" ht="12.75" thickBot="1">
      <c r="A51" s="107" t="s">
        <v>1694</v>
      </c>
      <c r="B51" s="975"/>
      <c r="C51" s="100" t="s">
        <v>1696</v>
      </c>
      <c r="D51" s="977"/>
    </row>
    <row r="52" spans="1:4" ht="12.75" thickTop="1"/>
  </sheetData>
  <sheetProtection algorithmName="SHA-512" hashValue="ZrBhpnPgH8X6j3JfoTLP498Zat1BwILCsIHGEUTOsN9PGcCsnlOi+DXcw4c7+wOphAIwxywOB+6eVhp+/6K7vQ==" saltValue="ny2KrBbFKQBkSeP2QvsOSQ==" spinCount="100000" sheet="1" objects="1" scenarios="1"/>
  <mergeCells count="2">
    <mergeCell ref="G2:J2"/>
    <mergeCell ref="G3:J3"/>
  </mergeCells>
  <phoneticPr fontId="31" type="noConversion"/>
  <printOptions horizontalCentered="1"/>
  <pageMargins left="0.25" right="0.25" top="0.5" bottom="0.5" header="0.5" footer="0.25"/>
  <pageSetup orientation="landscape" blackAndWhite="1" horizontalDpi="300" verticalDpi="300" r:id="rId1"/>
  <headerFooter alignWithMargins="0">
    <oddFooter>&amp;CPage 3</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T50"/>
  <sheetViews>
    <sheetView showGridLines="0" workbookViewId="0"/>
  </sheetViews>
  <sheetFormatPr defaultRowHeight="12" customHeight="1"/>
  <cols>
    <col min="1" max="2" width="9.140625" style="265"/>
    <col min="3" max="6" width="9.42578125" style="265" customWidth="1"/>
    <col min="7" max="16384" width="9.140625" style="265"/>
  </cols>
  <sheetData>
    <row r="1" spans="1:20" ht="12" customHeight="1">
      <c r="A1" s="655" t="s">
        <v>1086</v>
      </c>
      <c r="B1" s="278"/>
      <c r="C1" s="270" t="str">
        <f>IF('Pay Values'!B3="","",'Pay Values'!B3)</f>
        <v/>
      </c>
      <c r="D1" s="270"/>
      <c r="E1" s="278" t="s">
        <v>1635</v>
      </c>
      <c r="F1" s="278"/>
      <c r="G1" s="270" t="e">
        <f>IF('Pay Values'!C6="","",'Pay Values'!C6)</f>
        <v>#N/A</v>
      </c>
      <c r="H1" s="270"/>
      <c r="I1" s="270"/>
      <c r="J1" s="270"/>
    </row>
    <row r="2" spans="1:20" ht="12" customHeight="1" thickBot="1">
      <c r="A2" s="658" t="s">
        <v>914</v>
      </c>
      <c r="B2" s="278"/>
      <c r="C2" s="270" t="str">
        <f>IF('Pay Values'!B4="","",'Pay Values'!B4)</f>
        <v/>
      </c>
      <c r="D2" s="270"/>
      <c r="H2" s="260"/>
      <c r="I2" s="260"/>
      <c r="K2" s="278"/>
      <c r="L2" s="278"/>
      <c r="M2" s="278"/>
    </row>
    <row r="3" spans="1:20" ht="12" customHeight="1" thickTop="1" thickBot="1">
      <c r="A3" s="278" t="s">
        <v>1898</v>
      </c>
      <c r="B3" s="278"/>
      <c r="C3" s="270" t="str">
        <f>IF('Pay Values'!B5="","",'Pay Values'!B5)</f>
        <v/>
      </c>
      <c r="D3" s="270"/>
      <c r="F3" s="260"/>
      <c r="G3" s="260"/>
      <c r="H3" s="260"/>
      <c r="I3" s="260"/>
      <c r="L3" s="266" t="s">
        <v>1738</v>
      </c>
      <c r="M3" s="311"/>
    </row>
    <row r="4" spans="1:20" ht="12" customHeight="1" thickTop="1" thickBot="1">
      <c r="A4" s="278"/>
      <c r="B4" s="278"/>
      <c r="C4" s="339"/>
      <c r="D4" s="278"/>
      <c r="E4" s="278"/>
      <c r="F4" s="260"/>
      <c r="G4" s="260"/>
      <c r="H4" s="260"/>
      <c r="I4" s="260"/>
      <c r="J4" s="278"/>
      <c r="K4" s="278"/>
      <c r="L4" s="326" t="s">
        <v>1739</v>
      </c>
      <c r="M4" s="546"/>
    </row>
    <row r="5" spans="1:20" ht="12" customHeight="1" thickTop="1" thickBot="1">
      <c r="A5" s="261" t="s">
        <v>2134</v>
      </c>
      <c r="B5" s="340" t="str">
        <f>IF(Calculations!L1="","",Calculations!L1)</f>
        <v/>
      </c>
      <c r="C5" s="265" t="s">
        <v>1896</v>
      </c>
      <c r="E5" s="1650"/>
      <c r="F5" s="1650"/>
      <c r="G5" s="487" t="s">
        <v>1897</v>
      </c>
      <c r="H5" s="278"/>
      <c r="I5" s="1651"/>
      <c r="J5" s="1651"/>
      <c r="K5" s="1651"/>
      <c r="L5" s="341"/>
      <c r="M5" s="264"/>
    </row>
    <row r="6" spans="1:20" ht="12" customHeight="1" thickTop="1">
      <c r="A6" s="280"/>
      <c r="B6" s="281" t="s">
        <v>1650</v>
      </c>
      <c r="C6" s="282"/>
      <c r="D6" s="283" t="s">
        <v>1712</v>
      </c>
      <c r="E6" s="284"/>
      <c r="F6" s="281" t="s">
        <v>2135</v>
      </c>
      <c r="G6" s="281" t="s">
        <v>1714</v>
      </c>
      <c r="H6" s="281" t="s">
        <v>2136</v>
      </c>
      <c r="I6" s="281" t="s">
        <v>1716</v>
      </c>
      <c r="J6" s="285" t="s">
        <v>2137</v>
      </c>
      <c r="K6" s="281" t="s">
        <v>2138</v>
      </c>
      <c r="L6" s="281" t="s">
        <v>1655</v>
      </c>
      <c r="M6" s="281" t="s">
        <v>2139</v>
      </c>
      <c r="N6" s="286" t="s">
        <v>1719</v>
      </c>
      <c r="O6" s="357"/>
      <c r="P6" s="357"/>
      <c r="Q6" s="260"/>
      <c r="R6" s="357"/>
      <c r="S6" s="357"/>
      <c r="T6" s="357"/>
    </row>
    <row r="7" spans="1:20" ht="12" customHeight="1" thickBot="1">
      <c r="A7" s="287" t="s">
        <v>1720</v>
      </c>
      <c r="B7" s="288" t="s">
        <v>1721</v>
      </c>
      <c r="C7" s="288" t="s">
        <v>1722</v>
      </c>
      <c r="D7" s="288" t="s">
        <v>1723</v>
      </c>
      <c r="E7" s="288" t="s">
        <v>1724</v>
      </c>
      <c r="F7" s="289"/>
      <c r="G7" s="289"/>
      <c r="H7" s="289"/>
      <c r="I7" s="288" t="s">
        <v>1727</v>
      </c>
      <c r="J7" s="289"/>
      <c r="K7" s="288"/>
      <c r="L7" s="289"/>
      <c r="M7" s="289"/>
      <c r="N7" s="376" t="s">
        <v>1732</v>
      </c>
      <c r="O7" s="375"/>
      <c r="P7" s="375"/>
      <c r="Q7" s="260"/>
      <c r="R7" s="375"/>
      <c r="S7" s="375"/>
      <c r="T7" s="375"/>
    </row>
    <row r="8" spans="1:20" ht="12" customHeight="1" thickTop="1">
      <c r="A8" s="290">
        <v>1</v>
      </c>
      <c r="B8" s="291" t="s">
        <v>1637</v>
      </c>
      <c r="C8" s="527"/>
      <c r="D8" s="528"/>
      <c r="E8" s="527"/>
      <c r="F8" s="292" t="str">
        <f>IF(E8="","",E8-D8)</f>
        <v/>
      </c>
      <c r="G8" s="293" t="str">
        <f>IF(F8="","",(C8/F8))</f>
        <v/>
      </c>
      <c r="H8" s="294" t="str">
        <f>IF(ISERROR(G8*62.4),"",(G8*62.4))</f>
        <v/>
      </c>
      <c r="I8" s="293"/>
      <c r="J8" s="295"/>
      <c r="K8" s="296"/>
      <c r="L8" s="296"/>
      <c r="M8" s="297"/>
      <c r="N8" s="377"/>
      <c r="O8" s="358"/>
      <c r="P8" s="358"/>
      <c r="Q8" s="260"/>
      <c r="R8" s="358"/>
      <c r="S8" s="358"/>
      <c r="T8" s="358"/>
    </row>
    <row r="9" spans="1:20" ht="12" customHeight="1" thickBot="1">
      <c r="A9" s="298">
        <v>2</v>
      </c>
      <c r="B9" s="288"/>
      <c r="C9" s="565"/>
      <c r="D9" s="566"/>
      <c r="E9" s="565"/>
      <c r="F9" s="299" t="str">
        <f>IF(E9="","",E9-D9)</f>
        <v/>
      </c>
      <c r="G9" s="300" t="str">
        <f>IF(F9="","",(C9/F9))</f>
        <v/>
      </c>
      <c r="H9" s="1008" t="str">
        <f>IF(ISERROR(G9*62.4),"",(G9*62.4))</f>
        <v/>
      </c>
      <c r="I9" s="300"/>
      <c r="J9" s="302"/>
      <c r="K9" s="303"/>
      <c r="L9" s="303"/>
      <c r="M9" s="304"/>
      <c r="N9" s="378"/>
      <c r="O9" s="358"/>
      <c r="P9" s="358"/>
      <c r="Q9" s="260"/>
      <c r="R9" s="358"/>
      <c r="S9" s="358"/>
      <c r="T9" s="358"/>
    </row>
    <row r="10" spans="1:20" ht="12" customHeight="1" thickTop="1" thickBot="1">
      <c r="A10" s="298" t="s">
        <v>1733</v>
      </c>
      <c r="B10" s="302" t="str">
        <f>IF(AND(J27="",J28=""),"",IF(J27="",J28,J27))</f>
        <v/>
      </c>
      <c r="C10" s="497"/>
      <c r="D10" s="299"/>
      <c r="E10" s="305" t="s">
        <v>1637</v>
      </c>
      <c r="F10" s="299"/>
      <c r="G10" s="300" t="str">
        <f>IF(G8="","",AVERAGE(G8:G9))</f>
        <v/>
      </c>
      <c r="H10" s="302" t="str">
        <f>IF(H8="","",AVERAGE(H8:H9))</f>
        <v/>
      </c>
      <c r="I10" s="300" t="str">
        <f>IF(D26="","",D26)</f>
        <v/>
      </c>
      <c r="J10" s="302" t="str">
        <f>IF(G10="","",((I10-G10)/I10)*100)</f>
        <v/>
      </c>
      <c r="K10" s="302" t="str">
        <f>IF(B10="","",IF(B5=1,B10-(((100-B10)*((100*((Superpave!J8-Superpave!R9)/(Superpave!R9*Superpave!J8))*1.03)))/100),IF(B5=2,B10-(((100-B10)*((100*((Superpave!J8-Superpave!S9)/(Superpave!S9*Superpave!J8))*1.03)))/100),IF(B5=3,B10-(((100-B10)*((100*((Superpave!J8-Superpave!T9)/(Superpave!T9*Superpave!J8))*1.03)))/100),IF(B5=4,B10-(((100-B10)*((100*((Superpave!J8-Superpave!U9)/(Superpave!U9*Superpave!J8))*1.03)))/100),"")))))</f>
        <v/>
      </c>
      <c r="L10" s="302" t="str">
        <f>IF(G10="","",IF(B5=1,100-(G10*(100-B10)/Superpave!R9),IF(B5=2,100-(G10*(100-B10)/Superpave!S9),IF(B5=3,100-(G10*(100-B10)/Superpave!T9),IF(B5=4,100-(G10*(100-B10)/Superpave!U9),"")))))</f>
        <v/>
      </c>
      <c r="M10" s="307" t="str">
        <f>IF(L10="","",(100*(L10-J10)/L10))</f>
        <v/>
      </c>
      <c r="N10" s="378" t="str">
        <f>IF(Calculations!AT7="","",Calculations!AT7)</f>
        <v/>
      </c>
      <c r="O10" s="358"/>
      <c r="P10" s="365"/>
      <c r="Q10" s="260"/>
      <c r="R10" s="358"/>
      <c r="S10" s="358"/>
      <c r="T10" s="358"/>
    </row>
    <row r="11" spans="1:20" ht="12" customHeight="1" thickTop="1">
      <c r="A11" s="357"/>
      <c r="B11" s="358"/>
      <c r="C11" s="359"/>
      <c r="D11" s="360"/>
      <c r="E11" s="361"/>
      <c r="F11" s="360"/>
      <c r="G11" s="362"/>
      <c r="H11" s="363"/>
      <c r="I11" s="362"/>
      <c r="J11" s="358"/>
      <c r="K11" s="358"/>
      <c r="L11" s="358"/>
      <c r="M11" s="364"/>
      <c r="N11" s="1500" t="str">
        <f>IF(OR(N10="&gt;1.6",N10="&lt;0.6"),"* Does not satisfy KY Specification Subsection 402.03.02 D) 5)","")</f>
        <v/>
      </c>
      <c r="O11" s="358"/>
      <c r="P11" s="365"/>
      <c r="Q11" s="260"/>
      <c r="R11" s="358"/>
      <c r="S11" s="358"/>
      <c r="T11" s="358"/>
    </row>
    <row r="12" spans="1:20" ht="12" customHeight="1" thickBot="1">
      <c r="A12" s="261" t="s">
        <v>2134</v>
      </c>
      <c r="B12" s="340" t="str">
        <f>IF(Calculations!L2="","",Calculations!L2)</f>
        <v/>
      </c>
      <c r="C12" s="487" t="s">
        <v>1896</v>
      </c>
      <c r="D12" s="278"/>
      <c r="E12" s="520"/>
      <c r="F12" s="554"/>
      <c r="G12" s="487" t="s">
        <v>1897</v>
      </c>
      <c r="H12" s="278"/>
      <c r="I12" s="516"/>
      <c r="J12" s="554"/>
      <c r="K12" s="555"/>
      <c r="L12" s="264"/>
      <c r="Q12" s="260"/>
    </row>
    <row r="13" spans="1:20" ht="12" customHeight="1" thickTop="1">
      <c r="A13" s="280"/>
      <c r="B13" s="281" t="s">
        <v>1650</v>
      </c>
      <c r="C13" s="282"/>
      <c r="D13" s="283" t="s">
        <v>1712</v>
      </c>
      <c r="E13" s="284"/>
      <c r="F13" s="281" t="s">
        <v>2135</v>
      </c>
      <c r="G13" s="281" t="s">
        <v>1714</v>
      </c>
      <c r="H13" s="281" t="s">
        <v>2136</v>
      </c>
      <c r="I13" s="281" t="s">
        <v>1716</v>
      </c>
      <c r="J13" s="285" t="s">
        <v>2137</v>
      </c>
      <c r="K13" s="281" t="s">
        <v>2138</v>
      </c>
      <c r="L13" s="281" t="s">
        <v>1655</v>
      </c>
      <c r="M13" s="281" t="s">
        <v>2139</v>
      </c>
      <c r="N13" s="286" t="s">
        <v>1719</v>
      </c>
      <c r="O13" s="357"/>
      <c r="P13" s="357"/>
      <c r="Q13" s="260"/>
      <c r="R13" s="357"/>
      <c r="S13" s="357"/>
      <c r="T13" s="357"/>
    </row>
    <row r="14" spans="1:20" ht="12" customHeight="1" thickBot="1">
      <c r="A14" s="287" t="s">
        <v>1720</v>
      </c>
      <c r="B14" s="288" t="s">
        <v>1721</v>
      </c>
      <c r="C14" s="288" t="s">
        <v>1722</v>
      </c>
      <c r="D14" s="288" t="s">
        <v>1723</v>
      </c>
      <c r="E14" s="288" t="s">
        <v>1724</v>
      </c>
      <c r="F14" s="289"/>
      <c r="G14" s="289"/>
      <c r="H14" s="289"/>
      <c r="I14" s="288" t="s">
        <v>1727</v>
      </c>
      <c r="J14" s="289"/>
      <c r="K14" s="288"/>
      <c r="L14" s="289"/>
      <c r="M14" s="289"/>
      <c r="N14" s="376" t="s">
        <v>1732</v>
      </c>
      <c r="O14" s="375"/>
      <c r="P14" s="375"/>
      <c r="Q14" s="260"/>
      <c r="R14" s="375"/>
      <c r="S14" s="375"/>
      <c r="T14" s="375"/>
    </row>
    <row r="15" spans="1:20" ht="12" customHeight="1" thickTop="1">
      <c r="A15" s="290">
        <v>1</v>
      </c>
      <c r="B15" s="291" t="s">
        <v>1637</v>
      </c>
      <c r="C15" s="527"/>
      <c r="D15" s="528"/>
      <c r="E15" s="527"/>
      <c r="F15" s="292" t="str">
        <f>IF(E15="","",E15-D15)</f>
        <v/>
      </c>
      <c r="G15" s="293" t="str">
        <f>IF(F15="","",(C15/F15))</f>
        <v/>
      </c>
      <c r="H15" s="294" t="str">
        <f>IF(ISERROR(G15*62.4),"",(G15*62.4))</f>
        <v/>
      </c>
      <c r="I15" s="293"/>
      <c r="J15" s="295"/>
      <c r="K15" s="296"/>
      <c r="L15" s="296"/>
      <c r="M15" s="297"/>
      <c r="N15" s="377"/>
      <c r="O15" s="358"/>
      <c r="P15" s="358"/>
      <c r="Q15" s="260"/>
      <c r="R15" s="358"/>
      <c r="S15" s="358"/>
      <c r="T15" s="358"/>
    </row>
    <row r="16" spans="1:20" ht="12" customHeight="1" thickBot="1">
      <c r="A16" s="298">
        <v>2</v>
      </c>
      <c r="B16" s="288"/>
      <c r="C16" s="565"/>
      <c r="D16" s="566"/>
      <c r="E16" s="565"/>
      <c r="F16" s="299" t="str">
        <f>IF(E16="","",E16-D16)</f>
        <v/>
      </c>
      <c r="G16" s="300" t="str">
        <f>IF(F16="","",(C16/F16))</f>
        <v/>
      </c>
      <c r="H16" s="301" t="str">
        <f>IF(ISERROR(G16*62.4),"",(G16*62.4))</f>
        <v/>
      </c>
      <c r="I16" s="300"/>
      <c r="J16" s="302"/>
      <c r="K16" s="303"/>
      <c r="L16" s="303"/>
      <c r="M16" s="304"/>
      <c r="N16" s="378"/>
      <c r="O16" s="358"/>
      <c r="P16" s="358"/>
      <c r="Q16" s="260"/>
      <c r="R16" s="358"/>
      <c r="S16" s="358"/>
      <c r="T16" s="358"/>
    </row>
    <row r="17" spans="1:20" ht="12" customHeight="1" thickTop="1" thickBot="1">
      <c r="A17" s="298" t="s">
        <v>1733</v>
      </c>
      <c r="B17" s="302" t="str">
        <f>IF(AND(M27="",M28=""),"",IF(M27="",M28,M27))</f>
        <v/>
      </c>
      <c r="C17" s="497"/>
      <c r="D17" s="299"/>
      <c r="E17" s="305" t="s">
        <v>1637</v>
      </c>
      <c r="F17" s="299"/>
      <c r="G17" s="300" t="str">
        <f>IF(G15="","",AVERAGE(G15:G16))</f>
        <v/>
      </c>
      <c r="H17" s="302" t="str">
        <f>IF(H15="","",AVERAGE(H15:H16))</f>
        <v/>
      </c>
      <c r="I17" s="300" t="str">
        <f>IF(F26="","",F26)</f>
        <v/>
      </c>
      <c r="J17" s="302" t="str">
        <f>IF(G17="","",((I17-G17)/I17)*100)</f>
        <v/>
      </c>
      <c r="K17" s="302" t="str">
        <f>IF(B17="","",IF(B12=1,B17-(((100-B17)*((100*((Superpave!J8-Superpave!R9)/(Superpave!R9*Superpave!J8))*1.03)))/100),IF(B12=2,B17-(((100-B17)*((100*((Superpave!J8-Superpave!S9)/(Superpave!S9*Superpave!J8))*1.03)))/100),IF(B12=3,B17-(((100-B17)*((100*((Superpave!J8-Superpave!T9)/(Superpave!T9*Superpave!J8))*1.03)))/100),IF(B12=4,B17-(((100-B17)*((100*((Superpave!J8-Superpave!U9)/(Superpave!U9*Superpave!J8))*1.03)))/100),"")))))</f>
        <v/>
      </c>
      <c r="L17" s="302" t="str">
        <f>IF(G17="","",IF(B12=1,100-(G17*(100-B17)/Superpave!R9),IF(B12=2,100-(G17*(100-B17)/Superpave!S9),IF(B12=3,100-(G17*(100-B17)/Superpave!T9),IF(B12=4,100-(G17*(100-B17)/Superpave!U9),"")))))</f>
        <v/>
      </c>
      <c r="M17" s="307" t="str">
        <f>IF(L17="","",(100*(L17-J17)/L17))</f>
        <v/>
      </c>
      <c r="N17" s="378" t="str">
        <f>IF(Calculations!AU7="","",Calculations!AU7)</f>
        <v/>
      </c>
      <c r="O17" s="358"/>
      <c r="P17" s="365"/>
      <c r="Q17" s="260"/>
      <c r="R17" s="358"/>
      <c r="S17" s="358"/>
      <c r="T17" s="358"/>
    </row>
    <row r="18" spans="1:20" ht="12" customHeight="1" thickTop="1" thickBot="1">
      <c r="N18" s="1500" t="str">
        <f>IF(OR(N17="&gt;1.6",N17="&lt;0.6"),"* Does not satisfy KY Specification Subsection 402.03.02 D) 5)","")</f>
        <v/>
      </c>
    </row>
    <row r="19" spans="1:20" ht="12" customHeight="1" thickTop="1" thickBot="1">
      <c r="A19" s="342"/>
      <c r="B19" s="343"/>
      <c r="C19" s="344" t="str">
        <f>CONCATENATE("Sublot #", B5,"a")</f>
        <v>Sublot #a</v>
      </c>
      <c r="D19" s="344" t="str">
        <f>CONCATENATE("Sublot #", B5,"b")</f>
        <v>Sublot #b</v>
      </c>
      <c r="E19" s="344" t="str">
        <f>CONCATENATE("Sublot #",B12,"a")</f>
        <v>Sublot #a</v>
      </c>
      <c r="F19" s="345" t="str">
        <f>CONCATENATE("Sublot #",B12,"b")</f>
        <v>Sublot #b</v>
      </c>
      <c r="H19" s="266" t="str">
        <f>CONCATENATE("Binder Content Verif. Sublot # ",B5)</f>
        <v xml:space="preserve">Binder Content Verif. Sublot # </v>
      </c>
      <c r="I19" s="267"/>
      <c r="J19" s="311"/>
      <c r="K19" s="266" t="str">
        <f>CONCATENATE("Binder Content Verif. Sublot # ",B12)</f>
        <v xml:space="preserve">Binder Content Verif. Sublot # </v>
      </c>
      <c r="L19" s="267"/>
      <c r="M19" s="311"/>
    </row>
    <row r="20" spans="1:20" ht="12" customHeight="1" thickTop="1">
      <c r="A20" s="277" t="s">
        <v>1751</v>
      </c>
      <c r="B20" s="324"/>
      <c r="C20" s="529"/>
      <c r="D20" s="529"/>
      <c r="E20" s="529"/>
      <c r="F20" s="529"/>
      <c r="G20" s="349"/>
      <c r="H20" s="346"/>
      <c r="I20" s="347"/>
      <c r="J20" s="348"/>
      <c r="K20" s="346"/>
      <c r="L20" s="347"/>
      <c r="M20" s="348"/>
    </row>
    <row r="21" spans="1:20" ht="12" customHeight="1">
      <c r="A21" s="277" t="s">
        <v>1883</v>
      </c>
      <c r="B21" s="325"/>
      <c r="C21" s="530"/>
      <c r="D21" s="530"/>
      <c r="E21" s="530"/>
      <c r="F21" s="530"/>
      <c r="G21" s="349"/>
      <c r="H21" s="349"/>
      <c r="J21" s="569"/>
      <c r="K21" s="349"/>
      <c r="M21" s="569"/>
    </row>
    <row r="22" spans="1:20" ht="12" customHeight="1">
      <c r="A22" s="327" t="s">
        <v>1884</v>
      </c>
      <c r="B22" s="328"/>
      <c r="C22" s="350" t="str">
        <f>IF(C21="","",C20+C21)</f>
        <v/>
      </c>
      <c r="D22" s="330" t="str">
        <f>IF(D21="","",D20+D21)</f>
        <v/>
      </c>
      <c r="E22" s="329" t="str">
        <f>IF(E21="","",E20+E21)</f>
        <v/>
      </c>
      <c r="F22" s="330" t="str">
        <f>IF(F21="","",F20+F21)</f>
        <v/>
      </c>
      <c r="G22" s="349"/>
      <c r="H22" s="351"/>
      <c r="I22" s="352"/>
      <c r="J22" s="570"/>
      <c r="K22" s="351"/>
      <c r="L22" s="352"/>
      <c r="M22" s="570"/>
    </row>
    <row r="23" spans="1:20" ht="12" customHeight="1">
      <c r="A23" s="327" t="s">
        <v>1885</v>
      </c>
      <c r="B23" s="328"/>
      <c r="C23" s="531"/>
      <c r="D23" s="531"/>
      <c r="E23" s="531"/>
      <c r="F23" s="531"/>
      <c r="G23" s="349"/>
      <c r="H23" s="351"/>
      <c r="I23" s="352"/>
      <c r="J23" s="570"/>
      <c r="K23" s="351"/>
      <c r="L23" s="352"/>
      <c r="M23" s="570"/>
    </row>
    <row r="24" spans="1:20" ht="12" customHeight="1">
      <c r="A24" s="327" t="s">
        <v>1886</v>
      </c>
      <c r="B24" s="328"/>
      <c r="C24" s="532"/>
      <c r="D24" s="532"/>
      <c r="E24" s="532"/>
      <c r="F24" s="532"/>
      <c r="G24" s="349"/>
      <c r="H24" s="353"/>
      <c r="I24" s="352"/>
      <c r="J24" s="571"/>
      <c r="K24" s="353"/>
      <c r="L24" s="352"/>
      <c r="M24" s="571"/>
    </row>
    <row r="25" spans="1:20" ht="12" customHeight="1" thickBot="1">
      <c r="A25" s="331" t="s">
        <v>1887</v>
      </c>
      <c r="B25" s="332"/>
      <c r="C25" s="333" t="str">
        <f>IF(C23="","",C20/(C22-C23+C24))</f>
        <v/>
      </c>
      <c r="D25" s="496" t="str">
        <f>IF(D23="","",D20/(D22-D23+D24))</f>
        <v/>
      </c>
      <c r="E25" s="333" t="str">
        <f>IF(E23="","",E20/(E22-E23+E24))</f>
        <v/>
      </c>
      <c r="F25" s="496" t="str">
        <f>IF(F23="","",F20/(F22-F23+F24))</f>
        <v/>
      </c>
      <c r="H25" s="353"/>
      <c r="I25" s="352"/>
      <c r="J25" s="571"/>
      <c r="K25" s="353"/>
      <c r="L25" s="352"/>
      <c r="M25" s="571"/>
    </row>
    <row r="26" spans="1:20" ht="12" customHeight="1" thickTop="1" thickBot="1">
      <c r="B26" s="335"/>
      <c r="C26" s="335" t="s">
        <v>1888</v>
      </c>
      <c r="D26" s="336" t="str">
        <f>IF(ISERROR(AVERAGE(C25:D25)),"",AVERAGE(C25:D25))</f>
        <v/>
      </c>
      <c r="E26" s="335" t="s">
        <v>1888</v>
      </c>
      <c r="F26" s="336" t="str">
        <f>IF(ISERROR(AVERAGE(E25:F25)),"",AVERAGE(E25:F25))</f>
        <v/>
      </c>
      <c r="H26" s="351"/>
      <c r="I26" s="260"/>
      <c r="J26" s="742"/>
      <c r="K26" s="351"/>
      <c r="L26" s="260"/>
      <c r="M26" s="742"/>
    </row>
    <row r="27" spans="1:20" ht="12" customHeight="1" thickTop="1">
      <c r="H27" s="351" t="s">
        <v>2141</v>
      </c>
      <c r="I27" s="352"/>
      <c r="J27" s="492" t="str">
        <f>IF(J28="","",J28-'Super Verify'!M39)</f>
        <v/>
      </c>
      <c r="K27" s="351" t="s">
        <v>2141</v>
      </c>
      <c r="L27" s="352"/>
      <c r="M27" s="492" t="str">
        <f>IF(M28="","",M28-'Super Verify'!N39)</f>
        <v/>
      </c>
    </row>
    <row r="28" spans="1:20" ht="12" customHeight="1" thickBot="1">
      <c r="H28" s="354" t="s">
        <v>2142</v>
      </c>
      <c r="I28" s="355"/>
      <c r="J28" s="356" t="str">
        <f>IF(D26="","",(1.03*(Superpave!J8-D26))/(D26*(Superpave!J8-1.03))*100)</f>
        <v/>
      </c>
      <c r="K28" s="354" t="s">
        <v>2142</v>
      </c>
      <c r="L28" s="355"/>
      <c r="M28" s="356" t="str">
        <f>IF(F26="","",(1.03*(Superpave!J8-F26))/(F26*(Superpave!J8-1.03))*100)</f>
        <v/>
      </c>
    </row>
    <row r="29" spans="1:20" ht="12" customHeight="1" thickTop="1" thickBot="1">
      <c r="B29" s="381" t="str">
        <f>CONCATENATE("Verif. for Sublot #",B5)</f>
        <v>Verif. for Sublot #</v>
      </c>
      <c r="C29" s="382"/>
      <c r="D29" s="383"/>
      <c r="E29" s="381" t="str">
        <f>CONCATENATE("Verif. for Sublot #",B12)</f>
        <v>Verif. for Sublot #</v>
      </c>
      <c r="F29" s="267"/>
      <c r="G29" s="311"/>
    </row>
    <row r="30" spans="1:20" ht="12" customHeight="1" thickTop="1" thickBot="1">
      <c r="A30" s="392"/>
      <c r="B30" s="381" t="s">
        <v>2143</v>
      </c>
      <c r="C30" s="382"/>
      <c r="D30" s="384"/>
      <c r="E30" s="381" t="s">
        <v>2143</v>
      </c>
      <c r="F30" s="382"/>
      <c r="G30" s="384"/>
    </row>
    <row r="31" spans="1:20" ht="12" customHeight="1" thickTop="1">
      <c r="A31" s="386" t="s">
        <v>1601</v>
      </c>
      <c r="B31" s="385" t="s">
        <v>2144</v>
      </c>
      <c r="C31" s="386" t="s">
        <v>2145</v>
      </c>
      <c r="D31" s="385" t="s">
        <v>2145</v>
      </c>
      <c r="E31" s="385" t="s">
        <v>2144</v>
      </c>
      <c r="F31" s="386" t="s">
        <v>2145</v>
      </c>
      <c r="G31" s="385" t="s">
        <v>2145</v>
      </c>
    </row>
    <row r="32" spans="1:20" ht="12" customHeight="1" thickBot="1">
      <c r="A32" s="388" t="s">
        <v>1709</v>
      </c>
      <c r="B32" s="387" t="s">
        <v>2146</v>
      </c>
      <c r="C32" s="388" t="s">
        <v>2146</v>
      </c>
      <c r="D32" s="387" t="s">
        <v>2147</v>
      </c>
      <c r="E32" s="387" t="s">
        <v>2146</v>
      </c>
      <c r="F32" s="388" t="s">
        <v>2146</v>
      </c>
      <c r="G32" s="387" t="s">
        <v>2147</v>
      </c>
      <c r="I32" s="547"/>
      <c r="J32" s="547"/>
      <c r="K32" s="547"/>
      <c r="L32" s="547"/>
      <c r="M32" s="260"/>
      <c r="N32" s="260"/>
    </row>
    <row r="33" spans="1:14" ht="12" customHeight="1" thickTop="1" thickBot="1">
      <c r="A33" s="139" t="s">
        <v>1608</v>
      </c>
      <c r="B33" s="142"/>
      <c r="C33" s="389" t="str">
        <f>IF(B33="","",((B33/B48)*100))</f>
        <v/>
      </c>
      <c r="D33" s="390" t="str">
        <f t="shared" ref="D33:D46" si="0">IF(B33="","",(100-C33))</f>
        <v/>
      </c>
      <c r="E33" s="142"/>
      <c r="F33" s="389" t="str">
        <f>IF(E33="","",((E33/E48)*100))</f>
        <v/>
      </c>
      <c r="G33" s="390" t="str">
        <f t="shared" ref="G33:G46" si="1">IF(E33="","",(100-F33))</f>
        <v/>
      </c>
      <c r="I33" s="260"/>
      <c r="J33" s="260"/>
      <c r="K33" s="260"/>
      <c r="L33" s="260"/>
      <c r="M33" s="260"/>
      <c r="N33" s="260"/>
    </row>
    <row r="34" spans="1:14" ht="12" customHeight="1" thickTop="1" thickBot="1">
      <c r="A34" s="139" t="s">
        <v>2148</v>
      </c>
      <c r="B34" s="142"/>
      <c r="C34" s="389" t="str">
        <f>IF(B34="","",((B34/B48)*100))</f>
        <v/>
      </c>
      <c r="D34" s="390" t="str">
        <f t="shared" si="0"/>
        <v/>
      </c>
      <c r="E34" s="142"/>
      <c r="F34" s="389" t="str">
        <f>IF(E34="","",((E34/E48)*100))</f>
        <v/>
      </c>
      <c r="G34" s="390" t="str">
        <f t="shared" si="1"/>
        <v/>
      </c>
      <c r="I34" s="275" t="s">
        <v>1891</v>
      </c>
      <c r="J34" s="309"/>
      <c r="K34" s="548"/>
      <c r="L34" s="549"/>
      <c r="M34" s="260"/>
      <c r="N34" s="260"/>
    </row>
    <row r="35" spans="1:14" ht="12" customHeight="1" thickTop="1" thickBot="1">
      <c r="A35" s="139" t="s">
        <v>1610</v>
      </c>
      <c r="B35" s="142"/>
      <c r="C35" s="389" t="str">
        <f>IF(B35="","",((B35/B48)*100))</f>
        <v/>
      </c>
      <c r="D35" s="390" t="str">
        <f t="shared" si="0"/>
        <v/>
      </c>
      <c r="E35" s="142"/>
      <c r="F35" s="389" t="str">
        <f>IF(E35="","",((E35/E48)*100))</f>
        <v/>
      </c>
      <c r="G35" s="390" t="str">
        <f t="shared" si="1"/>
        <v/>
      </c>
      <c r="I35" s="271" t="s">
        <v>1893</v>
      </c>
      <c r="J35" s="273"/>
      <c r="K35" s="550"/>
      <c r="L35" s="551"/>
      <c r="M35" s="344" t="str">
        <f>CONCATENATE("Sublot #", B5,"")</f>
        <v>Sublot #</v>
      </c>
      <c r="N35" s="345" t="str">
        <f>CONCATENATE("Sublot #", B12)</f>
        <v>Sublot #</v>
      </c>
    </row>
    <row r="36" spans="1:14" ht="12" customHeight="1" thickTop="1">
      <c r="A36" s="374" t="s">
        <v>1611</v>
      </c>
      <c r="B36" s="142"/>
      <c r="C36" s="389" t="str">
        <f>IF(B36="","",((B36/B48)*100))</f>
        <v/>
      </c>
      <c r="D36" s="390" t="str">
        <f t="shared" si="0"/>
        <v/>
      </c>
      <c r="E36" s="142"/>
      <c r="F36" s="389" t="str">
        <f>IF(E36="","",((E36/E48)*100))</f>
        <v/>
      </c>
      <c r="G36" s="390" t="str">
        <f t="shared" si="1"/>
        <v/>
      </c>
      <c r="I36" s="454" t="s">
        <v>1890</v>
      </c>
      <c r="J36" s="455"/>
      <c r="K36" s="455"/>
      <c r="L36" s="456"/>
      <c r="M36" s="533"/>
      <c r="N36" s="533"/>
    </row>
    <row r="37" spans="1:14" ht="12" customHeight="1">
      <c r="A37" s="139" t="s">
        <v>1614</v>
      </c>
      <c r="B37" s="142"/>
      <c r="C37" s="389" t="str">
        <f>IF(B37="","",((B37/B48)*100))</f>
        <v/>
      </c>
      <c r="D37" s="390" t="str">
        <f t="shared" si="0"/>
        <v/>
      </c>
      <c r="E37" s="142"/>
      <c r="F37" s="389" t="str">
        <f>IF(E37="","",((E37/E48)*100))</f>
        <v/>
      </c>
      <c r="G37" s="390" t="str">
        <f t="shared" si="1"/>
        <v/>
      </c>
      <c r="I37" s="457" t="s">
        <v>1892</v>
      </c>
      <c r="J37" s="458"/>
      <c r="K37" s="458"/>
      <c r="L37" s="459"/>
      <c r="M37" s="556"/>
      <c r="N37" s="556"/>
    </row>
    <row r="38" spans="1:14" ht="12" customHeight="1">
      <c r="A38" s="139" t="s">
        <v>1615</v>
      </c>
      <c r="B38" s="142"/>
      <c r="C38" s="389" t="str">
        <f>IF(B38="","",((B38/B48)*100))</f>
        <v/>
      </c>
      <c r="D38" s="469" t="str">
        <f t="shared" si="0"/>
        <v/>
      </c>
      <c r="E38" s="142"/>
      <c r="F38" s="389" t="str">
        <f>IF(E38="","",((E38/E48)*100))</f>
        <v/>
      </c>
      <c r="G38" s="469" t="str">
        <f t="shared" si="1"/>
        <v/>
      </c>
      <c r="I38" s="457" t="s">
        <v>1894</v>
      </c>
      <c r="J38" s="458"/>
      <c r="K38" s="458"/>
      <c r="L38" s="459"/>
      <c r="M38" s="534"/>
      <c r="N38" s="534"/>
    </row>
    <row r="39" spans="1:14" ht="12" customHeight="1" thickBot="1">
      <c r="A39" s="139" t="s">
        <v>1976</v>
      </c>
      <c r="B39" s="142"/>
      <c r="C39" s="389" t="str">
        <f>IF(B39="","",((B39/B47)*100))</f>
        <v/>
      </c>
      <c r="D39" s="390" t="str">
        <f t="shared" si="0"/>
        <v/>
      </c>
      <c r="E39" s="142"/>
      <c r="F39" s="389" t="str">
        <f>IF(E39="","",((E39/E47)*100))</f>
        <v/>
      </c>
      <c r="G39" s="390" t="str">
        <f t="shared" si="1"/>
        <v/>
      </c>
      <c r="I39" s="460" t="s">
        <v>1895</v>
      </c>
      <c r="J39" s="461"/>
      <c r="K39" s="461"/>
      <c r="L39" s="462"/>
      <c r="M39" s="463" t="str">
        <f>IF(M36="","",IF(M36-M38=0,0,(((M36-M38)-(M37-M38))/(M36-M38))*100))</f>
        <v/>
      </c>
      <c r="N39" s="463" t="str">
        <f>IF(N36="","",IF(N36-N38=0,0,(((N36-N38)-(N37-N38))/(N36-N38))*100))</f>
        <v/>
      </c>
    </row>
    <row r="40" spans="1:14" ht="12" customHeight="1" thickTop="1">
      <c r="A40" s="139" t="s">
        <v>1977</v>
      </c>
      <c r="B40" s="142"/>
      <c r="C40" s="389" t="str">
        <f>IF(B40="","",((B40/B48)*100))</f>
        <v/>
      </c>
      <c r="D40" s="390" t="str">
        <f t="shared" si="0"/>
        <v/>
      </c>
      <c r="E40" s="142"/>
      <c r="F40" s="389" t="str">
        <f>IF(E40="","",((E40/E48)*100))</f>
        <v/>
      </c>
      <c r="G40" s="390" t="str">
        <f t="shared" si="1"/>
        <v/>
      </c>
    </row>
    <row r="41" spans="1:14" ht="12" customHeight="1">
      <c r="A41" s="139" t="s">
        <v>1841</v>
      </c>
      <c r="B41" s="142"/>
      <c r="C41" s="389" t="str">
        <f>IF(B41="","",((B41/B48)*100))</f>
        <v/>
      </c>
      <c r="D41" s="390" t="str">
        <f t="shared" si="0"/>
        <v/>
      </c>
      <c r="E41" s="142"/>
      <c r="F41" s="389" t="str">
        <f>IF(E41="","",((E41/E48)*100))</f>
        <v/>
      </c>
      <c r="G41" s="390" t="str">
        <f t="shared" si="1"/>
        <v/>
      </c>
    </row>
    <row r="42" spans="1:14" ht="12" customHeight="1">
      <c r="A42" s="139" t="s">
        <v>1842</v>
      </c>
      <c r="B42" s="142"/>
      <c r="C42" s="389" t="str">
        <f>IF(B42="","",((B42/B48)*100))</f>
        <v/>
      </c>
      <c r="D42" s="390" t="str">
        <f t="shared" si="0"/>
        <v/>
      </c>
      <c r="E42" s="142"/>
      <c r="F42" s="389" t="str">
        <f>IF(E42="","",((E42/E48)*100))</f>
        <v/>
      </c>
      <c r="G42" s="390" t="str">
        <f t="shared" si="1"/>
        <v/>
      </c>
    </row>
    <row r="43" spans="1:14" ht="12" customHeight="1">
      <c r="A43" s="139" t="s">
        <v>1843</v>
      </c>
      <c r="B43" s="142"/>
      <c r="C43" s="389" t="str">
        <f>IF(B43="","",((B43/B48)*100))</f>
        <v/>
      </c>
      <c r="D43" s="390" t="str">
        <f t="shared" si="0"/>
        <v/>
      </c>
      <c r="E43" s="142"/>
      <c r="F43" s="389" t="str">
        <f>IF(E43="","",((E43/E48)*100))</f>
        <v/>
      </c>
      <c r="G43" s="390" t="str">
        <f t="shared" si="1"/>
        <v/>
      </c>
    </row>
    <row r="44" spans="1:14" ht="12" customHeight="1">
      <c r="A44" s="139" t="s">
        <v>1844</v>
      </c>
      <c r="B44" s="142"/>
      <c r="C44" s="389" t="str">
        <f>IF(B44="","",((B44/B48)*100))</f>
        <v/>
      </c>
      <c r="D44" s="390" t="str">
        <f t="shared" si="0"/>
        <v/>
      </c>
      <c r="E44" s="142"/>
      <c r="F44" s="389" t="str">
        <f>IF(E44="","",((E44/E48)*100))</f>
        <v/>
      </c>
      <c r="G44" s="390" t="str">
        <f t="shared" si="1"/>
        <v/>
      </c>
    </row>
    <row r="45" spans="1:14" ht="12" customHeight="1">
      <c r="A45" s="139" t="s">
        <v>1845</v>
      </c>
      <c r="B45" s="142"/>
      <c r="C45" s="389" t="str">
        <f>IF(B45="","",((B45/B48)*100))</f>
        <v/>
      </c>
      <c r="D45" s="390" t="str">
        <f t="shared" si="0"/>
        <v/>
      </c>
      <c r="E45" s="142"/>
      <c r="F45" s="389" t="str">
        <f>IF(E45="","",((E45/E48)*100))</f>
        <v/>
      </c>
      <c r="G45" s="390" t="str">
        <f t="shared" si="1"/>
        <v/>
      </c>
    </row>
    <row r="46" spans="1:14" ht="12" customHeight="1">
      <c r="A46" s="139" t="s">
        <v>863</v>
      </c>
      <c r="B46" s="142"/>
      <c r="C46" s="389" t="str">
        <f>IF(B46="","",((B46/B48)*100))</f>
        <v/>
      </c>
      <c r="D46" s="390" t="str">
        <f t="shared" si="0"/>
        <v/>
      </c>
      <c r="E46" s="142"/>
      <c r="F46" s="389" t="str">
        <f>IF(E46="","",((E46/E48)*100))</f>
        <v/>
      </c>
      <c r="G46" s="390" t="str">
        <f t="shared" si="1"/>
        <v/>
      </c>
    </row>
    <row r="47" spans="1:14" ht="12" customHeight="1" thickBot="1">
      <c r="A47" s="449" t="s">
        <v>2149</v>
      </c>
      <c r="B47" s="142"/>
      <c r="C47" s="552" t="str">
        <f>IF(B47="","",(B47/B48)*(100))</f>
        <v/>
      </c>
      <c r="D47" s="391"/>
      <c r="E47" s="142"/>
      <c r="F47" s="552" t="str">
        <f>IF(E47="","",(E47/E48)*(100))</f>
        <v/>
      </c>
      <c r="G47" s="391"/>
    </row>
    <row r="48" spans="1:14" ht="12" customHeight="1" thickTop="1" thickBot="1">
      <c r="A48" s="553" t="s">
        <v>2150</v>
      </c>
      <c r="B48" s="142"/>
      <c r="C48" s="450"/>
      <c r="D48" s="451" t="str">
        <f>IF(AND(B48&lt;&gt;"",B39=""),"",IF(B48="","",SUM(C39:C44)/100))</f>
        <v/>
      </c>
      <c r="E48" s="142"/>
      <c r="F48" s="450"/>
      <c r="G48" s="451" t="str">
        <f>IF(AND(E48&lt;&gt;"",E39=""),"",IF(E48="","",SUM(F39:F44)/100))</f>
        <v/>
      </c>
    </row>
    <row r="49" spans="2:7" ht="12" customHeight="1" thickTop="1">
      <c r="B49" s="265" t="str">
        <f>IF(OR(Calculations!J1=7,Calculations!J1=8,Calculations!J1=13),"Fineness Modulus =","")</f>
        <v/>
      </c>
      <c r="D49" s="495" t="str">
        <f>IF(AND(B49&lt;&gt;"",B40=""),"",IF(B49="","",SUM(C40:C45)/100))</f>
        <v/>
      </c>
      <c r="E49" s="265" t="str">
        <f>IF(OR(Calculations!J1=7,Calculations!J1=8,Calculations!J1=13),"Fineness Modulus =","")</f>
        <v/>
      </c>
      <c r="G49" s="495" t="str">
        <f>IF(AND(E49&lt;&gt;"",E40=""),"",IF(E49="","",SUM(F40:F45)/100))</f>
        <v/>
      </c>
    </row>
    <row r="50" spans="2:7" ht="12" customHeight="1">
      <c r="E50" s="260"/>
    </row>
  </sheetData>
  <sheetProtection algorithmName="SHA-512" hashValue="/WBllfK+OQrb4jnqx8vdzHJrXDNTK6gq5tUKxcWPPTEcFgTsW//ccoiJ2t3Rf7QvyGkhw2KHGJZpOLJVN5wx2A==" saltValue="hW7MuvUllR3dHnZ6kwMccA==" spinCount="100000" sheet="1" objects="1" scenarios="1"/>
  <mergeCells count="2">
    <mergeCell ref="E5:F5"/>
    <mergeCell ref="I5:K5"/>
  </mergeCells>
  <phoneticPr fontId="31" type="noConversion"/>
  <conditionalFormatting sqref="N10">
    <cfRule type="containsText" dxfId="130" priority="3" operator="containsText" text="&gt;1.6">
      <formula>NOT(ISERROR(SEARCH("&gt;1.6",N10)))</formula>
    </cfRule>
    <cfRule type="containsText" dxfId="129" priority="4" operator="containsText" text="&lt;0.6">
      <formula>NOT(ISERROR(SEARCH("&lt;0.6",N10)))</formula>
    </cfRule>
  </conditionalFormatting>
  <conditionalFormatting sqref="N17">
    <cfRule type="containsText" dxfId="128" priority="1" operator="containsText" text="&gt;1.6">
      <formula>NOT(ISERROR(SEARCH("&gt;1.6",N17)))</formula>
    </cfRule>
    <cfRule type="containsText" dxfId="127" priority="2" operator="containsText" text="&lt;0.6">
      <formula>NOT(ISERROR(SEARCH("&lt;0.6",N17)))</formula>
    </cfRule>
  </conditionalFormatting>
  <printOptions horizontalCentered="1"/>
  <pageMargins left="0.25" right="0.25" top="1.5" bottom="0.25" header="0.5" footer="0.25"/>
  <pageSetup scale="85" orientation="landscape" blackAndWhite="1" r:id="rId1"/>
  <headerFooter alignWithMargins="0">
    <oddFooter>&amp;CPage 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1">
              <controlPr defaultSize="0" autoFill="0" autoLine="0" autoPict="0" macro="[0]!DropDown11_Change">
                <anchor moveWithCells="1">
                  <from>
                    <xdr:col>7</xdr:col>
                    <xdr:colOff>0</xdr:colOff>
                    <xdr:row>19</xdr:row>
                    <xdr:rowOff>0</xdr:rowOff>
                  </from>
                  <to>
                    <xdr:col>10</xdr:col>
                    <xdr:colOff>0</xdr:colOff>
                    <xdr:row>20</xdr:row>
                    <xdr:rowOff>38100</xdr:rowOff>
                  </to>
                </anchor>
              </controlPr>
            </control>
          </mc:Choice>
        </mc:AlternateContent>
        <mc:AlternateContent xmlns:mc="http://schemas.openxmlformats.org/markup-compatibility/2006">
          <mc:Choice Requires="x14">
            <control shapeId="2050" r:id="rId5" name="Drop Down 12">
              <controlPr defaultSize="0" autoFill="0" autoLine="0" autoPict="0" macro="[0]!DropDown12_Change">
                <anchor moveWithCells="1">
                  <from>
                    <xdr:col>10</xdr:col>
                    <xdr:colOff>0</xdr:colOff>
                    <xdr:row>19</xdr:row>
                    <xdr:rowOff>0</xdr:rowOff>
                  </from>
                  <to>
                    <xdr:col>13</xdr:col>
                    <xdr:colOff>0</xdr:colOff>
                    <xdr:row>20</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N59"/>
  <sheetViews>
    <sheetView showGridLines="0" workbookViewId="0">
      <pane xSplit="1" topLeftCell="B1" activePane="topRight" state="frozenSplit"/>
      <selection activeCell="G20" sqref="G20"/>
      <selection pane="topRight"/>
    </sheetView>
  </sheetViews>
  <sheetFormatPr defaultRowHeight="12"/>
  <cols>
    <col min="1" max="13" width="9.7109375" style="53" customWidth="1"/>
    <col min="14" max="16384" width="9.140625" style="53"/>
  </cols>
  <sheetData>
    <row r="1" spans="1:14" ht="18" customHeight="1">
      <c r="A1" s="51"/>
      <c r="B1" s="655" t="s">
        <v>1086</v>
      </c>
      <c r="D1" s="486" t="str">
        <f>IF('Pay Values'!B3="","",'Pay Values'!B3)</f>
        <v/>
      </c>
      <c r="E1" s="124"/>
      <c r="F1" s="124"/>
      <c r="H1" s="161" t="s">
        <v>1896</v>
      </c>
      <c r="J1" s="1652"/>
      <c r="K1" s="1652"/>
      <c r="L1" s="1652"/>
      <c r="M1" s="1652"/>
    </row>
    <row r="2" spans="1:14" ht="18" customHeight="1">
      <c r="A2" s="51"/>
      <c r="B2" s="658" t="s">
        <v>914</v>
      </c>
      <c r="D2" s="486" t="str">
        <f>IF('Pay Values'!B4="","",'Pay Values'!B4)</f>
        <v/>
      </c>
      <c r="E2" s="124"/>
      <c r="F2" s="124"/>
      <c r="H2" s="161" t="s">
        <v>1897</v>
      </c>
      <c r="J2" s="1653"/>
      <c r="K2" s="1653"/>
      <c r="L2" s="1653"/>
      <c r="M2" s="1653"/>
    </row>
    <row r="3" spans="1:14" ht="18" customHeight="1">
      <c r="A3" s="51"/>
      <c r="B3" s="53" t="s">
        <v>2151</v>
      </c>
      <c r="D3" s="108" t="str">
        <f>'Pay Values'!B5</f>
        <v/>
      </c>
      <c r="E3" s="52"/>
      <c r="F3" s="52"/>
      <c r="H3" s="161" t="s">
        <v>1635</v>
      </c>
      <c r="J3" s="124" t="e">
        <f>IF('Pay Values'!C6="","",'Pay Values'!C6)</f>
        <v>#N/A</v>
      </c>
      <c r="K3" s="124"/>
      <c r="L3" s="124"/>
      <c r="M3" s="124"/>
    </row>
    <row r="4" spans="1:14" ht="11.45" customHeight="1">
      <c r="A4" s="51"/>
      <c r="B4" s="51"/>
      <c r="C4" s="51"/>
      <c r="D4" s="162"/>
      <c r="F4" s="51"/>
      <c r="G4" s="51"/>
      <c r="K4" s="51"/>
      <c r="M4" s="51"/>
    </row>
    <row r="5" spans="1:14" ht="11.45" customHeight="1" thickBot="1">
      <c r="A5" s="54"/>
      <c r="B5" s="55"/>
      <c r="K5" s="51"/>
    </row>
    <row r="6" spans="1:14" ht="18" customHeight="1" thickTop="1" thickBot="1">
      <c r="A6" s="149"/>
      <c r="B6" s="163" t="s">
        <v>2152</v>
      </c>
      <c r="C6" s="164"/>
      <c r="D6" s="508"/>
      <c r="E6" s="163" t="s">
        <v>2152</v>
      </c>
      <c r="F6" s="164"/>
      <c r="G6" s="508"/>
      <c r="H6" s="163" t="s">
        <v>2152</v>
      </c>
      <c r="I6" s="164"/>
      <c r="J6" s="508"/>
      <c r="K6" s="163" t="s">
        <v>2152</v>
      </c>
      <c r="L6" s="164"/>
      <c r="M6" s="508"/>
      <c r="N6" s="252" t="s">
        <v>1648</v>
      </c>
    </row>
    <row r="7" spans="1:14" ht="18" customHeight="1" thickTop="1" thickBot="1">
      <c r="A7" s="133"/>
      <c r="B7" s="127" t="s">
        <v>1598</v>
      </c>
      <c r="C7" s="128"/>
      <c r="D7" s="134"/>
      <c r="E7" s="128" t="s">
        <v>1626</v>
      </c>
      <c r="F7" s="128"/>
      <c r="G7" s="134"/>
      <c r="H7" s="128" t="s">
        <v>1627</v>
      </c>
      <c r="I7" s="128"/>
      <c r="J7" s="134"/>
      <c r="K7" s="128" t="s">
        <v>1628</v>
      </c>
      <c r="L7" s="128"/>
      <c r="M7" s="134"/>
      <c r="N7" s="169" t="s">
        <v>1644</v>
      </c>
    </row>
    <row r="8" spans="1:14" ht="18" customHeight="1" thickTop="1">
      <c r="A8" s="135" t="s">
        <v>1601</v>
      </c>
      <c r="B8" s="136" t="s">
        <v>2144</v>
      </c>
      <c r="C8" s="135" t="s">
        <v>2145</v>
      </c>
      <c r="D8" s="136" t="s">
        <v>2145</v>
      </c>
      <c r="E8" s="136" t="s">
        <v>2144</v>
      </c>
      <c r="F8" s="135" t="s">
        <v>2145</v>
      </c>
      <c r="G8" s="136" t="s">
        <v>2145</v>
      </c>
      <c r="H8" s="136" t="s">
        <v>2144</v>
      </c>
      <c r="I8" s="136" t="s">
        <v>2145</v>
      </c>
      <c r="J8" s="136" t="s">
        <v>2145</v>
      </c>
      <c r="K8" s="136" t="s">
        <v>2144</v>
      </c>
      <c r="L8" s="136" t="s">
        <v>2145</v>
      </c>
      <c r="M8" s="136" t="s">
        <v>2145</v>
      </c>
      <c r="N8" s="136" t="s">
        <v>2145</v>
      </c>
    </row>
    <row r="9" spans="1:14" ht="18" customHeight="1" thickBot="1">
      <c r="A9" s="137" t="s">
        <v>1709</v>
      </c>
      <c r="B9" s="138" t="s">
        <v>2146</v>
      </c>
      <c r="C9" s="137" t="s">
        <v>2146</v>
      </c>
      <c r="D9" s="138" t="s">
        <v>2147</v>
      </c>
      <c r="E9" s="138" t="s">
        <v>2146</v>
      </c>
      <c r="F9" s="137" t="s">
        <v>2146</v>
      </c>
      <c r="G9" s="138" t="s">
        <v>2147</v>
      </c>
      <c r="H9" s="138" t="s">
        <v>2146</v>
      </c>
      <c r="I9" s="138" t="s">
        <v>2146</v>
      </c>
      <c r="J9" s="138" t="s">
        <v>2147</v>
      </c>
      <c r="K9" s="138" t="s">
        <v>2146</v>
      </c>
      <c r="L9" s="138" t="s">
        <v>2146</v>
      </c>
      <c r="M9" s="138" t="s">
        <v>2147</v>
      </c>
      <c r="N9" s="138" t="s">
        <v>2147</v>
      </c>
    </row>
    <row r="10" spans="1:14" ht="18" customHeight="1" thickTop="1">
      <c r="A10" s="139" t="s">
        <v>1608</v>
      </c>
      <c r="B10" s="142"/>
      <c r="C10" s="140" t="str">
        <f>IF(B10="","",((B10/B25)*100))</f>
        <v/>
      </c>
      <c r="D10" s="165" t="str">
        <f>IF(B10="","",IF(OR(ROUND(100-C10,0)&lt;Calculations!AY16,ROUND(100-C10,0)&gt;Calculations!AZ16),ROUND(100-C10,1),100-C10))</f>
        <v/>
      </c>
      <c r="E10" s="142"/>
      <c r="F10" s="140" t="str">
        <f>IF(E10="","",((E10/E25)*100))</f>
        <v/>
      </c>
      <c r="G10" s="165" t="str">
        <f>IF(E10="","",IF(OR(ROUND(100-F10,0)&lt;Calculations!AY16,ROUND(100-F10,0)&gt;Calculations!AZ16),ROUND(100-F10,1),100-F10))</f>
        <v/>
      </c>
      <c r="H10" s="142"/>
      <c r="I10" s="140" t="str">
        <f>IF(H10="","",((H10/H25)*100))</f>
        <v/>
      </c>
      <c r="J10" s="165" t="str">
        <f>IF(H10="","",IF(OR(ROUND(100-I10,0)&lt;Calculations!AY16,ROUND(100-I10,0)&gt;Calculations!AZ16),ROUND(100-I10,1),100-I10))</f>
        <v/>
      </c>
      <c r="K10" s="142"/>
      <c r="L10" s="140" t="str">
        <f>IF(K10="","",((K10/K25)*100))</f>
        <v/>
      </c>
      <c r="M10" s="165" t="str">
        <f>IF(K10="","",IF(OR(ROUND(100-L10,0)&lt;Calculations!AY16,ROUND(100-L10,0)&gt;Calculations!AZ16),ROUND(100-L10,1),100-L10))</f>
        <v/>
      </c>
      <c r="N10" s="644"/>
    </row>
    <row r="11" spans="1:14" ht="18" customHeight="1">
      <c r="A11" s="139" t="s">
        <v>2148</v>
      </c>
      <c r="B11" s="142"/>
      <c r="C11" s="140" t="str">
        <f>IF(B11="","",(B11/B25)*(100))</f>
        <v/>
      </c>
      <c r="D11" s="165" t="str">
        <f>IF(B11="","",IF(OR(ROUND(100-C11,0)&lt;Calculations!AY17,ROUND(100-C11,0)&gt;Calculations!AZ17),ROUND(100-C11,1),100-C11))</f>
        <v/>
      </c>
      <c r="E11" s="142"/>
      <c r="F11" s="140" t="str">
        <f>IF(E11="","",(E11/E25)*(100))</f>
        <v/>
      </c>
      <c r="G11" s="165" t="str">
        <f>IF(E11="","",IF(OR(ROUND(100-F11,0)&lt;Calculations!AY17,ROUND(100-F11,0)&gt;Calculations!AZ17),ROUND(100-F11,1),100-F11))</f>
        <v/>
      </c>
      <c r="H11" s="142"/>
      <c r="I11" s="140" t="str">
        <f>IF(H11="","",(H11/H25)*(100))</f>
        <v/>
      </c>
      <c r="J11" s="165" t="str">
        <f>IF(H11="","",IF(OR(ROUND(100-I11,0)&lt;Calculations!AY17,ROUND(100-I11,0)&gt;Calculations!AZ17),ROUND(100-I11,1),100-I11))</f>
        <v/>
      </c>
      <c r="K11" s="142"/>
      <c r="L11" s="140" t="str">
        <f>IF(K11="","",((K11/K25)*100))</f>
        <v/>
      </c>
      <c r="M11" s="165" t="str">
        <f>IF(K11="","",IF(OR(ROUND(100-L11,0)&lt;Calculations!AY17,ROUND(100-L11,0)&gt;Calculations!AZ17),ROUND(100-L11,1),100-L11))</f>
        <v/>
      </c>
      <c r="N11" s="645"/>
    </row>
    <row r="12" spans="1:14" ht="18" customHeight="1">
      <c r="A12" s="139" t="s">
        <v>1610</v>
      </c>
      <c r="B12" s="142"/>
      <c r="C12" s="140" t="str">
        <f>IF(B12="","",(B12/B25)*(100))</f>
        <v/>
      </c>
      <c r="D12" s="165" t="str">
        <f>IF(B12="","",IF(OR(ROUND(100-C12,0)&lt;Calculations!AY18,ROUND(100-C12,0)&gt;Calculations!AZ18),ROUND(100-C12,1),100-C12))</f>
        <v/>
      </c>
      <c r="E12" s="142"/>
      <c r="F12" s="140" t="str">
        <f>IF(E12="","",(E12/E25)*(100))</f>
        <v/>
      </c>
      <c r="G12" s="165" t="str">
        <f>IF(E12="","",IF(OR(ROUND(100-F12,0)&lt;Calculations!AY18,ROUND(100-F12,0)&gt;Calculations!AZ18),ROUND(100-F12,1),100-F12))</f>
        <v/>
      </c>
      <c r="H12" s="142"/>
      <c r="I12" s="140" t="str">
        <f>IF(H12="","",(H12/H25)*(100))</f>
        <v/>
      </c>
      <c r="J12" s="165" t="str">
        <f>IF(H12="","",IF(OR(ROUND(100-I12,0)&lt;Calculations!AY18,ROUND(100-I12,0)&gt;Calculations!AZ18),ROUND(100-I12,1),100-I12))</f>
        <v/>
      </c>
      <c r="K12" s="142"/>
      <c r="L12" s="140" t="str">
        <f>IF(K12="","",((K12/K25)*100))</f>
        <v/>
      </c>
      <c r="M12" s="165" t="str">
        <f>IF(K12="","",IF(OR(ROUND(100-L12,0)&lt;Calculations!AY18,ROUND(100-L12,0)&gt;Calculations!AZ18),ROUND(100-L12,1),100-L12))</f>
        <v/>
      </c>
      <c r="N12" s="645"/>
    </row>
    <row r="13" spans="1:14" ht="18" customHeight="1">
      <c r="A13" s="374" t="s">
        <v>1611</v>
      </c>
      <c r="B13" s="142"/>
      <c r="C13" s="140" t="str">
        <f>IF(B13="","",(B13/B25)*(100))</f>
        <v/>
      </c>
      <c r="D13" s="165" t="str">
        <f>IF(B13="","",IF(OR(ROUND(100-C13,0)&lt;Calculations!AY19,ROUND(100-C13,0)&gt;Calculations!AZ19),ROUND(100-C13,1),100-C13))</f>
        <v/>
      </c>
      <c r="E13" s="142"/>
      <c r="F13" s="140" t="str">
        <f>IF(E13="","",(E13/E25)*(100))</f>
        <v/>
      </c>
      <c r="G13" s="165" t="str">
        <f>IF(E13="","",IF(OR(ROUND(100-F13,0)&lt;Calculations!AY19,ROUND(100-F13,0)&gt;Calculations!AZ19),ROUND(100-F13,1),100-F13))</f>
        <v/>
      </c>
      <c r="H13" s="142"/>
      <c r="I13" s="140" t="str">
        <f>IF(H13="","",(H13/H25)*(100))</f>
        <v/>
      </c>
      <c r="J13" s="165" t="str">
        <f>IF(H13="","",IF(OR(ROUND(100-I13,0)&lt;Calculations!AY19,ROUND(100-I13,0)&gt;Calculations!AZ19),ROUND(100-I13,1),100-I13))</f>
        <v/>
      </c>
      <c r="K13" s="142"/>
      <c r="L13" s="140" t="str">
        <f>IF(K13="","",((K13/K25)*100))</f>
        <v/>
      </c>
      <c r="M13" s="165" t="str">
        <f>IF(K13="","",IF(OR(ROUND(100-L13,0)&lt;Calculations!AY19,ROUND(100-L13,0)&gt;Calculations!AZ19),ROUND(100-L13,1),100-L13))</f>
        <v/>
      </c>
      <c r="N13" s="645"/>
    </row>
    <row r="14" spans="1:14" ht="18" customHeight="1">
      <c r="A14" s="139" t="s">
        <v>1614</v>
      </c>
      <c r="B14" s="142"/>
      <c r="C14" s="140" t="str">
        <f>IF(B14="","",(B14/B25)*(100))</f>
        <v/>
      </c>
      <c r="D14" s="165" t="str">
        <f>IF(B14="","",IF(OR(ROUND(100-C14,0)&lt;Calculations!AY20,ROUND(100-C14,0)&gt;Calculations!AZ20),ROUND(100-C14,1),100-C14))</f>
        <v/>
      </c>
      <c r="E14" s="142"/>
      <c r="F14" s="140" t="str">
        <f>IF(E14="","",(E14/E25)*(100))</f>
        <v/>
      </c>
      <c r="G14" s="165" t="str">
        <f>IF(E14="","",IF(OR(ROUND(100-F14,0)&lt;Calculations!AY20,ROUND(100-F14,0)&gt;Calculations!AZ20),ROUND(100-F14,1),100-F14))</f>
        <v/>
      </c>
      <c r="H14" s="142"/>
      <c r="I14" s="140" t="str">
        <f>IF(H14="","",(H14/H25)*(100))</f>
        <v/>
      </c>
      <c r="J14" s="165" t="str">
        <f>IF(H14="","",IF(OR(ROUND(100-I14,0)&lt;Calculations!AY20,ROUND(100-I14,0)&gt;Calculations!AZ20),ROUND(100-I14,1),100-I14))</f>
        <v/>
      </c>
      <c r="K14" s="142"/>
      <c r="L14" s="140" t="str">
        <f>IF(K14="","",(K14/K25)*(100))</f>
        <v/>
      </c>
      <c r="M14" s="165" t="str">
        <f>IF(K14="","",IF(OR(ROUND(100-L14,0)&lt;Calculations!AY20,ROUND(100-L14,0)&gt;Calculations!AZ20),ROUND(100-L14,1),100-L14))</f>
        <v/>
      </c>
      <c r="N14" s="645"/>
    </row>
    <row r="15" spans="1:14" ht="18" customHeight="1">
      <c r="A15" s="139" t="s">
        <v>1615</v>
      </c>
      <c r="B15" s="142"/>
      <c r="C15" s="140" t="str">
        <f>IF(B15="","",(B15/B25)*(100))</f>
        <v/>
      </c>
      <c r="D15" s="165" t="str">
        <f>IF(B15="","",IF(OR(ROUND(100-C15,0)&lt;Calculations!AY21,ROUND(100-C15,0)&gt;Calculations!AZ21),ROUND(100-C15,1),100-C15))</f>
        <v/>
      </c>
      <c r="E15" s="142"/>
      <c r="F15" s="140" t="str">
        <f>IF(E15="","",(E15/E25)*(100))</f>
        <v/>
      </c>
      <c r="G15" s="165" t="str">
        <f>IF(E15="","",IF(OR(ROUND(100-F15,0)&lt;Calculations!AY21,ROUND(100-F15,0)&gt;Calculations!AZ21),ROUND(100-F15,1),100-F15))</f>
        <v/>
      </c>
      <c r="H15" s="142"/>
      <c r="I15" s="140" t="str">
        <f>IF(H15="","",(H15/H25)*(100))</f>
        <v/>
      </c>
      <c r="J15" s="165" t="str">
        <f>IF(H15="","",IF(OR(ROUND(100-I15,0)&lt;Calculations!AY21,ROUND(100-I15,0)&gt;Calculations!AZ21),ROUND(100-I15,1),100-I15))</f>
        <v/>
      </c>
      <c r="K15" s="142"/>
      <c r="L15" s="140" t="str">
        <f>IF(K15="","",(K15/K25)*(100))</f>
        <v/>
      </c>
      <c r="M15" s="165" t="str">
        <f>IF(K15="","",IF(OR(ROUND(100-L15,0)&lt;Calculations!AY21,ROUND(100-L15,0)&gt;Calculations!AZ21),ROUND(100-L15,1),100-L15))</f>
        <v/>
      </c>
      <c r="N15" s="645"/>
    </row>
    <row r="16" spans="1:14" ht="18" customHeight="1">
      <c r="A16" s="139" t="s">
        <v>1976</v>
      </c>
      <c r="B16" s="142"/>
      <c r="C16" s="140" t="str">
        <f>IF(B16="","",(B16/B25)*(100))</f>
        <v/>
      </c>
      <c r="D16" s="165" t="str">
        <f>IF(B16="","",IF(OR(ROUND(100-C16,0)&lt;Calculations!AY22,ROUND(100-C16,0)&gt;Calculations!AZ22),ROUND(100-C16,1),100-C16))</f>
        <v/>
      </c>
      <c r="E16" s="142"/>
      <c r="F16" s="140" t="str">
        <f>IF(E16="","",(E16/E25)*(100))</f>
        <v/>
      </c>
      <c r="G16" s="165" t="str">
        <f>IF(E16="","",IF(OR(ROUND(100-F16,0)&lt;Calculations!AY22,ROUND(100-F16,0)&gt;Calculations!AZ22),ROUND(100-F16,1),100-F16))</f>
        <v/>
      </c>
      <c r="H16" s="142"/>
      <c r="I16" s="140" t="str">
        <f>IF(H16="","",(H16/H25)*(100))</f>
        <v/>
      </c>
      <c r="J16" s="165" t="str">
        <f>IF(H16="","",IF(OR(ROUND(100-I16,0)&lt;Calculations!AY22,ROUND(100-I16,0)&gt;Calculations!AZ22),ROUND(100-I16,1),100-I16))</f>
        <v/>
      </c>
      <c r="K16" s="142"/>
      <c r="L16" s="140" t="str">
        <f>IF(K16="","",(K16/K25)*(100))</f>
        <v/>
      </c>
      <c r="M16" s="165" t="str">
        <f>IF(K16="","",IF(OR(ROUND(100-L16,0)&lt;Calculations!AY22,ROUND(100-L16,0)&gt;Calculations!AZ22),ROUND(100-L16,1),100-L16))</f>
        <v/>
      </c>
      <c r="N16" s="645"/>
    </row>
    <row r="17" spans="1:14" ht="18" customHeight="1">
      <c r="A17" s="139" t="s">
        <v>1977</v>
      </c>
      <c r="B17" s="142"/>
      <c r="C17" s="140" t="str">
        <f>IF(B17="","",(B17/B25)*(100))</f>
        <v/>
      </c>
      <c r="D17" s="165" t="str">
        <f>IF(B17="","",IF(OR(ROUND(100-C17,0)&lt;Calculations!AY23,ROUND(100-C17,0)&gt;Calculations!AZ23),ROUND(100-C17,1),100-C17))</f>
        <v/>
      </c>
      <c r="E17" s="142"/>
      <c r="F17" s="140" t="str">
        <f>IF(E17="","",(E17/E25)*(100))</f>
        <v/>
      </c>
      <c r="G17" s="165" t="str">
        <f>IF(E17="","",IF(OR(ROUND(100-F17,0)&lt;Calculations!AY23,ROUND(100-F17,0)&gt;Calculations!AZ23),ROUND(100-F17,1),100-F17))</f>
        <v/>
      </c>
      <c r="H17" s="142"/>
      <c r="I17" s="140" t="str">
        <f>IF(H17="","",(H17/H25)*(100))</f>
        <v/>
      </c>
      <c r="J17" s="165" t="str">
        <f>IF(H17="","",IF(OR(ROUND(100-I17,0)&lt;Calculations!AY23,ROUND(100-I17,0)&gt;Calculations!AZ23),ROUND(100-I17,1),100-I17))</f>
        <v/>
      </c>
      <c r="K17" s="142"/>
      <c r="L17" s="140" t="str">
        <f>IF(K17="","",(K17/K25)*(100))</f>
        <v/>
      </c>
      <c r="M17" s="165" t="str">
        <f>IF(K17="","",IF(OR(ROUND(100-L17,0)&lt;Calculations!AY23,ROUND(100-L17,0)&gt;Calculations!AZ23),ROUND(100-L17,1),100-L17))</f>
        <v/>
      </c>
      <c r="N17" s="645"/>
    </row>
    <row r="18" spans="1:14" ht="18" customHeight="1">
      <c r="A18" s="139" t="s">
        <v>1841</v>
      </c>
      <c r="B18" s="142"/>
      <c r="C18" s="140" t="str">
        <f>IF(B18="","",(B18/B25)*(100))</f>
        <v/>
      </c>
      <c r="D18" s="165" t="str">
        <f>IF(B18="","",IF(OR(ROUND(100-C18,0)&lt;Calculations!AY24,ROUND(100-C18,0)&gt;Calculations!AZ24),ROUND(100-C18,1),100-C18))</f>
        <v/>
      </c>
      <c r="E18" s="142"/>
      <c r="F18" s="140" t="str">
        <f>IF(E18="","",(E18/E25)*(100))</f>
        <v/>
      </c>
      <c r="G18" s="165" t="str">
        <f>IF(E18="","",IF(OR(ROUND(100-F18,0)&lt;Calculations!AY24,ROUND(100-F18,0)&gt;Calculations!AZ24),ROUND(100-F18,1),100-F18))</f>
        <v/>
      </c>
      <c r="H18" s="142"/>
      <c r="I18" s="140" t="str">
        <f>IF(H18="","",(H18/H25)*(100))</f>
        <v/>
      </c>
      <c r="J18" s="165" t="str">
        <f>IF(H18="","",IF(OR(ROUND(100-I18,0)&lt;Calculations!AY24,ROUND(100-I18,0)&gt;Calculations!AZ24),ROUND(100-I18,1),100-I18))</f>
        <v/>
      </c>
      <c r="K18" s="142"/>
      <c r="L18" s="140" t="str">
        <f>IF(K18="","",(K18/K25)*(100))</f>
        <v/>
      </c>
      <c r="M18" s="165" t="str">
        <f>IF(K18="","",IF(OR(ROUND(100-L18,0)&lt;Calculations!AY24,ROUND(100-L18,0)&gt;Calculations!AZ24),ROUND(100-L18,1),100-L18))</f>
        <v/>
      </c>
      <c r="N18" s="645"/>
    </row>
    <row r="19" spans="1:14" ht="18" customHeight="1">
      <c r="A19" s="139" t="s">
        <v>1842</v>
      </c>
      <c r="B19" s="142"/>
      <c r="C19" s="140" t="str">
        <f>IF(B19="","",(B19/B25)*(100))</f>
        <v/>
      </c>
      <c r="D19" s="165" t="str">
        <f>IF(B19="","",IF(OR(ROUND(100-C19,0)&lt;Calculations!AY25,ROUND(100-C19,0)&gt;Calculations!AZ25),ROUND(100-C19,1),100-C19))</f>
        <v/>
      </c>
      <c r="E19" s="142"/>
      <c r="F19" s="140" t="str">
        <f>IF(E19="","",(E19/E25)*(100))</f>
        <v/>
      </c>
      <c r="G19" s="165" t="str">
        <f>IF(E19="","",IF(OR(ROUND(100-F19,0)&lt;Calculations!AY25,ROUND(100-F19,0)&gt;Calculations!AZ25),ROUND(100-F19,1),100-F19))</f>
        <v/>
      </c>
      <c r="H19" s="142"/>
      <c r="I19" s="140" t="str">
        <f>IF(H19="","",(H19/H25)*(100))</f>
        <v/>
      </c>
      <c r="J19" s="165" t="str">
        <f>IF(H19="","",IF(OR(ROUND(100-I19,0)&lt;Calculations!AY25,ROUND(100-I19,0)&gt;Calculations!AZ25),ROUND(100-I19,1),100-I19))</f>
        <v/>
      </c>
      <c r="K19" s="142"/>
      <c r="L19" s="140" t="str">
        <f>IF(K19="","",(K19/K25)*(100))</f>
        <v/>
      </c>
      <c r="M19" s="165" t="str">
        <f>IF(K19="","",IF(OR(ROUND(100-L19,0)&lt;Calculations!AY25,ROUND(100-L19,0)&gt;Calculations!AZ25),ROUND(100-L19,1),100-L19))</f>
        <v/>
      </c>
      <c r="N19" s="645"/>
    </row>
    <row r="20" spans="1:14" ht="18" customHeight="1">
      <c r="A20" s="139" t="s">
        <v>1843</v>
      </c>
      <c r="B20" s="142"/>
      <c r="C20" s="140" t="str">
        <f>IF(B20="","",(B20/B25)*(100))</f>
        <v/>
      </c>
      <c r="D20" s="165" t="str">
        <f>IF(B20="","",IF(OR(ROUND(100-C20,0)&lt;Calculations!AY26,ROUND(100-C20,0)&gt;Calculations!AZ26),ROUND(100-C20,1),100-C20))</f>
        <v/>
      </c>
      <c r="E20" s="142"/>
      <c r="F20" s="140" t="str">
        <f>IF(E20="","",(E20/E25)*(100))</f>
        <v/>
      </c>
      <c r="G20" s="165" t="str">
        <f>IF(E20="","",IF(OR(ROUND(100-F20,0)&lt;Calculations!AY26,ROUND(100-F20,0)&gt;Calculations!AZ26),ROUND(100-F20,1),100-F20))</f>
        <v/>
      </c>
      <c r="H20" s="142"/>
      <c r="I20" s="140" t="str">
        <f>IF(H20="","",(H20/H25)*(100))</f>
        <v/>
      </c>
      <c r="J20" s="165" t="str">
        <f>IF(H20="","",IF(OR(ROUND(100-I20,0)&lt;Calculations!AY26,ROUND(100-I20,0)&gt;Calculations!AZ26),ROUND(100-I20,1),100-I20))</f>
        <v/>
      </c>
      <c r="K20" s="142"/>
      <c r="L20" s="140" t="str">
        <f>IF(K20="","",(K20/K25)*(100))</f>
        <v/>
      </c>
      <c r="M20" s="165" t="str">
        <f>IF(K20="","",IF(OR(ROUND(100-L20,0)&lt;Calculations!AY26,ROUND(100-L20,0)&gt;Calculations!AZ26),ROUND(100-L20,1),100-L20))</f>
        <v/>
      </c>
      <c r="N20" s="645"/>
    </row>
    <row r="21" spans="1:14" ht="18" customHeight="1">
      <c r="A21" s="139" t="s">
        <v>1844</v>
      </c>
      <c r="B21" s="1218"/>
      <c r="C21" s="140" t="str">
        <f>IF(B21="","",(B21/B25)*(100))</f>
        <v/>
      </c>
      <c r="D21" s="165" t="str">
        <f>IF(B21="","",IF(OR(ROUND(100-C21,0)&lt;Calculations!AY27,ROUND(100-C21,0)&gt;Calculations!AZ27),ROUND(100-C21,1),100-C21))</f>
        <v/>
      </c>
      <c r="E21" s="142"/>
      <c r="F21" s="140" t="str">
        <f>IF(E21="","",(E21/E25)*(100))</f>
        <v/>
      </c>
      <c r="G21" s="165" t="str">
        <f>IF(E21="","",IF(OR(ROUND(100-F21,0)&lt;Calculations!AY27,ROUND(100-F21,0)&gt;Calculations!AZ27),ROUND(100-F21,1),100-F21))</f>
        <v/>
      </c>
      <c r="H21" s="142"/>
      <c r="I21" s="140" t="str">
        <f>IF(H21="","",(H21/H25)*(100))</f>
        <v/>
      </c>
      <c r="J21" s="165" t="str">
        <f>IF(H21="","",IF(OR(ROUND(100-I21,0)&lt;Calculations!AY27,ROUND(100-I21,0)&gt;Calculations!AZ27),ROUND(100-I21,1),100-I21))</f>
        <v/>
      </c>
      <c r="K21" s="142"/>
      <c r="L21" s="140" t="str">
        <f>IF(K21="","",(K21/K25)*(100))</f>
        <v/>
      </c>
      <c r="M21" s="165" t="str">
        <f>IF(K21="","",IF(OR(ROUND(100-L21,0)&lt;Calculations!AY27,ROUND(100-L21,0)&gt;Calculations!AZ27),ROUND(100-L21,1),100-L21))</f>
        <v/>
      </c>
      <c r="N21" s="645"/>
    </row>
    <row r="22" spans="1:14" ht="18" customHeight="1">
      <c r="A22" s="139" t="s">
        <v>1845</v>
      </c>
      <c r="B22" s="142"/>
      <c r="C22" s="140" t="str">
        <f>IF(B22="","",(B22/B25)*(100))</f>
        <v/>
      </c>
      <c r="D22" s="165" t="str">
        <f>IF(B22="","",IF(OR(ROUND(100-C22,0)&lt;Calculations!AY28,ROUND(100-C22,0)&gt;Calculations!AZ28),ROUND(100-C22,1),100-C22))</f>
        <v/>
      </c>
      <c r="E22" s="142"/>
      <c r="F22" s="140" t="str">
        <f>IF(E22="","",(E22/E25)*(100))</f>
        <v/>
      </c>
      <c r="G22" s="165" t="str">
        <f>IF(E22="","",IF(OR(ROUND(100-F22,0)&lt;Calculations!AY28,ROUND(100-F22,0)&gt;Calculations!AZ28),ROUND(100-F22,1),100-F22))</f>
        <v/>
      </c>
      <c r="H22" s="142"/>
      <c r="I22" s="140" t="str">
        <f>IF(H22="","",(H22/H25)*(100))</f>
        <v/>
      </c>
      <c r="J22" s="165" t="str">
        <f>IF(H22="","",IF(OR(ROUND(100-I22,0)&lt;Calculations!AY28,ROUND(100-I22,0)&gt;Calculations!AZ28),ROUND(100-I22,1),100-I22))</f>
        <v/>
      </c>
      <c r="K22" s="142"/>
      <c r="L22" s="140" t="str">
        <f>IF(K22="","",(K22/K25)*(100))</f>
        <v/>
      </c>
      <c r="M22" s="165" t="str">
        <f>IF(K22="","",IF(OR(ROUND(100-L22,0)&lt;Calculations!AY28,ROUND(100-L22,0)&gt;Calculations!AZ28),ROUND(100-L22,1),100-L22))</f>
        <v/>
      </c>
      <c r="N22" s="645"/>
    </row>
    <row r="23" spans="1:14" ht="18" customHeight="1" thickBot="1">
      <c r="A23" s="139" t="s">
        <v>863</v>
      </c>
      <c r="B23" s="142"/>
      <c r="C23" s="140" t="str">
        <f>IF(B23="","",(B23/B25)*(100))</f>
        <v/>
      </c>
      <c r="D23" s="165" t="str">
        <f>IF(B23="","",IF(OR(ROUND(100-C23,0)&lt;Calculations!AY29,ROUND(100-C23,0)&gt;Calculations!AZ29),ROUND(100-C23,1),100-C23))</f>
        <v/>
      </c>
      <c r="E23" s="142"/>
      <c r="F23" s="140" t="str">
        <f>IF(E23="","",(E23/E25)*(100))</f>
        <v/>
      </c>
      <c r="G23" s="165" t="str">
        <f>IF(E23="","",IF(OR(ROUND(100-F23,0)&lt;Calculations!AY29,ROUND(100-F23,0)&gt;Calculations!AZ29),ROUND(100-F23,1),100-F23))</f>
        <v/>
      </c>
      <c r="H23" s="142"/>
      <c r="I23" s="140" t="str">
        <f>IF(H23="","",(H23/H25)*(100))</f>
        <v/>
      </c>
      <c r="J23" s="165" t="str">
        <f>IF(H23="","",IF(OR(ROUND(100-I23,0)&lt;Calculations!AY29,ROUND(100-I23,0)&gt;Calculations!AZ29),ROUND(100-I23,1),100-I23))</f>
        <v/>
      </c>
      <c r="K23" s="142"/>
      <c r="L23" s="140" t="str">
        <f>IF(K23="","",(K23/K25)*(100))</f>
        <v/>
      </c>
      <c r="M23" s="165" t="str">
        <f>IF(K23="","",IF(OR(ROUND(100-L23,0)&lt;Calculations!AY29,ROUND(100-L23,0)&gt;Calculations!AZ29),ROUND(100-L23,1),100-L23))</f>
        <v/>
      </c>
      <c r="N23" s="646"/>
    </row>
    <row r="24" spans="1:14" ht="18" customHeight="1" thickTop="1">
      <c r="A24" s="139" t="s">
        <v>2153</v>
      </c>
      <c r="B24" s="1218"/>
      <c r="C24" s="140" t="str">
        <f>IF(B24="","",(B24/B25)*(100))</f>
        <v/>
      </c>
      <c r="D24" s="151"/>
      <c r="E24" s="142"/>
      <c r="F24" s="140" t="str">
        <f>IF(E24="","",(E24/E25)*(100))</f>
        <v/>
      </c>
      <c r="G24" s="151"/>
      <c r="H24" s="142"/>
      <c r="I24" s="140" t="str">
        <f>IF(H24="","",(H24/H25)*(100))</f>
        <v/>
      </c>
      <c r="J24" s="151"/>
      <c r="K24" s="142"/>
      <c r="L24" s="140" t="str">
        <f>IF(K24="","",(K24/K25)*(100))</f>
        <v/>
      </c>
      <c r="M24" s="151"/>
    </row>
    <row r="25" spans="1:14" ht="18" customHeight="1" thickBot="1">
      <c r="A25" s="155" t="s">
        <v>2150</v>
      </c>
      <c r="B25" s="156"/>
      <c r="C25" s="157"/>
      <c r="D25" s="158"/>
      <c r="E25" s="156"/>
      <c r="F25" s="157"/>
      <c r="G25" s="158"/>
      <c r="H25" s="156"/>
      <c r="I25" s="157"/>
      <c r="J25" s="158"/>
      <c r="K25" s="156"/>
      <c r="L25" s="157"/>
      <c r="M25" s="158"/>
    </row>
    <row r="26" spans="1:14" ht="18" customHeight="1" thickTop="1">
      <c r="A26" s="160"/>
      <c r="B26" s="260"/>
      <c r="C26" s="144"/>
      <c r="D26" s="145"/>
      <c r="E26" s="143"/>
      <c r="F26" s="144"/>
      <c r="G26" s="145"/>
      <c r="H26" s="143"/>
      <c r="I26" s="144"/>
      <c r="J26" s="145"/>
      <c r="K26" s="143"/>
      <c r="L26" s="144"/>
      <c r="M26" s="145"/>
    </row>
    <row r="27" spans="1:14" ht="18" customHeight="1">
      <c r="A27" s="166"/>
      <c r="B27" s="146"/>
      <c r="E27" s="146"/>
      <c r="G27" s="147"/>
      <c r="H27" s="146"/>
      <c r="J27" s="147"/>
      <c r="K27" s="146"/>
      <c r="M27" s="147"/>
    </row>
    <row r="28" spans="1:14" ht="18" customHeight="1">
      <c r="A28" s="111"/>
      <c r="B28" s="148"/>
      <c r="C28" s="149"/>
      <c r="D28" s="567"/>
      <c r="E28" s="148"/>
      <c r="F28" s="149"/>
      <c r="G28" s="567"/>
      <c r="H28" s="148"/>
      <c r="I28" s="149"/>
      <c r="J28" s="567"/>
      <c r="K28" s="148"/>
      <c r="L28" s="149"/>
      <c r="M28" s="567"/>
    </row>
    <row r="29" spans="1:14" ht="18" customHeight="1">
      <c r="B29" s="148"/>
      <c r="C29" s="149"/>
      <c r="D29" s="567"/>
      <c r="E29" s="148"/>
      <c r="F29" s="149"/>
      <c r="G29" s="567"/>
      <c r="H29" s="148"/>
      <c r="I29" s="149"/>
      <c r="J29" s="567"/>
      <c r="K29" s="148"/>
      <c r="L29" s="149"/>
      <c r="M29" s="567"/>
    </row>
    <row r="30" spans="1:14" ht="18" customHeight="1">
      <c r="B30" s="150"/>
      <c r="C30" s="149"/>
      <c r="D30" s="568"/>
      <c r="E30" s="150"/>
      <c r="F30" s="149"/>
      <c r="G30" s="568"/>
      <c r="H30" s="150"/>
      <c r="I30" s="149"/>
      <c r="J30" s="568"/>
      <c r="K30" s="150"/>
      <c r="L30" s="149"/>
      <c r="M30" s="568"/>
    </row>
    <row r="31" spans="1:14" ht="18" customHeight="1">
      <c r="A31" s="149"/>
      <c r="B31" s="150"/>
      <c r="C31" s="149"/>
      <c r="D31" s="568"/>
      <c r="E31" s="150"/>
      <c r="F31" s="149"/>
      <c r="G31" s="568"/>
      <c r="H31" s="150"/>
      <c r="I31" s="149"/>
      <c r="J31" s="568"/>
      <c r="K31" s="150"/>
      <c r="L31" s="149"/>
      <c r="M31" s="568"/>
    </row>
    <row r="32" spans="1:14" ht="18" customHeight="1">
      <c r="A32" s="149"/>
      <c r="B32" s="150"/>
      <c r="C32" s="149"/>
      <c r="D32" s="498"/>
      <c r="E32" s="150"/>
      <c r="F32" s="149"/>
      <c r="G32" s="498"/>
      <c r="H32" s="150"/>
      <c r="I32" s="149"/>
      <c r="J32" s="498"/>
      <c r="K32" s="150"/>
      <c r="L32" s="149"/>
      <c r="M32" s="498"/>
    </row>
    <row r="33" spans="2:13" ht="18" customHeight="1">
      <c r="B33" s="148" t="s">
        <v>2154</v>
      </c>
      <c r="C33" s="149"/>
      <c r="D33" s="494" t="str">
        <f>IF(D34="","",D34-Superpave!G48)</f>
        <v/>
      </c>
      <c r="E33" s="148" t="s">
        <v>2154</v>
      </c>
      <c r="F33" s="149"/>
      <c r="G33" s="494" t="str">
        <f>IF(G34="","",G34-Superpave!H48)</f>
        <v/>
      </c>
      <c r="H33" s="148" t="s">
        <v>2154</v>
      </c>
      <c r="I33" s="149"/>
      <c r="J33" s="494" t="str">
        <f>IF(J34="","",J34-Superpave!I48)</f>
        <v/>
      </c>
      <c r="K33" s="148" t="s">
        <v>2154</v>
      </c>
      <c r="L33" s="149"/>
      <c r="M33" s="494" t="str">
        <f>IF(M34="","",M34-Superpave!J48)</f>
        <v/>
      </c>
    </row>
    <row r="34" spans="2:13" ht="18" customHeight="1" thickBot="1">
      <c r="B34" s="152" t="s">
        <v>2142</v>
      </c>
      <c r="C34" s="153"/>
      <c r="D34" s="154" t="str">
        <f>IF(AND(Calculations!J1&gt;=1,Superpave!I14&lt;&gt;""),(1.03*(Superpave!J8-Superpave!I14))/(Superpave!I14*(Superpave!J8-1.03))*100,"")</f>
        <v/>
      </c>
      <c r="E34" s="152" t="s">
        <v>2142</v>
      </c>
      <c r="F34" s="153"/>
      <c r="G34" s="154" t="str">
        <f>IF(AND(Calculations!J1&gt;=1,Superpave!I20&lt;&gt;""),(1.03*(Superpave!J8-Superpave!I20))/(Superpave!I20*(Superpave!J8-1.03))*100,"")</f>
        <v/>
      </c>
      <c r="H34" s="152" t="s">
        <v>2142</v>
      </c>
      <c r="I34" s="153"/>
      <c r="J34" s="154" t="str">
        <f>IF(AND(Calculations!J1&gt;=1,Superpave!I26&lt;&gt;""),(1.03*(Superpave!J8-Superpave!I26))/(Superpave!I26*(Superpave!J8-1.03))*100,"")</f>
        <v/>
      </c>
      <c r="K34" s="152" t="s">
        <v>2142</v>
      </c>
      <c r="L34" s="153"/>
      <c r="M34" s="154" t="str">
        <f>IF(AND(Calculations!J1&gt;=1,Superpave!I32&lt;&gt;""),(1.03*(Superpave!J8-Superpave!I32))/(Superpave!I32*(Superpave!J8-1.03))*100,"")</f>
        <v/>
      </c>
    </row>
    <row r="35" spans="2:13" ht="12.75" thickTop="1">
      <c r="B35" s="53" t="str">
        <f>IF(OR(Calculations!J1=7,Calculations!J1=8,Calculations!J1=13),"Fineness Modulus =","")</f>
        <v/>
      </c>
      <c r="D35" s="159" t="str">
        <f>IF(AND(B35&lt;&gt;"",B24=""),"",IF(B35="","",SUM(C17:C22)/100))</f>
        <v/>
      </c>
      <c r="E35" s="53" t="str">
        <f>IF(OR(Calculations!J1=7,Calculations!J1=8,Calculations!J1=13),"Fineness Modulus =","")</f>
        <v/>
      </c>
      <c r="G35" s="159" t="str">
        <f>IF(AND(E35&lt;&gt;"",E25=""),"",IF(E35="","",SUM(F17:F22)/100))</f>
        <v/>
      </c>
      <c r="H35" s="53" t="str">
        <f>IF(OR(Calculations!J1=7,Calculations!J1=8,Calculations!J1=13),"Fineness Modulus =","")</f>
        <v/>
      </c>
      <c r="J35" s="159" t="str">
        <f>IF(AND(H35&lt;&gt;"",H25=""),"",IF(H35="","",SUM(I17:I22)/100))</f>
        <v/>
      </c>
      <c r="K35" s="53" t="str">
        <f>IF(OR(Calculations!J1=7,Calculations!J1=8,Calculations!J1=13),"Fineness Modulus =","")</f>
        <v/>
      </c>
      <c r="M35" s="159" t="str">
        <f>IF(AND(K35&lt;&gt;"",K25=""),"",IF(K35="","",SUM(L17:L22)/100))</f>
        <v/>
      </c>
    </row>
    <row r="36" spans="2:13" ht="15" customHeight="1">
      <c r="C36" s="51"/>
    </row>
    <row r="53" spans="4:4">
      <c r="D53" s="126"/>
    </row>
    <row r="54" spans="4:4">
      <c r="D54" s="162"/>
    </row>
    <row r="55" spans="4:4">
      <c r="D55" s="162"/>
    </row>
    <row r="56" spans="4:4">
      <c r="D56" s="162"/>
    </row>
    <row r="57" spans="4:4">
      <c r="D57" s="162"/>
    </row>
    <row r="58" spans="4:4">
      <c r="D58" s="162"/>
    </row>
    <row r="59" spans="4:4">
      <c r="D59" s="162"/>
    </row>
  </sheetData>
  <sheetProtection algorithmName="SHA-512" hashValue="4WHWexW0yjzYTaV36fxarY/lPoWYawBwlN+OoVxzHKni1Usm4TwZ/aFml5NGuj4cgLo8eAUedcbz7RwNq63hRQ==" saltValue="ZGP7u7uveBOZBlHTNrkrMg==" spinCount="100000" sheet="1" objects="1" scenarios="1"/>
  <mergeCells count="2">
    <mergeCell ref="J1:M1"/>
    <mergeCell ref="J2:M2"/>
  </mergeCells>
  <phoneticPr fontId="31" type="noConversion"/>
  <conditionalFormatting sqref="G17 J17 M17 D17:D18">
    <cfRule type="cellIs" priority="1" stopIfTrue="1" operator="notBetween">
      <formula>"Calculations!AW23"</formula>
      <formula>"Calculations!AX23"</formula>
    </cfRule>
  </conditionalFormatting>
  <conditionalFormatting sqref="D16 G16 J16 M16">
    <cfRule type="cellIs" priority="2" stopIfTrue="1" operator="notBetween">
      <formula>"Calculations!AW22"</formula>
      <formula>"Calculations!AX22"</formula>
    </cfRule>
  </conditionalFormatting>
  <conditionalFormatting sqref="D15 G15 J15 M15">
    <cfRule type="cellIs" priority="3" stopIfTrue="1" operator="notBetween">
      <formula>"Calculations!AW21"</formula>
      <formula>"Calculations!AX21"</formula>
    </cfRule>
  </conditionalFormatting>
  <conditionalFormatting sqref="D14 G14 J14 M14">
    <cfRule type="cellIs" priority="4" stopIfTrue="1" operator="notBetween">
      <formula>"Calculations!AW20"</formula>
      <formula>"Calculations!AX20"</formula>
    </cfRule>
  </conditionalFormatting>
  <conditionalFormatting sqref="D13 G13 J13 M13">
    <cfRule type="cellIs" priority="5" stopIfTrue="1" operator="notBetween">
      <formula>"Calculations!AW19"</formula>
      <formula>"Calculations!AX19"</formula>
    </cfRule>
  </conditionalFormatting>
  <conditionalFormatting sqref="D12 G12 J12 M12">
    <cfRule type="cellIs" priority="6" stopIfTrue="1" operator="notBetween">
      <formula>"Calculations!AW18"</formula>
      <formula>"Calculations!AX18"</formula>
    </cfRule>
  </conditionalFormatting>
  <conditionalFormatting sqref="D11 G11 J11 M11">
    <cfRule type="cellIs" priority="7" stopIfTrue="1" operator="notBetween">
      <formula>"Calculations!AW17"</formula>
      <formula>"Calculations!AX17"</formula>
    </cfRule>
  </conditionalFormatting>
  <conditionalFormatting sqref="D10 G10 J10 M10">
    <cfRule type="cellIs" priority="8" stopIfTrue="1" operator="notBetween">
      <formula>"Calculations!AW16"</formula>
      <formula>"Calculations!AX16"</formula>
    </cfRule>
  </conditionalFormatting>
  <conditionalFormatting sqref="D19 G19 J19 M19">
    <cfRule type="cellIs" priority="9" stopIfTrue="1" operator="notBetween">
      <formula>"Calculations!AW25"</formula>
      <formula>"Calculations!AX25"</formula>
    </cfRule>
  </conditionalFormatting>
  <conditionalFormatting sqref="D20 G20 J20 M20">
    <cfRule type="cellIs" priority="10" stopIfTrue="1" operator="notBetween">
      <formula>"Calculations!AW26"</formula>
      <formula>"Calculations!AX26"</formula>
    </cfRule>
  </conditionalFormatting>
  <conditionalFormatting sqref="D21 G21 J21 M21">
    <cfRule type="cellIs" priority="11" stopIfTrue="1" operator="notBetween">
      <formula>"Calculations!AW27"</formula>
      <formula>"Calculations!AX27"</formula>
    </cfRule>
  </conditionalFormatting>
  <conditionalFormatting sqref="D22 G22 J22 M22">
    <cfRule type="cellIs" priority="12" stopIfTrue="1" operator="notBetween">
      <formula>"Calculations!AW28"</formula>
      <formula>"Calculations!AX28"</formula>
    </cfRule>
  </conditionalFormatting>
  <conditionalFormatting sqref="D23 G23 J23 M23">
    <cfRule type="cellIs" priority="13" stopIfTrue="1" operator="notBetween">
      <formula>"Calculations!AW29"</formula>
      <formula>"Calculations!AX29"</formula>
    </cfRule>
  </conditionalFormatting>
  <conditionalFormatting sqref="G18 J18 M18">
    <cfRule type="cellIs" priority="14" stopIfTrue="1" operator="notBetween">
      <formula>"Calculations!AW24"</formula>
      <formula>"Calculations!AX24"</formula>
    </cfRule>
  </conditionalFormatting>
  <dataValidations disablePrompts="1" count="1">
    <dataValidation type="textLength" allowBlank="1" showInputMessage="1" showErrorMessage="1" sqref="J1" xr:uid="{00000000-0002-0000-0600-000000000000}">
      <formula1>1</formula1>
      <formula2>8</formula2>
    </dataValidation>
  </dataValidations>
  <printOptions horizontalCentered="1"/>
  <pageMargins left="0.25" right="0.25" top="0.5" bottom="0.5" header="0.5" footer="0.25"/>
  <pageSetup scale="93" orientation="landscape" blackAndWhite="1" horizontalDpi="300" verticalDpi="300" r:id="rId1"/>
  <headerFooter alignWithMargins="0">
    <oddFooter>&amp;CPage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Fill="0" autoLine="0" autoPict="0" macro="[0]!DropDown1_Change">
                <anchor moveWithCells="1">
                  <from>
                    <xdr:col>1</xdr:col>
                    <xdr:colOff>19050</xdr:colOff>
                    <xdr:row>25</xdr:row>
                    <xdr:rowOff>95250</xdr:rowOff>
                  </from>
                  <to>
                    <xdr:col>3</xdr:col>
                    <xdr:colOff>628650</xdr:colOff>
                    <xdr:row>26</xdr:row>
                    <xdr:rowOff>47625</xdr:rowOff>
                  </to>
                </anchor>
              </controlPr>
            </control>
          </mc:Choice>
        </mc:AlternateContent>
        <mc:AlternateContent xmlns:mc="http://schemas.openxmlformats.org/markup-compatibility/2006">
          <mc:Choice Requires="x14">
            <control shapeId="3075" r:id="rId5" name="Drop Down 2">
              <controlPr defaultSize="0" autoFill="0" autoLine="0" autoPict="0" macro="[0]!DropDown2_Change">
                <anchor moveWithCells="1">
                  <from>
                    <xdr:col>4</xdr:col>
                    <xdr:colOff>19050</xdr:colOff>
                    <xdr:row>25</xdr:row>
                    <xdr:rowOff>95250</xdr:rowOff>
                  </from>
                  <to>
                    <xdr:col>6</xdr:col>
                    <xdr:colOff>628650</xdr:colOff>
                    <xdr:row>26</xdr:row>
                    <xdr:rowOff>47625</xdr:rowOff>
                  </to>
                </anchor>
              </controlPr>
            </control>
          </mc:Choice>
        </mc:AlternateContent>
        <mc:AlternateContent xmlns:mc="http://schemas.openxmlformats.org/markup-compatibility/2006">
          <mc:Choice Requires="x14">
            <control shapeId="3076" r:id="rId6" name="Drop Down 3">
              <controlPr defaultSize="0" autoFill="0" autoLine="0" autoPict="0" macro="[0]!DropDown3_Change">
                <anchor moveWithCells="1">
                  <from>
                    <xdr:col>7</xdr:col>
                    <xdr:colOff>19050</xdr:colOff>
                    <xdr:row>25</xdr:row>
                    <xdr:rowOff>95250</xdr:rowOff>
                  </from>
                  <to>
                    <xdr:col>9</xdr:col>
                    <xdr:colOff>628650</xdr:colOff>
                    <xdr:row>26</xdr:row>
                    <xdr:rowOff>47625</xdr:rowOff>
                  </to>
                </anchor>
              </controlPr>
            </control>
          </mc:Choice>
        </mc:AlternateContent>
        <mc:AlternateContent xmlns:mc="http://schemas.openxmlformats.org/markup-compatibility/2006">
          <mc:Choice Requires="x14">
            <control shapeId="3077" r:id="rId7" name="Drop Down 4">
              <controlPr defaultSize="0" autoFill="0" autoLine="0" autoPict="0" macro="[0]!DropDown4_Change">
                <anchor moveWithCells="1">
                  <from>
                    <xdr:col>10</xdr:col>
                    <xdr:colOff>19050</xdr:colOff>
                    <xdr:row>25</xdr:row>
                    <xdr:rowOff>95250</xdr:rowOff>
                  </from>
                  <to>
                    <xdr:col>12</xdr:col>
                    <xdr:colOff>628650</xdr:colOff>
                    <xdr:row>26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
  <sheetViews>
    <sheetView workbookViewId="0">
      <selection activeCell="A7" sqref="A7"/>
    </sheetView>
  </sheetViews>
  <sheetFormatPr defaultRowHeight="12.75"/>
  <sheetData/>
  <sheetProtection algorithmName="SHA-512" hashValue="LdxwnODSrKV/wLxI2NpgpEuEt4s7zV5zftCOz3sCXmjjZTuShdKO2C16nupxHVjAcwybZDQg9PY2p4MKRvDUrA==" saltValue="U1GR0n9toiUywuOJbL4nXQ==" spinCount="100000" sheet="1" objects="1" scenarios="1"/>
  <phoneticPr fontId="31" type="noConversion"/>
  <pageMargins left="0.75" right="0.75" top="1" bottom="1" header="0.5" footer="0.5"/>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53"/>
  <sheetViews>
    <sheetView workbookViewId="0">
      <selection activeCell="A4" sqref="A4"/>
    </sheetView>
  </sheetViews>
  <sheetFormatPr defaultRowHeight="12.75"/>
  <cols>
    <col min="1" max="1" width="105.7109375" style="46" customWidth="1"/>
    <col min="2" max="16384" width="9.140625" style="46"/>
  </cols>
  <sheetData>
    <row r="1" spans="1:1" ht="24" thickBot="1">
      <c r="A1" s="499" t="s">
        <v>2170</v>
      </c>
    </row>
    <row r="2" spans="1:1" ht="20.100000000000001" customHeight="1" thickTop="1" thickBot="1">
      <c r="A2" s="500" t="s">
        <v>2171</v>
      </c>
    </row>
    <row r="3" spans="1:1" ht="16.5" thickTop="1">
      <c r="A3" s="1524" t="s">
        <v>3379</v>
      </c>
    </row>
    <row r="4" spans="1:1">
      <c r="A4" s="501"/>
    </row>
    <row r="5" spans="1:1">
      <c r="A5" s="501"/>
    </row>
    <row r="6" spans="1:1">
      <c r="A6" s="501"/>
    </row>
    <row r="7" spans="1:1">
      <c r="A7" s="501"/>
    </row>
    <row r="8" spans="1:1">
      <c r="A8" s="501"/>
    </row>
    <row r="9" spans="1:1">
      <c r="A9" s="501"/>
    </row>
    <row r="10" spans="1:1">
      <c r="A10" s="501"/>
    </row>
    <row r="11" spans="1:1">
      <c r="A11" s="501"/>
    </row>
    <row r="12" spans="1:1">
      <c r="A12" s="501"/>
    </row>
    <row r="13" spans="1:1">
      <c r="A13" s="501"/>
    </row>
    <row r="14" spans="1:1">
      <c r="A14" s="501"/>
    </row>
    <row r="15" spans="1:1">
      <c r="A15" s="501"/>
    </row>
    <row r="16" spans="1:1">
      <c r="A16" s="501"/>
    </row>
    <row r="17" spans="1:1">
      <c r="A17" s="501"/>
    </row>
    <row r="18" spans="1:1">
      <c r="A18" s="501"/>
    </row>
    <row r="19" spans="1:1">
      <c r="A19" s="501"/>
    </row>
    <row r="20" spans="1:1">
      <c r="A20" s="501"/>
    </row>
    <row r="21" spans="1:1">
      <c r="A21" s="501"/>
    </row>
    <row r="22" spans="1:1">
      <c r="A22" s="501"/>
    </row>
    <row r="23" spans="1:1">
      <c r="A23" s="501"/>
    </row>
    <row r="24" spans="1:1">
      <c r="A24" s="501"/>
    </row>
    <row r="25" spans="1:1">
      <c r="A25" s="501"/>
    </row>
    <row r="26" spans="1:1">
      <c r="A26" s="501"/>
    </row>
    <row r="27" spans="1:1">
      <c r="A27" s="501"/>
    </row>
    <row r="28" spans="1:1">
      <c r="A28" s="501"/>
    </row>
    <row r="29" spans="1:1">
      <c r="A29" s="501"/>
    </row>
    <row r="30" spans="1:1">
      <c r="A30" s="501"/>
    </row>
    <row r="31" spans="1:1">
      <c r="A31" s="501"/>
    </row>
    <row r="32" spans="1:1">
      <c r="A32" s="501"/>
    </row>
    <row r="33" spans="1:1">
      <c r="A33" s="501"/>
    </row>
    <row r="34" spans="1:1">
      <c r="A34" s="501"/>
    </row>
    <row r="35" spans="1:1">
      <c r="A35" s="501"/>
    </row>
    <row r="36" spans="1:1">
      <c r="A36" s="501"/>
    </row>
    <row r="37" spans="1:1">
      <c r="A37" s="501"/>
    </row>
    <row r="38" spans="1:1">
      <c r="A38" s="501"/>
    </row>
    <row r="39" spans="1:1">
      <c r="A39" s="501"/>
    </row>
    <row r="40" spans="1:1">
      <c r="A40" s="501"/>
    </row>
    <row r="41" spans="1:1">
      <c r="A41" s="501"/>
    </row>
    <row r="42" spans="1:1">
      <c r="A42" s="501"/>
    </row>
    <row r="43" spans="1:1">
      <c r="A43" s="501"/>
    </row>
    <row r="44" spans="1:1">
      <c r="A44" s="501"/>
    </row>
    <row r="45" spans="1:1">
      <c r="A45" s="501"/>
    </row>
    <row r="46" spans="1:1">
      <c r="A46" s="501"/>
    </row>
    <row r="47" spans="1:1">
      <c r="A47" s="501"/>
    </row>
    <row r="48" spans="1:1">
      <c r="A48" s="501"/>
    </row>
    <row r="49" spans="1:1">
      <c r="A49" s="501"/>
    </row>
    <row r="50" spans="1:1">
      <c r="A50" s="501"/>
    </row>
    <row r="51" spans="1:1">
      <c r="A51" s="501"/>
    </row>
    <row r="52" spans="1:1">
      <c r="A52" s="501"/>
    </row>
    <row r="53" spans="1:1">
      <c r="A53" s="501"/>
    </row>
  </sheetData>
  <sheetProtection algorithmName="SHA-512" hashValue="TCdFc/yoBTv7sRm3YW8oX/aIQx88YnLUqlg+gby0q3P3w40ZcbiV0lzVpsX6JmJZpQbGpLzYISPLGJAXjXVAnQ==" saltValue="7j6VF0niX1uo1yrAq5HlxQ==" spinCount="100000" sheet="1" objects="1" scenarios="1"/>
  <phoneticPr fontId="31" type="noConversion"/>
  <printOptions horizontalCentered="1"/>
  <pageMargins left="0.5" right="0.5" top="0.5" bottom="0.5"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M50"/>
  <sheetViews>
    <sheetView showGridLines="0" workbookViewId="0"/>
  </sheetViews>
  <sheetFormatPr defaultRowHeight="12"/>
  <cols>
    <col min="1" max="2" width="9.140625" style="53"/>
    <col min="3" max="3" width="12.7109375" style="53" customWidth="1"/>
    <col min="4" max="4" width="9.85546875" style="53" customWidth="1"/>
    <col min="5" max="6" width="10.28515625" style="53" customWidth="1"/>
    <col min="7" max="8" width="9.7109375" style="53" customWidth="1"/>
    <col min="9" max="16384" width="9.140625" style="53"/>
  </cols>
  <sheetData>
    <row r="1" spans="1:13" ht="12" customHeight="1">
      <c r="K1" s="51"/>
      <c r="L1" s="51"/>
      <c r="M1" s="51"/>
    </row>
    <row r="2" spans="1:13" ht="12" customHeight="1">
      <c r="A2" s="51" t="s">
        <v>878</v>
      </c>
      <c r="B2" s="51"/>
      <c r="C2" s="124" t="str">
        <f>IF('Pay Values'!B3="","",'Pay Values'!B3)</f>
        <v/>
      </c>
      <c r="D2" s="124"/>
      <c r="E2" s="51" t="s">
        <v>1896</v>
      </c>
      <c r="F2" s="51"/>
      <c r="G2" s="180" t="s">
        <v>1637</v>
      </c>
      <c r="H2" s="180"/>
      <c r="I2" s="180"/>
    </row>
    <row r="3" spans="1:13" ht="12" customHeight="1">
      <c r="A3" s="51" t="s">
        <v>1632</v>
      </c>
      <c r="B3" s="51"/>
      <c r="C3" s="124" t="str">
        <f>IF('Pay Values'!B4="","",'Pay Values'!B4)</f>
        <v/>
      </c>
      <c r="D3" s="124"/>
      <c r="E3" s="51" t="s">
        <v>1897</v>
      </c>
      <c r="F3" s="51"/>
      <c r="G3" s="180" t="s">
        <v>1637</v>
      </c>
      <c r="H3" s="180"/>
      <c r="I3" s="180"/>
    </row>
    <row r="4" spans="1:13" ht="12" customHeight="1">
      <c r="A4" s="51" t="s">
        <v>1898</v>
      </c>
      <c r="B4" s="51"/>
      <c r="C4" s="125" t="str">
        <f>IF('Pay Values'!B5="","",'Pay Values'!B5)</f>
        <v/>
      </c>
      <c r="D4" s="124"/>
      <c r="E4" s="51" t="s">
        <v>1635</v>
      </c>
      <c r="F4" s="51"/>
      <c r="G4" s="125" t="e">
        <f>IF('Pay Values'!C6="","",'Pay Values'!C6)</f>
        <v>#N/A</v>
      </c>
      <c r="H4" s="124"/>
      <c r="I4" s="124"/>
      <c r="K4" s="162"/>
      <c r="L4" s="162"/>
      <c r="M4" s="162"/>
    </row>
    <row r="5" spans="1:13" ht="12.75" thickBot="1">
      <c r="A5" s="51"/>
      <c r="B5" s="51"/>
      <c r="C5" s="162"/>
      <c r="F5" s="51"/>
      <c r="K5" s="162"/>
      <c r="L5" s="162"/>
      <c r="M5" s="162"/>
    </row>
    <row r="6" spans="1:13" ht="12.75" thickTop="1">
      <c r="A6" s="167" t="s">
        <v>1601</v>
      </c>
      <c r="B6" s="167" t="s">
        <v>1648</v>
      </c>
      <c r="C6" s="167" t="s">
        <v>2155</v>
      </c>
      <c r="D6" s="252" t="s">
        <v>2156</v>
      </c>
      <c r="E6" s="110" t="s">
        <v>2157</v>
      </c>
      <c r="F6" s="167" t="s">
        <v>1733</v>
      </c>
      <c r="G6" s="167" t="s">
        <v>1646</v>
      </c>
      <c r="H6" s="167" t="s">
        <v>1647</v>
      </c>
      <c r="K6" s="162"/>
      <c r="L6" s="162"/>
      <c r="M6" s="162"/>
    </row>
    <row r="7" spans="1:13" ht="12.75" thickBot="1">
      <c r="A7" s="137" t="s">
        <v>1709</v>
      </c>
      <c r="B7" s="169" t="s">
        <v>1644</v>
      </c>
      <c r="C7" s="113" t="s">
        <v>2158</v>
      </c>
      <c r="D7" s="112" t="s">
        <v>1693</v>
      </c>
      <c r="E7" s="170" t="s">
        <v>2159</v>
      </c>
      <c r="F7" s="113" t="s">
        <v>2160</v>
      </c>
      <c r="G7" s="113" t="s">
        <v>1651</v>
      </c>
      <c r="H7" s="113" t="s">
        <v>1840</v>
      </c>
    </row>
    <row r="8" spans="1:13" ht="12.75" thickTop="1">
      <c r="A8" s="139" t="s">
        <v>1608</v>
      </c>
      <c r="B8" s="171"/>
      <c r="C8" s="172" t="str">
        <f>IF(OR(Calculations!$J$1=7,Calculations!$J$1=8,Calculations!$J$1=13,Calculations!$H$13=2,Gradation!D10=""),"",IF(OR(Gradation!D10&lt;Calculations!AY16,Gradation!D10&gt;Calculations!AZ16),CONCATENATE("* ",ROUND(Gradation!D10,0)),Gradation!D10))</f>
        <v/>
      </c>
      <c r="D8" s="172" t="str">
        <f>IF(OR(Calculations!$J$1=7,Calculations!$J$1=8,Calculations!$J$1=13,Calculations!$H$13=2),"",IF(D27="","",ROUND(D27,0)))</f>
        <v/>
      </c>
      <c r="E8" s="172" t="str">
        <f>IF(OR(Calculations!$J$1=7,Calculations!$J$1=8,Calculations!$J$1=13,Calculations!$H$13=2),"",IF('Super Verify'!$B$5=1,'Super Verify'!D33,IF('Super Verify'!$B$12=1,'Super Verify'!G33,"")))</f>
        <v/>
      </c>
      <c r="F8" s="172" t="str">
        <f t="shared" ref="F8:F13" si="0">IF(C8="","",IF(LEFT(C8,1)="*",AVERAGE(VALUE(MID(C8,3,LEN(C8))),D8,E8),AVERAGE(C8:E8)))</f>
        <v/>
      </c>
      <c r="G8" s="172" t="str">
        <f t="shared" ref="G8:G21" si="1">IF(F8="","",ABS(B8-F8))</f>
        <v/>
      </c>
      <c r="H8" s="173" t="str">
        <f>IF(G8="","",IF(OR(ROUND(ABS(G8),1)&lt;=13,LEFT(C8,1)&lt;&gt;"*"),100,IF(ROUND(ABS(G8),1)&lt;=14,98,IF(ROUND(ABS(G8),1)&lt;=16,95,IF(ROUND(ABS(G8),1)&lt;=20,90,IF(ROUND(ABS(G8),1)&lt;=23,85,75))))))</f>
        <v/>
      </c>
    </row>
    <row r="9" spans="1:13" ht="12" customHeight="1">
      <c r="A9" s="139" t="s">
        <v>1609</v>
      </c>
      <c r="B9" s="171"/>
      <c r="C9" s="172" t="str">
        <f>IF(OR(Calculations!$J$1=7,Calculations!$J$1=8,Calculations!$J$1=13,Calculations!$H$13=2,Gradation!D11=""),"",IF(OR(Gradation!D11&lt;Calculations!AY17,Gradation!D11&gt;Calculations!AZ17),CONCATENATE("* ",ROUND(Gradation!D11,0)),Gradation!D11))</f>
        <v/>
      </c>
      <c r="D9" s="172" t="str">
        <f>IF(OR(Calculations!$J$1=7,Calculations!$J$1=8,Calculations!$J$1=13,Calculations!$H$13=2),"",IF(D28="","",ROUND(D28,0)))</f>
        <v/>
      </c>
      <c r="E9" s="172" t="str">
        <f>IF(OR(Calculations!$J$1=7,Calculations!$J$1=8,Calculations!$J$1=13,Calculations!$H$13=2),"",IF('Super Verify'!$B$5=1,'Super Verify'!D34,IF('Super Verify'!$B$12=1,'Super Verify'!G34,"")))</f>
        <v/>
      </c>
      <c r="F9" s="172" t="str">
        <f t="shared" si="0"/>
        <v/>
      </c>
      <c r="G9" s="172" t="str">
        <f t="shared" si="1"/>
        <v/>
      </c>
      <c r="H9" s="173" t="str">
        <f>IF(G9="","",IF(OR(ROUND(ABS(G9),1)&lt;=13,LEFT(C9,1)&lt;&gt;"*"),100,IF(ROUND(ABS(G9),1)&lt;=14,98,IF(ROUND(ABS(G9),1)&lt;=16,95,IF(ROUND(ABS(G9),1)&lt;=20,90,IF(ROUND(ABS(G9),1)&lt;=23,85,75))))))</f>
        <v/>
      </c>
    </row>
    <row r="10" spans="1:13">
      <c r="A10" s="139" t="s">
        <v>1610</v>
      </c>
      <c r="B10" s="171"/>
      <c r="C10" s="172" t="str">
        <f>IF(OR(Calculations!$J$1=7,Calculations!$J$1=8,Calculations!$J$1=13,Calculations!$H$13=2,Gradation!D12=""),"",IF(OR(Gradation!D12&lt;Calculations!AY18,Gradation!D12&gt;Calculations!AZ18),CONCATENATE("* ",ROUND(Gradation!D12,0)),Gradation!D12))</f>
        <v/>
      </c>
      <c r="D10" s="172" t="str">
        <f>IF(OR(Calculations!$J$1=7,Calculations!$J$1=8,Calculations!$J$1=13,Calculations!$H$13=2),"",IF(D29="","",ROUND(D29,0)))</f>
        <v/>
      </c>
      <c r="E10" s="172" t="str">
        <f>IF(OR(Calculations!$J$1=7,Calculations!$J$1=8,Calculations!$J$1=13,Calculations!$H$13=2),"",IF('Super Verify'!$B$5=1,'Super Verify'!D35,IF('Super Verify'!$B$12=1,'Super Verify'!G35,"")))</f>
        <v/>
      </c>
      <c r="F10" s="172" t="str">
        <f t="shared" si="0"/>
        <v/>
      </c>
      <c r="G10" s="172" t="str">
        <f t="shared" si="1"/>
        <v/>
      </c>
      <c r="H10" s="173" t="str">
        <f>IF(G10="","",IF(OR(ROUND(ABS(G10),1)&lt;=9,LEFT(C10,1)&lt;&gt;"*"),100,IF(ROUND(ABS(G10),1)&lt;=10,98,IF(ROUND(ABS(G10),1)&lt;=12,95,IF(ROUND(ABS(G10),1)&lt;=14,90,IF(ROUND(ABS(G10),1)&lt;=16,85,75))))))</f>
        <v/>
      </c>
    </row>
    <row r="11" spans="1:13">
      <c r="A11" s="139" t="s">
        <v>1611</v>
      </c>
      <c r="B11" s="171"/>
      <c r="C11" s="172" t="str">
        <f>IF(OR(Calculations!$J$1=7,Calculations!$J$1=8,Calculations!$J$1=13,Calculations!$H$13=2,Gradation!D13=""),"",IF(OR(Gradation!D13&lt;Calculations!AY19,Gradation!D13&gt;Calculations!AZ19),CONCATENATE("* ",ROUND(Gradation!D13,0)),Gradation!D13))</f>
        <v/>
      </c>
      <c r="D11" s="172" t="str">
        <f>IF(OR(Calculations!$J$1=7,Calculations!$J$1=8,Calculations!$J$1=13,Calculations!$H$13=2),"",IF(D30="","",ROUND(D30,0)))</f>
        <v/>
      </c>
      <c r="E11" s="172" t="str">
        <f>IF(OR(Calculations!$J$1=7,Calculations!$J$1=8,Calculations!$J$1=13,Calculations!$H$13=2),"",IF('Super Verify'!$B$5=1,'Super Verify'!D36,IF('Super Verify'!$B$12=1,'Super Verify'!G36,"")))</f>
        <v/>
      </c>
      <c r="F11" s="172" t="str">
        <f t="shared" si="0"/>
        <v/>
      </c>
      <c r="G11" s="172" t="str">
        <f t="shared" si="1"/>
        <v/>
      </c>
      <c r="H11" s="173" t="str">
        <f>IF(G11="","",IF(OR(ROUND(ABS(G11),1)&lt;=9,LEFT(C11,1)&lt;&gt;"*"),100,IF(ROUND(ABS(G11),1)&lt;=10,98,IF(ROUND(ABS(G11),1)&lt;=12,95,IF(ROUND(ABS(G11),1)&lt;=14,90,IF(ROUND(ABS(G11),1)&lt;=16,85,75))))))</f>
        <v/>
      </c>
    </row>
    <row r="12" spans="1:13">
      <c r="A12" s="139" t="s">
        <v>1974</v>
      </c>
      <c r="B12" s="171"/>
      <c r="C12" s="172" t="str">
        <f>IF(OR(Calculations!$J$1=7,Calculations!$J$1=8,Calculations!$J$1=13,Calculations!$H$13=2,Gradation!D14=""),"",IF(OR(Gradation!D14&lt;Calculations!AY20,Gradation!D14&gt;Calculations!AZ20),CONCATENATE("* ",ROUND(Gradation!D14,0)),Gradation!D14))</f>
        <v/>
      </c>
      <c r="D12" s="172" t="str">
        <f>IF(OR(Calculations!$J$1=7,Calculations!$J$1=8,Calculations!$J$1=13,Calculations!$H$13=2),"",IF(D31="","",ROUND(D31,0)))</f>
        <v/>
      </c>
      <c r="E12" s="172" t="str">
        <f>IF(OR(Calculations!$J$1=7,Calculations!$J$1=8,Calculations!$J$1=13,Calculations!$H$13=2),"",IF('Super Verify'!$B$5=1,'Super Verify'!D37,IF('Super Verify'!$B$12=1,'Super Verify'!G37,"")))</f>
        <v/>
      </c>
      <c r="F12" s="172" t="str">
        <f t="shared" si="0"/>
        <v/>
      </c>
      <c r="G12" s="172" t="str">
        <f t="shared" si="1"/>
        <v/>
      </c>
      <c r="H12" s="173" t="str">
        <f>IF(G12="","",IF(OR(ROUND(ABS(G12),1)&lt;=9,LEFT(C12,1)&lt;&gt;"*"),100,IF(ROUND(ABS(G12),1)&lt;=10,98,IF(ROUND(ABS(G12),1)&lt;=12,95,IF(ROUND(ABS(G12),1)&lt;=14,90,IF(ROUND(ABS(G12),1)&lt;=16,85,75))))))</f>
        <v/>
      </c>
    </row>
    <row r="13" spans="1:13">
      <c r="A13" s="139" t="s">
        <v>1615</v>
      </c>
      <c r="B13" s="171"/>
      <c r="C13" s="172" t="str">
        <f>IF(OR(Calculations!$J$1=7,Calculations!$J$1=8,Calculations!$J$1=13,Calculations!$H$13=2,Gradation!D15=""),"",IF(OR(Gradation!D15&lt;Calculations!AY21,Gradation!D15&gt;Calculations!AZ21),CONCATENATE("* ",ROUND(Gradation!D15,0)),Gradation!D15))</f>
        <v/>
      </c>
      <c r="D13" s="172" t="str">
        <f>IF(OR(Calculations!$J$1=7,Calculations!$J$1=8,Calculations!$J$1=13,Calculations!$H$13=2),"",IF(D32="","",ROUND(D32,0)))</f>
        <v/>
      </c>
      <c r="E13" s="172" t="str">
        <f>IF(OR(Calculations!$J$1=7,Calculations!$J$1=8,Calculations!$J$1=13,Calculations!$H$13=2),"",IF('Super Verify'!$B$5=1,'Super Verify'!D38,IF('Super Verify'!$B$12=1,'Super Verify'!G38,"")))</f>
        <v/>
      </c>
      <c r="F13" s="172" t="str">
        <f t="shared" si="0"/>
        <v/>
      </c>
      <c r="G13" s="172" t="str">
        <f t="shared" si="1"/>
        <v/>
      </c>
      <c r="H13" s="173" t="str">
        <f>IF(G13="","",IF(OR(ROUND(ABS(G13),1)&lt;=8,LEFT(C13,1)&lt;&gt;"*"),100,IF(ROUND(ABS(G13),1)&lt;=9,98,IF(ROUND(ABS(G13),1)&lt;=10,95,IF(ROUND(ABS(G13),1)&lt;=12,90,IF(ROUND(ABS(G13),1)&lt;=14,85,75))))))</f>
        <v/>
      </c>
    </row>
    <row r="14" spans="1:13">
      <c r="A14" s="139" t="s">
        <v>1977</v>
      </c>
      <c r="B14" s="171"/>
      <c r="C14" s="172" t="str">
        <f>IF(OR(Calculations!$J$1=7,Calculations!$J$1=8,Calculations!$J$1=13,Calculations!$H$13=2,Gradation!D17=""),"",IF(OR(Gradation!D17&lt;Calculations!AY23,Gradation!D17&gt;Calculations!AZ23),CONCATENATE("* ",ROUND(Gradation!D17,0)),Gradation!D17))</f>
        <v/>
      </c>
      <c r="D14" s="172" t="str">
        <f>IF(OR(Calculations!$J$1=7,Calculations!$J$1=8,Calculations!$J$1=13,Calculations!$H$13=2),"",IF(D33="","",ROUND(D33,0)))</f>
        <v/>
      </c>
      <c r="E14" s="172" t="str">
        <f>IF(OR(Calculations!$J$1=7,Calculations!$J$1=8,Calculations!$J$1=13,Calculations!$H$13=2),"",IF('Super Verify'!$B$5=1,'Super Verify'!D40,IF('Super Verify'!$B$12=1,'Super Verify'!G40,"")))</f>
        <v/>
      </c>
      <c r="F14" s="172" t="str">
        <f t="shared" ref="F14:F19" si="2">IF(C14="","",IF(LEFT(C14,1)="*",AVERAGE(VALUE(MID(C14,3,LEN(C14))),D14,E14),AVERAGE(C14:E14)))</f>
        <v/>
      </c>
      <c r="G14" s="172" t="str">
        <f t="shared" si="1"/>
        <v/>
      </c>
      <c r="H14" s="173" t="str">
        <f>IF(G14="","",IF(OR(ROUND(ABS(G14),1)&lt;=8,LEFT(C14,1)&lt;&gt;"*"),100,IF(ROUND(ABS(G14),1)&lt;=9,98,IF(ROUND(ABS(G14),1)&lt;=10,95,IF(ROUND(ABS(G14),1)&lt;=12,90,IF(ROUND(ABS(G14),1)&lt;=14,85,75))))))</f>
        <v/>
      </c>
    </row>
    <row r="15" spans="1:13">
      <c r="A15" s="139" t="s">
        <v>1841</v>
      </c>
      <c r="B15" s="171"/>
      <c r="C15" s="172" t="str">
        <f>IF(OR(Calculations!$J$1=7,Calculations!$J$1=8,Calculations!$J$1=13,Calculations!$H$13=2,Gradation!D18=""),"",IF(OR(Gradation!D18&lt;Calculations!AY24,Gradation!D18&gt;Calculations!AZ24),CONCATENATE("* ",ROUND(Gradation!D18,0)),Gradation!D18))</f>
        <v/>
      </c>
      <c r="D15" s="172" t="str">
        <f>IF(OR(Calculations!$J$1=7,Calculations!$J$1=8,Calculations!$J$1=13,Calculations!$H$13=2),"",IF(D34="","",ROUND(D34,0)))</f>
        <v/>
      </c>
      <c r="E15" s="172" t="str">
        <f>IF(OR(Calculations!$J$1=7,Calculations!$J$1=8,Calculations!$J$1=13,Calculations!$H$13=2),"",IF('Super Verify'!$B$5=1,'Super Verify'!D41,IF('Super Verify'!$B$12=1,'Super Verify'!G41,"")))</f>
        <v/>
      </c>
      <c r="F15" s="172" t="str">
        <f t="shared" si="2"/>
        <v/>
      </c>
      <c r="G15" s="172" t="str">
        <f t="shared" si="1"/>
        <v/>
      </c>
      <c r="H15" s="173" t="str">
        <f>IF(G15="","",IF(OR(ROUND(ABS(G15),1)&lt;=8,LEFT(C15,1)&lt;&gt;"*"),100,IF(ROUND(ABS(G15),1)&lt;=9,98,IF(ROUND(ABS(G15),1)&lt;=10,95,IF(ROUND(ABS(G15),1)&lt;=12,90,IF(ROUND(ABS(G15),1)&lt;=14,85,75))))))</f>
        <v/>
      </c>
    </row>
    <row r="16" spans="1:13">
      <c r="A16" s="139" t="s">
        <v>1842</v>
      </c>
      <c r="B16" s="171"/>
      <c r="C16" s="172" t="str">
        <f>IF(OR(Calculations!$J$1=7,Calculations!$J$1=8,Calculations!$J$1=13,Calculations!$H$13=2,Gradation!D19=""),"",IF(OR(Gradation!D19&lt;Calculations!AY25,Gradation!D19&gt;Calculations!AZ25),CONCATENATE("* ",ROUND(Gradation!D19,0)),Gradation!D19))</f>
        <v/>
      </c>
      <c r="D16" s="172" t="str">
        <f>IF(OR(Calculations!$J$1=7,Calculations!$J$1=8,Calculations!$J$1=13,Calculations!$H$13=2),"",IF(D35="","",ROUND(D35,0)))</f>
        <v/>
      </c>
      <c r="E16" s="172" t="str">
        <f>IF(OR(Calculations!$J$1=7,Calculations!$J$1=8,Calculations!$J$1=13,Calculations!$H$13=2),"",IF('Super Verify'!$B$5=1,'Super Verify'!D42,IF('Super Verify'!$B$12=1,'Super Verify'!G42,"")))</f>
        <v/>
      </c>
      <c r="F16" s="172" t="str">
        <f t="shared" si="2"/>
        <v/>
      </c>
      <c r="G16" s="172" t="str">
        <f t="shared" si="1"/>
        <v/>
      </c>
      <c r="H16" s="173" t="str">
        <f>IF(G16="","",IF(OR(ROUND(ABS(G16),1)&lt;=8,LEFT(C16,1)&lt;&gt;"*"),100,IF(ROUND(ABS(G16),1)&lt;=9,98,IF(ROUND(ABS(G16),1)&lt;=10,95,IF(ROUND(ABS(G16),1)&lt;=12,90,IF(ROUND(ABS(G16),1)&lt;=14,85,75))))))</f>
        <v/>
      </c>
    </row>
    <row r="17" spans="1:11">
      <c r="A17" s="139" t="s">
        <v>1843</v>
      </c>
      <c r="B17" s="171"/>
      <c r="C17" s="172" t="str">
        <f>IF(OR(Calculations!$J$1=7,Calculations!$J$1=8,Calculations!$J$1=13,Calculations!$H$13=2,Gradation!D20=""),"",IF(OR(Gradation!D20&lt;Calculations!AY26,Gradation!D20&gt;Calculations!AZ26),CONCATENATE("* ",ROUND(Gradation!D20,0)),Gradation!D20))</f>
        <v/>
      </c>
      <c r="D17" s="172" t="str">
        <f>IF(OR(Calculations!$J$1=7,Calculations!$J$1=8,Calculations!$J$1=13,Calculations!$H$13=2),"",IF(D36="","",ROUND(D36,0)))</f>
        <v/>
      </c>
      <c r="E17" s="172" t="str">
        <f>IF(OR(Calculations!$J$1=7,Calculations!$J$1=8,Calculations!$J$1=13,Calculations!$H$13=2),"",IF('Super Verify'!$B$5=1,'Super Verify'!D43,IF('Super Verify'!$B$12=1,'Super Verify'!G43,"")))</f>
        <v/>
      </c>
      <c r="F17" s="172" t="str">
        <f t="shared" si="2"/>
        <v/>
      </c>
      <c r="G17" s="172" t="str">
        <f t="shared" si="1"/>
        <v/>
      </c>
      <c r="H17" s="173" t="str">
        <f>IF(G17="","",IF(OR(ROUND(ABS(G17),1)&lt;=8,LEFT(C17,1)&lt;&gt;"*"),100,IF(ROUND(ABS(G17),1)&lt;=9,98,IF(ROUND(ABS(G17),1)&lt;=10,95,IF(ROUND(ABS(G17),1)&lt;=12,90,IF(ROUND(ABS(G17),1)&lt;=14,85,75))))))</f>
        <v/>
      </c>
    </row>
    <row r="18" spans="1:11">
      <c r="A18" s="139" t="s">
        <v>1844</v>
      </c>
      <c r="B18" s="171"/>
      <c r="C18" s="172" t="str">
        <f>IF(OR(Calculations!$J$1=7,Calculations!$J$1=8,Calculations!$J$1=13,Calculations!$H$13=2,Gradation!D21=""),"",IF(OR(Gradation!D21&lt;Calculations!AY27,Gradation!D21&gt;Calculations!AZ27),CONCATENATE("* ",ROUND(Gradation!D21,0)),Gradation!D21))</f>
        <v/>
      </c>
      <c r="D18" s="172" t="str">
        <f>IF(OR(Calculations!$J$1=7,Calculations!$J$1=8,Calculations!$J$1=13,Calculations!$H$13=2),"",IF(D37="","",ROUND(D37,0)))</f>
        <v/>
      </c>
      <c r="E18" s="172" t="str">
        <f>IF(OR(Calculations!$J$1=7,Calculations!$J$1=8,Calculations!$J$1=13,Calculations!$H$13=2),"",IF('Super Verify'!$B$5=1,'Super Verify'!D44,IF('Super Verify'!$B$12=1,'Super Verify'!G44,"")))</f>
        <v/>
      </c>
      <c r="F18" s="172" t="str">
        <f t="shared" si="2"/>
        <v/>
      </c>
      <c r="G18" s="172" t="str">
        <f t="shared" si="1"/>
        <v/>
      </c>
      <c r="H18" s="173" t="str">
        <f>IF(G18="","",IF(OR(ROUND(ABS(G18),1)&lt;=6,LEFT(C18,1)&lt;&gt;"*"),100,IF(ROUND(ABS(G18),1)&lt;=7,98,IF(ROUND(ABS(G18),1)&lt;=8,95,IF(ROUND(ABS(G18),1)&lt;=9,90,IF(ROUND(ABS(G18),1)&lt;=10,85,75))))))</f>
        <v/>
      </c>
      <c r="K18" s="111"/>
    </row>
    <row r="19" spans="1:11">
      <c r="A19" s="139" t="s">
        <v>1845</v>
      </c>
      <c r="B19" s="171"/>
      <c r="C19" s="172" t="str">
        <f>IF(OR(Calculations!$J$1=7,Calculations!$J$1=8,Calculations!$J$1=13,Calculations!$H$13=2,Gradation!D22=""),"",IF(OR(Gradation!D22&lt;Calculations!AY28,Gradation!D22&gt;Calculations!AZ28),CONCATENATE("* ",ROUND(Gradation!D22,0)),Gradation!D22))</f>
        <v/>
      </c>
      <c r="D19" s="172" t="str">
        <f>IF(OR(Calculations!$J$1=7,Calculations!$J$1=8,Calculations!$J$1=13,Calculations!$H$13=2),"",IF(D38="","",ROUND(D38,0)))</f>
        <v/>
      </c>
      <c r="E19" s="172" t="str">
        <f>IF(OR(Calculations!$J$1=7,Calculations!$J$1=8,Calculations!$J$1=13,Calculations!$H$13=2),"",IF('Super Verify'!$B$5=1,'Super Verify'!D45,IF('Super Verify'!$B$12=1,'Super Verify'!G45,"")))</f>
        <v/>
      </c>
      <c r="F19" s="172" t="str">
        <f t="shared" si="2"/>
        <v/>
      </c>
      <c r="G19" s="172" t="str">
        <f t="shared" si="1"/>
        <v/>
      </c>
      <c r="H19" s="173" t="str">
        <f>IF(G19="","",IF(OR(ROUND(ABS(G19),1)&lt;=3,LEFT(C19,1)&lt;&gt;"*"),100,IF(ROUND(ABS(G19),1)&lt;=4,95,IF(ROUND(ABS(G19),1)&lt;=5,90,75))))</f>
        <v/>
      </c>
    </row>
    <row r="20" spans="1:11">
      <c r="A20" s="139" t="s">
        <v>863</v>
      </c>
      <c r="B20" s="171"/>
      <c r="C20" s="172" t="str">
        <f>IF(OR(Calculations!$J$1=7,Calculations!$J$1=8,Calculations!$J$1=13,Calculations!$H$13=2,Gradation!D23=""),"",IF(OR(Gradation!D23&lt;Calculations!AY29,Gradation!D23&gt;Calculations!AZ29),CONCATENATE("* ",ROUND(Gradation!D23,0)),Gradation!D23))</f>
        <v/>
      </c>
      <c r="D20" s="172" t="str">
        <f>IF(OR(Calculations!$J$1=7,Calculations!$J$1=8,Calculations!$J$1=13,Calculations!$H$13=2),"",IF(D39="","",ROUND(D39,0)))</f>
        <v/>
      </c>
      <c r="E20" s="172" t="str">
        <f>IF(OR(Calculations!$J$1=7,Calculations!$J$1=8,Calculations!$J$1=13,Calculations!$H$13=2),"",IF('Super Verify'!$B$5=1,'Super Verify'!D46,IF('Super Verify'!$B$12=1,'Super Verify'!G46,"")))</f>
        <v/>
      </c>
      <c r="F20" s="174" t="str">
        <f>IF(C20="","",Calculations!Q124)</f>
        <v/>
      </c>
      <c r="G20" s="174" t="str">
        <f t="shared" si="1"/>
        <v/>
      </c>
      <c r="H20" s="173" t="str">
        <f>IF(G20="","",IF(OR(ROUND(ABS(G20),1)&lt;=2,LEFT(C20,1)&lt;&gt;"*"),100,IF(ROUND(ABS(G20),1)&lt;=2.5,98,IF(ROUND(ABS(G20),1)&lt;=3,95,IF(ROUND(ABS(G20),1)&lt;=3.5,85,75)))))</f>
        <v/>
      </c>
    </row>
    <row r="21" spans="1:11">
      <c r="A21" s="139" t="s">
        <v>1650</v>
      </c>
      <c r="B21" s="247"/>
      <c r="C21" s="174" t="str">
        <f>IF(AND(Calculations!H13=1,Gradation!D33&lt;&gt;""),Gradation!D33,IF(AND(Calculations!H13=1,Gradation!D33=""),Gradation!D34,""))</f>
        <v/>
      </c>
      <c r="D21" s="174" t="str">
        <f>IF(AND(Calculations!H13=1,I30&lt;&gt;""),I30,IF(AND(Calculations!H13=1,I30=""),I32,""))</f>
        <v/>
      </c>
      <c r="E21" s="174" t="str">
        <f>IF(Calculations!H13=2,"",IF(AND('Super Verify'!B5=1,'Super Verify'!J27&lt;&gt;""),'Super Verify'!J27,IF(AND('Super Verify'!B5=1,'Super Verify'!J27=""),'Super Verify'!J28,IF(AND('Super Verify'!B12=1,'Super Verify'!M27&lt;&gt;""),'Super Verify'!M27,IF(AND('Super Verify'!B12=1,'Super Verify'!M27=""),'Super Verify'!M28,"")))))</f>
        <v/>
      </c>
      <c r="F21" s="174" t="str">
        <f>IF(C21="","",(AVERAGE(C21:E21)))</f>
        <v/>
      </c>
      <c r="G21" s="174" t="str">
        <f t="shared" si="1"/>
        <v/>
      </c>
      <c r="H21" s="173" t="str">
        <f>IF(G21="","",IF(ROUND(ABS(G21),1)&lt;=0.5,100,IF(ROUND(ABS(G21),1)=0.6,98,IF(ROUND(ABS(G21),1)=0.7,90,IF(ROUND(ABS(G21),1)=0.8,85,75)))))</f>
        <v/>
      </c>
    </row>
    <row r="22" spans="1:11" ht="12.75" thickBot="1">
      <c r="A22" s="155" t="s">
        <v>2161</v>
      </c>
      <c r="B22" s="175" t="str">
        <f>IF(OR(Calculations!J1=7,Calculations!J1=8,Calculations!J1=13),Calculations!D121,"")</f>
        <v/>
      </c>
      <c r="C22" s="176" t="str">
        <f>Gradation!D35</f>
        <v/>
      </c>
      <c r="D22" s="176" t="str">
        <f>IF(C38="","",IF(OR(Calculations!J1=7,Calculations!J1=8,Calculations!J1=13),SUM(C33:C38)/100,""))</f>
        <v/>
      </c>
      <c r="E22" s="176" t="str">
        <f>IF(B22="","",IF('Super Verify'!B5=1,'Super Verify'!D49,IF('Super Verify'!B12=1,'Super Verify'!G49,"")))</f>
        <v/>
      </c>
      <c r="F22" s="176" t="str">
        <f>IF(AND(C22="",D22="",E22=""),"",(AVERAGE(C22:E22)))</f>
        <v/>
      </c>
      <c r="G22" s="176" t="str">
        <f>IF(OR(B22="",F22=""),"",ABS(F22-B22))</f>
        <v/>
      </c>
      <c r="H22" s="177" t="str">
        <f>IF(G22="","",IF(ROUND(ABS(G22),2)&lt;=0.3,100,IF(ROUND(ABS(G22),2)&lt;=0.34,98,IF(ROUND(ABS(G22),2)&lt;=0.39,95,IF(ROUND(ABS(G22),2)&lt;=0.46,90,IF(ROUND(ABS(G22),2)&lt;=0.55,85,75))))))</f>
        <v/>
      </c>
    </row>
    <row r="23" spans="1:11" ht="13.5" thickTop="1" thickBot="1"/>
    <row r="24" spans="1:11" ht="13.5" thickTop="1" thickBot="1">
      <c r="A24" s="133"/>
      <c r="B24" s="127" t="s">
        <v>2162</v>
      </c>
      <c r="C24" s="128"/>
      <c r="D24" s="134"/>
      <c r="G24" s="102" t="s">
        <v>2163</v>
      </c>
      <c r="H24" s="103"/>
      <c r="I24" s="104"/>
    </row>
    <row r="25" spans="1:11" ht="12.75" thickTop="1">
      <c r="A25" s="135" t="s">
        <v>1601</v>
      </c>
      <c r="B25" s="136" t="s">
        <v>2144</v>
      </c>
      <c r="C25" s="135" t="s">
        <v>2145</v>
      </c>
      <c r="D25" s="136" t="s">
        <v>2145</v>
      </c>
      <c r="G25" s="143"/>
      <c r="H25" s="144"/>
      <c r="I25" s="145"/>
    </row>
    <row r="26" spans="1:11" ht="12.75" thickBot="1">
      <c r="A26" s="137" t="s">
        <v>1709</v>
      </c>
      <c r="B26" s="138" t="s">
        <v>2146</v>
      </c>
      <c r="C26" s="137" t="s">
        <v>2146</v>
      </c>
      <c r="D26" s="138" t="s">
        <v>2147</v>
      </c>
      <c r="G26" s="146"/>
      <c r="I26" s="147"/>
    </row>
    <row r="27" spans="1:11" ht="12.75" thickTop="1">
      <c r="A27" s="139" t="s">
        <v>1608</v>
      </c>
      <c r="B27" s="142"/>
      <c r="C27" s="140" t="str">
        <f>IF(B27="","",((B27/$B$41)*100))</f>
        <v/>
      </c>
      <c r="D27" s="165" t="str">
        <f t="shared" ref="D27:D39" si="3">IF(B27="","",(100-C27))</f>
        <v/>
      </c>
      <c r="G27" s="148"/>
      <c r="H27" s="149"/>
      <c r="I27" s="567"/>
    </row>
    <row r="28" spans="1:11">
      <c r="A28" s="139" t="s">
        <v>1609</v>
      </c>
      <c r="B28" s="142"/>
      <c r="C28" s="140" t="str">
        <f t="shared" ref="C28:C40" si="4">IF(B28="","",((B28/$B$41)*100))</f>
        <v/>
      </c>
      <c r="D28" s="165" t="str">
        <f t="shared" si="3"/>
        <v/>
      </c>
      <c r="G28" s="148"/>
      <c r="H28" s="149"/>
      <c r="I28" s="567"/>
    </row>
    <row r="29" spans="1:11">
      <c r="A29" s="139" t="s">
        <v>1610</v>
      </c>
      <c r="B29" s="142"/>
      <c r="C29" s="140" t="str">
        <f t="shared" si="4"/>
        <v/>
      </c>
      <c r="D29" s="165" t="str">
        <f t="shared" si="3"/>
        <v/>
      </c>
      <c r="G29" s="150"/>
      <c r="H29" s="149"/>
      <c r="I29" s="568"/>
    </row>
    <row r="30" spans="1:11">
      <c r="A30" s="139" t="s">
        <v>1611</v>
      </c>
      <c r="B30" s="142"/>
      <c r="C30" s="140" t="str">
        <f t="shared" si="4"/>
        <v/>
      </c>
      <c r="D30" s="165" t="str">
        <f t="shared" si="3"/>
        <v/>
      </c>
      <c r="G30" s="150"/>
      <c r="H30" s="149"/>
      <c r="I30" s="568"/>
    </row>
    <row r="31" spans="1:11">
      <c r="A31" s="139" t="s">
        <v>1974</v>
      </c>
      <c r="B31" s="142"/>
      <c r="C31" s="140" t="str">
        <f t="shared" si="4"/>
        <v/>
      </c>
      <c r="D31" s="165" t="str">
        <f t="shared" si="3"/>
        <v/>
      </c>
      <c r="G31" s="150" t="s">
        <v>2140</v>
      </c>
      <c r="H31" s="149"/>
      <c r="I31" s="557"/>
    </row>
    <row r="32" spans="1:11">
      <c r="A32" s="139" t="s">
        <v>1615</v>
      </c>
      <c r="B32" s="142"/>
      <c r="C32" s="140" t="str">
        <f t="shared" si="4"/>
        <v/>
      </c>
      <c r="D32" s="165" t="str">
        <f t="shared" si="3"/>
        <v/>
      </c>
      <c r="G32" s="491" t="s">
        <v>2141</v>
      </c>
      <c r="H32" s="52"/>
      <c r="I32" s="490" t="str">
        <f>IF(I31="","",I31-'Accept. Grad. # 1'!G46)</f>
        <v/>
      </c>
    </row>
    <row r="33" spans="1:9" ht="12.75" thickBot="1">
      <c r="A33" s="139" t="s">
        <v>1977</v>
      </c>
      <c r="B33" s="142"/>
      <c r="C33" s="140" t="str">
        <f t="shared" si="4"/>
        <v/>
      </c>
      <c r="D33" s="165" t="str">
        <f t="shared" si="3"/>
        <v/>
      </c>
      <c r="G33" s="488" t="s">
        <v>2142</v>
      </c>
      <c r="H33" s="489"/>
      <c r="I33" s="154" t="str">
        <f>IF(I42="","",(1.03*(Superpave!J8-I42))/(I42*(Superpave!J8-1.03))*100)</f>
        <v/>
      </c>
    </row>
    <row r="34" spans="1:9" ht="14.25" thickTop="1" thickBot="1">
      <c r="A34" s="139" t="s">
        <v>1841</v>
      </c>
      <c r="B34" s="142"/>
      <c r="C34" s="140" t="str">
        <f t="shared" si="4"/>
        <v/>
      </c>
      <c r="D34" s="165" t="str">
        <f t="shared" si="3"/>
        <v/>
      </c>
      <c r="F34" s="260"/>
      <c r="G34" s="260"/>
      <c r="H34" s="260"/>
      <c r="I34" s="260"/>
    </row>
    <row r="35" spans="1:9" ht="13.5" thickTop="1" thickBot="1">
      <c r="A35" s="139" t="s">
        <v>1842</v>
      </c>
      <c r="B35" s="142"/>
      <c r="C35" s="140" t="str">
        <f t="shared" si="4"/>
        <v/>
      </c>
      <c r="D35" s="165" t="str">
        <f t="shared" si="3"/>
        <v/>
      </c>
      <c r="F35" s="129"/>
      <c r="G35" s="130"/>
      <c r="H35" s="131" t="s">
        <v>2164</v>
      </c>
      <c r="I35" s="132" t="s">
        <v>2165</v>
      </c>
    </row>
    <row r="36" spans="1:9" ht="12.75" thickTop="1">
      <c r="A36" s="139" t="s">
        <v>1843</v>
      </c>
      <c r="B36" s="142"/>
      <c r="C36" s="140" t="str">
        <f t="shared" si="4"/>
        <v/>
      </c>
      <c r="D36" s="165" t="str">
        <f t="shared" si="3"/>
        <v/>
      </c>
      <c r="F36" s="109" t="s">
        <v>1751</v>
      </c>
      <c r="G36" s="114"/>
      <c r="H36" s="529"/>
      <c r="I36" s="558"/>
    </row>
    <row r="37" spans="1:9">
      <c r="A37" s="139" t="s">
        <v>1844</v>
      </c>
      <c r="B37" s="142"/>
      <c r="C37" s="140" t="str">
        <f t="shared" si="4"/>
        <v/>
      </c>
      <c r="D37" s="165" t="str">
        <f t="shared" si="3"/>
        <v/>
      </c>
      <c r="F37" s="109" t="s">
        <v>1883</v>
      </c>
      <c r="G37" s="115"/>
      <c r="H37" s="530"/>
      <c r="I37" s="559"/>
    </row>
    <row r="38" spans="1:9">
      <c r="A38" s="139" t="s">
        <v>1845</v>
      </c>
      <c r="B38" s="142"/>
      <c r="C38" s="140" t="str">
        <f t="shared" si="4"/>
        <v/>
      </c>
      <c r="D38" s="165" t="str">
        <f t="shared" si="3"/>
        <v/>
      </c>
      <c r="F38" s="116" t="s">
        <v>1884</v>
      </c>
      <c r="G38" s="117"/>
      <c r="H38" s="118" t="str">
        <f>IF(H37="","",H36+H37)</f>
        <v/>
      </c>
      <c r="I38" s="509" t="str">
        <f>IF(I37="","",I36+I37)</f>
        <v/>
      </c>
    </row>
    <row r="39" spans="1:9">
      <c r="A39" s="139" t="s">
        <v>863</v>
      </c>
      <c r="B39" s="142"/>
      <c r="C39" s="140" t="str">
        <f t="shared" si="4"/>
        <v/>
      </c>
      <c r="D39" s="165" t="str">
        <f t="shared" si="3"/>
        <v/>
      </c>
      <c r="F39" s="116" t="s">
        <v>1885</v>
      </c>
      <c r="G39" s="117"/>
      <c r="H39" s="531"/>
      <c r="I39" s="560"/>
    </row>
    <row r="40" spans="1:9">
      <c r="A40" s="139" t="s">
        <v>2153</v>
      </c>
      <c r="B40" s="1088"/>
      <c r="C40" s="140" t="str">
        <f t="shared" si="4"/>
        <v/>
      </c>
      <c r="D40" s="178"/>
      <c r="F40" s="116" t="s">
        <v>1886</v>
      </c>
      <c r="G40" s="117"/>
      <c r="H40" s="119"/>
      <c r="I40" s="510"/>
    </row>
    <row r="41" spans="1:9" ht="12.75" thickBot="1">
      <c r="A41" s="155" t="s">
        <v>2150</v>
      </c>
      <c r="B41" s="1089"/>
      <c r="C41" s="179"/>
      <c r="D41" s="158"/>
      <c r="F41" s="98" t="s">
        <v>1887</v>
      </c>
      <c r="G41" s="120"/>
      <c r="H41" s="121" t="str">
        <f>IF(H39="","",H36/(H38-H39+H40))</f>
        <v/>
      </c>
      <c r="I41" s="511" t="str">
        <f>IF(I39="","",I36/(I38-I39+I40))</f>
        <v/>
      </c>
    </row>
    <row r="42" spans="1:9" ht="13.5" thickTop="1" thickBot="1">
      <c r="G42" s="122"/>
      <c r="H42" s="122" t="s">
        <v>1888</v>
      </c>
      <c r="I42" s="123" t="str">
        <f>IF(ISERROR(AVERAGE(H41:I41)),"",AVERAGE(H41:I41))</f>
        <v/>
      </c>
    </row>
    <row r="43" spans="1:9" ht="13.5" thickTop="1">
      <c r="A43" s="518"/>
      <c r="B43" s="519"/>
      <c r="C43" s="454" t="s">
        <v>1890</v>
      </c>
      <c r="D43" s="455"/>
      <c r="E43" s="455"/>
      <c r="F43" s="456"/>
      <c r="G43" s="533"/>
    </row>
    <row r="44" spans="1:9">
      <c r="A44" s="466" t="s">
        <v>1891</v>
      </c>
      <c r="B44" s="467"/>
      <c r="C44" s="457" t="s">
        <v>1892</v>
      </c>
      <c r="D44" s="458"/>
      <c r="E44" s="458"/>
      <c r="F44" s="459"/>
      <c r="G44" s="534"/>
    </row>
    <row r="45" spans="1:9">
      <c r="A45" s="466" t="s">
        <v>1893</v>
      </c>
      <c r="B45" s="467"/>
      <c r="C45" s="457" t="s">
        <v>1894</v>
      </c>
      <c r="D45" s="458"/>
      <c r="E45" s="458"/>
      <c r="F45" s="459"/>
      <c r="G45" s="534"/>
    </row>
    <row r="46" spans="1:9" ht="12.75" thickBot="1">
      <c r="A46" s="315"/>
      <c r="B46" s="316"/>
      <c r="C46" s="460" t="s">
        <v>1895</v>
      </c>
      <c r="D46" s="461"/>
      <c r="E46" s="461"/>
      <c r="F46" s="462"/>
      <c r="G46" s="463" t="str">
        <f>IF(G43="","",IF(G43-G45=0,0,(((G43-G45)-(G44-G45))/(G43-G45))*100))</f>
        <v/>
      </c>
    </row>
    <row r="47" spans="1:9" ht="12.75" thickTop="1"/>
    <row r="50" spans="1:1">
      <c r="A50" s="254"/>
    </row>
  </sheetData>
  <sheetProtection algorithmName="SHA-512" hashValue="qXBkC/IWXJA1SoN9kAyRRaLc/Vb3cBoLLp1VGDYwi4esCo39daVhIylqVwHd4A6zTPt+h0S2e39VrwK+/T3LUQ==" saltValue="RgsxIwVV2fLmJrPbut9SxA==" spinCount="100000" sheet="1" objects="1" scenarios="1"/>
  <phoneticPr fontId="31" type="noConversion"/>
  <printOptions horizontalCentered="1"/>
  <pageMargins left="0.25" right="0.25" top="0.5" bottom="0.5" header="0.5" footer="0.25"/>
  <pageSetup orientation="portrait" blackAndWhite="1" horizontalDpi="300" verticalDpi="300" r:id="rId1"/>
  <headerFooter alignWithMargins="0">
    <oddFooter>&amp;CPage 6</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7">
              <controlPr defaultSize="0" autoFill="0" autoLine="0" autoPict="0" macro="[0]!DropDown7_Change">
                <anchor moveWithCells="1">
                  <from>
                    <xdr:col>6</xdr:col>
                    <xdr:colOff>28575</xdr:colOff>
                    <xdr:row>24</xdr:row>
                    <xdr:rowOff>85725</xdr:rowOff>
                  </from>
                  <to>
                    <xdr:col>8</xdr:col>
                    <xdr:colOff>571500</xdr:colOff>
                    <xdr:row>25</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A1:M47"/>
  <sheetViews>
    <sheetView showGridLines="0" workbookViewId="0"/>
  </sheetViews>
  <sheetFormatPr defaultRowHeight="12"/>
  <cols>
    <col min="1" max="2" width="9.140625" style="53"/>
    <col min="3" max="3" width="12.7109375" style="53" customWidth="1"/>
    <col min="4" max="4" width="9.85546875" style="53" customWidth="1"/>
    <col min="5" max="6" width="10.28515625" style="53" customWidth="1"/>
    <col min="7" max="8" width="9.7109375" style="53" customWidth="1"/>
    <col min="9" max="16384" width="9.140625" style="53"/>
  </cols>
  <sheetData>
    <row r="1" spans="1:13">
      <c r="K1" s="51"/>
      <c r="L1" s="51"/>
      <c r="M1" s="51"/>
    </row>
    <row r="2" spans="1:13">
      <c r="A2" s="51" t="s">
        <v>878</v>
      </c>
      <c r="B2" s="51"/>
      <c r="C2" s="124" t="str">
        <f>IF('Pay Values'!B3="","",'Pay Values'!B3)</f>
        <v/>
      </c>
      <c r="D2" s="124"/>
      <c r="E2" s="51" t="s">
        <v>1896</v>
      </c>
      <c r="F2" s="51"/>
      <c r="G2" s="180" t="s">
        <v>1637</v>
      </c>
      <c r="H2" s="180"/>
      <c r="I2" s="180"/>
    </row>
    <row r="3" spans="1:13">
      <c r="A3" s="51" t="s">
        <v>1632</v>
      </c>
      <c r="B3" s="51"/>
      <c r="C3" s="124" t="str">
        <f>IF('Pay Values'!B4="","",'Pay Values'!B4)</f>
        <v/>
      </c>
      <c r="D3" s="124"/>
      <c r="E3" s="51" t="s">
        <v>1897</v>
      </c>
      <c r="F3" s="51"/>
      <c r="G3" s="180" t="s">
        <v>1637</v>
      </c>
      <c r="H3" s="180"/>
      <c r="I3" s="180"/>
    </row>
    <row r="4" spans="1:13">
      <c r="A4" s="51" t="s">
        <v>1898</v>
      </c>
      <c r="B4" s="51"/>
      <c r="C4" s="125" t="str">
        <f>IF('Pay Values'!B5="","",'Pay Values'!B5)</f>
        <v/>
      </c>
      <c r="D4" s="124"/>
      <c r="E4" s="51" t="s">
        <v>1635</v>
      </c>
      <c r="F4" s="51"/>
      <c r="G4" s="125" t="e">
        <f>IF('Pay Values'!C6="","",'Pay Values'!C6)</f>
        <v>#N/A</v>
      </c>
      <c r="H4" s="124"/>
      <c r="I4" s="124"/>
      <c r="K4" s="162"/>
      <c r="L4" s="162"/>
      <c r="M4" s="162"/>
    </row>
    <row r="5" spans="1:13" ht="12.75" thickBot="1">
      <c r="A5" s="51"/>
      <c r="B5" s="51"/>
      <c r="C5" s="162"/>
      <c r="F5" s="51"/>
      <c r="K5" s="162"/>
      <c r="L5" s="162"/>
      <c r="M5" s="162"/>
    </row>
    <row r="6" spans="1:13" ht="12.75" thickTop="1">
      <c r="A6" s="167" t="s">
        <v>1601</v>
      </c>
      <c r="B6" s="167" t="s">
        <v>1648</v>
      </c>
      <c r="C6" s="167" t="s">
        <v>2155</v>
      </c>
      <c r="D6" s="252" t="s">
        <v>2156</v>
      </c>
      <c r="E6" s="168" t="s">
        <v>1694</v>
      </c>
      <c r="F6" s="167" t="s">
        <v>1733</v>
      </c>
      <c r="G6" s="167" t="s">
        <v>1646</v>
      </c>
      <c r="H6" s="167" t="s">
        <v>1647</v>
      </c>
      <c r="K6" s="162"/>
      <c r="L6" s="162"/>
      <c r="M6" s="162"/>
    </row>
    <row r="7" spans="1:13" ht="12.75" thickBot="1">
      <c r="A7" s="137" t="s">
        <v>1709</v>
      </c>
      <c r="B7" s="169" t="s">
        <v>1644</v>
      </c>
      <c r="C7" s="113" t="s">
        <v>2166</v>
      </c>
      <c r="D7" s="113" t="s">
        <v>1694</v>
      </c>
      <c r="E7" s="170" t="s">
        <v>2159</v>
      </c>
      <c r="F7" s="113" t="s">
        <v>2160</v>
      </c>
      <c r="G7" s="113" t="s">
        <v>1651</v>
      </c>
      <c r="H7" s="113" t="s">
        <v>1840</v>
      </c>
    </row>
    <row r="8" spans="1:13" ht="12.75" thickTop="1">
      <c r="A8" s="139" t="s">
        <v>1608</v>
      </c>
      <c r="B8" s="171"/>
      <c r="C8" s="172" t="str">
        <f>IF(OR(Calculations!$J$1=7,Calculations!$J$1=8,Calculations!$J$1=13,Calculations!$H$13=2,Gradation!G10=""),"",IF(OR(Gradation!G10&lt;Calculations!AY16,Gradation!G10&gt;Calculations!AZ16),CONCATENATE("* ",ROUND(Gradation!G10,0)),Gradation!G10))</f>
        <v/>
      </c>
      <c r="D8" s="172" t="str">
        <f>IF(OR(Calculations!$J$1=7,Calculations!$J$1=8,Calculations!$J$1=13,Calculations!$H$13=2),"",IF(D27="","",ROUND(D27,0)))</f>
        <v/>
      </c>
      <c r="E8" s="172" t="str">
        <f>IF(OR(Calculations!$J$1=7,Calculations!$J$1=8,Calculations!$J$1=13,Calculations!$H$13=2),"",IF('Super Verify'!$B$5=2,'Super Verify'!D33,IF('Super Verify'!$B$12=2,'Super Verify'!G33,"")))</f>
        <v/>
      </c>
      <c r="F8" s="172" t="str">
        <f t="shared" ref="F8:F19" si="0">IF(C8="","",IF(LEFT(C8,1)="*",AVERAGE(VALUE(MID(C8,3,LEN(C8))),D8,E8),AVERAGE(C8:E8)))</f>
        <v/>
      </c>
      <c r="G8" s="172" t="str">
        <f t="shared" ref="G8:G21" si="1">IF(F8="","",ABS(B8-F8))</f>
        <v/>
      </c>
      <c r="H8" s="173" t="str">
        <f>IF(G8="","",IF(OR(ROUND(ABS(G8),1)&lt;=13,LEFT(C8,1)&lt;&gt;"*"),100,IF(ROUND(ABS(G8),1)&lt;=14,98,IF(ROUND(ABS(G8),1)&lt;=16,95,IF(ROUND(ABS(G8),1)&lt;=20,90,IF(ROUND(ABS(G8),1)&lt;=23,85,75))))))</f>
        <v/>
      </c>
    </row>
    <row r="9" spans="1:13">
      <c r="A9" s="139" t="s">
        <v>1609</v>
      </c>
      <c r="B9" s="171"/>
      <c r="C9" s="172" t="str">
        <f>IF(OR(Calculations!$J$1=7,Calculations!$J$1=8,Calculations!$J$1=13,Calculations!$H$13=2,Gradation!G11=""),"",IF(OR(Gradation!G11&lt;Calculations!AY17,Gradation!G11&gt;Calculations!AZ17),CONCATENATE("* ",ROUND(Gradation!G11,0)),Gradation!G11))</f>
        <v/>
      </c>
      <c r="D9" s="172" t="str">
        <f>IF(OR(Calculations!$J$1=7,Calculations!$J$1=8,Calculations!$J$1=13,Calculations!$H$13=2),"",IF(D28="","",ROUND(D28,0)))</f>
        <v/>
      </c>
      <c r="E9" s="172" t="str">
        <f>IF(OR(Calculations!$J$1=7,Calculations!$J$1=8,Calculations!$J$1=13,Calculations!$H$13=2),"",IF('Super Verify'!$B$5=2,'Super Verify'!D34,IF('Super Verify'!$B$12=2,'Super Verify'!G34,"")))</f>
        <v/>
      </c>
      <c r="F9" s="172" t="str">
        <f t="shared" si="0"/>
        <v/>
      </c>
      <c r="G9" s="172" t="str">
        <f t="shared" si="1"/>
        <v/>
      </c>
      <c r="H9" s="173" t="str">
        <f>IF(G9="","",IF(OR(ROUND(ABS(G9),1)&lt;=13,LEFT(C9,1)&lt;&gt;"*"),100,IF(ROUND(ABS(G9),1)&lt;=14,98,IF(ROUND(ABS(G9),1)&lt;=16,95,IF(ROUND(ABS(G9),1)&lt;=20,90,IF(ROUND(ABS(G9),1)&lt;=23,85,75))))))</f>
        <v/>
      </c>
    </row>
    <row r="10" spans="1:13">
      <c r="A10" s="139" t="s">
        <v>1610</v>
      </c>
      <c r="B10" s="171"/>
      <c r="C10" s="172" t="str">
        <f>IF(OR(Calculations!$J$1=7,Calculations!$J$1=8,Calculations!$J$1=13,Calculations!$H$13=2,Gradation!G12=""),"",IF(OR(Gradation!G12&lt;Calculations!AY18,Gradation!G12&gt;Calculations!AZ18),CONCATENATE("* ",ROUND(Gradation!G12,0)),Gradation!G12))</f>
        <v/>
      </c>
      <c r="D10" s="172" t="str">
        <f>IF(OR(Calculations!$J$1=7,Calculations!$J$1=8,Calculations!$J$1=13,Calculations!$H$13=2),"",IF(D29="","",ROUND(D29,0)))</f>
        <v/>
      </c>
      <c r="E10" s="172" t="str">
        <f>IF(OR(Calculations!$J$1=7,Calculations!$J$1=8,Calculations!$J$1=13,Calculations!$H$13=2),"",IF('Super Verify'!$B$5=2,'Super Verify'!D35,IF('Super Verify'!$B$12=2,'Super Verify'!G35,"")))</f>
        <v/>
      </c>
      <c r="F10" s="172" t="str">
        <f t="shared" si="0"/>
        <v/>
      </c>
      <c r="G10" s="172" t="str">
        <f t="shared" si="1"/>
        <v/>
      </c>
      <c r="H10" s="173" t="str">
        <f>IF(G10="","",IF(OR(ROUND(ABS(G10),1)&lt;=9,LEFT(C10,1)&lt;&gt;"*"),100,IF(ROUND(ABS(G10),1)&lt;=10,98,IF(ROUND(ABS(G10),1)&lt;=12,95,IF(ROUND(ABS(G10),1)&lt;=14,90,IF(ROUND(ABS(G10),1)&lt;=16,85,75))))))</f>
        <v/>
      </c>
    </row>
    <row r="11" spans="1:13">
      <c r="A11" s="139" t="s">
        <v>1611</v>
      </c>
      <c r="B11" s="452"/>
      <c r="C11" s="172" t="str">
        <f>IF(OR(Calculations!$J$1=7,Calculations!$J$1=8,Calculations!$J$1=13,Calculations!$H$13=2,Gradation!G13=""),"",IF(OR(Gradation!G13&lt;Calculations!AY19,Gradation!G13&gt;Calculations!AZ19),CONCATENATE("* ",ROUND(Gradation!G13,0)),Gradation!G13))</f>
        <v/>
      </c>
      <c r="D11" s="172" t="str">
        <f>IF(OR(Calculations!$J$1=7,Calculations!$J$1=8,Calculations!$J$1=13,Calculations!$H$13=2),"",IF(D30="","",ROUND(D30,0)))</f>
        <v/>
      </c>
      <c r="E11" s="172" t="str">
        <f>IF(OR(Calculations!$J$1=7,Calculations!$J$1=8,Calculations!$J$1=13,Calculations!$H$13=2),"",IF('Super Verify'!$B$5=2,'Super Verify'!D36,IF('Super Verify'!$B$12=2,'Super Verify'!G36,"")))</f>
        <v/>
      </c>
      <c r="F11" s="172" t="str">
        <f t="shared" si="0"/>
        <v/>
      </c>
      <c r="G11" s="172" t="str">
        <f t="shared" si="1"/>
        <v/>
      </c>
      <c r="H11" s="173" t="str">
        <f>IF(G11="","",IF(OR(ROUND(ABS(G11),1)&lt;=9,LEFT(C11,1)&lt;&gt;"*"),100,IF(ROUND(ABS(G11),1)&lt;=10,98,IF(ROUND(ABS(G11),1)&lt;=12,95,IF(ROUND(ABS(G11),1)&lt;=14,90,IF(ROUND(ABS(G11),1)&lt;=16,85,75))))))</f>
        <v/>
      </c>
    </row>
    <row r="12" spans="1:13">
      <c r="A12" s="139" t="s">
        <v>1974</v>
      </c>
      <c r="B12" s="171"/>
      <c r="C12" s="172" t="str">
        <f>IF(OR(Calculations!$J$1=7,Calculations!$J$1=8,Calculations!$J$1=13,Calculations!$H$13=2,Gradation!G14=""),"",IF(OR(Gradation!G14&lt;Calculations!AY20,Gradation!G14&gt;Calculations!AZ20),CONCATENATE("* ",ROUND(Gradation!G14,0)),Gradation!G14))</f>
        <v/>
      </c>
      <c r="D12" s="172" t="str">
        <f>IF(OR(Calculations!$J$1=7,Calculations!$J$1=8,Calculations!$J$1=13,Calculations!$H$13=2),"",IF(D31="","",ROUND(D31,0)))</f>
        <v/>
      </c>
      <c r="E12" s="172" t="str">
        <f>IF(OR(Calculations!$J$1=7,Calculations!$J$1=8,Calculations!$J$1=13,Calculations!$H$13=2),"",IF('Super Verify'!$B$5=2,'Super Verify'!D37,IF('Super Verify'!$B$12=2,'Super Verify'!G37,"")))</f>
        <v/>
      </c>
      <c r="F12" s="172" t="str">
        <f t="shared" si="0"/>
        <v/>
      </c>
      <c r="G12" s="172" t="str">
        <f t="shared" si="1"/>
        <v/>
      </c>
      <c r="H12" s="173" t="str">
        <f>IF(G12="","",IF(OR(ROUND(ABS(G12),1)&lt;=9,LEFT(C12,1)&lt;&gt;"*"),100,IF(ROUND(ABS(G12),1)&lt;=10,98,IF(ROUND(ABS(G12),1)&lt;=12,95,IF(ROUND(ABS(G12),1)&lt;=14,90,IF(ROUND(ABS(G12),1)&lt;=16,85,75))))))</f>
        <v/>
      </c>
    </row>
    <row r="13" spans="1:13">
      <c r="A13" s="139" t="s">
        <v>1615</v>
      </c>
      <c r="B13" s="171"/>
      <c r="C13" s="172" t="str">
        <f>IF(OR(Calculations!$J$1=7,Calculations!$J$1=8,Calculations!$J$1=13,Calculations!$H$13=2,Gradation!G15=""),"",IF(OR(Gradation!G15&lt;Calculations!AY21,Gradation!G15&gt;Calculations!AZ21),CONCATENATE("* ",ROUND(Gradation!G15,0)),Gradation!G15))</f>
        <v/>
      </c>
      <c r="D13" s="172" t="str">
        <f>IF(OR(Calculations!$J$1=7,Calculations!$J$1=8,Calculations!$J$1=13,Calculations!$H$13=2),"",IF(D32="","",ROUND(D32,0)))</f>
        <v/>
      </c>
      <c r="E13" s="172" t="str">
        <f>IF(OR(Calculations!$J$1=7,Calculations!$J$1=8,Calculations!$J$1=13,Calculations!$H$13=2),"",IF('Super Verify'!$B$5=2,'Super Verify'!D38,IF('Super Verify'!$B$12=2,'Super Verify'!G38,"")))</f>
        <v/>
      </c>
      <c r="F13" s="172" t="str">
        <f t="shared" si="0"/>
        <v/>
      </c>
      <c r="G13" s="172" t="str">
        <f t="shared" si="1"/>
        <v/>
      </c>
      <c r="H13" s="173" t="str">
        <f>IF(G13="","",IF(OR(ROUND(ABS(G13),1)&lt;=8,LEFT(C13,1)&lt;&gt;"*"),100,IF(ROUND(ABS(G13),1)&lt;=9,98,IF(ROUND(ABS(G13),1)&lt;=10,95,IF(ROUND(ABS(G13),1)&lt;=12,90,IF(ROUND(ABS(G13),1)&lt;=14,85,75))))))</f>
        <v/>
      </c>
    </row>
    <row r="14" spans="1:13">
      <c r="A14" s="139" t="s">
        <v>1977</v>
      </c>
      <c r="B14" s="171"/>
      <c r="C14" s="172" t="str">
        <f>IF(OR(Calculations!$J$1=7,Calculations!$J$1=8,Calculations!$J$1=13,Calculations!$H$13=2,Gradation!G17=""),"",IF(OR(Gradation!G17&lt;Calculations!AY23,Gradation!G17&gt;Calculations!AZ23),CONCATENATE("* ",ROUND(Gradation!G17,0)),Gradation!G17))</f>
        <v/>
      </c>
      <c r="D14" s="172" t="str">
        <f>IF(OR(Calculations!$J$1=7,Calculations!$J$1=8,Calculations!$J$1=13,Calculations!$H$13=2),"",IF(D33="","",ROUND(D33,0)))</f>
        <v/>
      </c>
      <c r="E14" s="172" t="str">
        <f>IF(OR(Calculations!$J$1=7,Calculations!$J$1=8,Calculations!$J$1=13,Calculations!$H$13=2),"",IF('Super Verify'!$B$5=2,'Super Verify'!D40,IF('Super Verify'!$B$12=2,'Super Verify'!G40,"")))</f>
        <v/>
      </c>
      <c r="F14" s="172" t="str">
        <f t="shared" si="0"/>
        <v/>
      </c>
      <c r="G14" s="172" t="str">
        <f t="shared" si="1"/>
        <v/>
      </c>
      <c r="H14" s="173" t="str">
        <f>IF(G14="","",IF(OR(ROUND(ABS(G14),1)&lt;=8,LEFT(C14,1)&lt;&gt;"*"),100,IF(ROUND(ABS(G14),1)&lt;=9,98,IF(ROUND(ABS(G14),1)&lt;=10,95,IF(ROUND(ABS(G14),1)&lt;=12,90,IF(ROUND(ABS(G14),1)&lt;=14,85,75))))))</f>
        <v/>
      </c>
    </row>
    <row r="15" spans="1:13">
      <c r="A15" s="139" t="s">
        <v>1841</v>
      </c>
      <c r="B15" s="171"/>
      <c r="C15" s="172" t="str">
        <f>IF(OR(Calculations!$J$1=7,Calculations!$J$1=8,Calculations!$J$1=13,Calculations!$H$13=2,Gradation!G18=""),"",IF(OR(Gradation!G18&lt;Calculations!AY24,Gradation!G18&gt;Calculations!AZ24),CONCATENATE("* ",ROUND(Gradation!G18,0)),Gradation!G18))</f>
        <v/>
      </c>
      <c r="D15" s="172" t="str">
        <f>IF(OR(Calculations!$J$1=7,Calculations!$J$1=8,Calculations!$J$1=13,Calculations!$H$13=2),"",IF(D34="","",ROUND(D34,0)))</f>
        <v/>
      </c>
      <c r="E15" s="172" t="str">
        <f>IF(OR(Calculations!$J$1=7,Calculations!$J$1=8,Calculations!$J$1=13,Calculations!$H$13=2),"",IF('Super Verify'!$B$5=2,'Super Verify'!D41,IF('Super Verify'!$B$12=2,'Super Verify'!G41,"")))</f>
        <v/>
      </c>
      <c r="F15" s="172" t="str">
        <f t="shared" si="0"/>
        <v/>
      </c>
      <c r="G15" s="172" t="str">
        <f t="shared" si="1"/>
        <v/>
      </c>
      <c r="H15" s="173" t="str">
        <f>IF(G15="","",IF(OR(ROUND(ABS(G15),1)&lt;=8,LEFT(C15,1)&lt;&gt;"*"),100,IF(ROUND(ABS(G15),1)&lt;=9,98,IF(ROUND(ABS(G15),1)&lt;=10,95,IF(ROUND(ABS(G15),1)&lt;=12,90,IF(ROUND(ABS(G15),1)&lt;=14,85,75))))))</f>
        <v/>
      </c>
    </row>
    <row r="16" spans="1:13">
      <c r="A16" s="139" t="s">
        <v>1842</v>
      </c>
      <c r="B16" s="171"/>
      <c r="C16" s="172" t="str">
        <f>IF(OR(Calculations!$J$1=7,Calculations!$J$1=8,Calculations!$J$1=13,Calculations!$H$13=2,Gradation!G19=""),"",IF(OR(Gradation!G19&lt;Calculations!AY25,Gradation!G19&gt;Calculations!AZ25),CONCATENATE("* ",ROUND(Gradation!G19,0)),Gradation!G19))</f>
        <v/>
      </c>
      <c r="D16" s="172" t="str">
        <f>IF(OR(Calculations!$J$1=7,Calculations!$J$1=8,Calculations!$J$1=13,Calculations!$H$13=2),"",IF(D35="","",ROUND(D35,0)))</f>
        <v/>
      </c>
      <c r="E16" s="172" t="str">
        <f>IF(OR(Calculations!$J$1=7,Calculations!$J$1=8,Calculations!$J$1=13,Calculations!$H$13=2),"",IF('Super Verify'!$B$5=2,'Super Verify'!D42,IF('Super Verify'!$B$12=2,'Super Verify'!G42,"")))</f>
        <v/>
      </c>
      <c r="F16" s="172" t="str">
        <f t="shared" si="0"/>
        <v/>
      </c>
      <c r="G16" s="172" t="str">
        <f t="shared" si="1"/>
        <v/>
      </c>
      <c r="H16" s="173" t="str">
        <f>IF(G16="","",IF(OR(ROUND(ABS(G16),1)&lt;=8,LEFT(C16,1)&lt;&gt;"*"),100,IF(ROUND(ABS(G16),1)&lt;=9,98,IF(ROUND(ABS(G16),1)&lt;=10,95,IF(ROUND(ABS(G16),1)&lt;=12,90,IF(ROUND(ABS(G16),1)&lt;=14,85,75))))))</f>
        <v/>
      </c>
    </row>
    <row r="17" spans="1:11">
      <c r="A17" s="139" t="s">
        <v>1843</v>
      </c>
      <c r="B17" s="171"/>
      <c r="C17" s="172" t="str">
        <f>IF(OR(Calculations!$J$1=7,Calculations!$J$1=8,Calculations!$J$1=13,Calculations!$H$13=2,Gradation!G20=""),"",IF(OR(Gradation!G20&lt;Calculations!AY26,Gradation!G20&gt;Calculations!AZ26),CONCATENATE("* ",ROUND(Gradation!G20,0)),Gradation!G20))</f>
        <v/>
      </c>
      <c r="D17" s="172" t="str">
        <f>IF(OR(Calculations!$J$1=7,Calculations!$J$1=8,Calculations!$J$1=13,Calculations!$H$13=2),"",IF(D36="","",ROUND(D36,0)))</f>
        <v/>
      </c>
      <c r="E17" s="172" t="str">
        <f>IF(OR(Calculations!$J$1=7,Calculations!$J$1=8,Calculations!$J$1=13,Calculations!$H$13=2),"",IF('Super Verify'!$B$5=2,'Super Verify'!D43,IF('Super Verify'!$B$12=2,'Super Verify'!G43,"")))</f>
        <v/>
      </c>
      <c r="F17" s="172" t="str">
        <f t="shared" si="0"/>
        <v/>
      </c>
      <c r="G17" s="172" t="str">
        <f t="shared" si="1"/>
        <v/>
      </c>
      <c r="H17" s="173" t="str">
        <f>IF(G17="","",IF(OR(ROUND(ABS(G17),1)&lt;=8,LEFT(C17,1)&lt;&gt;"*"),100,IF(ROUND(ABS(G17),1)&lt;=9,98,IF(ROUND(ABS(G17),1)&lt;=10,95,IF(ROUND(ABS(G17),1)&lt;=12,90,IF(ROUND(ABS(G17),1)&lt;=14,85,75))))))</f>
        <v/>
      </c>
    </row>
    <row r="18" spans="1:11">
      <c r="A18" s="139" t="s">
        <v>1844</v>
      </c>
      <c r="B18" s="171"/>
      <c r="C18" s="172" t="str">
        <f>IF(OR(Calculations!$J$1=7,Calculations!$J$1=8,Calculations!$J$1=13,Calculations!$H$13=2,Gradation!G21=""),"",IF(OR(Gradation!G21&lt;Calculations!AY27,Gradation!G21&gt;Calculations!AZ27),CONCATENATE("* ",ROUND(Gradation!G21,0)),Gradation!G21))</f>
        <v/>
      </c>
      <c r="D18" s="172" t="str">
        <f>IF(OR(Calculations!$J$1=7,Calculations!$J$1=8,Calculations!$J$1=13,Calculations!$H$13=2),"",IF(D37="","",ROUND(D37,0)))</f>
        <v/>
      </c>
      <c r="E18" s="172" t="str">
        <f>IF(OR(Calculations!$J$1=7,Calculations!$J$1=8,Calculations!$J$1=13,Calculations!$H$13=2),"",IF('Super Verify'!$B$5=2,'Super Verify'!D44,IF('Super Verify'!$B$12=2,'Super Verify'!G44,"")))</f>
        <v/>
      </c>
      <c r="F18" s="172" t="str">
        <f>IF(C18="","",IF(LEFT(C18,1)="*",AVERAGE(VALUE(MID(C18,3,LEN(C18))),D18,E18),AVERAGE(C18:E18)))</f>
        <v/>
      </c>
      <c r="G18" s="172" t="str">
        <f t="shared" si="1"/>
        <v/>
      </c>
      <c r="H18" s="173" t="str">
        <f>IF(G18="","",IF(OR(ROUND(ABS(G18),1)&lt;=6,LEFT(C18,1)&lt;&gt;"*"),100,IF(ROUND(ABS(G18),1)&lt;=7,98,IF(ROUND(ABS(G18),1)&lt;=8,95,IF(ROUND(ABS(G18),1)&lt;=9,90,IF(ROUND(ABS(G18),1)&lt;=10,85,75))))))</f>
        <v/>
      </c>
      <c r="K18" s="111"/>
    </row>
    <row r="19" spans="1:11">
      <c r="A19" s="139" t="s">
        <v>1845</v>
      </c>
      <c r="B19" s="171"/>
      <c r="C19" s="172" t="str">
        <f>IF(OR(Calculations!$J$1=7,Calculations!$J$1=8,Calculations!$J$1=13,Calculations!$H$13=2,Gradation!G22=""),"",IF(OR(Gradation!G22&lt;Calculations!AY28,Gradation!G22&gt;Calculations!AZ28),CONCATENATE("* ",ROUND(Gradation!G22,0)),Gradation!G22))</f>
        <v/>
      </c>
      <c r="D19" s="172" t="str">
        <f>IF(OR(Calculations!$J$1=7,Calculations!$J$1=8,Calculations!$J$1=13,Calculations!$H$13=2),"",IF(D38="","",ROUND(D38,0)))</f>
        <v/>
      </c>
      <c r="E19" s="172" t="str">
        <f>IF(OR(Calculations!$J$1=7,Calculations!$J$1=8,Calculations!$J$1=13,Calculations!$H$13=2),"",IF('Super Verify'!$B$5=2,'Super Verify'!D45,IF('Super Verify'!$B$12=2,'Super Verify'!G45,"")))</f>
        <v/>
      </c>
      <c r="F19" s="172" t="str">
        <f t="shared" si="0"/>
        <v/>
      </c>
      <c r="G19" s="172" t="str">
        <f t="shared" si="1"/>
        <v/>
      </c>
      <c r="H19" s="173" t="str">
        <f>IF(G19="","",IF(OR(ROUND(ABS(G19),1)&lt;=3,LEFT(C19,1)&lt;&gt;"*"),100,IF(ROUND(ABS(G19),1)&lt;=4,95,IF(ROUND(ABS(G19),1)&lt;=5,90,75))))</f>
        <v/>
      </c>
    </row>
    <row r="20" spans="1:11">
      <c r="A20" s="139" t="s">
        <v>863</v>
      </c>
      <c r="B20" s="247"/>
      <c r="C20" s="172" t="str">
        <f>IF(OR(Calculations!$J$1=7,Calculations!$J$1=8,Calculations!$J$1=13,Calculations!$H$13=2,Gradation!G23=""),"",IF(OR(Gradation!G23&lt;Calculations!AY29,Gradation!G23&gt;Calculations!AZ29),CONCATENATE("* ",ROUND(Gradation!G23,0)),Gradation!G23))</f>
        <v/>
      </c>
      <c r="D20" s="172" t="str">
        <f>IF(OR(Calculations!$J$1=7,Calculations!$J$1=8,Calculations!$J$1=13,Calculations!$H$13=2),"",IF(D39="","",ROUND(D39,0)))</f>
        <v/>
      </c>
      <c r="E20" s="172" t="str">
        <f>IF(OR(Calculations!$J$1=7,Calculations!$J$1=8,Calculations!$J$1=13,Calculations!$H$13=2),"",IF('Super Verify'!$B$5=2,'Super Verify'!D46,IF('Super Verify'!$B$12=2,'Super Verify'!G46,"")))</f>
        <v/>
      </c>
      <c r="F20" s="174" t="str">
        <f>IF(C20="","",Calculations!Q125)</f>
        <v/>
      </c>
      <c r="G20" s="174" t="str">
        <f t="shared" si="1"/>
        <v/>
      </c>
      <c r="H20" s="173" t="str">
        <f>IF(G20="","",IF(OR(ROUND(ABS(G20),1)&lt;=2,LEFT(C20,1)&lt;&gt;"*"),100,IF(ROUND(ABS(G20),1)&lt;=2.5,98,IF(ROUND(ABS(G20),1)&lt;=3,95,IF(ROUND(ABS(G20),1)&lt;=3.5,85,75)))))</f>
        <v/>
      </c>
    </row>
    <row r="21" spans="1:11">
      <c r="A21" s="139" t="s">
        <v>1650</v>
      </c>
      <c r="B21" s="247"/>
      <c r="C21" s="174" t="str">
        <f>IF(AND(Calculations!H13=1,Gradation!G33&lt;&gt;""),Gradation!G33,IF(AND(Calculations!H13=1,Gradation!G33=""),Gradation!G34,""))</f>
        <v/>
      </c>
      <c r="D21" s="174" t="str">
        <f>IF(AND(Calculations!H13=1,I32&lt;&gt;""),I32,IF(AND(Calculations!H13=1,I32=""),I33,""))</f>
        <v/>
      </c>
      <c r="E21" s="174" t="str">
        <f>IF(Calculations!H13=2,"",IF(AND('Super Verify'!B5=2,'Super Verify'!J27&lt;&gt;""),'Super Verify'!J27,IF(AND('Super Verify'!B5=2,'Super Verify'!J27=""),'Super Verify'!J28,IF(AND('Super Verify'!B12=2,'Super Verify'!M27&lt;&gt;""),'Super Verify'!M27,IF(AND('Super Verify'!B12=2,'Super Verify'!M27=""),'Super Verify'!M28,"")))))</f>
        <v/>
      </c>
      <c r="F21" s="174" t="str">
        <f>IF(C21="","",(AVERAGE(C21:E21)))</f>
        <v/>
      </c>
      <c r="G21" s="174" t="str">
        <f t="shared" si="1"/>
        <v/>
      </c>
      <c r="H21" s="173" t="str">
        <f>IF(G21="","",IF(ROUND(ABS(G21),1)&lt;=0.5,100,IF(ROUND(ABS(G21),1)=0.6,98,IF(ROUND(ABS(G21),1)=0.7,90,IF(ROUND(ABS(G21),1)=0.8,85,75)))))</f>
        <v/>
      </c>
    </row>
    <row r="22" spans="1:11" ht="12.75" thickBot="1">
      <c r="A22" s="155" t="s">
        <v>2161</v>
      </c>
      <c r="B22" s="175" t="str">
        <f>IF(OR(Calculations!J1=7,Calculations!J1=8,Calculations!J1=13),Calculations!G121,"")</f>
        <v/>
      </c>
      <c r="C22" s="176" t="str">
        <f>Gradation!G35</f>
        <v/>
      </c>
      <c r="D22" s="176" t="str">
        <f>IF(C38="","",IF(OR(Calculations!J1=7,Calculations!J1=8,Calculations!J1=13),SUM(C33:C38)/100,""))</f>
        <v/>
      </c>
      <c r="E22" s="176" t="str">
        <f>IF(B22="","",IF('Super Verify'!B5=2,'Super Verify'!D49,IF('Super Verify'!B12=2,'Super Verify'!G49,"")))</f>
        <v/>
      </c>
      <c r="F22" s="176" t="str">
        <f>IF(AND(C22="",D22="",E22=""),"",(AVERAGE(C22:E22)))</f>
        <v/>
      </c>
      <c r="G22" s="176" t="str">
        <f>IF(OR(B22="",F22=""),"",ABS(F22-B22))</f>
        <v/>
      </c>
      <c r="H22" s="177" t="str">
        <f>IF(G22="","",IF(ROUND(ABS(G22),2)&lt;=0.3,100,IF(ROUND(ABS(G22),2)&lt;=0.34,98,IF(ROUND(ABS(G22),2)&lt;=0.39,95,IF(ROUND(ABS(G22),2)&lt;=0.46,90,IF(ROUND(ABS(G22),2)&lt;=0.55,85,75))))))</f>
        <v/>
      </c>
    </row>
    <row r="23" spans="1:11" ht="13.5" thickTop="1" thickBot="1"/>
    <row r="24" spans="1:11" ht="13.5" thickTop="1" thickBot="1">
      <c r="A24" s="133"/>
      <c r="B24" s="127" t="s">
        <v>2162</v>
      </c>
      <c r="C24" s="128"/>
      <c r="D24" s="134"/>
      <c r="G24" s="102" t="s">
        <v>2163</v>
      </c>
      <c r="H24" s="103"/>
      <c r="I24" s="104"/>
    </row>
    <row r="25" spans="1:11" ht="12.75" thickTop="1">
      <c r="A25" s="135" t="s">
        <v>1601</v>
      </c>
      <c r="B25" s="136" t="s">
        <v>2144</v>
      </c>
      <c r="C25" s="135" t="s">
        <v>2145</v>
      </c>
      <c r="D25" s="136" t="s">
        <v>2145</v>
      </c>
      <c r="G25" s="143"/>
      <c r="H25" s="144"/>
      <c r="I25" s="145"/>
    </row>
    <row r="26" spans="1:11" ht="12.75" thickBot="1">
      <c r="A26" s="137" t="s">
        <v>1709</v>
      </c>
      <c r="B26" s="138" t="s">
        <v>2146</v>
      </c>
      <c r="C26" s="137" t="s">
        <v>2146</v>
      </c>
      <c r="D26" s="138" t="s">
        <v>2147</v>
      </c>
      <c r="G26" s="146"/>
      <c r="I26" s="147"/>
    </row>
    <row r="27" spans="1:11" ht="12.75" thickTop="1">
      <c r="A27" s="139" t="s">
        <v>1608</v>
      </c>
      <c r="B27" s="142"/>
      <c r="C27" s="140" t="str">
        <f>IF(B27="","",((B27/$B$41)*100))</f>
        <v/>
      </c>
      <c r="D27" s="165" t="str">
        <f t="shared" ref="D27:D40" si="2">IF(B27="","",(100-C27))</f>
        <v/>
      </c>
      <c r="G27" s="148"/>
      <c r="H27" s="149"/>
      <c r="I27" s="567"/>
    </row>
    <row r="28" spans="1:11">
      <c r="A28" s="139" t="s">
        <v>1609</v>
      </c>
      <c r="B28" s="142"/>
      <c r="C28" s="140" t="str">
        <f t="shared" ref="C28:C40" si="3">IF(B28="","",((B28/$B$41)*100))</f>
        <v/>
      </c>
      <c r="D28" s="165" t="str">
        <f t="shared" si="2"/>
        <v/>
      </c>
      <c r="G28" s="148"/>
      <c r="H28" s="149"/>
      <c r="I28" s="567"/>
    </row>
    <row r="29" spans="1:11">
      <c r="A29" s="139" t="s">
        <v>1610</v>
      </c>
      <c r="B29" s="142"/>
      <c r="C29" s="140" t="str">
        <f t="shared" si="3"/>
        <v/>
      </c>
      <c r="D29" s="165" t="str">
        <f t="shared" si="2"/>
        <v/>
      </c>
      <c r="G29" s="150"/>
      <c r="H29" s="149"/>
      <c r="I29" s="568"/>
    </row>
    <row r="30" spans="1:11">
      <c r="A30" s="139" t="s">
        <v>1611</v>
      </c>
      <c r="B30" s="142"/>
      <c r="C30" s="140" t="str">
        <f t="shared" si="3"/>
        <v/>
      </c>
      <c r="D30" s="165" t="str">
        <f t="shared" si="2"/>
        <v/>
      </c>
      <c r="G30" s="150"/>
      <c r="H30" s="149"/>
      <c r="I30" s="568"/>
    </row>
    <row r="31" spans="1:11">
      <c r="A31" s="139" t="s">
        <v>1974</v>
      </c>
      <c r="B31" s="142"/>
      <c r="C31" s="140" t="str">
        <f t="shared" si="3"/>
        <v/>
      </c>
      <c r="D31" s="165" t="str">
        <f t="shared" si="2"/>
        <v/>
      </c>
      <c r="G31" s="561" t="s">
        <v>2140</v>
      </c>
      <c r="H31" s="562"/>
      <c r="I31" s="563"/>
    </row>
    <row r="32" spans="1:11">
      <c r="A32" s="139" t="s">
        <v>1615</v>
      </c>
      <c r="B32" s="142"/>
      <c r="C32" s="140" t="str">
        <f t="shared" si="3"/>
        <v/>
      </c>
      <c r="D32" s="165" t="str">
        <f t="shared" si="2"/>
        <v/>
      </c>
      <c r="G32" s="148" t="s">
        <v>2141</v>
      </c>
      <c r="H32" s="149"/>
      <c r="I32" s="494" t="str">
        <f>IF(I31="","",I31-'Accept. Grad. # 2'!G46)</f>
        <v/>
      </c>
    </row>
    <row r="33" spans="1:9" ht="12.75" thickBot="1">
      <c r="A33" s="139" t="s">
        <v>1977</v>
      </c>
      <c r="B33" s="142"/>
      <c r="C33" s="140" t="str">
        <f t="shared" si="3"/>
        <v/>
      </c>
      <c r="D33" s="1084" t="str">
        <f t="shared" si="2"/>
        <v/>
      </c>
      <c r="E33" s="1085"/>
      <c r="F33" s="1086"/>
      <c r="G33" s="153" t="s">
        <v>2142</v>
      </c>
      <c r="H33" s="153"/>
      <c r="I33" s="154" t="str">
        <f>IF(I42="","",(1.03*(Superpave!J8-I42))/(I42*(Superpave!J8-1.03))*100)</f>
        <v/>
      </c>
    </row>
    <row r="34" spans="1:9" ht="14.25" thickTop="1" thickBot="1">
      <c r="A34" s="139" t="s">
        <v>1841</v>
      </c>
      <c r="B34" s="142"/>
      <c r="C34" s="140" t="str">
        <f t="shared" si="3"/>
        <v/>
      </c>
      <c r="D34" s="165" t="str">
        <f t="shared" si="2"/>
        <v/>
      </c>
      <c r="F34" s="260"/>
      <c r="G34" s="260"/>
      <c r="H34" s="260"/>
      <c r="I34" s="260"/>
    </row>
    <row r="35" spans="1:9" ht="13.5" thickTop="1" thickBot="1">
      <c r="A35" s="139" t="s">
        <v>1842</v>
      </c>
      <c r="B35" s="142"/>
      <c r="C35" s="140" t="str">
        <f t="shared" si="3"/>
        <v/>
      </c>
      <c r="D35" s="165" t="str">
        <f t="shared" si="2"/>
        <v/>
      </c>
      <c r="F35" s="129"/>
      <c r="G35" s="130"/>
      <c r="H35" s="131" t="s">
        <v>2164</v>
      </c>
      <c r="I35" s="132" t="s">
        <v>2165</v>
      </c>
    </row>
    <row r="36" spans="1:9" ht="12.75" thickTop="1">
      <c r="A36" s="139" t="s">
        <v>1843</v>
      </c>
      <c r="B36" s="142"/>
      <c r="C36" s="140" t="str">
        <f t="shared" si="3"/>
        <v/>
      </c>
      <c r="D36" s="165" t="str">
        <f t="shared" si="2"/>
        <v/>
      </c>
      <c r="F36" s="109" t="s">
        <v>1751</v>
      </c>
      <c r="G36" s="114"/>
      <c r="H36" s="529"/>
      <c r="I36" s="558"/>
    </row>
    <row r="37" spans="1:9">
      <c r="A37" s="139" t="s">
        <v>1844</v>
      </c>
      <c r="B37" s="142"/>
      <c r="C37" s="140" t="str">
        <f t="shared" si="3"/>
        <v/>
      </c>
      <c r="D37" s="165" t="str">
        <f t="shared" si="2"/>
        <v/>
      </c>
      <c r="F37" s="109" t="s">
        <v>1883</v>
      </c>
      <c r="G37" s="115"/>
      <c r="H37" s="530"/>
      <c r="I37" s="559"/>
    </row>
    <row r="38" spans="1:9">
      <c r="A38" s="139" t="s">
        <v>1845</v>
      </c>
      <c r="B38" s="142"/>
      <c r="C38" s="140" t="str">
        <f t="shared" si="3"/>
        <v/>
      </c>
      <c r="D38" s="165" t="str">
        <f t="shared" si="2"/>
        <v/>
      </c>
      <c r="F38" s="116" t="s">
        <v>1884</v>
      </c>
      <c r="G38" s="117"/>
      <c r="H38" s="118" t="str">
        <f>IF(H37="","",H36+H37)</f>
        <v/>
      </c>
      <c r="I38" s="509" t="str">
        <f>IF(I37="","",I36+I37)</f>
        <v/>
      </c>
    </row>
    <row r="39" spans="1:9">
      <c r="A39" s="139" t="s">
        <v>863</v>
      </c>
      <c r="B39" s="142"/>
      <c r="C39" s="140" t="str">
        <f t="shared" si="3"/>
        <v/>
      </c>
      <c r="D39" s="165" t="str">
        <f t="shared" si="2"/>
        <v/>
      </c>
      <c r="F39" s="116" t="s">
        <v>1885</v>
      </c>
      <c r="G39" s="117"/>
      <c r="H39" s="531"/>
      <c r="I39" s="560"/>
    </row>
    <row r="40" spans="1:9">
      <c r="A40" s="139" t="s">
        <v>2153</v>
      </c>
      <c r="B40" s="142"/>
      <c r="C40" s="140" t="str">
        <f t="shared" si="3"/>
        <v/>
      </c>
      <c r="D40" s="178" t="str">
        <f t="shared" si="2"/>
        <v/>
      </c>
      <c r="F40" s="116" t="s">
        <v>1886</v>
      </c>
      <c r="G40" s="117"/>
      <c r="H40" s="119"/>
      <c r="I40" s="510"/>
    </row>
    <row r="41" spans="1:9" ht="12.75" thickBot="1">
      <c r="A41" s="155" t="s">
        <v>2150</v>
      </c>
      <c r="B41" s="1087"/>
      <c r="C41" s="179"/>
      <c r="D41" s="158"/>
      <c r="F41" s="98" t="s">
        <v>1887</v>
      </c>
      <c r="G41" s="120"/>
      <c r="H41" s="121" t="str">
        <f>IF(H39="","",H36/(H38-H39+H40))</f>
        <v/>
      </c>
      <c r="I41" s="511" t="str">
        <f>IF(I39="","",I36/(I38-I39+I40))</f>
        <v/>
      </c>
    </row>
    <row r="42" spans="1:9" ht="13.5" thickTop="1" thickBot="1">
      <c r="G42" s="122"/>
      <c r="H42" s="122" t="s">
        <v>1888</v>
      </c>
      <c r="I42" s="123" t="str">
        <f>IF(ISERROR(AVERAGE(H41:I41)),"",AVERAGE(H41:I41))</f>
        <v/>
      </c>
    </row>
    <row r="43" spans="1:9" ht="13.5" thickTop="1">
      <c r="A43" s="518"/>
      <c r="B43" s="519"/>
      <c r="C43" s="454" t="s">
        <v>1890</v>
      </c>
      <c r="D43" s="455"/>
      <c r="E43" s="455"/>
      <c r="F43" s="456"/>
      <c r="G43" s="533"/>
    </row>
    <row r="44" spans="1:9">
      <c r="A44" s="466" t="s">
        <v>1891</v>
      </c>
      <c r="B44" s="467"/>
      <c r="C44" s="457" t="s">
        <v>1892</v>
      </c>
      <c r="D44" s="458"/>
      <c r="E44" s="458"/>
      <c r="F44" s="459"/>
      <c r="G44" s="534"/>
    </row>
    <row r="45" spans="1:9">
      <c r="A45" s="466" t="s">
        <v>1893</v>
      </c>
      <c r="B45" s="467"/>
      <c r="C45" s="457" t="s">
        <v>1894</v>
      </c>
      <c r="D45" s="458"/>
      <c r="E45" s="458"/>
      <c r="F45" s="459"/>
      <c r="G45" s="534"/>
    </row>
    <row r="46" spans="1:9" ht="12.75" thickBot="1">
      <c r="A46" s="315"/>
      <c r="B46" s="316"/>
      <c r="C46" s="460" t="s">
        <v>1895</v>
      </c>
      <c r="D46" s="461"/>
      <c r="E46" s="461"/>
      <c r="F46" s="462"/>
      <c r="G46" s="463" t="str">
        <f>IF(G43="","",IF(G43-G45=0,0,(((G43-G45)-(G44-G45))/(G43-G45))*100))</f>
        <v/>
      </c>
    </row>
    <row r="47" spans="1:9" ht="12.75" thickTop="1"/>
  </sheetData>
  <sheetProtection algorithmName="SHA-512" hashValue="h12EQaB2c4HiwAOQQtxYtruJRY2ASXmdXmRob9QyA8aGgBoykODfQ/uf8lNTlMH5hfRzRVV4v/phYpfUNS2O0A==" saltValue="zDGYqQgcHn6RMfQZVd9KyQ==" spinCount="100000" sheet="1" objects="1" scenarios="1"/>
  <phoneticPr fontId="31" type="noConversion"/>
  <printOptions horizontalCentered="1"/>
  <pageMargins left="0.25" right="0.25" top="0.5" bottom="0.5" header="0.5" footer="0.25"/>
  <pageSetup orientation="portrait" blackAndWhite="1" horizontalDpi="300" verticalDpi="300" r:id="rId1"/>
  <headerFooter alignWithMargins="0">
    <oddFooter>&amp;CPage 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8">
              <controlPr defaultSize="0" autoFill="0" autoLine="0" autoPict="0" macro="[0]!DropDown8_Change">
                <anchor moveWithCells="1">
                  <from>
                    <xdr:col>6</xdr:col>
                    <xdr:colOff>28575</xdr:colOff>
                    <xdr:row>24</xdr:row>
                    <xdr:rowOff>85725</xdr:rowOff>
                  </from>
                  <to>
                    <xdr:col>8</xdr:col>
                    <xdr:colOff>571500</xdr:colOff>
                    <xdr:row>25</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pageSetUpPr fitToPage="1"/>
  </sheetPr>
  <dimension ref="A1:M47"/>
  <sheetViews>
    <sheetView showGridLines="0" workbookViewId="0"/>
  </sheetViews>
  <sheetFormatPr defaultRowHeight="12"/>
  <cols>
    <col min="1" max="2" width="9.140625" style="53"/>
    <col min="3" max="3" width="12.7109375" style="53" customWidth="1"/>
    <col min="4" max="4" width="9.85546875" style="53" customWidth="1"/>
    <col min="5" max="6" width="10.28515625" style="53" customWidth="1"/>
    <col min="7" max="8" width="9.7109375" style="53" customWidth="1"/>
    <col min="9" max="16384" width="9.140625" style="53"/>
  </cols>
  <sheetData>
    <row r="1" spans="1:13">
      <c r="K1" s="51"/>
      <c r="L1" s="51"/>
      <c r="M1" s="51"/>
    </row>
    <row r="2" spans="1:13">
      <c r="A2" s="51" t="s">
        <v>878</v>
      </c>
      <c r="B2" s="51"/>
      <c r="C2" s="124" t="str">
        <f>IF('Pay Values'!B3="","",'Pay Values'!B3)</f>
        <v/>
      </c>
      <c r="D2" s="124"/>
      <c r="E2" s="51" t="s">
        <v>1896</v>
      </c>
      <c r="F2" s="51"/>
      <c r="G2" s="180" t="s">
        <v>1637</v>
      </c>
      <c r="H2" s="180"/>
      <c r="I2" s="180"/>
    </row>
    <row r="3" spans="1:13">
      <c r="A3" s="51" t="s">
        <v>1632</v>
      </c>
      <c r="B3" s="51"/>
      <c r="C3" s="124" t="str">
        <f>IF('Pay Values'!B4="","",'Pay Values'!B4)</f>
        <v/>
      </c>
      <c r="D3" s="124"/>
      <c r="E3" s="51" t="s">
        <v>1897</v>
      </c>
      <c r="F3" s="51"/>
      <c r="G3" s="180" t="s">
        <v>1637</v>
      </c>
      <c r="H3" s="180"/>
      <c r="I3" s="180"/>
    </row>
    <row r="4" spans="1:13">
      <c r="A4" s="51" t="s">
        <v>1898</v>
      </c>
      <c r="B4" s="51"/>
      <c r="C4" s="125" t="str">
        <f>IF('Pay Values'!B5="","",'Pay Values'!B5)</f>
        <v/>
      </c>
      <c r="D4" s="124"/>
      <c r="E4" s="51" t="s">
        <v>1635</v>
      </c>
      <c r="F4" s="51"/>
      <c r="G4" s="125" t="e">
        <f>IF('Pay Values'!C6="","",'Pay Values'!C6)</f>
        <v>#N/A</v>
      </c>
      <c r="H4" s="124"/>
      <c r="I4" s="124"/>
      <c r="K4" s="162"/>
      <c r="L4" s="162"/>
      <c r="M4" s="162"/>
    </row>
    <row r="5" spans="1:13" ht="12.75" thickBot="1">
      <c r="A5" s="51"/>
      <c r="B5" s="51"/>
      <c r="C5" s="162"/>
      <c r="F5" s="51"/>
      <c r="K5" s="162"/>
      <c r="L5" s="162"/>
      <c r="M5" s="162"/>
    </row>
    <row r="6" spans="1:13" ht="12.75" thickTop="1">
      <c r="A6" s="167" t="s">
        <v>1601</v>
      </c>
      <c r="B6" s="167" t="s">
        <v>1648</v>
      </c>
      <c r="C6" s="167" t="s">
        <v>2155</v>
      </c>
      <c r="D6" s="167" t="s">
        <v>2156</v>
      </c>
      <c r="E6" s="168" t="s">
        <v>2167</v>
      </c>
      <c r="F6" s="167" t="s">
        <v>1733</v>
      </c>
      <c r="G6" s="167" t="s">
        <v>1646</v>
      </c>
      <c r="H6" s="167" t="s">
        <v>1647</v>
      </c>
      <c r="K6" s="162"/>
      <c r="L6" s="162"/>
      <c r="M6" s="162"/>
    </row>
    <row r="7" spans="1:13" ht="12.75" thickBot="1">
      <c r="A7" s="137" t="s">
        <v>1709</v>
      </c>
      <c r="B7" s="169" t="s">
        <v>1644</v>
      </c>
      <c r="C7" s="113" t="s">
        <v>2168</v>
      </c>
      <c r="D7" s="113" t="s">
        <v>1695</v>
      </c>
      <c r="E7" s="170" t="s">
        <v>2159</v>
      </c>
      <c r="F7" s="113" t="s">
        <v>2160</v>
      </c>
      <c r="G7" s="113" t="s">
        <v>1651</v>
      </c>
      <c r="H7" s="113" t="s">
        <v>1840</v>
      </c>
    </row>
    <row r="8" spans="1:13" ht="12.75" thickTop="1">
      <c r="A8" s="139" t="s">
        <v>1608</v>
      </c>
      <c r="B8" s="171"/>
      <c r="C8" s="172" t="str">
        <f>IF(OR(Calculations!$J$1=7,Calculations!$J$1=8,Calculations!$J$1=13,Calculations!$H$13=2,Gradation!J10=""),"",IF(OR(Gradation!J10&lt;Calculations!AY16,Gradation!J10&gt;Calculations!AZ16),CONCATENATE("* ",ROUND(Gradation!J10,0)),Gradation!J10))</f>
        <v/>
      </c>
      <c r="D8" s="172" t="str">
        <f>IF(OR(Calculations!$J$1=7,Calculations!$J$1=8,Calculations!$J$1=13,Calculations!$H$13=2),"",IF(D27="","",ROUND(D27,0)))</f>
        <v/>
      </c>
      <c r="E8" s="172" t="str">
        <f>IF(OR(Calculations!$J$1=7,Calculations!$J$1=8,Calculations!$J$1=13,Calculations!$H$13=2),"",IF('Super Verify'!$B$5=3,'Super Verify'!D33,IF('Super Verify'!$B$12=3,'Super Verify'!G33,"")))</f>
        <v/>
      </c>
      <c r="F8" s="172" t="str">
        <f>IF(C8="","",IF(LEFT(C8,1)="*",AVERAGE(VALUE(MID(C8,3,LEN(C8))),D8,E8),AVERAGE(C8:E8)))</f>
        <v/>
      </c>
      <c r="G8" s="172" t="str">
        <f t="shared" ref="G8:G21" si="0">IF(F8="","",ABS(B8-F8))</f>
        <v/>
      </c>
      <c r="H8" s="173" t="str">
        <f>IF(G8="","",IF(OR(ROUND(ABS(G8),1)&lt;=13,LEFT(C8,1)&lt;&gt;"*"),100,IF(ROUND(ABS(G8),1)&lt;=14,98,IF(ROUND(ABS(G8),1)&lt;=16,95,IF(ROUND(ABS(G8),1)&lt;=20,90,IF(ROUND(ABS(G8),1)&lt;=23,85,75))))))</f>
        <v/>
      </c>
    </row>
    <row r="9" spans="1:13">
      <c r="A9" s="139" t="s">
        <v>1609</v>
      </c>
      <c r="B9" s="171"/>
      <c r="C9" s="172" t="str">
        <f>IF(OR(Calculations!$J$1=7,Calculations!$J$1=8,Calculations!$J$1=13,Calculations!$H$13=2,Gradation!J11=""),"",IF(OR(Gradation!J11&lt;Calculations!AY17,Gradation!J11&gt;Calculations!AZ17),CONCATENATE("* ",ROUND(Gradation!J11,0)),Gradation!J11))</f>
        <v/>
      </c>
      <c r="D9" s="172" t="str">
        <f>IF(OR(Calculations!$J$1=7,Calculations!$J$1=8,Calculations!$J$1=13,Calculations!$H$13=2),"",IF(D28="","",ROUND(D28,0)))</f>
        <v/>
      </c>
      <c r="E9" s="172" t="str">
        <f>IF(OR(Calculations!$J$1=7,Calculations!$J$1=8,Calculations!$J$1=13,Calculations!$H$13=2),"",IF('Super Verify'!$B$5=3,'Super Verify'!D34,IF('Super Verify'!$B$12=3,'Super Verify'!G34,"")))</f>
        <v/>
      </c>
      <c r="F9" s="172" t="str">
        <f>IF(C9="","",IF(LEFT(C9,1)="*",AVERAGE(VALUE(MID(C9,3,LEN(C9))),D9,E9),AVERAGE(C9:E9)))</f>
        <v/>
      </c>
      <c r="G9" s="172" t="str">
        <f t="shared" si="0"/>
        <v/>
      </c>
      <c r="H9" s="173" t="str">
        <f>IF(G9="","",IF(OR(ROUND(ABS(G9),1)&lt;=13,LEFT(C9,1)&lt;&gt;"*"),100,IF(ROUND(ABS(G9),1)&lt;=14,98,IF(ROUND(ABS(G9),1)&lt;=16,95,IF(ROUND(ABS(G9),1)&lt;=20,90,IF(ROUND(ABS(G9),1)&lt;=23,85,75))))))</f>
        <v/>
      </c>
    </row>
    <row r="10" spans="1:13">
      <c r="A10" s="139" t="s">
        <v>1610</v>
      </c>
      <c r="B10" s="171"/>
      <c r="C10" s="172" t="str">
        <f>IF(OR(Calculations!$J$1=7,Calculations!$J$1=8,Calculations!$J$1=13,Calculations!$H$13=2,Gradation!J12=""),"",IF(OR(Gradation!J12&lt;Calculations!AY18,Gradation!J12&gt;Calculations!AZ18),CONCATENATE("* ",ROUND(Gradation!J12,0)),Gradation!J12))</f>
        <v/>
      </c>
      <c r="D10" s="172" t="str">
        <f>IF(OR(Calculations!$J$1=7,Calculations!$J$1=8,Calculations!$J$1=13,Calculations!$H$13=2),"",IF(D29="","",ROUND(D29,0)))</f>
        <v/>
      </c>
      <c r="E10" s="172" t="str">
        <f>IF(OR(Calculations!$J$1=7,Calculations!$J$1=8,Calculations!$J$1=13,Calculations!$H$13=2),"",IF('Super Verify'!$B$5=3,'Super Verify'!D35,IF('Super Verify'!$B$12=3,'Super Verify'!G35,"")))</f>
        <v/>
      </c>
      <c r="F10" s="172" t="str">
        <f>IF(C10="","",IF(LEFT(C10,1)="*",AVERAGE(VALUE(MID(C10,3,LEN(C10))),D10,E10),AVERAGE(C10:E10)))</f>
        <v/>
      </c>
      <c r="G10" s="172" t="str">
        <f t="shared" si="0"/>
        <v/>
      </c>
      <c r="H10" s="173" t="str">
        <f>IF(G10="","",IF(OR(ROUND(ABS(G10),1)&lt;=9,LEFT(C10,1)&lt;&gt;"*"),100,IF(ROUND(ABS(G10),1)&lt;=10,98,IF(ROUND(ABS(G10),1)&lt;=12,95,IF(ROUND(ABS(G10),1)&lt;=14,90,IF(ROUND(ABS(G10),1)&lt;=16,85,75))))))</f>
        <v/>
      </c>
    </row>
    <row r="11" spans="1:13">
      <c r="A11" s="139" t="s">
        <v>1611</v>
      </c>
      <c r="B11" s="452"/>
      <c r="C11" s="172" t="str">
        <f>IF(OR(Calculations!$J$1=7,Calculations!$J$1=8,Calculations!$J$1=13,Calculations!$H$13=2,Gradation!J13=""),"",IF(OR(Gradation!J13&lt;Calculations!AY19,Gradation!J13&gt;Calculations!AZ19),CONCATENATE("* ",ROUND(Gradation!J13,0)),Gradation!J13))</f>
        <v/>
      </c>
      <c r="D11" s="172" t="str">
        <f>IF(OR(Calculations!$J$1=7,Calculations!$J$1=8,Calculations!$J$1=13,Calculations!$H$13=2),"",IF(D30="","",ROUND(D30,0)))</f>
        <v/>
      </c>
      <c r="E11" s="172" t="str">
        <f>IF(OR(Calculations!$J$1=7,Calculations!$J$1=8,Calculations!$J$1=13,Calculations!$H$13=2),"",IF('Super Verify'!$B$5=3,'Super Verify'!D36,IF('Super Verify'!$B$12=3,'Super Verify'!G36,"")))</f>
        <v/>
      </c>
      <c r="F11" s="172" t="str">
        <f>IF(C11="","",IF(LEFT(C11,1)="*",AVERAGE(VALUE(MID(C11,3,LEN(C11))),D11,E11),AVERAGE(C11:E11)))</f>
        <v/>
      </c>
      <c r="G11" s="172" t="str">
        <f t="shared" si="0"/>
        <v/>
      </c>
      <c r="H11" s="173" t="str">
        <f>IF(G11="","",IF(OR(ROUND(ABS(G11),1)&lt;=9,LEFT(C11,1)&lt;&gt;"*"),100,IF(ROUND(ABS(G11),1)&lt;=10,98,IF(ROUND(ABS(G11),1)&lt;=12,95,IF(ROUND(ABS(G11),1)&lt;=14,90,IF(ROUND(ABS(G11),1)&lt;=16,85,75))))))</f>
        <v/>
      </c>
    </row>
    <row r="12" spans="1:13">
      <c r="A12" s="139" t="s">
        <v>1974</v>
      </c>
      <c r="B12" s="171"/>
      <c r="C12" s="172" t="str">
        <f>IF(OR(Calculations!$J$1=7,Calculations!$J$1=8,Calculations!$J$1=13,Calculations!$H$13=2,Gradation!J14=""),"",IF(OR(Gradation!J14&lt;Calculations!AY20,Gradation!J14&gt;Calculations!AZ20),CONCATENATE("* ",ROUND(Gradation!J14,0)),Gradation!J14))</f>
        <v/>
      </c>
      <c r="D12" s="172" t="str">
        <f>IF(OR(Calculations!$J$1=7,Calculations!$J$1=8,Calculations!$J$1=13,Calculations!$H$13=2),"",IF(D31="","",ROUND(D31,0)))</f>
        <v/>
      </c>
      <c r="E12" s="172" t="str">
        <f>IF(OR(Calculations!$J$1=7,Calculations!$J$1=8,Calculations!$J$1=13,Calculations!$H$13=2),"",IF('Super Verify'!$B$5=3,'Super Verify'!D37,IF('Super Verify'!$B$12=3,'Super Verify'!G37,"")))</f>
        <v/>
      </c>
      <c r="F12" s="172" t="str">
        <f>IF(C12="","",IF(LEFT(C12,1)="*",AVERAGE(VALUE(MID(C12,3,LEN(C12))),D12,E12),AVERAGE(C12:E12)))</f>
        <v/>
      </c>
      <c r="G12" s="172" t="str">
        <f t="shared" si="0"/>
        <v/>
      </c>
      <c r="H12" s="173" t="str">
        <f>IF(G12="","",IF(OR(ROUND(ABS(G12),1)&lt;=9,LEFT(C12,1)&lt;&gt;"*"),100,IF(ROUND(ABS(G12),1)&lt;=10,98,IF(ROUND(ABS(G12),1)&lt;=12,95,IF(ROUND(ABS(G12),1)&lt;=14,90,IF(ROUND(ABS(G12),1)&lt;=16,85,75))))))</f>
        <v/>
      </c>
    </row>
    <row r="13" spans="1:13">
      <c r="A13" s="139" t="s">
        <v>1615</v>
      </c>
      <c r="B13" s="171"/>
      <c r="C13" s="172" t="str">
        <f>IF(OR(Calculations!$J$1=7,Calculations!$J$1=8,Calculations!$J$1=13,Calculations!$H$13=2,Gradation!J15=""),"",IF(OR(Gradation!J15&lt;Calculations!AY21,Gradation!J15&gt;Calculations!AZ21),CONCATENATE("* ",ROUND(Gradation!J15,0)),Gradation!J15))</f>
        <v/>
      </c>
      <c r="D13" s="172" t="str">
        <f>IF(OR(Calculations!$J$1=7,Calculations!$J$1=8,Calculations!$J$1=13,Calculations!$H$13=2),"",IF(D32="","",ROUND(D32,0)))</f>
        <v/>
      </c>
      <c r="E13" s="172" t="str">
        <f>IF(OR(Calculations!$J$1=7,Calculations!$J$1=8,Calculations!$J$1=13,Calculations!$H$13=2),"",IF('Super Verify'!$B$5=3,'Super Verify'!D38,IF('Super Verify'!$B$12=3,'Super Verify'!G38,"")))</f>
        <v/>
      </c>
      <c r="F13" s="172" t="str">
        <f t="shared" ref="F13:F19" si="1">IF(C13="","",IF(LEFT(C13,1)="*",AVERAGE(VALUE(MID(C13,3,LEN(C13))),D13,E13),AVERAGE(C13:E13)))</f>
        <v/>
      </c>
      <c r="G13" s="172" t="str">
        <f t="shared" si="0"/>
        <v/>
      </c>
      <c r="H13" s="173" t="str">
        <f>IF(G13="","",IF(OR(ROUND(ABS(G13),1)&lt;=8,LEFT(C13,1)&lt;&gt;"*"),100,IF(ROUND(ABS(G13),1)&lt;=9,98,IF(ROUND(ABS(G13),1)&lt;=10,95,IF(ROUND(ABS(G13),1)&lt;=12,90,IF(ROUND(ABS(G13),1)&lt;=14,85,75))))))</f>
        <v/>
      </c>
    </row>
    <row r="14" spans="1:13">
      <c r="A14" s="139" t="s">
        <v>1977</v>
      </c>
      <c r="B14" s="171"/>
      <c r="C14" s="172" t="str">
        <f>IF(OR(Calculations!$J$1=7,Calculations!$J$1=8,Calculations!$J$1=13,Calculations!$H$13=2,Gradation!J17=""),"",IF(OR(Gradation!J17&lt;Calculations!AY23,Gradation!J17&gt;Calculations!AZ23),CONCATENATE("* ",ROUND(Gradation!J17,0)),Gradation!J17))</f>
        <v/>
      </c>
      <c r="D14" s="172" t="str">
        <f>IF(OR(Calculations!$J$1=7,Calculations!$J$1=8,Calculations!$J$1=13,Calculations!$H$13=2),"",IF(D33="","",ROUND(D33,0)))</f>
        <v/>
      </c>
      <c r="E14" s="172" t="str">
        <f>IF(OR(Calculations!$J$1=7,Calculations!$J$1=8,Calculations!$J$1=13,Calculations!$H$13=2),"",IF('Super Verify'!$B$5=3,'Super Verify'!D40,IF('Super Verify'!$B$12=3,'Super Verify'!G40,"")))</f>
        <v/>
      </c>
      <c r="F14" s="172" t="str">
        <f t="shared" si="1"/>
        <v/>
      </c>
      <c r="G14" s="172" t="str">
        <f t="shared" si="0"/>
        <v/>
      </c>
      <c r="H14" s="173" t="str">
        <f>IF(G14="","",IF(OR(ROUND(ABS(G14),1)&lt;=8,LEFT(C14,1)&lt;&gt;"*"),100,IF(ROUND(ABS(G14),1)&lt;=9,98,IF(ROUND(ABS(G14),1)&lt;=10,95,IF(ROUND(ABS(G14),1)&lt;=12,90,IF(ROUND(ABS(G14),1)&lt;=14,85,75))))))</f>
        <v/>
      </c>
    </row>
    <row r="15" spans="1:13">
      <c r="A15" s="139" t="s">
        <v>1841</v>
      </c>
      <c r="B15" s="171"/>
      <c r="C15" s="172" t="str">
        <f>IF(OR(Calculations!$J$1=7,Calculations!$J$1=8,Calculations!$J$1=13,Calculations!$H$13=2,Gradation!J18=""),"",IF(OR(Gradation!J18&lt;Calculations!AY24,Gradation!J18&gt;Calculations!AZ24),CONCATENATE("* ",ROUND(Gradation!J18,0)),Gradation!J18))</f>
        <v/>
      </c>
      <c r="D15" s="172" t="str">
        <f>IF(OR(Calculations!$J$1=7,Calculations!$J$1=8,Calculations!$J$1=13,Calculations!$H$13=2),"",IF(D34="","",ROUND(D34,0)))</f>
        <v/>
      </c>
      <c r="E15" s="172" t="str">
        <f>IF(OR(Calculations!$J$1=7,Calculations!$J$1=8,Calculations!$J$1=13,Calculations!$H$13=2),"",IF('Super Verify'!$B$5=3,'Super Verify'!D41,IF('Super Verify'!$B$12=3,'Super Verify'!G41,"")))</f>
        <v/>
      </c>
      <c r="F15" s="172" t="str">
        <f t="shared" si="1"/>
        <v/>
      </c>
      <c r="G15" s="172" t="str">
        <f t="shared" si="0"/>
        <v/>
      </c>
      <c r="H15" s="173" t="str">
        <f>IF(G15="","",IF(OR(ROUND(ABS(G15),1)&lt;=8,LEFT(C15,1)&lt;&gt;"*"),100,IF(ROUND(ABS(G15),1)&lt;=9,98,IF(ROUND(ABS(G15),1)&lt;=10,95,IF(ROUND(ABS(G15),1)&lt;=12,90,IF(ROUND(ABS(G15),1)&lt;=14,85,75))))))</f>
        <v/>
      </c>
    </row>
    <row r="16" spans="1:13">
      <c r="A16" s="139" t="s">
        <v>1842</v>
      </c>
      <c r="B16" s="171"/>
      <c r="C16" s="172" t="str">
        <f>IF(OR(Calculations!$J$1=7,Calculations!$J$1=8,Calculations!$J$1=13,Calculations!$H$13=2,Gradation!J19=""),"",IF(OR(Gradation!J19&lt;Calculations!AY25,Gradation!J19&gt;Calculations!AZ25),CONCATENATE("* ",ROUND(Gradation!J19,0)),Gradation!J19))</f>
        <v/>
      </c>
      <c r="D16" s="172" t="str">
        <f>IF(OR(Calculations!$J$1=7,Calculations!$J$1=8,Calculations!$J$1=13,Calculations!$H$13=2),"",IF(D35="","",ROUND(D35,0)))</f>
        <v/>
      </c>
      <c r="E16" s="172" t="str">
        <f>IF(OR(Calculations!$J$1=7,Calculations!$J$1=8,Calculations!$J$1=13,Calculations!$H$13=2),"",IF('Super Verify'!$B$5=3,'Super Verify'!D42,IF('Super Verify'!$B$12=3,'Super Verify'!G42,"")))</f>
        <v/>
      </c>
      <c r="F16" s="172" t="str">
        <f t="shared" si="1"/>
        <v/>
      </c>
      <c r="G16" s="172" t="str">
        <f t="shared" si="0"/>
        <v/>
      </c>
      <c r="H16" s="173" t="str">
        <f>IF(G16="","",IF(OR(ROUND(ABS(G16),1)&lt;=8,LEFT(C16,1)&lt;&gt;"*"),100,IF(ROUND(ABS(G16),1)&lt;=9,98,IF(ROUND(ABS(G16),1)&lt;=10,95,IF(ROUND(ABS(G16),1)&lt;=12,90,IF(ROUND(ABS(G16),1)&lt;=14,85,75))))))</f>
        <v/>
      </c>
    </row>
    <row r="17" spans="1:11">
      <c r="A17" s="139" t="s">
        <v>1843</v>
      </c>
      <c r="B17" s="171"/>
      <c r="C17" s="172" t="str">
        <f>IF(OR(Calculations!$J$1=7,Calculations!$J$1=8,Calculations!$J$1=13,Calculations!$H$13=2,Gradation!J20=""),"",IF(OR(Gradation!J20&lt;Calculations!AY26,Gradation!J20&gt;Calculations!AZ26),CONCATENATE("* ",ROUND(Gradation!J20,0)),Gradation!J20))</f>
        <v/>
      </c>
      <c r="D17" s="172" t="str">
        <f>IF(OR(Calculations!$J$1=7,Calculations!$J$1=8,Calculations!$J$1=13,Calculations!$H$13=2),"",IF(D36="","",ROUND(D36,0)))</f>
        <v/>
      </c>
      <c r="E17" s="172" t="str">
        <f>IF(OR(Calculations!$J$1=7,Calculations!$J$1=8,Calculations!$J$1=13,Calculations!$H$13=2),"",IF('Super Verify'!$B$5=3,'Super Verify'!D43,IF('Super Verify'!$B$12=3,'Super Verify'!G43,"")))</f>
        <v/>
      </c>
      <c r="F17" s="172" t="str">
        <f>IF(C17="","",IF(LEFT(C17,1)="*",AVERAGE(VALUE(MID(C17,3,LEN(C17))),D17,E17),AVERAGE(C17:E17)))</f>
        <v/>
      </c>
      <c r="G17" s="172" t="str">
        <f t="shared" si="0"/>
        <v/>
      </c>
      <c r="H17" s="173" t="str">
        <f>IF(G17="","",IF(OR(ROUND(ABS(G17),1)&lt;=8,LEFT(C17,1)&lt;&gt;"*"),100,IF(ROUND(ABS(G17),1)&lt;=9,98,IF(ROUND(ABS(G17),1)&lt;=10,95,IF(ROUND(ABS(G17),1)&lt;=12,90,IF(ROUND(ABS(G17),1)&lt;=14,85,75))))))</f>
        <v/>
      </c>
    </row>
    <row r="18" spans="1:11">
      <c r="A18" s="139" t="s">
        <v>1844</v>
      </c>
      <c r="B18" s="171"/>
      <c r="C18" s="172" t="str">
        <f>IF(OR(Calculations!$J$1=7,Calculations!$J$1=8,Calculations!$J$1=13,Calculations!$H$13=2,Gradation!J21=""),"",IF(OR(Gradation!J21&lt;Calculations!AY27,Gradation!J21&gt;Calculations!AZ27),CONCATENATE("* ",ROUND(Gradation!J21,0)),Gradation!J21))</f>
        <v/>
      </c>
      <c r="D18" s="172" t="str">
        <f>IF(OR(Calculations!$J$1=7,Calculations!$J$1=8,Calculations!$J$1=13,Calculations!$H$13=2),"",IF(D37="","",ROUND(D37,0)))</f>
        <v/>
      </c>
      <c r="E18" s="172" t="str">
        <f>IF(OR(Calculations!$J$1=7,Calculations!$J$1=8,Calculations!$J$1=13,Calculations!$H$13=2),"",IF('Super Verify'!$B$5=3,'Super Verify'!D44,IF('Super Verify'!$B$12=3,'Super Verify'!G44,"")))</f>
        <v/>
      </c>
      <c r="F18" s="172" t="str">
        <f>IF(C18="","",IF(LEFT(C18,1)="*",AVERAGE(VALUE(MID(C18,3,LEN(C18))),D18,E18),AVERAGE(C18:E18)))</f>
        <v/>
      </c>
      <c r="G18" s="172" t="str">
        <f t="shared" si="0"/>
        <v/>
      </c>
      <c r="H18" s="173" t="str">
        <f>IF(G18="","",IF(OR(ROUND(ABS(G18),1)&lt;=6,LEFT(C18,1)&lt;&gt;"*"),100,IF(ROUND(ABS(G18),1)&lt;=7,98,IF(ROUND(ABS(G18),1)&lt;=8,95,IF(ROUND(ABS(G18),1)&lt;=9,90,IF(ROUND(ABS(G18),1)&lt;=10,85,75))))))</f>
        <v/>
      </c>
      <c r="K18" s="111"/>
    </row>
    <row r="19" spans="1:11">
      <c r="A19" s="139" t="s">
        <v>1845</v>
      </c>
      <c r="B19" s="171"/>
      <c r="C19" s="172" t="str">
        <f>IF(OR(Calculations!$J$1=7,Calculations!$J$1=8,Calculations!$J$1=13,Calculations!$H$13=2,Gradation!J22=""),"",IF(OR(Gradation!J22&lt;Calculations!AY28,Gradation!J22&gt;Calculations!AZ28),CONCATENATE("* ",ROUND(Gradation!J22,0)),Gradation!J22))</f>
        <v/>
      </c>
      <c r="D19" s="172" t="str">
        <f>IF(OR(Calculations!$J$1=7,Calculations!$J$1=8,Calculations!$J$1=13,Calculations!$H$13=2),"",IF(D38="","",ROUND(D38,0)))</f>
        <v/>
      </c>
      <c r="E19" s="172" t="str">
        <f>IF(OR(Calculations!$J$1=7,Calculations!$J$1=8,Calculations!$J$1=13,Calculations!$H$13=2),"",IF('Super Verify'!$B$5=3,'Super Verify'!D45,IF('Super Verify'!$B$12=3,'Super Verify'!G45,"")))</f>
        <v/>
      </c>
      <c r="F19" s="172" t="str">
        <f t="shared" si="1"/>
        <v/>
      </c>
      <c r="G19" s="172" t="str">
        <f t="shared" si="0"/>
        <v/>
      </c>
      <c r="H19" s="173" t="str">
        <f>IF(G19="","",IF(OR(ROUND(ABS(G19),1)&lt;=3,LEFT(C19,1)&lt;&gt;"*"),100,IF(ROUND(ABS(G19),1)&lt;=4,95,IF(ROUND(ABS(G19),1)&lt;=5,90,75))))</f>
        <v/>
      </c>
    </row>
    <row r="20" spans="1:11">
      <c r="A20" s="139" t="s">
        <v>863</v>
      </c>
      <c r="B20" s="247"/>
      <c r="C20" s="172" t="str">
        <f>IF(OR(Calculations!$J$1=7,Calculations!$J$1=8,Calculations!$J$1=13,Calculations!$H$13=2,Gradation!J23=""),"",IF(OR(Gradation!J23&lt;Calculations!AY29,Gradation!J23&gt;Calculations!AZ29),CONCATENATE("* ",ROUND(Gradation!J23,0)),Gradation!J23))</f>
        <v/>
      </c>
      <c r="D20" s="172" t="str">
        <f>IF(OR(Calculations!$J$1=7,Calculations!$J$1=8,Calculations!$J$1=13,Calculations!$H$13=2),"",IF(D39="","",ROUND(D39,0)))</f>
        <v/>
      </c>
      <c r="E20" s="172" t="str">
        <f>IF(OR(Calculations!$J$1=7,Calculations!$J$1=8,Calculations!$J$1=13,Calculations!$H$13=2),"",IF('Super Verify'!$B$5=3,'Super Verify'!D46,IF('Super Verify'!$B$12=3,'Super Verify'!G46,"")))</f>
        <v/>
      </c>
      <c r="F20" s="174" t="str">
        <f>IF(C20="","",Calculations!Q126)</f>
        <v/>
      </c>
      <c r="G20" s="174" t="str">
        <f t="shared" si="0"/>
        <v/>
      </c>
      <c r="H20" s="173" t="str">
        <f>IF(G20="","",IF(OR(ROUND(ABS(G20),1)&lt;=2,LEFT(C20,1)&lt;&gt;"*"),100,IF(ROUND(ABS(G20),1)&lt;=2.5,98,IF(ROUND(ABS(G20),1)&lt;=3,95,IF(ROUND(ABS(G20),1)&lt;=3.5,85,75)))))</f>
        <v/>
      </c>
    </row>
    <row r="21" spans="1:11">
      <c r="A21" s="139" t="s">
        <v>1650</v>
      </c>
      <c r="B21" s="247"/>
      <c r="C21" s="174" t="str">
        <f>IF(AND(Calculations!H13=1,Gradation!J33&lt;&gt;""),Gradation!J33,IF(AND(Calculations!H13=1,Gradation!J33=""),Gradation!J34,""))</f>
        <v/>
      </c>
      <c r="D21" s="174" t="str">
        <f>IF(AND(Calculations!H13=1,I32&lt;&gt;""),I32,IF(AND(Calculations!H13=1,I32=""),I33,""))</f>
        <v/>
      </c>
      <c r="E21" s="174" t="str">
        <f>IF(Calculations!H13=2,"",IF(AND('Super Verify'!B5=3,'Super Verify'!J27&lt;&gt;""),'Super Verify'!J27,IF(AND('Super Verify'!B5=3,'Super Verify'!J27=""),'Super Verify'!J28,IF(AND('Super Verify'!B12=3,'Super Verify'!M27&lt;&gt;""),'Super Verify'!M27,IF(AND('Super Verify'!B12=3,'Super Verify'!M27=""),'Super Verify'!M28,"")))))</f>
        <v/>
      </c>
      <c r="F21" s="174" t="str">
        <f>IF(C21="","",(AVERAGE(C21:E21)))</f>
        <v/>
      </c>
      <c r="G21" s="174" t="str">
        <f t="shared" si="0"/>
        <v/>
      </c>
      <c r="H21" s="173" t="str">
        <f>IF(G21="","",IF(ROUND(ABS(G21),1)&lt;=0.5,100,IF(ROUND(ABS(G21),1)=0.6,98,IF(ROUND(ABS(G21),1)=0.7,90,IF(ROUND(ABS(G21),1)=0.8,85,75)))))</f>
        <v/>
      </c>
    </row>
    <row r="22" spans="1:11" ht="12.75" thickBot="1">
      <c r="A22" s="155" t="s">
        <v>2161</v>
      </c>
      <c r="B22" s="175" t="str">
        <f>IF(OR(Calculations!J1=7,Calculations!J1=8,Calculations!J1=13),Calculations!J121,"")</f>
        <v/>
      </c>
      <c r="C22" s="176" t="str">
        <f>Gradation!J35</f>
        <v/>
      </c>
      <c r="D22" s="176" t="str">
        <f>IF(C38="","",IF(OR(Calculations!J1=7,Calculations!J1=8,Calculations!J1=13),SUM(C33:C38)/100,""))</f>
        <v/>
      </c>
      <c r="E22" s="176" t="str">
        <f>IF(B22="","",IF('Super Verify'!B5=3,'Super Verify'!D49,IF('Super Verify'!B12=3,'Super Verify'!G49,"")))</f>
        <v/>
      </c>
      <c r="F22" s="176" t="str">
        <f>IF(AND(C22="",D22="",E22=""),"",(AVERAGE(C22:E22)))</f>
        <v/>
      </c>
      <c r="G22" s="176" t="str">
        <f>IF(OR(B22="",F22=""),"",ABS(F22-B22))</f>
        <v/>
      </c>
      <c r="H22" s="177" t="str">
        <f>IF(G22="","",IF(ROUND(ABS(G22),2)&lt;=0.3,100,IF(ROUND(ABS(G22),2)&lt;=0.34,98,IF(ROUND(ABS(G22),2)&lt;=0.39,95,IF(ROUND(ABS(G22),2)&lt;=0.46,90,IF(ROUND(ABS(G22),2)&lt;=0.55,85,75))))))</f>
        <v/>
      </c>
    </row>
    <row r="23" spans="1:11" ht="13.5" thickTop="1" thickBot="1"/>
    <row r="24" spans="1:11" ht="13.5" thickTop="1" thickBot="1">
      <c r="A24" s="133"/>
      <c r="B24" s="127" t="s">
        <v>2162</v>
      </c>
      <c r="C24" s="128"/>
      <c r="D24" s="134"/>
      <c r="G24" s="102" t="s">
        <v>2163</v>
      </c>
      <c r="H24" s="103"/>
      <c r="I24" s="104"/>
    </row>
    <row r="25" spans="1:11" ht="12.75" thickTop="1">
      <c r="A25" s="135" t="s">
        <v>1601</v>
      </c>
      <c r="B25" s="136" t="s">
        <v>2144</v>
      </c>
      <c r="C25" s="135" t="s">
        <v>2145</v>
      </c>
      <c r="D25" s="136" t="s">
        <v>2145</v>
      </c>
      <c r="G25" s="143"/>
      <c r="H25" s="144"/>
      <c r="I25" s="145"/>
    </row>
    <row r="26" spans="1:11" ht="12.75" thickBot="1">
      <c r="A26" s="137" t="s">
        <v>1709</v>
      </c>
      <c r="B26" s="138" t="s">
        <v>2146</v>
      </c>
      <c r="C26" s="137" t="s">
        <v>2146</v>
      </c>
      <c r="D26" s="138" t="s">
        <v>2147</v>
      </c>
      <c r="G26" s="146"/>
      <c r="I26" s="147"/>
    </row>
    <row r="27" spans="1:11" ht="12.75" thickTop="1">
      <c r="A27" s="139" t="s">
        <v>1608</v>
      </c>
      <c r="B27" s="142"/>
      <c r="C27" s="140" t="str">
        <f>IF(B27="","",((B27/B41)*100))</f>
        <v/>
      </c>
      <c r="D27" s="165" t="str">
        <f t="shared" ref="D27:D39" si="2">IF(B27="","",(100-C27))</f>
        <v/>
      </c>
      <c r="G27" s="148"/>
      <c r="H27" s="149"/>
      <c r="I27" s="567"/>
    </row>
    <row r="28" spans="1:11">
      <c r="A28" s="139" t="s">
        <v>1609</v>
      </c>
      <c r="B28" s="142"/>
      <c r="C28" s="140" t="str">
        <f>IF(B28="","",(B28/B41)*(100))</f>
        <v/>
      </c>
      <c r="D28" s="165" t="str">
        <f t="shared" si="2"/>
        <v/>
      </c>
      <c r="G28" s="148"/>
      <c r="H28" s="149"/>
      <c r="I28" s="567"/>
    </row>
    <row r="29" spans="1:11">
      <c r="A29" s="139" t="s">
        <v>1610</v>
      </c>
      <c r="B29" s="142"/>
      <c r="C29" s="140" t="str">
        <f>IF(B29="","",(B29/B41)*(100))</f>
        <v/>
      </c>
      <c r="D29" s="165" t="str">
        <f t="shared" si="2"/>
        <v/>
      </c>
      <c r="G29" s="150"/>
      <c r="H29" s="149"/>
      <c r="I29" s="568"/>
    </row>
    <row r="30" spans="1:11">
      <c r="A30" s="139" t="s">
        <v>1611</v>
      </c>
      <c r="B30" s="142"/>
      <c r="C30" s="140" t="str">
        <f>IF(B30="","",(B30/B41)*(100))</f>
        <v/>
      </c>
      <c r="D30" s="165" t="str">
        <f t="shared" si="2"/>
        <v/>
      </c>
      <c r="G30" s="150"/>
      <c r="H30" s="149"/>
      <c r="I30" s="568"/>
    </row>
    <row r="31" spans="1:11">
      <c r="A31" s="139" t="s">
        <v>1974</v>
      </c>
      <c r="B31" s="142"/>
      <c r="C31" s="140" t="str">
        <f>IF(B31="","",(B31/B41)*(100))</f>
        <v/>
      </c>
      <c r="D31" s="165" t="str">
        <f t="shared" si="2"/>
        <v/>
      </c>
      <c r="G31" s="148"/>
      <c r="H31" s="149"/>
      <c r="I31" s="498"/>
    </row>
    <row r="32" spans="1:11">
      <c r="A32" s="139" t="s">
        <v>1615</v>
      </c>
      <c r="B32" s="142"/>
      <c r="C32" s="140" t="str">
        <f>IF(B32="","",(B32/B41)*(100))</f>
        <v/>
      </c>
      <c r="D32" s="165" t="str">
        <f t="shared" si="2"/>
        <v/>
      </c>
      <c r="G32" s="148" t="s">
        <v>2141</v>
      </c>
      <c r="H32" s="149"/>
      <c r="I32" s="494" t="str">
        <f>IF(I33="","",I33-'Accept. Grad. # 3'!G46)</f>
        <v/>
      </c>
    </row>
    <row r="33" spans="1:9" ht="12.75" thickBot="1">
      <c r="A33" s="139" t="s">
        <v>1977</v>
      </c>
      <c r="B33" s="142"/>
      <c r="C33" s="140" t="str">
        <f>IF(B33="","",(B33/B41)*(100))</f>
        <v/>
      </c>
      <c r="D33" s="165" t="str">
        <f t="shared" si="2"/>
        <v/>
      </c>
      <c r="G33" s="152" t="s">
        <v>2142</v>
      </c>
      <c r="H33" s="153"/>
      <c r="I33" s="154" t="str">
        <f>IF(I42="","",(1.03*(Superpave!J8-I42))/(I42*(Superpave!J8-1.03))*100)</f>
        <v/>
      </c>
    </row>
    <row r="34" spans="1:9" ht="14.25" thickTop="1" thickBot="1">
      <c r="A34" s="139" t="s">
        <v>1841</v>
      </c>
      <c r="B34" s="142"/>
      <c r="C34" s="140" t="str">
        <f>IF(B34="","",(B34/B41)*(100))</f>
        <v/>
      </c>
      <c r="D34" s="165" t="str">
        <f t="shared" si="2"/>
        <v/>
      </c>
      <c r="F34" s="260"/>
      <c r="G34" s="260"/>
      <c r="H34" s="260"/>
      <c r="I34" s="260"/>
    </row>
    <row r="35" spans="1:9" ht="13.5" thickTop="1" thickBot="1">
      <c r="A35" s="139" t="s">
        <v>1842</v>
      </c>
      <c r="B35" s="142"/>
      <c r="C35" s="140" t="str">
        <f>IF(B35="","",(B35/B41)*(100))</f>
        <v/>
      </c>
      <c r="D35" s="165" t="str">
        <f t="shared" si="2"/>
        <v/>
      </c>
      <c r="F35" s="129"/>
      <c r="G35" s="130"/>
      <c r="H35" s="131" t="s">
        <v>2164</v>
      </c>
      <c r="I35" s="132" t="s">
        <v>2165</v>
      </c>
    </row>
    <row r="36" spans="1:9" ht="12.75" thickTop="1">
      <c r="A36" s="139" t="s">
        <v>1843</v>
      </c>
      <c r="B36" s="142"/>
      <c r="C36" s="140" t="str">
        <f>IF(B36="","",(B36/B41)*(100))</f>
        <v/>
      </c>
      <c r="D36" s="165" t="str">
        <f t="shared" si="2"/>
        <v/>
      </c>
      <c r="F36" s="109" t="s">
        <v>1751</v>
      </c>
      <c r="G36" s="114"/>
      <c r="H36" s="529"/>
      <c r="I36" s="558"/>
    </row>
    <row r="37" spans="1:9">
      <c r="A37" s="139" t="s">
        <v>1844</v>
      </c>
      <c r="B37" s="142"/>
      <c r="C37" s="140" t="str">
        <f>IF(B37="","",(B37/B41)*(100))</f>
        <v/>
      </c>
      <c r="D37" s="165" t="str">
        <f t="shared" si="2"/>
        <v/>
      </c>
      <c r="F37" s="109" t="s">
        <v>1883</v>
      </c>
      <c r="G37" s="115"/>
      <c r="H37" s="530"/>
      <c r="I37" s="559"/>
    </row>
    <row r="38" spans="1:9">
      <c r="A38" s="139" t="s">
        <v>1845</v>
      </c>
      <c r="B38" s="142"/>
      <c r="C38" s="140" t="str">
        <f>IF(B38="","",(B38/B41)*(100))</f>
        <v/>
      </c>
      <c r="D38" s="165" t="str">
        <f t="shared" si="2"/>
        <v/>
      </c>
      <c r="F38" s="116" t="s">
        <v>1884</v>
      </c>
      <c r="G38" s="117"/>
      <c r="H38" s="118" t="str">
        <f>IF(H37="","",H36+H37)</f>
        <v/>
      </c>
      <c r="I38" s="509" t="str">
        <f>IF(I37="","",I36+I37)</f>
        <v/>
      </c>
    </row>
    <row r="39" spans="1:9">
      <c r="A39" s="139" t="s">
        <v>863</v>
      </c>
      <c r="B39" s="142"/>
      <c r="C39" s="140" t="str">
        <f>IF(B39="","",(B39/B41)*(100))</f>
        <v/>
      </c>
      <c r="D39" s="165" t="str">
        <f t="shared" si="2"/>
        <v/>
      </c>
      <c r="F39" s="116" t="s">
        <v>1885</v>
      </c>
      <c r="G39" s="117"/>
      <c r="H39" s="531"/>
      <c r="I39" s="560"/>
    </row>
    <row r="40" spans="1:9">
      <c r="A40" s="139" t="s">
        <v>2153</v>
      </c>
      <c r="B40" s="142"/>
      <c r="C40" s="140" t="str">
        <f>IF(B40="","",(B40/B41)*(100))</f>
        <v/>
      </c>
      <c r="D40" s="178"/>
      <c r="F40" s="116" t="s">
        <v>1886</v>
      </c>
      <c r="G40" s="117"/>
      <c r="H40" s="119"/>
      <c r="I40" s="510"/>
    </row>
    <row r="41" spans="1:9" ht="12.75" thickBot="1">
      <c r="A41" s="155" t="s">
        <v>2150</v>
      </c>
      <c r="B41" s="156"/>
      <c r="C41" s="179"/>
      <c r="D41" s="158"/>
      <c r="F41" s="98" t="s">
        <v>1887</v>
      </c>
      <c r="G41" s="120"/>
      <c r="H41" s="121" t="str">
        <f>IF(H39="","",H36/(H38-H39+H40))</f>
        <v/>
      </c>
      <c r="I41" s="511" t="str">
        <f>IF(I39="","",I36/(I38-I39+I40))</f>
        <v/>
      </c>
    </row>
    <row r="42" spans="1:9" ht="13.5" thickTop="1" thickBot="1">
      <c r="G42" s="122"/>
      <c r="H42" s="122" t="s">
        <v>1888</v>
      </c>
      <c r="I42" s="123" t="str">
        <f>IF(ISERROR(AVERAGE(H41:I41)),"",AVERAGE(H41:I41))</f>
        <v/>
      </c>
    </row>
    <row r="43" spans="1:9" ht="13.5" thickTop="1">
      <c r="A43" s="518"/>
      <c r="B43" s="519"/>
      <c r="C43" s="454" t="s">
        <v>1890</v>
      </c>
      <c r="D43" s="455"/>
      <c r="E43" s="455"/>
      <c r="F43" s="456"/>
      <c r="G43" s="533"/>
    </row>
    <row r="44" spans="1:9">
      <c r="A44" s="466" t="s">
        <v>1891</v>
      </c>
      <c r="B44" s="467"/>
      <c r="C44" s="457" t="s">
        <v>1892</v>
      </c>
      <c r="D44" s="458"/>
      <c r="E44" s="458"/>
      <c r="F44" s="459"/>
      <c r="G44" s="534"/>
    </row>
    <row r="45" spans="1:9">
      <c r="A45" s="466" t="s">
        <v>1893</v>
      </c>
      <c r="B45" s="467"/>
      <c r="C45" s="457" t="s">
        <v>1894</v>
      </c>
      <c r="D45" s="458"/>
      <c r="E45" s="458"/>
      <c r="F45" s="459"/>
      <c r="G45" s="534"/>
    </row>
    <row r="46" spans="1:9" ht="12.75" thickBot="1">
      <c r="A46" s="315"/>
      <c r="B46" s="316"/>
      <c r="C46" s="460" t="s">
        <v>1895</v>
      </c>
      <c r="D46" s="461"/>
      <c r="E46" s="461"/>
      <c r="F46" s="462"/>
      <c r="G46" s="463" t="str">
        <f>IF(G43="","",IF(G43-G45=0,0,(((G43-G45)-(G44-G45))/(G43-G45))*100))</f>
        <v/>
      </c>
    </row>
    <row r="47" spans="1:9" ht="12.75" thickTop="1"/>
  </sheetData>
  <sheetProtection algorithmName="SHA-512" hashValue="KpfWOh5enuCFTAvYOEUmQb30v4yzyUatey+cWXCxgEdlHFz+FCpkh4Wzs0fYuMPaR+EIqLibxdw6rAkTc3F3kA==" saltValue="yXUipdyTaRl7VX6ZEiR5iQ==" spinCount="100000" sheet="1" objects="1" scenarios="1"/>
  <phoneticPr fontId="31" type="noConversion"/>
  <printOptions horizontalCentered="1"/>
  <pageMargins left="0.25" right="0.25" top="0.5" bottom="0.5" header="0.5" footer="0.25"/>
  <pageSetup orientation="portrait" blackAndWhite="1" horizontalDpi="300" verticalDpi="300" r:id="rId1"/>
  <headerFooter alignWithMargins="0">
    <oddFooter>&amp;CPage 8</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9">
              <controlPr defaultSize="0" autoFill="0" autoLine="0" autoPict="0" macro="[0]!DropDown9_Change">
                <anchor moveWithCells="1">
                  <from>
                    <xdr:col>6</xdr:col>
                    <xdr:colOff>28575</xdr:colOff>
                    <xdr:row>24</xdr:row>
                    <xdr:rowOff>85725</xdr:rowOff>
                  </from>
                  <to>
                    <xdr:col>8</xdr:col>
                    <xdr:colOff>571500</xdr:colOff>
                    <xdr:row>25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M47"/>
  <sheetViews>
    <sheetView showGridLines="0" workbookViewId="0"/>
  </sheetViews>
  <sheetFormatPr defaultRowHeight="12"/>
  <cols>
    <col min="1" max="2" width="9.140625" style="53"/>
    <col min="3" max="3" width="12.7109375" style="53" customWidth="1"/>
    <col min="4" max="4" width="9.85546875" style="53" customWidth="1"/>
    <col min="5" max="6" width="10.28515625" style="53" customWidth="1"/>
    <col min="7" max="8" width="9.7109375" style="53" customWidth="1"/>
    <col min="9" max="16384" width="9.140625" style="53"/>
  </cols>
  <sheetData>
    <row r="1" spans="1:13">
      <c r="K1" s="51"/>
      <c r="L1" s="51"/>
      <c r="M1" s="51"/>
    </row>
    <row r="2" spans="1:13">
      <c r="A2" s="51" t="s">
        <v>878</v>
      </c>
      <c r="B2" s="51"/>
      <c r="C2" s="124" t="str">
        <f>IF('Pay Values'!B3="","",'Pay Values'!B3)</f>
        <v/>
      </c>
      <c r="D2" s="124"/>
      <c r="E2" s="51" t="s">
        <v>1896</v>
      </c>
      <c r="F2" s="51"/>
      <c r="G2" s="180" t="s">
        <v>1637</v>
      </c>
      <c r="H2" s="180"/>
      <c r="I2" s="180"/>
    </row>
    <row r="3" spans="1:13">
      <c r="A3" s="51" t="s">
        <v>1632</v>
      </c>
      <c r="B3" s="51"/>
      <c r="C3" s="124" t="str">
        <f>IF('Pay Values'!B4="","",'Pay Values'!B4)</f>
        <v/>
      </c>
      <c r="D3" s="124"/>
      <c r="E3" s="51" t="s">
        <v>1897</v>
      </c>
      <c r="F3" s="51"/>
      <c r="G3" s="180" t="s">
        <v>1637</v>
      </c>
      <c r="H3" s="180"/>
      <c r="I3" s="180"/>
    </row>
    <row r="4" spans="1:13">
      <c r="A4" s="51" t="s">
        <v>1898</v>
      </c>
      <c r="B4" s="51"/>
      <c r="C4" s="125" t="str">
        <f>IF('Pay Values'!B5="","",'Pay Values'!B5)</f>
        <v/>
      </c>
      <c r="D4" s="124"/>
      <c r="E4" s="51" t="s">
        <v>1635</v>
      </c>
      <c r="F4" s="51"/>
      <c r="G4" s="125" t="e">
        <f>IF('Pay Values'!C6="","",'Pay Values'!C6)</f>
        <v>#N/A</v>
      </c>
      <c r="H4" s="124"/>
      <c r="I4" s="124"/>
      <c r="K4" s="162"/>
      <c r="L4" s="162"/>
      <c r="M4" s="162"/>
    </row>
    <row r="5" spans="1:13" ht="12.75" thickBot="1">
      <c r="A5" s="51"/>
      <c r="B5" s="51"/>
      <c r="C5" s="162"/>
      <c r="F5" s="51"/>
      <c r="K5" s="162"/>
      <c r="L5" s="162"/>
      <c r="M5" s="162"/>
    </row>
    <row r="6" spans="1:13" ht="12.75" thickTop="1">
      <c r="A6" s="167" t="s">
        <v>1601</v>
      </c>
      <c r="B6" s="167" t="s">
        <v>1648</v>
      </c>
      <c r="C6" s="167" t="s">
        <v>2155</v>
      </c>
      <c r="D6" s="167" t="s">
        <v>2156</v>
      </c>
      <c r="E6" s="168" t="s">
        <v>1696</v>
      </c>
      <c r="F6" s="167" t="s">
        <v>1733</v>
      </c>
      <c r="G6" s="167" t="s">
        <v>1646</v>
      </c>
      <c r="H6" s="167" t="s">
        <v>1647</v>
      </c>
      <c r="K6" s="162"/>
      <c r="L6" s="162"/>
      <c r="M6" s="162"/>
    </row>
    <row r="7" spans="1:13" ht="12.75" thickBot="1">
      <c r="A7" s="137" t="s">
        <v>1709</v>
      </c>
      <c r="B7" s="169" t="s">
        <v>1644</v>
      </c>
      <c r="C7" s="113" t="s">
        <v>2169</v>
      </c>
      <c r="D7" s="113" t="s">
        <v>1696</v>
      </c>
      <c r="E7" s="170" t="s">
        <v>2159</v>
      </c>
      <c r="F7" s="113" t="s">
        <v>2160</v>
      </c>
      <c r="G7" s="113" t="s">
        <v>1651</v>
      </c>
      <c r="H7" s="113" t="s">
        <v>1840</v>
      </c>
    </row>
    <row r="8" spans="1:13" ht="12.75" thickTop="1">
      <c r="A8" s="139" t="s">
        <v>1608</v>
      </c>
      <c r="B8" s="171"/>
      <c r="C8" s="172" t="str">
        <f>IF(OR(Calculations!$J$1=7,Calculations!$J$1=8,Calculations!$J$1=13,Calculations!$H$13=2,Gradation!M10=""),"",IF(OR(Gradation!M10&lt;Calculations!AY16,Gradation!M10&gt;Calculations!AZ16),CONCATENATE("* ",ROUND(Gradation!M10,0)),Gradation!M10))</f>
        <v/>
      </c>
      <c r="D8" s="172" t="str">
        <f>IF(OR(Calculations!$J$1=7,Calculations!$J$1=8,Calculations!$J$1=13,Calculations!$H$13=2),"",IF(D27="","",ROUND(D27,0)))</f>
        <v/>
      </c>
      <c r="E8" s="172" t="str">
        <f>IF(OR(Calculations!$J$1=7,Calculations!$J$1=8,Calculations!$J$1=13,Calculations!$H$13=2),"",IF('Super Verify'!$B$5=4,'Super Verify'!D33,IF('Super Verify'!$B$12=4,'Super Verify'!G33,"")))</f>
        <v/>
      </c>
      <c r="F8" s="172" t="str">
        <f t="shared" ref="F8:F19" si="0">IF(C8="","",IF(LEFT(C8,1)="*",AVERAGE(VALUE(MID(C8,3,LEN(C8))),D8,E8),AVERAGE(C8:E8)))</f>
        <v/>
      </c>
      <c r="G8" s="172" t="str">
        <f t="shared" ref="G8:G21" si="1">IF(F8="","",ABS(B8-F8))</f>
        <v/>
      </c>
      <c r="H8" s="173" t="str">
        <f>IF(G8="","",IF(OR(ROUND(ABS(G8),1)&lt;=13,LEFT(C8,1)&lt;&gt;"*"),100,IF(ROUND(ABS(G8),1)&lt;=14,98,IF(ROUND(ABS(G8),1)&lt;=16,95,IF(ROUND(ABS(G8),1)&lt;=20,90,IF(ROUND(ABS(G8),1)&lt;=23,85,75))))))</f>
        <v/>
      </c>
    </row>
    <row r="9" spans="1:13">
      <c r="A9" s="139" t="s">
        <v>1609</v>
      </c>
      <c r="B9" s="171"/>
      <c r="C9" s="172" t="str">
        <f>IF(OR(Calculations!$J$1=7,Calculations!$J$1=8,Calculations!$J$1=13,Calculations!$H$13=2,Gradation!M11=""),"",IF(OR(Gradation!M11&lt;Calculations!AY17,Gradation!M11&gt;Calculations!AZ17),CONCATENATE("* ",ROUND(Gradation!M11,0)),Gradation!M11))</f>
        <v/>
      </c>
      <c r="D9" s="172" t="str">
        <f>IF(OR(Calculations!$J$1=7,Calculations!$J$1=8,Calculations!$J$1=13,Calculations!$H$13=2),"",IF(D28="","",ROUND(D28,0)))</f>
        <v/>
      </c>
      <c r="E9" s="172" t="str">
        <f>IF(OR(Calculations!$J$1=7,Calculations!$J$1=8,Calculations!$J$1=13,Calculations!$H$13=2),"",IF('Super Verify'!$B$5=4,'Super Verify'!D34,IF('Super Verify'!$B$12=4,'Super Verify'!G34,"")))</f>
        <v/>
      </c>
      <c r="F9" s="172" t="str">
        <f t="shared" si="0"/>
        <v/>
      </c>
      <c r="G9" s="172" t="str">
        <f t="shared" si="1"/>
        <v/>
      </c>
      <c r="H9" s="173" t="str">
        <f>IF(G9="","",IF(OR(ROUND(ABS(G9),1)&lt;=13,LEFT(C9,1)&lt;&gt;"*"),100,IF(ROUND(ABS(G9),1)&lt;=14,98,IF(ROUND(ABS(G9),1)&lt;=16,95,IF(ROUND(ABS(G9),1)&lt;=20,90,IF(ROUND(ABS(G9),1)&lt;=23,85,75))))))</f>
        <v/>
      </c>
    </row>
    <row r="10" spans="1:13">
      <c r="A10" s="139" t="s">
        <v>1610</v>
      </c>
      <c r="B10" s="171"/>
      <c r="C10" s="172" t="str">
        <f>IF(OR(Calculations!$J$1=7,Calculations!$J$1=8,Calculations!$J$1=13,Calculations!$H$13=2,Gradation!M12=""),"",IF(OR(Gradation!M12&lt;Calculations!AY18,Gradation!M12&gt;Calculations!AZ18),CONCATENATE("* ",ROUND(Gradation!M12,0)),Gradation!M12))</f>
        <v/>
      </c>
      <c r="D10" s="172" t="str">
        <f>IF(OR(Calculations!$J$1=7,Calculations!$J$1=8,Calculations!$J$1=13,Calculations!$H$13=2),"",IF(D29="","",ROUND(D29,0)))</f>
        <v/>
      </c>
      <c r="E10" s="172" t="str">
        <f>IF(OR(Calculations!$J$1=7,Calculations!$J$1=8,Calculations!$J$1=13,Calculations!$H$13=2),"",IF('Super Verify'!$B$5=4,'Super Verify'!D35,IF('Super Verify'!$B$12=4,'Super Verify'!G35,"")))</f>
        <v/>
      </c>
      <c r="F10" s="172" t="str">
        <f t="shared" si="0"/>
        <v/>
      </c>
      <c r="G10" s="172" t="str">
        <f t="shared" si="1"/>
        <v/>
      </c>
      <c r="H10" s="173" t="str">
        <f>IF(G10="","",IF(OR(ROUND(ABS(G10),1)&lt;=9,LEFT(C10,1)&lt;&gt;"*"),100,IF(ROUND(ABS(G10),1)&lt;=10,98,IF(ROUND(ABS(G10),1)&lt;=12,95,IF(ROUND(ABS(G10),1)&lt;=14,90,IF(ROUND(ABS(G10),1)&lt;=16,85,75))))))</f>
        <v/>
      </c>
    </row>
    <row r="11" spans="1:13">
      <c r="A11" s="139" t="s">
        <v>1611</v>
      </c>
      <c r="B11" s="452"/>
      <c r="C11" s="172" t="str">
        <f>IF(OR(Calculations!$J$1=7,Calculations!$J$1=8,Calculations!$J$1=13,Calculations!$H$13=2,Gradation!M13=""),"",IF(OR(Gradation!M13&lt;Calculations!AY19,Gradation!M13&gt;Calculations!AZ19),CONCATENATE("* ",ROUND(Gradation!M13,0)),Gradation!M13))</f>
        <v/>
      </c>
      <c r="D11" s="172" t="str">
        <f>IF(OR(Calculations!$J$1=7,Calculations!$J$1=8,Calculations!$J$1=13,Calculations!$H$13=2),"",IF(D30="","",ROUND(D30,0)))</f>
        <v/>
      </c>
      <c r="E11" s="172" t="str">
        <f>IF(OR(Calculations!$J$1=7,Calculations!$J$1=8,Calculations!$J$1=13,Calculations!$H$13=2),"",IF('Super Verify'!$B$5=4,'Super Verify'!D36,IF('Super Verify'!$B$12=4,'Super Verify'!G36,"")))</f>
        <v/>
      </c>
      <c r="F11" s="172" t="str">
        <f t="shared" si="0"/>
        <v/>
      </c>
      <c r="G11" s="172" t="str">
        <f t="shared" si="1"/>
        <v/>
      </c>
      <c r="H11" s="173" t="str">
        <f>IF(G11="","",IF(OR(ROUND(ABS(G11),1)&lt;=9,LEFT(C11,1)&lt;&gt;"*"),100,IF(ROUND(ABS(G11),1)&lt;=10,98,IF(ROUND(ABS(G11),1)&lt;=12,95,IF(ROUND(ABS(G11),1)&lt;=14,90,IF(ROUND(ABS(G11),1)&lt;=16,85,75))))))</f>
        <v/>
      </c>
    </row>
    <row r="12" spans="1:13">
      <c r="A12" s="139" t="s">
        <v>1974</v>
      </c>
      <c r="B12" s="171"/>
      <c r="C12" s="172" t="str">
        <f>IF(OR(Calculations!$J$1=7,Calculations!$J$1=8,Calculations!$J$1=13,Calculations!$H$13=2,Gradation!M14=""),"",IF(OR(Gradation!M14&lt;Calculations!AY20,Gradation!M14&gt;Calculations!AZ20),CONCATENATE("* ",ROUND(Gradation!M14,0)),Gradation!M14))</f>
        <v/>
      </c>
      <c r="D12" s="172" t="str">
        <f>IF(OR(Calculations!$J$1=7,Calculations!$J$1=8,Calculations!$J$1=13,Calculations!$H$13=2),"",IF(D31="","",ROUND(D31,0)))</f>
        <v/>
      </c>
      <c r="E12" s="172" t="str">
        <f>IF(OR(Calculations!$J$1=7,Calculations!$J$1=8,Calculations!$J$1=13,Calculations!$H$13=2),"",IF('Super Verify'!$B$5=4,'Super Verify'!D37,IF('Super Verify'!$B$12=4,'Super Verify'!G37,"")))</f>
        <v/>
      </c>
      <c r="F12" s="172" t="str">
        <f t="shared" si="0"/>
        <v/>
      </c>
      <c r="G12" s="172" t="str">
        <f t="shared" si="1"/>
        <v/>
      </c>
      <c r="H12" s="173" t="str">
        <f>IF(G12="","",IF(OR(ROUND(ABS(G12),1)&lt;=9,LEFT(C12,1)&lt;&gt;"*"),100,IF(ROUND(ABS(G12),1)&lt;=10,98,IF(ROUND(ABS(G12),1)&lt;=12,95,IF(ROUND(ABS(G12),1)&lt;=14,90,IF(ROUND(ABS(G12),1)&lt;=16,85,75))))))</f>
        <v/>
      </c>
    </row>
    <row r="13" spans="1:13">
      <c r="A13" s="139" t="s">
        <v>1615</v>
      </c>
      <c r="B13" s="171"/>
      <c r="C13" s="172" t="str">
        <f>IF(OR(Calculations!$J$1=7,Calculations!$J$1=8,Calculations!$J$1=13,Calculations!$H$13=2,Gradation!M15=""),"",IF(OR(Gradation!M15&lt;Calculations!AY21,Gradation!M15&gt;Calculations!AZ21),CONCATENATE("* ",ROUND(Gradation!M15,0)),Gradation!M15))</f>
        <v/>
      </c>
      <c r="D13" s="172" t="str">
        <f>IF(OR(Calculations!$J$1=7,Calculations!$J$1=8,Calculations!$J$1=13,Calculations!$H$13=2),"",IF(D32="","",ROUND(D32,0)))</f>
        <v/>
      </c>
      <c r="E13" s="172" t="str">
        <f>IF(OR(Calculations!$J$1=7,Calculations!$J$1=8,Calculations!$J$1=13,Calculations!$H$13=2),"",IF('Super Verify'!$B$5=4,'Super Verify'!D38,IF('Super Verify'!$B$12=4,'Super Verify'!G38,"")))</f>
        <v/>
      </c>
      <c r="F13" s="172" t="str">
        <f t="shared" si="0"/>
        <v/>
      </c>
      <c r="G13" s="172" t="str">
        <f t="shared" si="1"/>
        <v/>
      </c>
      <c r="H13" s="173" t="str">
        <f>IF(G13="","",IF(OR(ROUND(ABS(G13),1)&lt;=8,LEFT(C13,1)&lt;&gt;"*"),100,IF(ROUND(ABS(G13),1)&lt;=9,98,IF(ROUND(ABS(G13),1)&lt;=10,95,IF(ROUND(ABS(G13),1)&lt;=12,90,IF(ROUND(ABS(G13),1)&lt;=14,85,75))))))</f>
        <v/>
      </c>
    </row>
    <row r="14" spans="1:13">
      <c r="A14" s="139" t="s">
        <v>1977</v>
      </c>
      <c r="B14" s="171"/>
      <c r="C14" s="172" t="str">
        <f>IF(OR(Calculations!$J$1=7,Calculations!$J$1=8,Calculations!$J$1=13,Calculations!$H$13=2,Gradation!M17=""),"",IF(OR(Gradation!M17&lt;Calculations!AY23,Gradation!M17&gt;Calculations!AZ23),CONCATENATE("* ",ROUND(Gradation!M17,0)),Gradation!M17))</f>
        <v/>
      </c>
      <c r="D14" s="172" t="str">
        <f>IF(OR(Calculations!$J$1=7,Calculations!$J$1=8,Calculations!$J$1=13,Calculations!$H$13=2),"",IF(D33="","",ROUND(D33,0)))</f>
        <v/>
      </c>
      <c r="E14" s="172" t="str">
        <f>IF(OR(Calculations!$J$1=7,Calculations!$J$1=8,Calculations!$J$1=13,Calculations!$H$13=2),"",IF('Super Verify'!$B$5=4,'Super Verify'!D40,IF('Super Verify'!$B$12=4,'Super Verify'!G40,"")))</f>
        <v/>
      </c>
      <c r="F14" s="172" t="str">
        <f t="shared" si="0"/>
        <v/>
      </c>
      <c r="G14" s="172" t="str">
        <f t="shared" si="1"/>
        <v/>
      </c>
      <c r="H14" s="173" t="str">
        <f>IF(G14="","",IF(OR(ROUND(ABS(G14),1)&lt;=8,LEFT(C14,1)&lt;&gt;"*"),100,IF(ROUND(ABS(G14),1)&lt;=9,98,IF(ROUND(ABS(G14),1)&lt;=10,95,IF(ROUND(ABS(G14),1)&lt;=12,90,IF(ROUND(ABS(G14),1)&lt;=14,85,75))))))</f>
        <v/>
      </c>
    </row>
    <row r="15" spans="1:13">
      <c r="A15" s="139" t="s">
        <v>1841</v>
      </c>
      <c r="B15" s="171"/>
      <c r="C15" s="172" t="str">
        <f>IF(OR(Calculations!$J$1=7,Calculations!$J$1=8,Calculations!$J$1=13,Calculations!$H$13=2,Gradation!M18=""),"",IF(OR(Gradation!M18&lt;Calculations!AY24,Gradation!M18&gt;Calculations!AZ24),CONCATENATE("* ",ROUND(Gradation!M18,0)),Gradation!M18))</f>
        <v/>
      </c>
      <c r="D15" s="172" t="str">
        <f>IF(OR(Calculations!$J$1=7,Calculations!$J$1=8,Calculations!$J$1=13,Calculations!$H$13=2),"",IF(D34="","",ROUND(D34,0)))</f>
        <v/>
      </c>
      <c r="E15" s="172" t="str">
        <f>IF(OR(Calculations!$J$1=7,Calculations!$J$1=8,Calculations!$J$1=13,Calculations!$H$13=2),"",IF('Super Verify'!$B$5=4,'Super Verify'!D41,IF('Super Verify'!$B$12=4,'Super Verify'!G41,"")))</f>
        <v/>
      </c>
      <c r="F15" s="172" t="str">
        <f t="shared" si="0"/>
        <v/>
      </c>
      <c r="G15" s="172" t="str">
        <f t="shared" si="1"/>
        <v/>
      </c>
      <c r="H15" s="173" t="str">
        <f>IF(G15="","",IF(OR(ROUND(ABS(G15),1)&lt;=8,LEFT(C15,1)&lt;&gt;"*"),100,IF(ROUND(ABS(G15),1)&lt;=9,98,IF(ROUND(ABS(G15),1)&lt;=10,95,IF(ROUND(ABS(G15),1)&lt;=12,90,IF(ROUND(ABS(G15),1)&lt;=14,85,75))))))</f>
        <v/>
      </c>
    </row>
    <row r="16" spans="1:13">
      <c r="A16" s="139" t="s">
        <v>1842</v>
      </c>
      <c r="B16" s="171"/>
      <c r="C16" s="172" t="str">
        <f>IF(OR(Calculations!$J$1=7,Calculations!$J$1=8,Calculations!$J$1=13,Calculations!$H$13=2,Gradation!M19=""),"",IF(OR(Gradation!M19&lt;Calculations!AY25,Gradation!M19&gt;Calculations!AZ25),CONCATENATE("* ",ROUND(Gradation!M19,0)),Gradation!M19))</f>
        <v/>
      </c>
      <c r="D16" s="172" t="str">
        <f>IF(OR(Calculations!$J$1=7,Calculations!$J$1=8,Calculations!$J$1=13,Calculations!$H$13=2),"",IF(D35="","",ROUND(D35,0)))</f>
        <v/>
      </c>
      <c r="E16" s="172" t="str">
        <f>IF(OR(Calculations!$J$1=7,Calculations!$J$1=8,Calculations!$J$1=13,Calculations!$H$13=2),"",IF('Super Verify'!$B$5=4,'Super Verify'!D42,IF('Super Verify'!$B$12=4,'Super Verify'!G42,"")))</f>
        <v/>
      </c>
      <c r="F16" s="172" t="str">
        <f t="shared" si="0"/>
        <v/>
      </c>
      <c r="G16" s="172" t="str">
        <f t="shared" si="1"/>
        <v/>
      </c>
      <c r="H16" s="173" t="str">
        <f>IF(G16="","",IF(OR(ROUND(ABS(G16),1)&lt;=8,LEFT(C16,1)&lt;&gt;"*"),100,IF(ROUND(ABS(G16),1)&lt;=9,98,IF(ROUND(ABS(G16),1)&lt;=10,95,IF(ROUND(ABS(G16),1)&lt;=12,90,IF(ROUND(ABS(G16),1)&lt;=14,85,75))))))</f>
        <v/>
      </c>
    </row>
    <row r="17" spans="1:11">
      <c r="A17" s="139" t="s">
        <v>1843</v>
      </c>
      <c r="B17" s="171"/>
      <c r="C17" s="172" t="str">
        <f>IF(OR(Calculations!$J$1=7,Calculations!$J$1=8,Calculations!$J$1=13,Calculations!$H$13=2,Gradation!M20=""),"",IF(OR(Gradation!M20&lt;Calculations!AY26,Gradation!M20&gt;Calculations!AZ26),CONCATENATE("* ",ROUND(Gradation!M20,0)),Gradation!M20))</f>
        <v/>
      </c>
      <c r="D17" s="172" t="str">
        <f>IF(OR(Calculations!$J$1=7,Calculations!$J$1=8,Calculations!$J$1=13,Calculations!$H$13=2),"",IF(D36="","",ROUND(D36,0)))</f>
        <v/>
      </c>
      <c r="E17" s="172" t="str">
        <f>IF(OR(Calculations!$J$1=7,Calculations!$J$1=8,Calculations!$J$1=13,Calculations!$H$13=2),"",IF('Super Verify'!$B$5=4,'Super Verify'!D43,IF('Super Verify'!$B$12=4,'Super Verify'!G43,"")))</f>
        <v/>
      </c>
      <c r="F17" s="172" t="str">
        <f>IF(C17="","",IF(LEFT(C17,1)="*",AVERAGE(VALUE(MID(C17,3,LEN(C17))),D17,E17),AVERAGE(C17:E17)))</f>
        <v/>
      </c>
      <c r="G17" s="172" t="str">
        <f t="shared" si="1"/>
        <v/>
      </c>
      <c r="H17" s="173" t="str">
        <f>IF(G17="","",IF(OR(ROUND(ABS(G17),1)&lt;=8,LEFT(C17,1)&lt;&gt;"*"),100,IF(ROUND(ABS(G17),1)&lt;=9,98,IF(ROUND(ABS(G17),1)&lt;=10,95,IF(ROUND(ABS(G17),1)&lt;=12,90,IF(ROUND(ABS(G17),1)&lt;=14,85,75))))))</f>
        <v/>
      </c>
    </row>
    <row r="18" spans="1:11">
      <c r="A18" s="139" t="s">
        <v>1844</v>
      </c>
      <c r="B18" s="171"/>
      <c r="C18" s="172" t="str">
        <f>IF(OR(Calculations!$J$1=7,Calculations!$J$1=8,Calculations!$J$1=13,Calculations!$H$13=2,Gradation!M21=""),"",IF(OR(Gradation!M21&lt;Calculations!AY27,Gradation!M21&gt;Calculations!AZ27),CONCATENATE("* ",ROUND(Gradation!M21,0)),Gradation!M21))</f>
        <v/>
      </c>
      <c r="D18" s="172" t="str">
        <f>IF(OR(Calculations!$J$1=7,Calculations!$J$1=8,Calculations!$J$1=13,Calculations!$H$13=2),"",IF(D37="","",ROUND(D37,0)))</f>
        <v/>
      </c>
      <c r="E18" s="172" t="str">
        <f>IF(OR(Calculations!$J$1=7,Calculations!$J$1=8,Calculations!$J$1=13,Calculations!$H$13=2),"",IF('Super Verify'!$B$5=4,'Super Verify'!D44,IF('Super Verify'!$B$12=4,'Super Verify'!G44,"")))</f>
        <v/>
      </c>
      <c r="F18" s="172" t="str">
        <f>IF(C18="","",IF(LEFT(C18,1)="*",AVERAGE(VALUE(MID(C18,3,LEN(C18))),D18,E18),AVERAGE(C18:E18)))</f>
        <v/>
      </c>
      <c r="G18" s="172" t="str">
        <f t="shared" si="1"/>
        <v/>
      </c>
      <c r="H18" s="173" t="str">
        <f>IF(G18="","",IF(OR(ROUND(ABS(G18),1)&lt;=6,LEFT(C18,1)&lt;&gt;"*"),100,IF(ROUND(ABS(G18),1)&lt;=7,98,IF(ROUND(ABS(G18),1)&lt;=8,95,IF(ROUND(ABS(G18),1)&lt;=9,90,IF(ROUND(ABS(G18),1)&lt;=10,85,75))))))</f>
        <v/>
      </c>
      <c r="K18" s="111"/>
    </row>
    <row r="19" spans="1:11">
      <c r="A19" s="139" t="s">
        <v>1845</v>
      </c>
      <c r="B19" s="171"/>
      <c r="C19" s="172" t="str">
        <f>IF(OR(Calculations!$J$1=7,Calculations!$J$1=8,Calculations!$J$1=13,Calculations!$H$13=2,Gradation!M22=""),"",IF(OR(Gradation!M22&lt;Calculations!AY28,Gradation!M22&gt;Calculations!AZ28),CONCATENATE("* ",ROUND(Gradation!M22,0)),Gradation!M22))</f>
        <v/>
      </c>
      <c r="D19" s="172" t="str">
        <f>IF(OR(Calculations!$J$1=7,Calculations!$J$1=8,Calculations!$J$1=13,Calculations!$H$13=2),"",IF(D38="","",ROUND(D38,0)))</f>
        <v/>
      </c>
      <c r="E19" s="172" t="str">
        <f>IF(OR(Calculations!$J$1=7,Calculations!$J$1=8,Calculations!$J$1=13,Calculations!$H$13=2),"",IF('Super Verify'!$B$5=4,'Super Verify'!D45,IF('Super Verify'!$B$12=4,'Super Verify'!G45,"")))</f>
        <v/>
      </c>
      <c r="F19" s="172" t="str">
        <f t="shared" si="0"/>
        <v/>
      </c>
      <c r="G19" s="172" t="str">
        <f t="shared" si="1"/>
        <v/>
      </c>
      <c r="H19" s="173" t="str">
        <f>IF(G19="","",IF(OR(ROUND(ABS(G19),1)&lt;=3,LEFT(C19,1)&lt;&gt;"*"),100,IF(ROUND(ABS(G19),1)&lt;=4,95,IF(ROUND(ABS(G19),1)&lt;=5,90,75))))</f>
        <v/>
      </c>
    </row>
    <row r="20" spans="1:11">
      <c r="A20" s="139" t="s">
        <v>863</v>
      </c>
      <c r="B20" s="247"/>
      <c r="C20" s="172" t="str">
        <f>IF(OR(Calculations!$J$1=7,Calculations!$J$1=8,Calculations!$J$1=13,Calculations!$H$13=2,Gradation!M23=""),"",IF(OR(Gradation!M23&lt;Calculations!AY29,Gradation!M23&gt;Calculations!AZ29),CONCATENATE("* ",ROUND(Gradation!M23,0)),Gradation!M23))</f>
        <v/>
      </c>
      <c r="D20" s="172" t="str">
        <f>IF(OR(Calculations!$J$1=7,Calculations!$J$1=8,Calculations!$J$1=13,Calculations!$H$13=2),"",IF(D39="","",ROUND(D39,0)))</f>
        <v/>
      </c>
      <c r="E20" s="172" t="str">
        <f>IF(OR(Calculations!$J$1=7,Calculations!$J$1=8,Calculations!$J$1=13,Calculations!$H$13=2),"",IF('Super Verify'!$B$5=4,'Super Verify'!D46,IF('Super Verify'!$B$12=4,'Super Verify'!G46,"")))</f>
        <v/>
      </c>
      <c r="F20" s="174" t="str">
        <f>IF(C20="","",Calculations!Q127)</f>
        <v/>
      </c>
      <c r="G20" s="174" t="str">
        <f t="shared" si="1"/>
        <v/>
      </c>
      <c r="H20" s="173" t="str">
        <f>IF(G20="","",IF(OR(ROUND(ABS(G20),1)&lt;=2,LEFT(C20,1)&lt;&gt;"*"),100,IF(ROUND(ABS(G20),1)&lt;=2.5,98,IF(ROUND(ABS(G20),1)&lt;=3,95,IF(ROUND(ABS(G20),1)&lt;=3.5,85,75)))))</f>
        <v/>
      </c>
    </row>
    <row r="21" spans="1:11">
      <c r="A21" s="139" t="s">
        <v>1650</v>
      </c>
      <c r="B21" s="247"/>
      <c r="C21" s="174" t="str">
        <f>IF(AND(Calculations!H13=1,Gradation!M33&lt;&gt;""),Gradation!M33,IF(AND(Calculations!H13=1,Gradation!M33=""),Gradation!M34,""))</f>
        <v/>
      </c>
      <c r="D21" s="174" t="str">
        <f>IF(AND(Calculations!H13=1,I32&lt;&gt;""),I32,IF(AND(Calculations!H13=1,I32=""),I33,""))</f>
        <v/>
      </c>
      <c r="E21" s="174" t="str">
        <f>IF(Calculations!H13=2,"",IF(AND('Super Verify'!B5=4,'Super Verify'!J27&lt;&gt;""),'Super Verify'!J27,IF(AND('Super Verify'!B5=4,'Super Verify'!J27=""),'Super Verify'!J28,IF(AND('Super Verify'!B12=4,'Super Verify'!M27&lt;&gt;""),'Super Verify'!M27,IF(AND('Super Verify'!B12=4,'Super Verify'!M27=""),'Super Verify'!M28,"")))))</f>
        <v/>
      </c>
      <c r="F21" s="174" t="str">
        <f>IF(C21="","",(AVERAGE(C21:E21)))</f>
        <v/>
      </c>
      <c r="G21" s="174" t="str">
        <f t="shared" si="1"/>
        <v/>
      </c>
      <c r="H21" s="173" t="str">
        <f>IF(G21="","",IF(ROUND(ABS(G21),1)&lt;=0.5,100,IF(ROUND(ABS(G21),1)=0.6,98,IF(ROUND(ABS(G21),1)=0.7,90,IF(ROUND(ABS(G21),1)=0.8,85,75)))))</f>
        <v/>
      </c>
    </row>
    <row r="22" spans="1:11" ht="12.75" thickBot="1">
      <c r="A22" s="155" t="s">
        <v>2161</v>
      </c>
      <c r="B22" s="512" t="str">
        <f>IF(OR(Calculations!J1=7,Calculations!J1=8,Calculations!J1=13),Calculations!M121,"")</f>
        <v/>
      </c>
      <c r="C22" s="176" t="str">
        <f>Gradation!M35</f>
        <v/>
      </c>
      <c r="D22" s="176" t="str">
        <f>IF(C38="","",IF(OR(Calculations!J1=7,Calculations!J1=8,Calculations!J1=13),SUM(C33:C38)/100,""))</f>
        <v/>
      </c>
      <c r="E22" s="176" t="str">
        <f>IF(B22="","",IF('Super Verify'!B5=4,'Super Verify'!D49,IF('Super Verify'!B12=4,'Super Verify'!G49,"")))</f>
        <v/>
      </c>
      <c r="F22" s="176" t="str">
        <f>IF(AND(C22="",D22="",E22=""),"",(AVERAGE(C22:E22)))</f>
        <v/>
      </c>
      <c r="G22" s="176" t="str">
        <f>IF(OR(B22="",F22=""),"",ABS(F22-B22))</f>
        <v/>
      </c>
      <c r="H22" s="177" t="str">
        <f>IF(G22="","",IF(ROUND(ABS(G22),2)&lt;=0.3,100,IF(ROUND(ABS(G22),2)&lt;=0.34,98,IF(ROUND(ABS(G22),2)&lt;=0.39,95,IF(ROUND(ABS(G22),2)&lt;=0.46,90,IF(ROUND(ABS(G22),2)&lt;=0.55,85,75))))))</f>
        <v/>
      </c>
    </row>
    <row r="23" spans="1:11" ht="13.5" thickTop="1" thickBot="1"/>
    <row r="24" spans="1:11" ht="13.5" thickTop="1" thickBot="1">
      <c r="A24" s="133"/>
      <c r="B24" s="127" t="s">
        <v>2162</v>
      </c>
      <c r="C24" s="128"/>
      <c r="D24" s="134"/>
      <c r="G24" s="102" t="s">
        <v>2163</v>
      </c>
      <c r="H24" s="103"/>
      <c r="I24" s="104"/>
    </row>
    <row r="25" spans="1:11" ht="12.75" thickTop="1">
      <c r="A25" s="135" t="s">
        <v>1601</v>
      </c>
      <c r="B25" s="136" t="s">
        <v>2144</v>
      </c>
      <c r="C25" s="135" t="s">
        <v>2145</v>
      </c>
      <c r="D25" s="136" t="s">
        <v>2145</v>
      </c>
      <c r="G25" s="143"/>
      <c r="H25" s="144"/>
      <c r="I25" s="145"/>
    </row>
    <row r="26" spans="1:11" ht="12.75" thickBot="1">
      <c r="A26" s="137" t="s">
        <v>1709</v>
      </c>
      <c r="B26" s="138" t="s">
        <v>2146</v>
      </c>
      <c r="C26" s="137" t="s">
        <v>2146</v>
      </c>
      <c r="D26" s="138" t="s">
        <v>2147</v>
      </c>
      <c r="G26" s="146"/>
      <c r="I26" s="147"/>
    </row>
    <row r="27" spans="1:11" ht="12.75" thickTop="1">
      <c r="A27" s="139" t="s">
        <v>1608</v>
      </c>
      <c r="B27" s="142"/>
      <c r="C27" s="140" t="str">
        <f>IF(B27="","",((B27/B41)*100))</f>
        <v/>
      </c>
      <c r="D27" s="141" t="str">
        <f t="shared" ref="D27:D39" si="2">IF(B27="","",(100-C27))</f>
        <v/>
      </c>
      <c r="G27" s="148"/>
      <c r="H27" s="149"/>
      <c r="I27" s="567"/>
    </row>
    <row r="28" spans="1:11">
      <c r="A28" s="139" t="s">
        <v>1609</v>
      </c>
      <c r="B28" s="142"/>
      <c r="C28" s="140" t="str">
        <f>IF(B28="","",(B28/B41)*(100))</f>
        <v/>
      </c>
      <c r="D28" s="141" t="str">
        <f t="shared" si="2"/>
        <v/>
      </c>
      <c r="G28" s="148"/>
      <c r="H28" s="149"/>
      <c r="I28" s="567"/>
    </row>
    <row r="29" spans="1:11">
      <c r="A29" s="139" t="s">
        <v>1610</v>
      </c>
      <c r="B29" s="142"/>
      <c r="C29" s="140" t="str">
        <f>IF(B29="","",(B29/B41)*(100))</f>
        <v/>
      </c>
      <c r="D29" s="141" t="str">
        <f t="shared" si="2"/>
        <v/>
      </c>
      <c r="G29" s="150"/>
      <c r="H29" s="149"/>
      <c r="I29" s="568"/>
    </row>
    <row r="30" spans="1:11">
      <c r="A30" s="139" t="s">
        <v>1611</v>
      </c>
      <c r="B30" s="142"/>
      <c r="C30" s="140" t="str">
        <f>IF(B30="","",(B30/B41)*(100))</f>
        <v/>
      </c>
      <c r="D30" s="141" t="str">
        <f t="shared" si="2"/>
        <v/>
      </c>
      <c r="G30" s="150"/>
      <c r="H30" s="149"/>
      <c r="I30" s="568"/>
    </row>
    <row r="31" spans="1:11">
      <c r="A31" s="139" t="s">
        <v>1974</v>
      </c>
      <c r="B31" s="142"/>
      <c r="C31" s="140" t="str">
        <f>IF(B31="","",(B31/B41)*(100))</f>
        <v/>
      </c>
      <c r="D31" s="141" t="str">
        <f t="shared" si="2"/>
        <v/>
      </c>
      <c r="G31" s="150" t="s">
        <v>2140</v>
      </c>
      <c r="H31" s="149"/>
      <c r="I31" s="557"/>
    </row>
    <row r="32" spans="1:11">
      <c r="A32" s="139" t="s">
        <v>1615</v>
      </c>
      <c r="B32" s="142"/>
      <c r="C32" s="140" t="str">
        <f>IF(B32="","",(B32/B41)*(100))</f>
        <v/>
      </c>
      <c r="D32" s="141" t="str">
        <f t="shared" si="2"/>
        <v/>
      </c>
      <c r="G32" s="148" t="s">
        <v>2141</v>
      </c>
      <c r="H32" s="149"/>
      <c r="I32" s="494" t="str">
        <f>IF(I31="","",I31-'Accept. Grad. # 4'!G46)</f>
        <v/>
      </c>
    </row>
    <row r="33" spans="1:9" ht="12.75" thickBot="1">
      <c r="A33" s="139" t="s">
        <v>1977</v>
      </c>
      <c r="B33" s="142"/>
      <c r="C33" s="140" t="str">
        <f>IF(B33="","",(B33/B41)*(100))</f>
        <v/>
      </c>
      <c r="D33" s="141" t="str">
        <f t="shared" si="2"/>
        <v/>
      </c>
      <c r="G33" s="152" t="s">
        <v>2142</v>
      </c>
      <c r="H33" s="153"/>
      <c r="I33" s="154" t="str">
        <f>IF(I42="","",(1.03*(Superpave!J8-I42))/(I42*(Superpave!J8-1.03))*100)</f>
        <v/>
      </c>
    </row>
    <row r="34" spans="1:9" ht="14.25" thickTop="1" thickBot="1">
      <c r="A34" s="139" t="s">
        <v>1841</v>
      </c>
      <c r="B34" s="142"/>
      <c r="C34" s="140" t="str">
        <f>IF(B34="","",(B34/B41)*(100))</f>
        <v/>
      </c>
      <c r="D34" s="141" t="str">
        <f t="shared" si="2"/>
        <v/>
      </c>
      <c r="F34" s="260"/>
      <c r="G34" s="260"/>
      <c r="H34" s="260"/>
      <c r="I34" s="260"/>
    </row>
    <row r="35" spans="1:9" ht="13.5" thickTop="1" thickBot="1">
      <c r="A35" s="139" t="s">
        <v>1842</v>
      </c>
      <c r="B35" s="142"/>
      <c r="C35" s="140" t="str">
        <f>IF(B35="","",(B35/B41)*(100))</f>
        <v/>
      </c>
      <c r="D35" s="141" t="str">
        <f t="shared" si="2"/>
        <v/>
      </c>
      <c r="F35" s="129"/>
      <c r="G35" s="130"/>
      <c r="H35" s="131" t="s">
        <v>2164</v>
      </c>
      <c r="I35" s="132" t="s">
        <v>2165</v>
      </c>
    </row>
    <row r="36" spans="1:9" ht="12.75" thickTop="1">
      <c r="A36" s="139" t="s">
        <v>1843</v>
      </c>
      <c r="B36" s="142"/>
      <c r="C36" s="140" t="str">
        <f>IF(B36="","",(B36/B41)*(100))</f>
        <v/>
      </c>
      <c r="D36" s="141" t="str">
        <f t="shared" si="2"/>
        <v/>
      </c>
      <c r="F36" s="109" t="s">
        <v>1751</v>
      </c>
      <c r="G36" s="114"/>
      <c r="H36" s="529"/>
      <c r="I36" s="558"/>
    </row>
    <row r="37" spans="1:9">
      <c r="A37" s="139" t="s">
        <v>1844</v>
      </c>
      <c r="B37" s="142"/>
      <c r="C37" s="140" t="str">
        <f>IF(B37="","",(B37/B41)*(100))</f>
        <v/>
      </c>
      <c r="D37" s="141" t="str">
        <f t="shared" si="2"/>
        <v/>
      </c>
      <c r="F37" s="109" t="s">
        <v>1883</v>
      </c>
      <c r="G37" s="115"/>
      <c r="H37" s="530"/>
      <c r="I37" s="559"/>
    </row>
    <row r="38" spans="1:9">
      <c r="A38" s="139" t="s">
        <v>1845</v>
      </c>
      <c r="B38" s="142"/>
      <c r="C38" s="140" t="str">
        <f>IF(B38="","",(B38/B41)*(100))</f>
        <v/>
      </c>
      <c r="D38" s="141" t="str">
        <f t="shared" si="2"/>
        <v/>
      </c>
      <c r="F38" s="116" t="s">
        <v>1884</v>
      </c>
      <c r="G38" s="117"/>
      <c r="H38" s="118" t="str">
        <f>IF(H37="","",H36+H37)</f>
        <v/>
      </c>
      <c r="I38" s="509" t="str">
        <f>IF(I37="","",I36+I37)</f>
        <v/>
      </c>
    </row>
    <row r="39" spans="1:9">
      <c r="A39" s="139" t="s">
        <v>863</v>
      </c>
      <c r="B39" s="142"/>
      <c r="C39" s="140" t="str">
        <f>IF(B39="","",(B39/B41)*(100))</f>
        <v/>
      </c>
      <c r="D39" s="141" t="str">
        <f t="shared" si="2"/>
        <v/>
      </c>
      <c r="F39" s="116" t="s">
        <v>1885</v>
      </c>
      <c r="G39" s="117"/>
      <c r="H39" s="531"/>
      <c r="I39" s="560"/>
    </row>
    <row r="40" spans="1:9">
      <c r="A40" s="139" t="s">
        <v>2153</v>
      </c>
      <c r="B40" s="142"/>
      <c r="C40" s="140" t="str">
        <f>IF(B40="","",(B40/B41)*(100))</f>
        <v/>
      </c>
      <c r="D40" s="151"/>
      <c r="F40" s="116" t="s">
        <v>1886</v>
      </c>
      <c r="G40" s="117"/>
      <c r="H40" s="119"/>
      <c r="I40" s="510"/>
    </row>
    <row r="41" spans="1:9" ht="12.75" thickBot="1">
      <c r="A41" s="155" t="s">
        <v>2150</v>
      </c>
      <c r="B41" s="156"/>
      <c r="C41" s="157"/>
      <c r="D41" s="158"/>
      <c r="F41" s="98" t="s">
        <v>1887</v>
      </c>
      <c r="G41" s="120"/>
      <c r="H41" s="121" t="str">
        <f>IF(H39="","",H36/(H38-H39+H40))</f>
        <v/>
      </c>
      <c r="I41" s="511" t="str">
        <f>IF(I39="","",I36/(I38-I39+I40))</f>
        <v/>
      </c>
    </row>
    <row r="42" spans="1:9" ht="13.5" thickTop="1" thickBot="1">
      <c r="G42" s="122"/>
      <c r="H42" s="122" t="s">
        <v>1888</v>
      </c>
      <c r="I42" s="123" t="str">
        <f>IF(ISERROR(AVERAGE(H41:I41)),"",AVERAGE(H41:I41))</f>
        <v/>
      </c>
    </row>
    <row r="43" spans="1:9" ht="13.5" thickTop="1">
      <c r="A43" s="518"/>
      <c r="B43" s="519"/>
      <c r="C43" s="454" t="s">
        <v>1890</v>
      </c>
      <c r="D43" s="455"/>
      <c r="E43" s="455"/>
      <c r="F43" s="456"/>
      <c r="G43" s="533"/>
    </row>
    <row r="44" spans="1:9">
      <c r="A44" s="466" t="s">
        <v>1891</v>
      </c>
      <c r="B44" s="467"/>
      <c r="C44" s="457" t="s">
        <v>1892</v>
      </c>
      <c r="D44" s="458"/>
      <c r="E44" s="458"/>
      <c r="F44" s="459"/>
      <c r="G44" s="534"/>
    </row>
    <row r="45" spans="1:9">
      <c r="A45" s="466" t="s">
        <v>1893</v>
      </c>
      <c r="B45" s="467"/>
      <c r="C45" s="457" t="s">
        <v>1894</v>
      </c>
      <c r="D45" s="458"/>
      <c r="E45" s="458"/>
      <c r="F45" s="459"/>
      <c r="G45" s="534"/>
    </row>
    <row r="46" spans="1:9" ht="12.75" thickBot="1">
      <c r="A46" s="315"/>
      <c r="B46" s="316"/>
      <c r="C46" s="460" t="s">
        <v>1895</v>
      </c>
      <c r="D46" s="461"/>
      <c r="E46" s="461"/>
      <c r="F46" s="462"/>
      <c r="G46" s="463" t="str">
        <f>IF(G43="","",IF(G43-G45=0,0,(((G43-G45)-(G44-G45))/(G43-G45))*100))</f>
        <v/>
      </c>
    </row>
    <row r="47" spans="1:9" ht="12.75" thickTop="1"/>
  </sheetData>
  <sheetProtection algorithmName="SHA-512" hashValue="sxQN4wtxFKkLXu1OsG/jv1I9ME+A80h8CNRFgQJpyNxiWiduL2rl08wvXj70OUOT2Cqk6F5sW7WFo4Bi3URXww==" saltValue="yzyFYxeY/cBLLtOyRBTz0Q==" spinCount="100000" sheet="1" objects="1" scenarios="1"/>
  <phoneticPr fontId="31" type="noConversion"/>
  <printOptions horizontalCentered="1"/>
  <pageMargins left="0.25" right="0.25" top="0.5" bottom="0.5" header="0.5" footer="0.25"/>
  <pageSetup orientation="portrait" blackAndWhite="1" horizontalDpi="300" verticalDpi="300" r:id="rId1"/>
  <headerFooter alignWithMargins="0">
    <oddFooter>&amp;CPage 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Drop Down 10">
              <controlPr defaultSize="0" autoFill="0" autoLine="0" autoPict="0" macro="[0]!DropDown10_Change">
                <anchor moveWithCells="1">
                  <from>
                    <xdr:col>6</xdr:col>
                    <xdr:colOff>28575</xdr:colOff>
                    <xdr:row>24</xdr:row>
                    <xdr:rowOff>85725</xdr:rowOff>
                  </from>
                  <to>
                    <xdr:col>8</xdr:col>
                    <xdr:colOff>571500</xdr:colOff>
                    <xdr:row>25</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pageSetUpPr fitToPage="1"/>
  </sheetPr>
  <dimension ref="A1:J37"/>
  <sheetViews>
    <sheetView workbookViewId="0">
      <selection activeCell="C34" sqref="C34"/>
    </sheetView>
  </sheetViews>
  <sheetFormatPr defaultRowHeight="12.75"/>
  <cols>
    <col min="1" max="1" width="15.5703125" style="260" bestFit="1" customWidth="1"/>
    <col min="2" max="2" width="8.7109375" style="260" customWidth="1"/>
    <col min="3" max="16384" width="9.140625" style="260"/>
  </cols>
  <sheetData>
    <row r="1" spans="1:10">
      <c r="A1" s="1041" t="s">
        <v>888</v>
      </c>
      <c r="C1" s="1042" t="s">
        <v>1990</v>
      </c>
      <c r="E1" s="1"/>
      <c r="F1" s="1"/>
      <c r="J1" s="502"/>
    </row>
    <row r="2" spans="1:10">
      <c r="A2" s="1041" t="s">
        <v>889</v>
      </c>
      <c r="C2" s="1042" t="s">
        <v>1991</v>
      </c>
      <c r="E2" s="1"/>
      <c r="F2" s="1"/>
    </row>
    <row r="3" spans="1:10">
      <c r="A3" s="1041" t="s">
        <v>2663</v>
      </c>
      <c r="C3" s="1041" t="s">
        <v>2664</v>
      </c>
      <c r="E3" s="1"/>
      <c r="F3" s="1"/>
    </row>
    <row r="4" spans="1:10">
      <c r="A4" s="1041" t="s">
        <v>890</v>
      </c>
      <c r="C4" s="1042" t="s">
        <v>1992</v>
      </c>
      <c r="E4" s="1"/>
      <c r="F4" s="1"/>
    </row>
    <row r="5" spans="1:10">
      <c r="A5" s="1041" t="s">
        <v>2201</v>
      </c>
      <c r="C5" s="1042" t="s">
        <v>2202</v>
      </c>
      <c r="E5" s="1"/>
      <c r="F5" s="1"/>
    </row>
    <row r="6" spans="1:10">
      <c r="A6" s="1041" t="s">
        <v>921</v>
      </c>
      <c r="C6" s="1042" t="s">
        <v>1993</v>
      </c>
      <c r="E6" s="1"/>
      <c r="F6" s="1"/>
    </row>
    <row r="7" spans="1:10">
      <c r="A7" s="1041" t="s">
        <v>2667</v>
      </c>
      <c r="C7" s="1041" t="s">
        <v>2684</v>
      </c>
      <c r="E7" s="1"/>
      <c r="F7" s="1"/>
    </row>
    <row r="8" spans="1:10">
      <c r="A8" s="1041" t="s">
        <v>1989</v>
      </c>
      <c r="C8" s="1268" t="s">
        <v>2685</v>
      </c>
      <c r="E8" s="1"/>
      <c r="F8" s="1"/>
    </row>
    <row r="9" spans="1:10">
      <c r="A9" s="1041" t="s">
        <v>922</v>
      </c>
      <c r="C9" s="1042" t="s">
        <v>1994</v>
      </c>
      <c r="E9" s="1"/>
      <c r="F9" s="1"/>
    </row>
    <row r="10" spans="1:10">
      <c r="A10" s="1041" t="s">
        <v>2640</v>
      </c>
      <c r="C10" s="1041" t="s">
        <v>2641</v>
      </c>
      <c r="E10" s="1"/>
      <c r="F10" s="1"/>
    </row>
    <row r="11" spans="1:10">
      <c r="A11" s="1041" t="s">
        <v>2101</v>
      </c>
      <c r="C11" s="1042" t="s">
        <v>2105</v>
      </c>
      <c r="E11" s="1"/>
    </row>
    <row r="12" spans="1:10">
      <c r="A12" s="1041" t="s">
        <v>2102</v>
      </c>
      <c r="C12" s="1042" t="s">
        <v>2106</v>
      </c>
      <c r="F12" s="1"/>
    </row>
    <row r="13" spans="1:10">
      <c r="A13" s="1041" t="s">
        <v>923</v>
      </c>
      <c r="C13" s="1042" t="s">
        <v>1995</v>
      </c>
      <c r="E13" s="1"/>
      <c r="F13" s="1"/>
    </row>
    <row r="14" spans="1:10">
      <c r="A14" s="1041" t="s">
        <v>533</v>
      </c>
      <c r="C14" s="1042" t="s">
        <v>534</v>
      </c>
      <c r="E14" s="1"/>
      <c r="F14" s="1"/>
    </row>
    <row r="15" spans="1:10">
      <c r="A15" s="1041" t="s">
        <v>924</v>
      </c>
      <c r="C15" s="1042" t="s">
        <v>525</v>
      </c>
      <c r="E15" s="1"/>
      <c r="F15" s="1"/>
    </row>
    <row r="16" spans="1:10">
      <c r="A16" s="1041" t="s">
        <v>925</v>
      </c>
      <c r="C16" s="1042" t="s">
        <v>526</v>
      </c>
      <c r="E16" s="1"/>
      <c r="F16" s="1"/>
    </row>
    <row r="17" spans="1:6">
      <c r="A17" s="1041" t="s">
        <v>926</v>
      </c>
      <c r="C17" s="1041" t="s">
        <v>2686</v>
      </c>
      <c r="E17" s="1"/>
      <c r="F17" s="1"/>
    </row>
    <row r="18" spans="1:6">
      <c r="A18" s="1041" t="s">
        <v>927</v>
      </c>
      <c r="C18" s="1042" t="s">
        <v>527</v>
      </c>
      <c r="E18" s="1"/>
      <c r="F18" s="1"/>
    </row>
    <row r="19" spans="1:6">
      <c r="A19" s="1041" t="s">
        <v>1978</v>
      </c>
      <c r="C19" s="1042" t="s">
        <v>528</v>
      </c>
      <c r="E19" s="1"/>
      <c r="F19" s="1"/>
    </row>
    <row r="20" spans="1:6">
      <c r="A20" s="1041" t="s">
        <v>1979</v>
      </c>
      <c r="C20" s="1042" t="s">
        <v>529</v>
      </c>
      <c r="E20" s="1"/>
      <c r="F20" s="1"/>
    </row>
    <row r="21" spans="1:6">
      <c r="A21" s="1041" t="s">
        <v>1980</v>
      </c>
      <c r="C21" s="1042" t="s">
        <v>530</v>
      </c>
      <c r="E21" s="1"/>
      <c r="F21" s="1"/>
    </row>
    <row r="22" spans="1:6">
      <c r="A22" s="1041" t="s">
        <v>1981</v>
      </c>
      <c r="C22" s="1042" t="s">
        <v>531</v>
      </c>
      <c r="E22" s="1"/>
      <c r="F22" s="1"/>
    </row>
    <row r="23" spans="1:6">
      <c r="A23" s="1041" t="s">
        <v>1982</v>
      </c>
      <c r="C23" s="1043" t="s">
        <v>532</v>
      </c>
      <c r="E23" s="1"/>
      <c r="F23" s="1"/>
    </row>
    <row r="24" spans="1:6">
      <c r="A24" s="1041" t="s">
        <v>2103</v>
      </c>
      <c r="C24" s="1043" t="s">
        <v>2107</v>
      </c>
      <c r="E24" s="1"/>
      <c r="F24" s="1"/>
    </row>
    <row r="25" spans="1:6">
      <c r="A25" s="1041" t="s">
        <v>1983</v>
      </c>
      <c r="C25" s="1043" t="s">
        <v>1996</v>
      </c>
      <c r="E25" s="1"/>
      <c r="F25" s="1"/>
    </row>
    <row r="26" spans="1:6">
      <c r="A26" s="1041" t="s">
        <v>1984</v>
      </c>
      <c r="C26" s="1043" t="s">
        <v>1997</v>
      </c>
      <c r="E26" s="1"/>
      <c r="F26" s="1"/>
    </row>
    <row r="27" spans="1:6">
      <c r="A27" s="1041" t="s">
        <v>2104</v>
      </c>
      <c r="C27" s="1268" t="s">
        <v>2687</v>
      </c>
      <c r="E27" s="1"/>
      <c r="F27" s="1"/>
    </row>
    <row r="28" spans="1:6">
      <c r="A28" s="1041" t="s">
        <v>1985</v>
      </c>
      <c r="C28" s="1043" t="s">
        <v>1998</v>
      </c>
      <c r="E28" s="1"/>
      <c r="F28" s="1"/>
    </row>
    <row r="29" spans="1:6">
      <c r="A29" s="1041" t="s">
        <v>1986</v>
      </c>
      <c r="C29" s="1043" t="s">
        <v>1999</v>
      </c>
      <c r="E29" s="1"/>
      <c r="F29" s="1"/>
    </row>
    <row r="30" spans="1:6">
      <c r="A30" s="1041" t="s">
        <v>2199</v>
      </c>
      <c r="C30" s="1043" t="s">
        <v>2200</v>
      </c>
      <c r="E30" s="1"/>
      <c r="F30" s="1"/>
    </row>
    <row r="31" spans="1:6">
      <c r="A31" s="1041" t="s">
        <v>1987</v>
      </c>
      <c r="C31" s="1268" t="s">
        <v>2688</v>
      </c>
      <c r="E31" s="1"/>
      <c r="F31" s="1"/>
    </row>
    <row r="32" spans="1:6">
      <c r="A32" s="1041" t="s">
        <v>1988</v>
      </c>
      <c r="C32" s="1043" t="s">
        <v>2000</v>
      </c>
      <c r="E32" s="1"/>
      <c r="F32" s="1"/>
    </row>
    <row r="33" spans="1:6">
      <c r="A33" s="1041" t="s">
        <v>2665</v>
      </c>
      <c r="C33" s="1268" t="s">
        <v>2666</v>
      </c>
      <c r="E33" s="1"/>
      <c r="F33" s="1"/>
    </row>
    <row r="34" spans="1:6">
      <c r="A34" s="1044"/>
      <c r="C34" s="1044"/>
      <c r="E34" s="1"/>
      <c r="F34" s="1"/>
    </row>
    <row r="35" spans="1:6">
      <c r="A35" s="1044"/>
      <c r="C35" s="1044"/>
      <c r="E35" s="1"/>
      <c r="F35" s="1"/>
    </row>
    <row r="36" spans="1:6">
      <c r="A36" s="1044"/>
      <c r="C36" s="1044"/>
      <c r="E36" s="1"/>
      <c r="F36" s="1"/>
    </row>
    <row r="37" spans="1:6">
      <c r="A37" s="1044"/>
      <c r="C37" s="1044"/>
      <c r="E37" s="1"/>
    </row>
  </sheetData>
  <sheetProtection algorithmName="SHA-512" hashValue="invdhqkjYvSgN8QFSWindirYjWqfuN34qEc23bUtmcRnx2irGgJfmU6izVvfJAJfp2J73fLyPUFljJTEaAEz+g==" saltValue="lAiOTTyU8cVvr2mJiZEteg==" spinCount="100000" sheet="1" objects="1" scenarios="1"/>
  <phoneticPr fontId="31" type="noConversion"/>
  <printOptions horizontalCentered="1"/>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B2:H141"/>
  <sheetViews>
    <sheetView topLeftCell="A31" workbookViewId="0">
      <selection activeCell="B61" sqref="B61"/>
    </sheetView>
  </sheetViews>
  <sheetFormatPr defaultRowHeight="12.75"/>
  <cols>
    <col min="2" max="2" width="9" customWidth="1"/>
    <col min="3" max="3" width="13.85546875" customWidth="1"/>
  </cols>
  <sheetData>
    <row r="2" spans="2:8">
      <c r="B2" s="1041" t="s">
        <v>3422</v>
      </c>
      <c r="C2" s="1041" t="s">
        <v>3423</v>
      </c>
      <c r="H2" t="e">
        <f>VLOOKUP('Pay Values'!D6,'Producer supplier'!B2:C122,2,FALSE)</f>
        <v>#N/A</v>
      </c>
    </row>
    <row r="3" spans="2:8">
      <c r="B3" s="1041" t="s">
        <v>3386</v>
      </c>
      <c r="C3" s="1041" t="s">
        <v>3387</v>
      </c>
    </row>
    <row r="4" spans="2:8">
      <c r="B4" s="1041" t="s">
        <v>2001</v>
      </c>
      <c r="C4" s="1041" t="s">
        <v>29</v>
      </c>
    </row>
    <row r="5" spans="2:8">
      <c r="B5" s="1041" t="s">
        <v>2002</v>
      </c>
      <c r="C5" s="1041" t="s">
        <v>30</v>
      </c>
    </row>
    <row r="6" spans="2:8">
      <c r="B6" s="1041" t="s">
        <v>2003</v>
      </c>
      <c r="C6" s="1041" t="s">
        <v>31</v>
      </c>
    </row>
    <row r="7" spans="2:8">
      <c r="B7" s="1041" t="s">
        <v>46</v>
      </c>
      <c r="C7" s="1041" t="s">
        <v>47</v>
      </c>
    </row>
    <row r="8" spans="2:8">
      <c r="B8" s="1041" t="s">
        <v>2004</v>
      </c>
      <c r="C8" s="1041" t="s">
        <v>1014</v>
      </c>
    </row>
    <row r="9" spans="2:8">
      <c r="B9" s="1041" t="s">
        <v>3484</v>
      </c>
      <c r="C9" s="1041" t="s">
        <v>3485</v>
      </c>
    </row>
    <row r="10" spans="2:8">
      <c r="B10" s="1041" t="s">
        <v>3424</v>
      </c>
      <c r="C10" s="1041" t="s">
        <v>3425</v>
      </c>
    </row>
    <row r="11" spans="2:8">
      <c r="B11" s="1041" t="s">
        <v>2005</v>
      </c>
      <c r="C11" s="1041" t="s">
        <v>1015</v>
      </c>
    </row>
    <row r="12" spans="2:8">
      <c r="B12" s="1041" t="s">
        <v>3383</v>
      </c>
      <c r="C12" s="1041" t="s">
        <v>3426</v>
      </c>
    </row>
    <row r="13" spans="2:8">
      <c r="B13" s="1041" t="s">
        <v>3391</v>
      </c>
      <c r="C13" s="1041" t="s">
        <v>3427</v>
      </c>
    </row>
    <row r="14" spans="2:8">
      <c r="B14" s="1041" t="s">
        <v>2669</v>
      </c>
      <c r="C14" s="1041" t="s">
        <v>3428</v>
      </c>
    </row>
    <row r="15" spans="2:8">
      <c r="B15" s="1041" t="s">
        <v>3389</v>
      </c>
      <c r="C15" s="1041" t="s">
        <v>3429</v>
      </c>
    </row>
    <row r="16" spans="2:8">
      <c r="B16" s="1041" t="s">
        <v>2010</v>
      </c>
      <c r="C16" s="1041" t="s">
        <v>32</v>
      </c>
    </row>
    <row r="17" spans="2:3">
      <c r="B17" s="1041" t="s">
        <v>3430</v>
      </c>
      <c r="C17" s="1041" t="s">
        <v>3431</v>
      </c>
    </row>
    <row r="18" spans="2:3">
      <c r="B18" s="1041" t="s">
        <v>1066</v>
      </c>
      <c r="C18" s="1041" t="s">
        <v>1671</v>
      </c>
    </row>
    <row r="19" spans="2:3">
      <c r="B19" s="1041" t="s">
        <v>2197</v>
      </c>
      <c r="C19" s="1041" t="s">
        <v>1098</v>
      </c>
    </row>
    <row r="20" spans="2:3">
      <c r="B20" s="1041" t="s">
        <v>2196</v>
      </c>
      <c r="C20" s="1041" t="s">
        <v>1099</v>
      </c>
    </row>
    <row r="21" spans="2:3">
      <c r="B21" s="1041" t="s">
        <v>3432</v>
      </c>
      <c r="C21" s="1041" t="s">
        <v>3388</v>
      </c>
    </row>
    <row r="22" spans="2:3">
      <c r="B22" s="1041" t="s">
        <v>2019</v>
      </c>
      <c r="C22" s="1041" t="s">
        <v>1100</v>
      </c>
    </row>
    <row r="23" spans="2:3">
      <c r="B23" s="1041" t="s">
        <v>3433</v>
      </c>
      <c r="C23" s="1041" t="s">
        <v>810</v>
      </c>
    </row>
    <row r="24" spans="2:3">
      <c r="B24" s="1041" t="s">
        <v>2020</v>
      </c>
      <c r="C24" s="1041" t="s">
        <v>1101</v>
      </c>
    </row>
    <row r="25" spans="2:3">
      <c r="B25" s="1041" t="s">
        <v>2021</v>
      </c>
      <c r="C25" s="1041" t="s">
        <v>1102</v>
      </c>
    </row>
    <row r="26" spans="2:3">
      <c r="B26" s="1041" t="s">
        <v>3374</v>
      </c>
      <c r="C26" s="1041" t="s">
        <v>3375</v>
      </c>
    </row>
    <row r="27" spans="2:3">
      <c r="B27" s="1041" t="s">
        <v>2022</v>
      </c>
      <c r="C27" s="1041" t="s">
        <v>1103</v>
      </c>
    </row>
    <row r="28" spans="2:3">
      <c r="B28" s="1041" t="s">
        <v>3434</v>
      </c>
      <c r="C28" s="1041" t="s">
        <v>3435</v>
      </c>
    </row>
    <row r="29" spans="2:3">
      <c r="B29" s="1041" t="s">
        <v>2006</v>
      </c>
      <c r="C29" s="1041" t="s">
        <v>33</v>
      </c>
    </row>
    <row r="30" spans="2:3">
      <c r="B30" s="1041" t="s">
        <v>3436</v>
      </c>
      <c r="C30" s="1268" t="s">
        <v>3437</v>
      </c>
    </row>
    <row r="31" spans="2:3">
      <c r="B31" s="1041" t="s">
        <v>3376</v>
      </c>
      <c r="C31" s="1041" t="s">
        <v>3377</v>
      </c>
    </row>
    <row r="32" spans="2:3">
      <c r="B32" s="1041" t="s">
        <v>2025</v>
      </c>
      <c r="C32" s="1041" t="s">
        <v>1065</v>
      </c>
    </row>
    <row r="33" spans="2:3">
      <c r="B33" s="1041" t="s">
        <v>2115</v>
      </c>
      <c r="C33" s="1041" t="s">
        <v>3438</v>
      </c>
    </row>
    <row r="34" spans="2:3">
      <c r="B34" s="1041" t="s">
        <v>2116</v>
      </c>
      <c r="C34" s="1041" t="s">
        <v>2668</v>
      </c>
    </row>
    <row r="35" spans="2:3">
      <c r="B35" s="1041" t="s">
        <v>1550</v>
      </c>
      <c r="C35" s="1041" t="s">
        <v>3439</v>
      </c>
    </row>
    <row r="36" spans="2:3">
      <c r="B36" s="1041" t="s">
        <v>2026</v>
      </c>
      <c r="C36" s="1041" t="s">
        <v>1104</v>
      </c>
    </row>
    <row r="37" spans="2:3">
      <c r="B37" s="1041" t="s">
        <v>3480</v>
      </c>
      <c r="C37" s="1041" t="s">
        <v>3481</v>
      </c>
    </row>
    <row r="38" spans="2:3">
      <c r="B38" s="1041" t="s">
        <v>3440</v>
      </c>
      <c r="C38" s="1041" t="s">
        <v>2678</v>
      </c>
    </row>
    <row r="39" spans="2:3">
      <c r="B39" s="1041" t="s">
        <v>2013</v>
      </c>
      <c r="C39" s="1041" t="s">
        <v>2193</v>
      </c>
    </row>
    <row r="40" spans="2:3">
      <c r="B40" s="1041" t="s">
        <v>2027</v>
      </c>
      <c r="C40" s="1041" t="s">
        <v>1105</v>
      </c>
    </row>
    <row r="41" spans="2:3">
      <c r="B41" s="1041" t="s">
        <v>3441</v>
      </c>
      <c r="C41" s="1041" t="s">
        <v>3442</v>
      </c>
    </row>
    <row r="42" spans="2:3">
      <c r="B42" s="1041" t="s">
        <v>3443</v>
      </c>
      <c r="C42" s="1041" t="s">
        <v>3444</v>
      </c>
    </row>
    <row r="43" spans="2:3">
      <c r="B43" s="1041" t="s">
        <v>2016</v>
      </c>
      <c r="C43" s="1041" t="s">
        <v>2194</v>
      </c>
    </row>
    <row r="44" spans="2:3">
      <c r="B44" s="1041" t="s">
        <v>2028</v>
      </c>
      <c r="C44" s="1041" t="s">
        <v>1106</v>
      </c>
    </row>
    <row r="45" spans="2:3">
      <c r="B45" s="1041" t="s">
        <v>2029</v>
      </c>
      <c r="C45" s="1041" t="s">
        <v>1107</v>
      </c>
    </row>
    <row r="46" spans="2:3">
      <c r="B46" s="1041" t="s">
        <v>2030</v>
      </c>
      <c r="C46" s="1041" t="s">
        <v>1108</v>
      </c>
    </row>
    <row r="47" spans="2:3">
      <c r="B47" s="1041" t="s">
        <v>2031</v>
      </c>
      <c r="C47" s="1041" t="s">
        <v>1109</v>
      </c>
    </row>
    <row r="48" spans="2:3">
      <c r="B48" s="1041" t="s">
        <v>34</v>
      </c>
      <c r="C48" s="1041" t="s">
        <v>35</v>
      </c>
    </row>
    <row r="49" spans="2:3">
      <c r="B49" s="1041" t="s">
        <v>2032</v>
      </c>
      <c r="C49" s="1041" t="s">
        <v>1110</v>
      </c>
    </row>
    <row r="50" spans="2:3">
      <c r="B50" s="1041" t="s">
        <v>2009</v>
      </c>
      <c r="C50" s="1041" t="s">
        <v>3381</v>
      </c>
    </row>
    <row r="51" spans="2:3">
      <c r="B51" s="1041" t="s">
        <v>2037</v>
      </c>
      <c r="C51" s="1041" t="s">
        <v>3380</v>
      </c>
    </row>
    <row r="52" spans="2:3">
      <c r="B52" s="1041" t="s">
        <v>2033</v>
      </c>
      <c r="C52" s="1041" t="s">
        <v>36</v>
      </c>
    </row>
    <row r="53" spans="2:3">
      <c r="B53" s="1041" t="s">
        <v>2693</v>
      </c>
      <c r="C53" s="1041" t="s">
        <v>2694</v>
      </c>
    </row>
    <row r="54" spans="2:3">
      <c r="B54" s="1041" t="s">
        <v>37</v>
      </c>
      <c r="C54" s="1041" t="s">
        <v>38</v>
      </c>
    </row>
    <row r="55" spans="2:3">
      <c r="B55" s="1041" t="s">
        <v>2034</v>
      </c>
      <c r="C55" s="1041" t="s">
        <v>39</v>
      </c>
    </row>
    <row r="56" spans="2:3">
      <c r="B56" s="1041" t="s">
        <v>2085</v>
      </c>
      <c r="C56" s="1041" t="s">
        <v>1111</v>
      </c>
    </row>
    <row r="57" spans="2:3">
      <c r="B57" s="1041" t="s">
        <v>2086</v>
      </c>
      <c r="C57" s="1041" t="s">
        <v>1112</v>
      </c>
    </row>
    <row r="58" spans="2:3">
      <c r="B58" s="1041" t="s">
        <v>2087</v>
      </c>
      <c r="C58" s="1041" t="s">
        <v>1113</v>
      </c>
    </row>
    <row r="59" spans="2:3">
      <c r="B59" s="1041" t="s">
        <v>3445</v>
      </c>
      <c r="C59" s="1041" t="s">
        <v>2683</v>
      </c>
    </row>
    <row r="60" spans="2:3">
      <c r="B60" s="1041" t="s">
        <v>3487</v>
      </c>
      <c r="C60" s="1041" t="s">
        <v>3486</v>
      </c>
    </row>
    <row r="61" spans="2:3">
      <c r="B61" s="1541" t="s">
        <v>2011</v>
      </c>
      <c r="C61" s="1541" t="s">
        <v>2670</v>
      </c>
    </row>
    <row r="62" spans="2:3">
      <c r="B62" s="1541" t="s">
        <v>2012</v>
      </c>
      <c r="C62" s="1541" t="s">
        <v>2671</v>
      </c>
    </row>
    <row r="63" spans="2:3">
      <c r="B63" s="1541" t="s">
        <v>2014</v>
      </c>
      <c r="C63" s="1541" t="s">
        <v>2672</v>
      </c>
    </row>
    <row r="64" spans="2:3">
      <c r="B64" s="1541" t="s">
        <v>2015</v>
      </c>
      <c r="C64" s="1541" t="s">
        <v>2673</v>
      </c>
    </row>
    <row r="65" spans="2:3">
      <c r="B65" s="1541" t="s">
        <v>2017</v>
      </c>
      <c r="C65" s="1541" t="s">
        <v>2674</v>
      </c>
    </row>
    <row r="66" spans="2:3">
      <c r="B66" s="1541" t="s">
        <v>2018</v>
      </c>
      <c r="C66" s="1541" t="s">
        <v>2675</v>
      </c>
    </row>
    <row r="67" spans="2:3">
      <c r="B67" s="1541" t="s">
        <v>2803</v>
      </c>
      <c r="C67" s="1541" t="s">
        <v>2804</v>
      </c>
    </row>
    <row r="68" spans="2:3">
      <c r="B68" s="1541" t="s">
        <v>2195</v>
      </c>
      <c r="C68" s="1541" t="s">
        <v>3446</v>
      </c>
    </row>
    <row r="69" spans="2:3">
      <c r="B69" s="1041" t="s">
        <v>2117</v>
      </c>
      <c r="C69" s="1041" t="s">
        <v>2702</v>
      </c>
    </row>
    <row r="70" spans="2:3">
      <c r="B70" s="1041" t="s">
        <v>2007</v>
      </c>
      <c r="C70" s="1041" t="s">
        <v>2231</v>
      </c>
    </row>
    <row r="71" spans="2:3">
      <c r="B71" s="1041" t="s">
        <v>2008</v>
      </c>
      <c r="C71" s="1041" t="s">
        <v>2232</v>
      </c>
    </row>
    <row r="72" spans="2:3">
      <c r="B72" s="1041" t="s">
        <v>2089</v>
      </c>
      <c r="C72" s="1041" t="s">
        <v>3447</v>
      </c>
    </row>
    <row r="73" spans="2:3">
      <c r="B73" s="1041" t="s">
        <v>3448</v>
      </c>
      <c r="C73" s="1041" t="s">
        <v>3449</v>
      </c>
    </row>
    <row r="74" spans="2:3">
      <c r="B74" s="1041" t="s">
        <v>2222</v>
      </c>
      <c r="C74" s="1041" t="s">
        <v>2223</v>
      </c>
    </row>
    <row r="75" spans="2:3">
      <c r="B75" s="1041" t="s">
        <v>2090</v>
      </c>
      <c r="C75" s="1041" t="s">
        <v>1114</v>
      </c>
    </row>
    <row r="76" spans="2:3">
      <c r="B76" s="1041" t="s">
        <v>3450</v>
      </c>
      <c r="C76" s="1041" t="s">
        <v>3451</v>
      </c>
    </row>
    <row r="77" spans="2:3">
      <c r="B77" s="1041" t="s">
        <v>2091</v>
      </c>
      <c r="C77" s="1041" t="s">
        <v>1115</v>
      </c>
    </row>
    <row r="78" spans="2:3">
      <c r="B78" s="1041" t="s">
        <v>2092</v>
      </c>
      <c r="C78" s="1041" t="s">
        <v>1116</v>
      </c>
    </row>
    <row r="79" spans="2:3">
      <c r="B79" s="1041" t="s">
        <v>2093</v>
      </c>
      <c r="C79" s="1041" t="s">
        <v>1117</v>
      </c>
    </row>
    <row r="80" spans="2:3">
      <c r="B80" s="1041" t="s">
        <v>2094</v>
      </c>
      <c r="C80" s="1041" t="s">
        <v>1118</v>
      </c>
    </row>
    <row r="81" spans="2:3">
      <c r="B81" s="1041" t="s">
        <v>2095</v>
      </c>
      <c r="C81" s="1041" t="s">
        <v>1119</v>
      </c>
    </row>
    <row r="82" spans="2:3">
      <c r="B82" s="1041" t="s">
        <v>2096</v>
      </c>
      <c r="C82" s="1041" t="s">
        <v>1120</v>
      </c>
    </row>
    <row r="83" spans="2:3">
      <c r="B83" s="1041" t="s">
        <v>2097</v>
      </c>
      <c r="C83" s="1041" t="s">
        <v>1121</v>
      </c>
    </row>
    <row r="84" spans="2:3">
      <c r="B84" s="1041" t="s">
        <v>2098</v>
      </c>
      <c r="C84" s="1041" t="s">
        <v>1122</v>
      </c>
    </row>
    <row r="85" spans="2:3">
      <c r="B85" s="1041" t="s">
        <v>2099</v>
      </c>
      <c r="C85" s="1041" t="s">
        <v>891</v>
      </c>
    </row>
    <row r="86" spans="2:3">
      <c r="B86" s="1041" t="s">
        <v>3452</v>
      </c>
      <c r="C86" s="1041" t="s">
        <v>3421</v>
      </c>
    </row>
    <row r="87" spans="2:3">
      <c r="B87" s="1041" t="s">
        <v>3453</v>
      </c>
      <c r="C87" s="1041" t="s">
        <v>892</v>
      </c>
    </row>
    <row r="88" spans="2:3">
      <c r="B88" s="1041" t="s">
        <v>2108</v>
      </c>
      <c r="C88" s="1041" t="s">
        <v>893</v>
      </c>
    </row>
    <row r="89" spans="2:3">
      <c r="B89" s="1041" t="s">
        <v>2109</v>
      </c>
      <c r="C89" s="1041" t="s">
        <v>894</v>
      </c>
    </row>
    <row r="90" spans="2:3">
      <c r="B90" s="1041" t="s">
        <v>3454</v>
      </c>
      <c r="C90" s="1041" t="s">
        <v>895</v>
      </c>
    </row>
    <row r="91" spans="2:3">
      <c r="B91" s="1041" t="s">
        <v>2110</v>
      </c>
      <c r="C91" s="1041" t="s">
        <v>896</v>
      </c>
    </row>
    <row r="92" spans="2:3">
      <c r="B92" s="1041" t="s">
        <v>2111</v>
      </c>
      <c r="C92" s="1041" t="s">
        <v>897</v>
      </c>
    </row>
    <row r="93" spans="2:3">
      <c r="B93" s="1041" t="s">
        <v>3455</v>
      </c>
      <c r="C93" s="1041" t="s">
        <v>3456</v>
      </c>
    </row>
    <row r="94" spans="2:3">
      <c r="B94" s="1041" t="s">
        <v>2198</v>
      </c>
      <c r="C94" s="1041" t="s">
        <v>898</v>
      </c>
    </row>
    <row r="95" spans="2:3">
      <c r="B95" s="1041" t="s">
        <v>2112</v>
      </c>
      <c r="C95" s="1041" t="s">
        <v>899</v>
      </c>
    </row>
    <row r="96" spans="2:3">
      <c r="B96" s="1041" t="s">
        <v>3457</v>
      </c>
      <c r="C96" s="1041" t="s">
        <v>2677</v>
      </c>
    </row>
    <row r="97" spans="2:3">
      <c r="B97" s="1041" t="s">
        <v>3392</v>
      </c>
      <c r="C97" s="1041" t="s">
        <v>3393</v>
      </c>
    </row>
    <row r="98" spans="2:3">
      <c r="B98" s="1041" t="s">
        <v>2113</v>
      </c>
      <c r="C98" s="1041" t="s">
        <v>900</v>
      </c>
    </row>
    <row r="99" spans="2:3">
      <c r="B99" s="1041" t="s">
        <v>3458</v>
      </c>
      <c r="C99" s="1041" t="s">
        <v>3459</v>
      </c>
    </row>
    <row r="100" spans="2:3">
      <c r="B100" s="1041" t="s">
        <v>2114</v>
      </c>
      <c r="C100" s="1041" t="s">
        <v>2703</v>
      </c>
    </row>
    <row r="101" spans="2:3">
      <c r="B101" s="1041" t="s">
        <v>3460</v>
      </c>
      <c r="C101" s="1041" t="s">
        <v>2704</v>
      </c>
    </row>
    <row r="102" spans="2:3">
      <c r="B102" s="1041" t="s">
        <v>2118</v>
      </c>
      <c r="C102" s="1041" t="s">
        <v>901</v>
      </c>
    </row>
    <row r="103" spans="2:3">
      <c r="B103" s="1041" t="s">
        <v>2119</v>
      </c>
      <c r="C103" s="1041" t="s">
        <v>902</v>
      </c>
    </row>
    <row r="104" spans="2:3">
      <c r="B104" s="1041" t="s">
        <v>3461</v>
      </c>
      <c r="C104" s="1041" t="s">
        <v>3462</v>
      </c>
    </row>
    <row r="105" spans="2:3">
      <c r="B105" s="1041" t="s">
        <v>3463</v>
      </c>
      <c r="C105" s="1041" t="s">
        <v>3464</v>
      </c>
    </row>
    <row r="106" spans="2:3">
      <c r="B106" s="1041" t="s">
        <v>3465</v>
      </c>
      <c r="C106" s="1041" t="s">
        <v>2233</v>
      </c>
    </row>
    <row r="107" spans="2:3">
      <c r="B107" s="1041" t="s">
        <v>3466</v>
      </c>
      <c r="C107" s="1041" t="s">
        <v>2676</v>
      </c>
    </row>
    <row r="108" spans="2:3">
      <c r="B108" s="1041" t="s">
        <v>3389</v>
      </c>
      <c r="C108" s="1041" t="s">
        <v>3390</v>
      </c>
    </row>
    <row r="109" spans="2:3">
      <c r="B109" s="1041" t="s">
        <v>2120</v>
      </c>
      <c r="C109" s="1041" t="s">
        <v>903</v>
      </c>
    </row>
    <row r="110" spans="2:3">
      <c r="B110" s="1041" t="s">
        <v>3467</v>
      </c>
      <c r="C110" s="1041" t="s">
        <v>2224</v>
      </c>
    </row>
    <row r="111" spans="2:3">
      <c r="B111" s="1041" t="s">
        <v>2691</v>
      </c>
      <c r="C111" s="1041" t="s">
        <v>2692</v>
      </c>
    </row>
    <row r="112" spans="2:3">
      <c r="B112" s="1041" t="s">
        <v>2679</v>
      </c>
      <c r="C112" s="1041" t="s">
        <v>2680</v>
      </c>
    </row>
    <row r="113" spans="2:3">
      <c r="B113" s="1041" t="s">
        <v>2121</v>
      </c>
      <c r="C113" s="1041" t="s">
        <v>40</v>
      </c>
    </row>
    <row r="114" spans="2:3">
      <c r="B114" s="1041" t="s">
        <v>2123</v>
      </c>
      <c r="C114" s="1041" t="s">
        <v>41</v>
      </c>
    </row>
    <row r="115" spans="2:3">
      <c r="B115" s="1041" t="s">
        <v>2023</v>
      </c>
      <c r="C115" s="1041" t="s">
        <v>2212</v>
      </c>
    </row>
    <row r="116" spans="2:3">
      <c r="B116" s="1041" t="s">
        <v>2024</v>
      </c>
      <c r="C116" s="1041" t="s">
        <v>3378</v>
      </c>
    </row>
    <row r="117" spans="2:3">
      <c r="B117" s="1041" t="s">
        <v>3468</v>
      </c>
      <c r="C117" s="1041" t="s">
        <v>42</v>
      </c>
    </row>
    <row r="118" spans="2:3">
      <c r="B118" s="1041" t="s">
        <v>2705</v>
      </c>
      <c r="C118" s="1041" t="s">
        <v>2706</v>
      </c>
    </row>
    <row r="119" spans="2:3">
      <c r="B119" s="1041" t="s">
        <v>3367</v>
      </c>
      <c r="C119" s="1041" t="s">
        <v>3368</v>
      </c>
    </row>
    <row r="120" spans="2:3">
      <c r="B120" s="1041" t="s">
        <v>3469</v>
      </c>
      <c r="C120" s="1041" t="s">
        <v>3369</v>
      </c>
    </row>
    <row r="121" spans="2:3">
      <c r="B121" s="1041" t="s">
        <v>1612</v>
      </c>
      <c r="C121" s="1041" t="s">
        <v>1613</v>
      </c>
    </row>
    <row r="122" spans="2:3">
      <c r="B122" s="1041" t="s">
        <v>2124</v>
      </c>
      <c r="C122" s="1041" t="s">
        <v>43</v>
      </c>
    </row>
    <row r="123" spans="2:3">
      <c r="B123" s="1041" t="s">
        <v>2217</v>
      </c>
      <c r="C123" s="1041" t="s">
        <v>2216</v>
      </c>
    </row>
    <row r="124" spans="2:3">
      <c r="B124" s="1041" t="s">
        <v>2125</v>
      </c>
      <c r="C124" s="1041" t="s">
        <v>2215</v>
      </c>
    </row>
    <row r="125" spans="2:3">
      <c r="B125" s="1041" t="s">
        <v>2213</v>
      </c>
      <c r="C125" s="1041" t="s">
        <v>2214</v>
      </c>
    </row>
    <row r="126" spans="2:3">
      <c r="B126" s="1041" t="s">
        <v>2689</v>
      </c>
      <c r="C126" s="1041" t="s">
        <v>2690</v>
      </c>
    </row>
    <row r="127" spans="2:3">
      <c r="B127" s="1041" t="s">
        <v>2122</v>
      </c>
      <c r="C127" s="1041" t="s">
        <v>44</v>
      </c>
    </row>
    <row r="128" spans="2:3">
      <c r="B128" s="1041" t="s">
        <v>2038</v>
      </c>
      <c r="C128" s="1041" t="s">
        <v>904</v>
      </c>
    </row>
    <row r="129" spans="2:3">
      <c r="B129" s="1041" t="s">
        <v>2039</v>
      </c>
      <c r="C129" s="1041" t="s">
        <v>905</v>
      </c>
    </row>
    <row r="130" spans="2:3">
      <c r="B130" s="1268" t="s">
        <v>1011</v>
      </c>
      <c r="C130" s="1268" t="s">
        <v>906</v>
      </c>
    </row>
    <row r="131" spans="2:3">
      <c r="B131" s="1268" t="s">
        <v>2681</v>
      </c>
      <c r="C131" s="1268" t="s">
        <v>2682</v>
      </c>
    </row>
    <row r="132" spans="2:3">
      <c r="B132" s="1268" t="s">
        <v>3470</v>
      </c>
      <c r="C132" s="1268" t="s">
        <v>2661</v>
      </c>
    </row>
    <row r="133" spans="2:3">
      <c r="B133" s="1268" t="s">
        <v>3471</v>
      </c>
      <c r="C133" s="1268" t="s">
        <v>3472</v>
      </c>
    </row>
    <row r="134" spans="2:3">
      <c r="B134" s="1268" t="s">
        <v>2088</v>
      </c>
      <c r="C134" s="1268" t="s">
        <v>45</v>
      </c>
    </row>
    <row r="135" spans="2:3">
      <c r="B135" s="1268" t="s">
        <v>1012</v>
      </c>
      <c r="C135" s="1268" t="s">
        <v>907</v>
      </c>
    </row>
    <row r="136" spans="2:3">
      <c r="B136" s="1268" t="s">
        <v>1013</v>
      </c>
      <c r="C136" s="1268" t="s">
        <v>908</v>
      </c>
    </row>
    <row r="137" spans="2:3">
      <c r="B137" s="1268" t="s">
        <v>3473</v>
      </c>
      <c r="C137" s="1268" t="s">
        <v>3474</v>
      </c>
    </row>
    <row r="138" spans="2:3">
      <c r="B138" s="1268" t="s">
        <v>3475</v>
      </c>
      <c r="C138" s="1268" t="s">
        <v>3476</v>
      </c>
    </row>
    <row r="139" spans="2:3">
      <c r="B139" s="1268" t="s">
        <v>3477</v>
      </c>
      <c r="C139" s="1268" t="s">
        <v>3478</v>
      </c>
    </row>
    <row r="140" spans="2:3">
      <c r="B140" s="1268" t="s">
        <v>3384</v>
      </c>
      <c r="C140" s="1268" t="s">
        <v>3385</v>
      </c>
    </row>
    <row r="141" spans="2:3">
      <c r="B141" s="1268" t="s">
        <v>3482</v>
      </c>
      <c r="C141" s="1268" t="s">
        <v>3483</v>
      </c>
    </row>
  </sheetData>
  <sheetProtection algorithmName="SHA-512" hashValue="o3lBPtUYAbJQiAFLQA0loJQ+nhDkLi7jPNMKyNiJ89yYAuygrIqrR2v0760HufoqflnmnmLG9TQCL9HA7J8pRA==" saltValue="VorJVD3/QqjnJ2yaCVFrcg==" spinCount="100000" sheet="1" objects="1" scenarios="1"/>
  <phoneticPr fontId="31" type="noConversion"/>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1:AI108"/>
  <sheetViews>
    <sheetView workbookViewId="0">
      <selection activeCell="A16" sqref="A16"/>
    </sheetView>
  </sheetViews>
  <sheetFormatPr defaultRowHeight="12.75"/>
  <cols>
    <col min="2" max="2" width="10.28515625" customWidth="1"/>
    <col min="4" max="4" width="12.7109375" customWidth="1"/>
  </cols>
  <sheetData>
    <row r="1" spans="1:22" ht="14.25" thickTop="1" thickBot="1">
      <c r="A1" s="599" t="s">
        <v>1595</v>
      </c>
      <c r="B1" s="600"/>
      <c r="C1" s="600"/>
      <c r="D1" s="600"/>
      <c r="E1" s="600"/>
      <c r="F1" s="600"/>
      <c r="G1" s="600"/>
      <c r="H1" s="600"/>
      <c r="I1" s="600"/>
      <c r="J1" s="601"/>
      <c r="M1" s="579">
        <v>1</v>
      </c>
      <c r="N1" s="579">
        <v>2</v>
      </c>
      <c r="O1" s="579">
        <v>3</v>
      </c>
      <c r="P1" s="579">
        <v>4</v>
      </c>
      <c r="Q1" s="579">
        <v>5</v>
      </c>
      <c r="R1" s="1047">
        <v>14</v>
      </c>
    </row>
    <row r="2" spans="1:22" ht="13.5" thickTop="1">
      <c r="A2" s="572">
        <v>1</v>
      </c>
      <c r="B2" s="573">
        <v>1</v>
      </c>
      <c r="C2" s="572">
        <v>2</v>
      </c>
      <c r="D2" s="574">
        <v>2</v>
      </c>
      <c r="E2" s="572">
        <v>3</v>
      </c>
      <c r="F2" s="574">
        <v>3</v>
      </c>
      <c r="G2" s="572">
        <v>4</v>
      </c>
      <c r="H2" s="574">
        <v>4</v>
      </c>
      <c r="I2" s="572">
        <v>5</v>
      </c>
      <c r="J2" s="574">
        <v>5</v>
      </c>
      <c r="K2" s="1049">
        <v>14</v>
      </c>
      <c r="L2" s="1050">
        <v>14</v>
      </c>
      <c r="M2" s="580">
        <v>5.8148230317277987</v>
      </c>
      <c r="N2" s="580">
        <v>5.8148230317277987</v>
      </c>
      <c r="O2" s="580">
        <v>5.8148230317277987</v>
      </c>
      <c r="P2" s="580">
        <v>5.8148230317277987</v>
      </c>
      <c r="Q2" s="580">
        <v>5.8148230317277987</v>
      </c>
      <c r="R2" s="580">
        <v>5.8148230317277987</v>
      </c>
    </row>
    <row r="3" spans="1:22">
      <c r="A3" s="575">
        <v>50</v>
      </c>
      <c r="B3" s="576">
        <v>100</v>
      </c>
      <c r="C3" s="575">
        <v>37.5</v>
      </c>
      <c r="D3" s="576">
        <v>100</v>
      </c>
      <c r="E3" s="575">
        <v>25</v>
      </c>
      <c r="F3" s="576">
        <v>100</v>
      </c>
      <c r="G3" s="575">
        <v>19</v>
      </c>
      <c r="H3" s="576">
        <v>100</v>
      </c>
      <c r="I3" s="575">
        <v>12.5</v>
      </c>
      <c r="J3" s="576">
        <v>100</v>
      </c>
      <c r="K3" s="1051">
        <v>12.5</v>
      </c>
      <c r="L3" s="576">
        <v>100</v>
      </c>
      <c r="M3" s="581">
        <v>5.8148230317277987</v>
      </c>
      <c r="N3" s="581">
        <v>5.8148230317277987</v>
      </c>
      <c r="O3" s="581">
        <v>5.8148230317277987</v>
      </c>
      <c r="P3" s="581">
        <v>5.8148230317277987</v>
      </c>
      <c r="Q3" s="581">
        <v>5.8148230317277987</v>
      </c>
      <c r="R3" s="581">
        <v>5.8148230317277987</v>
      </c>
    </row>
    <row r="4" spans="1:22">
      <c r="A4" s="575">
        <v>37.5</v>
      </c>
      <c r="B4" s="576">
        <v>100</v>
      </c>
      <c r="C4" s="575">
        <v>25</v>
      </c>
      <c r="D4" s="576">
        <v>100</v>
      </c>
      <c r="E4" s="575">
        <v>19</v>
      </c>
      <c r="F4" s="576">
        <v>100</v>
      </c>
      <c r="G4" s="575">
        <v>12.5</v>
      </c>
      <c r="H4" s="576">
        <v>100</v>
      </c>
      <c r="I4" s="575">
        <v>9.5</v>
      </c>
      <c r="J4" s="576">
        <v>100</v>
      </c>
      <c r="K4" s="575">
        <v>9.5</v>
      </c>
      <c r="L4" s="576">
        <v>100</v>
      </c>
      <c r="M4" s="581">
        <v>5.8148230317277987</v>
      </c>
      <c r="N4" s="581">
        <v>5.8148230317277987</v>
      </c>
      <c r="O4" s="581">
        <v>5.8148230317277987</v>
      </c>
      <c r="P4" s="581">
        <v>5.8148230317277987</v>
      </c>
      <c r="Q4" s="581">
        <v>5.8148230317277987</v>
      </c>
      <c r="R4" s="581">
        <v>5.1087431744234335</v>
      </c>
    </row>
    <row r="5" spans="1:22">
      <c r="A5" s="575">
        <v>37.5</v>
      </c>
      <c r="B5" s="576">
        <v>90</v>
      </c>
      <c r="C5" s="575">
        <v>25</v>
      </c>
      <c r="D5" s="576">
        <v>90</v>
      </c>
      <c r="E5" s="575">
        <v>19</v>
      </c>
      <c r="F5" s="576">
        <v>90</v>
      </c>
      <c r="G5" s="575">
        <v>12.5</v>
      </c>
      <c r="H5" s="576">
        <v>90</v>
      </c>
      <c r="I5" s="575">
        <v>9.5</v>
      </c>
      <c r="J5" s="576">
        <v>90</v>
      </c>
      <c r="K5" s="575">
        <v>9.5</v>
      </c>
      <c r="L5" s="576">
        <v>95</v>
      </c>
      <c r="M5" s="581">
        <v>5.8148230317277987</v>
      </c>
      <c r="N5" s="581">
        <v>5.8148230317277987</v>
      </c>
      <c r="O5" s="581">
        <v>5.8148230317277987</v>
      </c>
      <c r="P5" s="581">
        <v>5.8148230317277987</v>
      </c>
      <c r="Q5" s="581">
        <v>5.8148230317277987</v>
      </c>
      <c r="R5" s="581">
        <v>5.1087431744234335</v>
      </c>
      <c r="T5">
        <f>50^0.45</f>
        <v>5.8148230317277987</v>
      </c>
    </row>
    <row r="6" spans="1:22">
      <c r="A6" s="575">
        <v>25</v>
      </c>
      <c r="B6" s="576">
        <v>90</v>
      </c>
      <c r="C6" s="575">
        <v>19</v>
      </c>
      <c r="D6" s="576">
        <v>90</v>
      </c>
      <c r="E6" s="575">
        <v>12.5</v>
      </c>
      <c r="F6" s="576">
        <v>90</v>
      </c>
      <c r="G6" s="575">
        <v>9.5</v>
      </c>
      <c r="H6" s="576">
        <v>90</v>
      </c>
      <c r="I6" s="575">
        <v>4.75</v>
      </c>
      <c r="J6" s="576">
        <v>90</v>
      </c>
      <c r="K6" s="575">
        <v>4.75</v>
      </c>
      <c r="L6" s="576">
        <v>100</v>
      </c>
      <c r="M6" s="581">
        <v>5.8148230317277987</v>
      </c>
      <c r="N6" s="581">
        <v>5.8148230317277987</v>
      </c>
      <c r="O6" s="581">
        <v>5.8148230317277987</v>
      </c>
      <c r="P6" s="581">
        <v>5.8148230317277987</v>
      </c>
      <c r="Q6" s="581">
        <v>5.1087431744234335</v>
      </c>
      <c r="R6" s="581">
        <v>4.2566996126039234</v>
      </c>
      <c r="T6">
        <v>50</v>
      </c>
    </row>
    <row r="7" spans="1:22">
      <c r="A7" s="575">
        <v>2.36</v>
      </c>
      <c r="B7" s="576">
        <v>41</v>
      </c>
      <c r="C7" s="575">
        <v>2.36</v>
      </c>
      <c r="D7" s="576">
        <v>45</v>
      </c>
      <c r="E7" s="575">
        <v>2.36</v>
      </c>
      <c r="F7" s="576">
        <v>49</v>
      </c>
      <c r="G7" s="575">
        <v>2.36</v>
      </c>
      <c r="H7" s="576">
        <v>58</v>
      </c>
      <c r="I7" s="575">
        <v>2.36</v>
      </c>
      <c r="J7" s="576">
        <v>67</v>
      </c>
      <c r="K7" s="575">
        <v>4.75</v>
      </c>
      <c r="L7" s="576">
        <v>90</v>
      </c>
      <c r="M7" s="581">
        <v>5.8148230317277987</v>
      </c>
      <c r="N7" s="581">
        <v>5.8148230317277987</v>
      </c>
      <c r="O7" s="581">
        <v>5.8148230317277987</v>
      </c>
      <c r="P7" s="581">
        <v>5.8148230317277987</v>
      </c>
      <c r="Q7" s="581">
        <v>5.1087431744234335</v>
      </c>
      <c r="R7" s="581">
        <v>4.2566996126039234</v>
      </c>
      <c r="T7">
        <v>50</v>
      </c>
    </row>
    <row r="8" spans="1:22">
      <c r="A8" s="575">
        <v>2.36</v>
      </c>
      <c r="B8" s="576">
        <v>15</v>
      </c>
      <c r="C8" s="575">
        <v>2.36</v>
      </c>
      <c r="D8" s="576">
        <v>19</v>
      </c>
      <c r="E8" s="575">
        <v>2.36</v>
      </c>
      <c r="F8" s="576">
        <v>23</v>
      </c>
      <c r="G8" s="575">
        <v>2.36</v>
      </c>
      <c r="H8" s="576">
        <v>28</v>
      </c>
      <c r="I8" s="575">
        <v>2.36</v>
      </c>
      <c r="J8" s="576">
        <v>32</v>
      </c>
      <c r="K8" s="575">
        <v>1.18</v>
      </c>
      <c r="L8" s="576">
        <v>60</v>
      </c>
      <c r="M8" s="581">
        <v>5.8148230317277987</v>
      </c>
      <c r="N8" s="581">
        <v>5.8148230317277987</v>
      </c>
      <c r="O8" s="581">
        <v>5.8148230317277987</v>
      </c>
      <c r="P8" s="581">
        <v>5.1087431744234335</v>
      </c>
      <c r="Q8" s="581">
        <v>4.2566996126039234</v>
      </c>
      <c r="R8" s="581">
        <v>3.7621761023862978</v>
      </c>
      <c r="T8">
        <f>37.5^0.45</f>
        <v>5.1087431744234335</v>
      </c>
    </row>
    <row r="9" spans="1:22">
      <c r="A9" s="575">
        <v>7.4999999999999997E-2</v>
      </c>
      <c r="B9" s="576">
        <v>6</v>
      </c>
      <c r="C9" s="575">
        <v>7.4999999999999997E-2</v>
      </c>
      <c r="D9" s="576">
        <v>7</v>
      </c>
      <c r="E9" s="575">
        <v>7.4999999999999997E-2</v>
      </c>
      <c r="F9" s="576">
        <v>8</v>
      </c>
      <c r="G9" s="575">
        <v>7.4999999999999997E-2</v>
      </c>
      <c r="H9" s="576">
        <v>10</v>
      </c>
      <c r="I9" s="575">
        <v>7.4999999999999997E-2</v>
      </c>
      <c r="J9" s="576">
        <v>10</v>
      </c>
      <c r="K9" s="575">
        <v>1.18</v>
      </c>
      <c r="L9" s="576">
        <v>30</v>
      </c>
      <c r="M9" s="581">
        <v>5.8148230317277987</v>
      </c>
      <c r="N9" s="581">
        <v>5.8148230317277987</v>
      </c>
      <c r="O9" s="581">
        <v>5.8148230317277987</v>
      </c>
      <c r="P9" s="581">
        <v>5.1087431744234335</v>
      </c>
      <c r="Q9" s="581">
        <v>4.2566996126039234</v>
      </c>
      <c r="R9" s="581">
        <v>3.7621761023862978</v>
      </c>
      <c r="T9">
        <f>25^0.45</f>
        <v>4.2566996126039234</v>
      </c>
    </row>
    <row r="10" spans="1:22" ht="13.5" thickBot="1">
      <c r="A10" s="577">
        <v>7.4999999999999997E-2</v>
      </c>
      <c r="B10" s="578">
        <v>0</v>
      </c>
      <c r="C10" s="577">
        <v>7.4999999999999997E-2</v>
      </c>
      <c r="D10" s="578">
        <v>1</v>
      </c>
      <c r="E10" s="577">
        <v>7.4999999999999997E-2</v>
      </c>
      <c r="F10" s="578">
        <v>2</v>
      </c>
      <c r="G10" s="577">
        <v>7.4999999999999997E-2</v>
      </c>
      <c r="H10" s="578">
        <v>2</v>
      </c>
      <c r="I10" s="577">
        <v>7.4999999999999997E-2</v>
      </c>
      <c r="J10" s="578">
        <v>2</v>
      </c>
      <c r="K10" s="575">
        <v>7.4999999999999997E-2</v>
      </c>
      <c r="L10" s="576">
        <v>12</v>
      </c>
      <c r="M10" s="581">
        <v>5.8148230317277987</v>
      </c>
      <c r="N10" s="581">
        <v>5.1087431744234335</v>
      </c>
      <c r="O10" s="581">
        <v>5.1087431744234335</v>
      </c>
      <c r="P10" s="581">
        <v>4.2566996126039234</v>
      </c>
      <c r="Q10" s="581">
        <v>3.7621761023862978</v>
      </c>
      <c r="R10" s="581">
        <v>3.116086507375345</v>
      </c>
      <c r="T10">
        <f>19^0.45</f>
        <v>3.7621761023862978</v>
      </c>
    </row>
    <row r="11" spans="1:22" ht="14.25" thickTop="1" thickBot="1">
      <c r="A11" s="602"/>
      <c r="B11" s="603"/>
      <c r="C11" s="603"/>
      <c r="D11" s="603"/>
      <c r="E11" s="603"/>
      <c r="F11" s="603"/>
      <c r="G11" s="603"/>
      <c r="H11" s="603"/>
      <c r="I11" s="603"/>
      <c r="J11" s="604"/>
      <c r="K11" s="577">
        <v>7.4999999999999997E-2</v>
      </c>
      <c r="L11" s="578">
        <v>6</v>
      </c>
      <c r="M11" s="581">
        <v>5.8148230317277987</v>
      </c>
      <c r="N11" s="581">
        <v>5.1087431744234335</v>
      </c>
      <c r="O11" s="581">
        <v>5.1087431744234335</v>
      </c>
      <c r="P11" s="581">
        <v>4.2566996126039234</v>
      </c>
      <c r="Q11" s="581">
        <v>3.7621761023862978</v>
      </c>
      <c r="R11" s="581">
        <v>3.116086507375345</v>
      </c>
      <c r="T11">
        <f>12.5^0.45</f>
        <v>3.116086507375345</v>
      </c>
    </row>
    <row r="12" spans="1:22" ht="13.5" thickTop="1">
      <c r="A12" s="1048"/>
      <c r="B12" s="585"/>
      <c r="C12" s="585"/>
      <c r="D12" s="585"/>
      <c r="E12" s="585"/>
      <c r="F12" s="585"/>
      <c r="G12" s="585"/>
      <c r="H12" s="585"/>
      <c r="I12" s="585"/>
      <c r="J12" s="585"/>
      <c r="K12" s="478"/>
      <c r="M12" s="581">
        <v>5.1087431744234335</v>
      </c>
      <c r="N12" s="581">
        <v>4.2566996126039234</v>
      </c>
      <c r="O12" s="581">
        <v>4.2566996126039234</v>
      </c>
      <c r="P12" s="581">
        <v>3.7621761023862978</v>
      </c>
      <c r="Q12" s="581">
        <v>3.116086507375345</v>
      </c>
      <c r="R12" s="581">
        <v>2.754074108566122</v>
      </c>
      <c r="T12">
        <f>9.5^0.45</f>
        <v>2.754074108566122</v>
      </c>
    </row>
    <row r="13" spans="1:22">
      <c r="A13" s="721"/>
      <c r="B13" s="721"/>
      <c r="C13" s="721"/>
      <c r="D13" s="721"/>
      <c r="M13" s="581">
        <v>5.1087431744234335</v>
      </c>
      <c r="N13" s="581">
        <v>4.2566996126039234</v>
      </c>
      <c r="O13" s="581">
        <v>4.2566996126039234</v>
      </c>
      <c r="P13" s="581">
        <v>3.7621761023862978</v>
      </c>
      <c r="Q13" s="581">
        <v>3.116086507375345</v>
      </c>
      <c r="R13" s="581">
        <v>2.754074108566122</v>
      </c>
      <c r="T13">
        <f>2.36^0.45</f>
        <v>1.4716698795820382</v>
      </c>
    </row>
    <row r="14" spans="1:22">
      <c r="A14" s="721"/>
      <c r="B14" s="721"/>
      <c r="C14" s="721"/>
      <c r="D14" s="721"/>
      <c r="E14" s="721"/>
      <c r="F14" s="721"/>
      <c r="G14" s="721"/>
      <c r="H14" s="721"/>
      <c r="I14" s="721"/>
      <c r="J14" s="721"/>
      <c r="M14" s="581">
        <v>4.2566996126039234</v>
      </c>
      <c r="N14" s="581">
        <v>3.7621761023862978</v>
      </c>
      <c r="O14" s="581">
        <v>3.7621761023862978</v>
      </c>
      <c r="P14" s="581">
        <v>3.116086507375345</v>
      </c>
      <c r="Q14" s="581">
        <v>2.754074108566122</v>
      </c>
      <c r="R14" s="581">
        <v>2.0161002539629291</v>
      </c>
      <c r="T14">
        <f>1.18^0.45</f>
        <v>1.0773254099250416</v>
      </c>
    </row>
    <row r="15" spans="1:22">
      <c r="A15" s="721"/>
      <c r="B15" s="721"/>
      <c r="C15" s="721"/>
      <c r="D15" s="721"/>
      <c r="E15" s="721"/>
      <c r="F15" s="721"/>
      <c r="G15" s="721"/>
      <c r="H15" s="721"/>
      <c r="I15" s="721"/>
      <c r="J15" s="721"/>
      <c r="M15" s="581">
        <v>4.2566996126039234</v>
      </c>
      <c r="N15" s="581">
        <v>3.7621761023862978</v>
      </c>
      <c r="O15" s="581">
        <v>3.7621761023862978</v>
      </c>
      <c r="P15" s="581">
        <v>3.116086507375345</v>
      </c>
      <c r="Q15" s="581">
        <v>2.754074108566122</v>
      </c>
      <c r="R15" s="581">
        <v>2.0161002539629291</v>
      </c>
      <c r="T15">
        <v>0.6</v>
      </c>
      <c r="V15">
        <f>4.75^0.45</f>
        <v>2.0161002539629291</v>
      </c>
    </row>
    <row r="16" spans="1:22">
      <c r="A16" s="721"/>
      <c r="B16" s="721"/>
      <c r="C16" s="721"/>
      <c r="D16" s="721"/>
      <c r="E16" s="721"/>
      <c r="F16" s="721"/>
      <c r="G16" s="721"/>
      <c r="H16" s="721"/>
      <c r="I16" s="721"/>
      <c r="J16" s="721"/>
      <c r="M16" s="581">
        <v>2.0161002539629291</v>
      </c>
      <c r="N16" s="581">
        <v>2.0161002539629291</v>
      </c>
      <c r="O16" s="581">
        <v>3.116086507375345</v>
      </c>
      <c r="P16" s="581">
        <v>2.754074108566122</v>
      </c>
      <c r="Q16" s="581">
        <v>2.0161002539629291</v>
      </c>
      <c r="R16" s="581">
        <v>1.4716698795820382</v>
      </c>
      <c r="T16">
        <v>0.3</v>
      </c>
    </row>
    <row r="17" spans="1:20">
      <c r="A17" s="721"/>
      <c r="B17" s="721"/>
      <c r="C17" s="721"/>
      <c r="D17" s="721"/>
      <c r="E17" s="721"/>
      <c r="F17" s="721"/>
      <c r="G17" s="721"/>
      <c r="H17" s="721"/>
      <c r="I17" s="721"/>
      <c r="M17" s="581">
        <v>2.0161002539629291</v>
      </c>
      <c r="N17" s="581">
        <v>2.0161002539629291</v>
      </c>
      <c r="O17" s="581">
        <v>3.116086507375345</v>
      </c>
      <c r="P17" s="581">
        <v>2.754074108566122</v>
      </c>
      <c r="Q17" s="581">
        <v>2.0161002539629291</v>
      </c>
      <c r="R17" s="581">
        <v>1.4716698795820382</v>
      </c>
      <c r="T17">
        <v>7.4999999999999997E-2</v>
      </c>
    </row>
    <row r="18" spans="1:20">
      <c r="M18" s="581">
        <v>1.4716698795820382</v>
      </c>
      <c r="N18" s="581">
        <v>1.4716698795820382</v>
      </c>
      <c r="O18" s="581">
        <v>1.4716698795820382</v>
      </c>
      <c r="P18" s="581">
        <v>1.4716698795820382</v>
      </c>
      <c r="Q18" s="581">
        <v>1.4716698795820382</v>
      </c>
      <c r="R18" s="581">
        <v>1.0773254099250416</v>
      </c>
    </row>
    <row r="19" spans="1:20">
      <c r="A19" s="1052"/>
      <c r="B19" s="1052"/>
      <c r="C19" s="1052"/>
      <c r="D19" s="1052"/>
      <c r="E19" s="1052"/>
      <c r="F19" s="1052"/>
      <c r="G19" s="1052"/>
      <c r="H19" s="1052"/>
      <c r="I19" s="1052"/>
      <c r="J19" s="1052"/>
      <c r="M19" s="581">
        <v>1.4716698795820382</v>
      </c>
      <c r="N19" s="581">
        <v>1.4716698795820382</v>
      </c>
      <c r="O19" s="581">
        <v>1.4716698795820382</v>
      </c>
      <c r="P19" s="581">
        <v>1.4716698795820382</v>
      </c>
      <c r="Q19" s="581">
        <v>1.4716698795820382</v>
      </c>
      <c r="R19" s="581">
        <v>1.0773254099250416</v>
      </c>
    </row>
    <row r="20" spans="1:20">
      <c r="A20" s="585"/>
      <c r="B20" s="585"/>
      <c r="C20" s="585"/>
      <c r="D20" s="585"/>
      <c r="E20" s="585"/>
      <c r="F20" s="585"/>
      <c r="G20" s="585"/>
      <c r="H20" s="585"/>
      <c r="I20" s="585"/>
      <c r="J20" s="585"/>
      <c r="M20" s="581">
        <v>1.0773254099250416</v>
      </c>
      <c r="N20" s="581">
        <v>1.0773254099250416</v>
      </c>
      <c r="O20" s="581">
        <v>1.0773254099250416</v>
      </c>
      <c r="P20" s="581">
        <v>1.0773254099250416</v>
      </c>
      <c r="Q20" s="581">
        <v>1.0773254099250416</v>
      </c>
      <c r="R20" s="581">
        <v>0.79463568224020453</v>
      </c>
    </row>
    <row r="21" spans="1:20">
      <c r="A21" s="721"/>
      <c r="B21" s="721"/>
      <c r="C21" s="721"/>
      <c r="D21" s="721"/>
      <c r="M21" s="581">
        <v>1.0773254099250416</v>
      </c>
      <c r="N21" s="581">
        <v>1.0773254099250416</v>
      </c>
      <c r="O21" s="581">
        <v>1.0773254099250416</v>
      </c>
      <c r="P21" s="581">
        <v>1.0773254099250416</v>
      </c>
      <c r="Q21" s="581">
        <v>1.0773254099250416</v>
      </c>
      <c r="R21" s="581">
        <v>0.79463568224020453</v>
      </c>
    </row>
    <row r="22" spans="1:20">
      <c r="A22" s="721"/>
      <c r="B22" s="721"/>
      <c r="C22" s="721"/>
      <c r="D22" s="721"/>
      <c r="E22" s="721"/>
      <c r="F22" s="721"/>
      <c r="G22" s="721"/>
      <c r="H22" s="721"/>
      <c r="I22" s="721"/>
      <c r="J22" s="721"/>
      <c r="M22" s="581">
        <v>0.79463568224020453</v>
      </c>
      <c r="N22" s="581">
        <v>0.79463568224020453</v>
      </c>
      <c r="O22" s="581">
        <v>0.79463568224020453</v>
      </c>
      <c r="P22" s="581">
        <v>0.79463568224020453</v>
      </c>
      <c r="Q22" s="581">
        <v>0.79463568224020453</v>
      </c>
      <c r="R22" s="581">
        <v>0.58170736792793831</v>
      </c>
    </row>
    <row r="23" spans="1:20">
      <c r="A23" s="721"/>
      <c r="B23" s="721"/>
      <c r="C23" s="721"/>
      <c r="D23" s="721"/>
      <c r="E23" s="721"/>
      <c r="F23" s="721"/>
      <c r="G23" s="721"/>
      <c r="H23" s="721"/>
      <c r="I23" s="721"/>
      <c r="J23" s="721"/>
      <c r="M23" s="581">
        <v>0.79463568224020453</v>
      </c>
      <c r="N23" s="581">
        <v>0.79463568224020453</v>
      </c>
      <c r="O23" s="581">
        <v>0.79463568224020453</v>
      </c>
      <c r="P23" s="581">
        <v>0.79463568224020453</v>
      </c>
      <c r="Q23" s="581">
        <v>0.79463568224020453</v>
      </c>
      <c r="R23" s="581">
        <v>0.58170736792793831</v>
      </c>
    </row>
    <row r="24" spans="1:20">
      <c r="A24" s="721"/>
      <c r="B24" s="721"/>
      <c r="C24" s="721"/>
      <c r="D24" s="721"/>
      <c r="E24" s="721"/>
      <c r="F24" s="721"/>
      <c r="G24" s="721"/>
      <c r="H24" s="721"/>
      <c r="I24" s="721"/>
      <c r="J24" s="721"/>
      <c r="M24" s="581">
        <v>0.58170736792793831</v>
      </c>
      <c r="N24" s="581">
        <v>0.58170736792793831</v>
      </c>
      <c r="O24" s="581">
        <v>0.58170736792793831</v>
      </c>
      <c r="P24" s="581">
        <v>0.58170736792793831</v>
      </c>
      <c r="Q24" s="581">
        <v>0.58170736792793831</v>
      </c>
      <c r="R24" s="1045"/>
    </row>
    <row r="25" spans="1:20">
      <c r="A25" s="721"/>
      <c r="B25" s="721"/>
      <c r="C25" s="721"/>
      <c r="D25" s="721"/>
      <c r="E25" s="721"/>
      <c r="F25" s="721"/>
      <c r="G25" s="721"/>
      <c r="H25" s="721"/>
      <c r="I25" s="721"/>
      <c r="J25" s="721"/>
      <c r="M25" s="581">
        <v>0.58170736792793831</v>
      </c>
      <c r="N25" s="581">
        <v>0.58170736792793831</v>
      </c>
      <c r="O25" s="581">
        <v>0.58170736792793831</v>
      </c>
      <c r="P25" s="581">
        <v>0.58170736792793831</v>
      </c>
      <c r="Q25" s="581">
        <v>0.58170736792793831</v>
      </c>
      <c r="R25" s="1046"/>
    </row>
    <row r="26" spans="1:20">
      <c r="M26" s="581">
        <v>0.31172925995349998</v>
      </c>
      <c r="N26" s="581">
        <v>0.31172925995349998</v>
      </c>
      <c r="O26" s="581">
        <v>0.31172925995349998</v>
      </c>
      <c r="P26" s="581">
        <v>0.31172925995349998</v>
      </c>
      <c r="Q26" s="581">
        <v>0.31172925995349998</v>
      </c>
      <c r="R26" s="581">
        <v>0.31172925995349998</v>
      </c>
    </row>
    <row r="27" spans="1:20" ht="13.5" thickBot="1">
      <c r="A27" s="583" t="s">
        <v>1596</v>
      </c>
      <c r="B27" s="584">
        <f>Calculations!J1</f>
        <v>0</v>
      </c>
      <c r="M27" s="582">
        <v>0.31172925995349998</v>
      </c>
      <c r="N27" s="582">
        <v>0.31172925995349998</v>
      </c>
      <c r="O27" s="582">
        <v>0.31172925995349998</v>
      </c>
      <c r="P27" s="582">
        <v>0.31172925995349998</v>
      </c>
      <c r="Q27" s="582">
        <v>0.31172925995349998</v>
      </c>
      <c r="R27" s="582">
        <v>0.31172925995349998</v>
      </c>
    </row>
    <row r="28" spans="1:20" ht="13.5" thickTop="1"/>
    <row r="30" spans="1:20">
      <c r="A30" s="583">
        <v>1</v>
      </c>
      <c r="B30" s="583">
        <v>2</v>
      </c>
      <c r="C30" s="583">
        <v>3</v>
      </c>
      <c r="D30" s="583">
        <v>4</v>
      </c>
      <c r="E30" s="583">
        <v>5</v>
      </c>
      <c r="F30" s="1053">
        <v>14</v>
      </c>
    </row>
    <row r="31" spans="1:20">
      <c r="A31" s="583">
        <v>50</v>
      </c>
      <c r="B31" s="583">
        <v>37.5</v>
      </c>
      <c r="C31" s="583">
        <v>25</v>
      </c>
      <c r="D31" s="583">
        <v>19</v>
      </c>
      <c r="E31" s="583">
        <v>12.5</v>
      </c>
      <c r="F31" s="1053">
        <v>12.5</v>
      </c>
    </row>
    <row r="33" spans="1:23">
      <c r="A33" s="425" t="s">
        <v>1597</v>
      </c>
      <c r="B33" s="425"/>
      <c r="C33" s="425"/>
    </row>
    <row r="34" spans="1:23">
      <c r="A34">
        <v>0</v>
      </c>
      <c r="B34">
        <f>A34^0.45</f>
        <v>0</v>
      </c>
      <c r="C34">
        <v>0</v>
      </c>
    </row>
    <row r="35" spans="1:23">
      <c r="A35" t="e">
        <f>HLOOKUP(B27,A30:E31,2)</f>
        <v>#N/A</v>
      </c>
      <c r="B35" t="e">
        <f>A35^0.45</f>
        <v>#N/A</v>
      </c>
      <c r="C35">
        <v>100</v>
      </c>
    </row>
    <row r="37" spans="1:23" ht="13.5" thickBot="1"/>
    <row r="38" spans="1:23" ht="14.25" thickTop="1" thickBot="1">
      <c r="A38" s="605" t="s">
        <v>1598</v>
      </c>
      <c r="B38" s="606"/>
      <c r="C38" s="606"/>
      <c r="D38" s="607"/>
      <c r="L38" s="1657" t="s">
        <v>1599</v>
      </c>
      <c r="M38" s="1658"/>
      <c r="N38" s="1658"/>
      <c r="O38" s="1658"/>
      <c r="P38" s="1658"/>
      <c r="Q38" s="1659"/>
      <c r="R38" s="1657" t="s">
        <v>1600</v>
      </c>
      <c r="S38" s="1658"/>
      <c r="T38" s="1658"/>
      <c r="U38" s="1658"/>
      <c r="V38" s="1658"/>
      <c r="W38" s="1659"/>
    </row>
    <row r="39" spans="1:23" ht="13.5" thickTop="1">
      <c r="A39" s="586" t="s">
        <v>1601</v>
      </c>
      <c r="B39" s="587" t="s">
        <v>1602</v>
      </c>
      <c r="C39" s="587" t="s">
        <v>1603</v>
      </c>
      <c r="D39" s="588" t="s">
        <v>1604</v>
      </c>
      <c r="E39" s="425" t="s">
        <v>1605</v>
      </c>
      <c r="F39" s="425"/>
      <c r="G39" s="425"/>
      <c r="H39" s="585" t="s">
        <v>1606</v>
      </c>
      <c r="I39" s="585" t="s">
        <v>1607</v>
      </c>
      <c r="L39" s="586">
        <v>1</v>
      </c>
      <c r="M39" s="587">
        <v>2</v>
      </c>
      <c r="N39" s="587">
        <v>3</v>
      </c>
      <c r="O39" s="587">
        <v>4</v>
      </c>
      <c r="P39" s="1054">
        <v>5</v>
      </c>
      <c r="Q39" s="1056">
        <v>14</v>
      </c>
      <c r="R39" s="1067">
        <v>1</v>
      </c>
      <c r="S39" s="1068">
        <v>2</v>
      </c>
      <c r="T39" s="1068">
        <v>3</v>
      </c>
      <c r="U39" s="1068">
        <v>4</v>
      </c>
      <c r="V39" s="1069">
        <v>5</v>
      </c>
      <c r="W39" s="1070">
        <v>14</v>
      </c>
    </row>
    <row r="40" spans="1:23">
      <c r="A40" s="589" t="e">
        <f>HLOOKUP(B27,L39:Q52,2)</f>
        <v>#N/A</v>
      </c>
      <c r="B40" s="597" t="e">
        <f>HLOOKUP(B27,L56:Q69,2)</f>
        <v>#N/A</v>
      </c>
      <c r="C40" s="584" t="e">
        <f>HLOOKUP(B27,R39:W52,2)</f>
        <v>#N/A</v>
      </c>
      <c r="D40" s="595" t="e">
        <f>C40^0.45</f>
        <v>#N/A</v>
      </c>
      <c r="H40" t="e">
        <f>HLOOKUP(B27,M1:R27,2)</f>
        <v>#N/A</v>
      </c>
      <c r="I40">
        <v>0</v>
      </c>
      <c r="L40" s="589" t="s">
        <v>1608</v>
      </c>
      <c r="M40" s="584" t="s">
        <v>1608</v>
      </c>
      <c r="N40" s="584" t="s">
        <v>1608</v>
      </c>
      <c r="O40" s="584" t="s">
        <v>1608</v>
      </c>
      <c r="P40" s="1063" t="s">
        <v>1608</v>
      </c>
      <c r="Q40" s="1064" t="s">
        <v>1608</v>
      </c>
      <c r="R40" s="1071">
        <v>50</v>
      </c>
      <c r="S40" s="583">
        <v>50</v>
      </c>
      <c r="T40" s="583">
        <v>50</v>
      </c>
      <c r="U40" s="583">
        <v>50</v>
      </c>
      <c r="V40" s="1066">
        <v>50</v>
      </c>
      <c r="W40" s="595">
        <v>50</v>
      </c>
    </row>
    <row r="41" spans="1:23">
      <c r="A41" s="589" t="e">
        <f>HLOOKUP(B27,L39:Q52,3)</f>
        <v>#N/A</v>
      </c>
      <c r="B41" s="597" t="e">
        <f>HLOOKUP(B27,L56:Q69,3)</f>
        <v>#N/A</v>
      </c>
      <c r="C41" s="584" t="e">
        <f>HLOOKUP(B27,R39:W52,3)</f>
        <v>#N/A</v>
      </c>
      <c r="D41" s="595" t="e">
        <f t="shared" ref="D41:D53" si="0">C41^0.45</f>
        <v>#N/A</v>
      </c>
      <c r="E41" t="e">
        <f>HLOOKUP(B27,A2:L11,2,FALSE)</f>
        <v>#N/A</v>
      </c>
      <c r="F41" t="e">
        <f>E41^0.45</f>
        <v>#N/A</v>
      </c>
      <c r="G41" t="e">
        <f>IF(HLOOKUP(B27,A2:L11,2,TRUE),HLOOKUP(B27,A2:L11,2,TRUE))</f>
        <v>#N/A</v>
      </c>
      <c r="H41" t="e">
        <f>HLOOKUP(B27,M1:R27,3)</f>
        <v>#N/A</v>
      </c>
      <c r="I41">
        <v>100</v>
      </c>
      <c r="L41" s="589" t="s">
        <v>1608</v>
      </c>
      <c r="M41" s="584" t="s">
        <v>1608</v>
      </c>
      <c r="N41" s="584" t="s">
        <v>1608</v>
      </c>
      <c r="O41" s="584" t="s">
        <v>1608</v>
      </c>
      <c r="P41" s="1063" t="s">
        <v>1608</v>
      </c>
      <c r="Q41" s="1064" t="s">
        <v>1354</v>
      </c>
      <c r="R41" s="1071">
        <v>50</v>
      </c>
      <c r="S41" s="583">
        <v>50</v>
      </c>
      <c r="T41" s="583">
        <v>50</v>
      </c>
      <c r="U41" s="583">
        <v>50</v>
      </c>
      <c r="V41" s="1066">
        <v>50</v>
      </c>
      <c r="W41" s="595">
        <v>37.5</v>
      </c>
    </row>
    <row r="42" spans="1:23">
      <c r="A42" s="589" t="e">
        <f>HLOOKUP(B27,L39:Q52,4)</f>
        <v>#N/A</v>
      </c>
      <c r="B42" s="597" t="e">
        <f>HLOOKUP(B27,L56:Q69,4)</f>
        <v>#N/A</v>
      </c>
      <c r="C42" s="584" t="e">
        <f>HLOOKUP(B27,R39:W52,4)</f>
        <v>#N/A</v>
      </c>
      <c r="D42" s="595" t="e">
        <f t="shared" si="0"/>
        <v>#N/A</v>
      </c>
      <c r="E42" t="e">
        <f>HLOOKUP(B27,A2:L11,3,FALSE)</f>
        <v>#N/A</v>
      </c>
      <c r="F42" t="e">
        <f t="shared" ref="F42:F49" si="1">E42^0.45</f>
        <v>#N/A</v>
      </c>
      <c r="G42" t="e">
        <f>IF(HLOOKUP(B27,A2:L11,3,TRUE),HLOOKUP(B27,A2:L11,3,TRUE))</f>
        <v>#N/A</v>
      </c>
      <c r="H42" t="e">
        <f>HLOOKUP(B27,M1:R27,4)</f>
        <v>#N/A</v>
      </c>
      <c r="L42" s="589" t="s">
        <v>1608</v>
      </c>
      <c r="M42" s="584" t="s">
        <v>1608</v>
      </c>
      <c r="N42" s="584" t="s">
        <v>1608</v>
      </c>
      <c r="O42" s="584" t="s">
        <v>1608</v>
      </c>
      <c r="P42" s="1063" t="s">
        <v>1609</v>
      </c>
      <c r="Q42" s="1064" t="s">
        <v>1610</v>
      </c>
      <c r="R42" s="1071">
        <v>50</v>
      </c>
      <c r="S42" s="583">
        <v>50</v>
      </c>
      <c r="T42" s="583">
        <v>50</v>
      </c>
      <c r="U42" s="583">
        <v>50</v>
      </c>
      <c r="V42" s="1066">
        <v>37.5</v>
      </c>
      <c r="W42" s="595">
        <v>25</v>
      </c>
    </row>
    <row r="43" spans="1:23">
      <c r="A43" s="589" t="e">
        <f>HLOOKUP(B27,L39:Q52,5)</f>
        <v>#N/A</v>
      </c>
      <c r="B43" s="597" t="e">
        <f>HLOOKUP(B27,L56:Q69,5)</f>
        <v>#N/A</v>
      </c>
      <c r="C43" s="584" t="e">
        <f>HLOOKUP(B27,R39:W52,5)</f>
        <v>#N/A</v>
      </c>
      <c r="D43" s="595" t="e">
        <f t="shared" si="0"/>
        <v>#N/A</v>
      </c>
      <c r="E43" t="e">
        <f>HLOOKUP(B27,A2:L11,4,FALSE)</f>
        <v>#N/A</v>
      </c>
      <c r="F43" t="e">
        <f t="shared" si="1"/>
        <v>#N/A</v>
      </c>
      <c r="G43" t="e">
        <f>IF(HLOOKUP(B27,A2:L11,4,TRUE),HLOOKUP(B27,A2:L11,4,TRUE))</f>
        <v>#N/A</v>
      </c>
      <c r="H43" t="e">
        <f>HLOOKUP(B27,M1:R27,5)</f>
        <v>#N/A</v>
      </c>
      <c r="L43" s="589" t="s">
        <v>1608</v>
      </c>
      <c r="M43" s="584" t="s">
        <v>1608</v>
      </c>
      <c r="N43" s="584" t="s">
        <v>1608</v>
      </c>
      <c r="O43" s="584" t="s">
        <v>1609</v>
      </c>
      <c r="P43" s="1063" t="s">
        <v>1610</v>
      </c>
      <c r="Q43" s="1064" t="s">
        <v>1611</v>
      </c>
      <c r="R43" s="1071">
        <v>50</v>
      </c>
      <c r="S43" s="583">
        <v>50</v>
      </c>
      <c r="T43" s="583">
        <v>50</v>
      </c>
      <c r="U43" s="583">
        <v>37.5</v>
      </c>
      <c r="V43" s="1066">
        <v>25</v>
      </c>
      <c r="W43" s="595">
        <v>19</v>
      </c>
    </row>
    <row r="44" spans="1:23">
      <c r="A44" s="589" t="e">
        <f>HLOOKUP(B27,L39:Q52,6)</f>
        <v>#N/A</v>
      </c>
      <c r="B44" s="597" t="e">
        <f>HLOOKUP(B27,L56:Q69,6)</f>
        <v>#N/A</v>
      </c>
      <c r="C44" s="584" t="e">
        <f>HLOOKUP(B27,R39:W52,6)</f>
        <v>#N/A</v>
      </c>
      <c r="D44" s="595" t="e">
        <f t="shared" si="0"/>
        <v>#N/A</v>
      </c>
      <c r="E44" t="e">
        <f>HLOOKUP(B27,A2:L11,5,FALSE)</f>
        <v>#N/A</v>
      </c>
      <c r="F44" t="e">
        <f t="shared" si="1"/>
        <v>#N/A</v>
      </c>
      <c r="G44" t="e">
        <f>IF(HLOOKUP(B27,A2:L11,5,TRUE),HLOOKUP(B27,A2:L11,5,TRUE))</f>
        <v>#N/A</v>
      </c>
      <c r="H44" t="e">
        <f>HLOOKUP(B27,M1:R27,6)</f>
        <v>#N/A</v>
      </c>
      <c r="L44" s="589" t="s">
        <v>1608</v>
      </c>
      <c r="M44" s="584" t="s">
        <v>1609</v>
      </c>
      <c r="N44" s="584" t="s">
        <v>1609</v>
      </c>
      <c r="O44" s="584" t="s">
        <v>1610</v>
      </c>
      <c r="P44" s="1063" t="s">
        <v>1611</v>
      </c>
      <c r="Q44" s="1064" t="s">
        <v>1614</v>
      </c>
      <c r="R44" s="1071">
        <v>50</v>
      </c>
      <c r="S44" s="583">
        <v>37.5</v>
      </c>
      <c r="T44" s="583">
        <v>37.5</v>
      </c>
      <c r="U44" s="583">
        <v>25</v>
      </c>
      <c r="V44" s="1066">
        <v>19</v>
      </c>
      <c r="W44" s="595">
        <v>12.5</v>
      </c>
    </row>
    <row r="45" spans="1:23">
      <c r="A45" s="589" t="e">
        <f>HLOOKUP(B27,L39:Q52,7)</f>
        <v>#N/A</v>
      </c>
      <c r="B45" s="597" t="e">
        <f>HLOOKUP(B27,L56:Q69,7)</f>
        <v>#N/A</v>
      </c>
      <c r="C45" s="584" t="e">
        <f>HLOOKUP(B27,R39:W52,7)</f>
        <v>#N/A</v>
      </c>
      <c r="D45" s="595" t="e">
        <f t="shared" si="0"/>
        <v>#N/A</v>
      </c>
      <c r="E45" t="e">
        <f>HLOOKUP(B27,A2:L11,6,FALSE)</f>
        <v>#N/A</v>
      </c>
      <c r="F45" t="e">
        <f t="shared" si="1"/>
        <v>#N/A</v>
      </c>
      <c r="G45" t="e">
        <f>IF(HLOOKUP(B27,A2:L11,6,TRUE),HLOOKUP(B27,A2:L11,6,TRUE))</f>
        <v>#N/A</v>
      </c>
      <c r="H45" t="e">
        <f>HLOOKUP(B27,M1:R27,7)</f>
        <v>#N/A</v>
      </c>
      <c r="L45" s="589" t="s">
        <v>1609</v>
      </c>
      <c r="M45" s="584" t="s">
        <v>1610</v>
      </c>
      <c r="N45" s="584" t="s">
        <v>1610</v>
      </c>
      <c r="O45" s="584" t="s">
        <v>1611</v>
      </c>
      <c r="P45" s="1063" t="s">
        <v>1614</v>
      </c>
      <c r="Q45" s="1064" t="s">
        <v>1615</v>
      </c>
      <c r="R45" s="1071">
        <v>37.5</v>
      </c>
      <c r="S45" s="583">
        <v>25</v>
      </c>
      <c r="T45" s="583">
        <v>25</v>
      </c>
      <c r="U45" s="583">
        <v>19</v>
      </c>
      <c r="V45" s="1066">
        <v>12.5</v>
      </c>
      <c r="W45" s="595">
        <v>9.5</v>
      </c>
    </row>
    <row r="46" spans="1:23">
      <c r="A46" s="589" t="e">
        <f>HLOOKUP(B27,L39:Q52,8)</f>
        <v>#N/A</v>
      </c>
      <c r="B46" s="597" t="e">
        <f>HLOOKUP(B27,L56:Q69,8)</f>
        <v>#N/A</v>
      </c>
      <c r="C46" s="584" t="e">
        <f>HLOOKUP(B27,R39:W52,8)</f>
        <v>#N/A</v>
      </c>
      <c r="D46" s="595" t="e">
        <f t="shared" si="0"/>
        <v>#N/A</v>
      </c>
      <c r="E46" t="e">
        <f>HLOOKUP(B27,A2:L11,7,FALSE)</f>
        <v>#N/A</v>
      </c>
      <c r="F46" t="e">
        <f t="shared" si="1"/>
        <v>#N/A</v>
      </c>
      <c r="G46" t="e">
        <f>IF(HLOOKUP(B27,A2:L11,7,TRUE),HLOOKUP(B27,A2:L11,7,TRUE))</f>
        <v>#N/A</v>
      </c>
      <c r="H46" t="e">
        <f>HLOOKUP(B27,M1:R27,8)</f>
        <v>#N/A</v>
      </c>
      <c r="L46" s="589" t="s">
        <v>1610</v>
      </c>
      <c r="M46" s="584" t="s">
        <v>1611</v>
      </c>
      <c r="N46" s="584" t="s">
        <v>1611</v>
      </c>
      <c r="O46" s="584" t="s">
        <v>1614</v>
      </c>
      <c r="P46" s="1063" t="s">
        <v>1615</v>
      </c>
      <c r="Q46" s="1064" t="s">
        <v>1616</v>
      </c>
      <c r="R46" s="1071">
        <v>25</v>
      </c>
      <c r="S46" s="583">
        <v>19</v>
      </c>
      <c r="T46" s="583">
        <v>19</v>
      </c>
      <c r="U46" s="583">
        <v>12.5</v>
      </c>
      <c r="V46" s="1066">
        <v>9.5</v>
      </c>
      <c r="W46" s="595">
        <v>4.75</v>
      </c>
    </row>
    <row r="47" spans="1:23">
      <c r="A47" s="589" t="e">
        <f>HLOOKUP(B27,L39:Q52,9)</f>
        <v>#N/A</v>
      </c>
      <c r="B47" s="597" t="e">
        <f>HLOOKUP(B27,L56:Q69,9)</f>
        <v>#N/A</v>
      </c>
      <c r="C47" s="584" t="e">
        <f>HLOOKUP(B27,R39:W52,9)</f>
        <v>#N/A</v>
      </c>
      <c r="D47" s="595" t="e">
        <f t="shared" si="0"/>
        <v>#N/A</v>
      </c>
      <c r="E47" t="e">
        <f>HLOOKUP(B27,A2:L11,8,FALSE)</f>
        <v>#N/A</v>
      </c>
      <c r="F47" t="e">
        <f t="shared" si="1"/>
        <v>#N/A</v>
      </c>
      <c r="G47" t="e">
        <f>IF(HLOOKUP(B27,A2:L11,8,TRUE),HLOOKUP(B27,A2:L11,8,TRUE))</f>
        <v>#N/A</v>
      </c>
      <c r="H47" t="e">
        <f>HLOOKUP(B27,M1:R27,9)</f>
        <v>#N/A</v>
      </c>
      <c r="L47" s="589" t="s">
        <v>1616</v>
      </c>
      <c r="M47" s="584" t="s">
        <v>1616</v>
      </c>
      <c r="N47" s="584" t="s">
        <v>1614</v>
      </c>
      <c r="O47" s="584" t="s">
        <v>1615</v>
      </c>
      <c r="P47" s="1063" t="s">
        <v>1616</v>
      </c>
      <c r="Q47" s="1064" t="s">
        <v>1617</v>
      </c>
      <c r="R47" s="1071">
        <v>4.75</v>
      </c>
      <c r="S47" s="583">
        <v>4.75</v>
      </c>
      <c r="T47" s="583">
        <v>12.5</v>
      </c>
      <c r="U47" s="583">
        <v>9.5</v>
      </c>
      <c r="V47" s="1066">
        <v>4.75</v>
      </c>
      <c r="W47" s="595">
        <v>2.36</v>
      </c>
    </row>
    <row r="48" spans="1:23">
      <c r="A48" s="589" t="e">
        <f>HLOOKUP(B27,L39:Q52,10)</f>
        <v>#N/A</v>
      </c>
      <c r="B48" s="597" t="e">
        <f>HLOOKUP(B27,L56:Q69,10)</f>
        <v>#N/A</v>
      </c>
      <c r="C48" s="584" t="e">
        <f>HLOOKUP(B27,R39:W52,10)</f>
        <v>#N/A</v>
      </c>
      <c r="D48" s="595" t="e">
        <f t="shared" si="0"/>
        <v>#N/A</v>
      </c>
      <c r="E48" t="e">
        <f>HLOOKUP(B27,A2:L11,9,FALSE)</f>
        <v>#N/A</v>
      </c>
      <c r="F48" t="e">
        <f t="shared" si="1"/>
        <v>#N/A</v>
      </c>
      <c r="G48" t="e">
        <f>IF(HLOOKUP(B27,A2:L11,9,TRUE),HLOOKUP(B27,A2:L11,9,TRUE))</f>
        <v>#N/A</v>
      </c>
      <c r="H48" t="e">
        <f>HLOOKUP(B27,M1:R27,10)</f>
        <v>#N/A</v>
      </c>
      <c r="L48" s="589" t="s">
        <v>1617</v>
      </c>
      <c r="M48" s="584" t="s">
        <v>1617</v>
      </c>
      <c r="N48" s="584" t="s">
        <v>1617</v>
      </c>
      <c r="O48" s="584" t="s">
        <v>1617</v>
      </c>
      <c r="P48" s="1063" t="s">
        <v>1617</v>
      </c>
      <c r="Q48" s="1064" t="s">
        <v>1618</v>
      </c>
      <c r="R48" s="1071">
        <v>2.36</v>
      </c>
      <c r="S48" s="583">
        <v>2.36</v>
      </c>
      <c r="T48" s="583">
        <v>2.36</v>
      </c>
      <c r="U48" s="583">
        <v>2.36</v>
      </c>
      <c r="V48" s="1066">
        <v>2.36</v>
      </c>
      <c r="W48" s="595">
        <v>1.18</v>
      </c>
    </row>
    <row r="49" spans="1:35">
      <c r="A49" s="589" t="e">
        <f>HLOOKUP(B27,L39:Q52,11)</f>
        <v>#N/A</v>
      </c>
      <c r="B49" s="597" t="e">
        <f>HLOOKUP(B27,L56:Q69,11)</f>
        <v>#N/A</v>
      </c>
      <c r="C49" s="584" t="e">
        <f>HLOOKUP(B27,R39:W52,11)</f>
        <v>#N/A</v>
      </c>
      <c r="D49" s="595" t="e">
        <f t="shared" si="0"/>
        <v>#N/A</v>
      </c>
      <c r="E49" t="e">
        <f>HLOOKUP(B27,A2:L11,10,FALSE)</f>
        <v>#N/A</v>
      </c>
      <c r="F49" t="e">
        <f t="shared" si="1"/>
        <v>#N/A</v>
      </c>
      <c r="G49" t="e">
        <f>IF(HLOOKUP(B27,A2:L11,10,TRUE),HLOOKUP(B27,A2:L11,10,TRUE))</f>
        <v>#N/A</v>
      </c>
      <c r="H49" t="e">
        <f>HLOOKUP(B27,M1:R27,11)</f>
        <v>#N/A</v>
      </c>
      <c r="L49" s="589" t="s">
        <v>1618</v>
      </c>
      <c r="M49" s="584" t="s">
        <v>1618</v>
      </c>
      <c r="N49" s="584" t="s">
        <v>1618</v>
      </c>
      <c r="O49" s="584" t="s">
        <v>1618</v>
      </c>
      <c r="P49" s="1063" t="s">
        <v>1618</v>
      </c>
      <c r="Q49" s="1064" t="s">
        <v>1619</v>
      </c>
      <c r="R49" s="1071">
        <v>1.18</v>
      </c>
      <c r="S49" s="583">
        <v>1.18</v>
      </c>
      <c r="T49" s="583">
        <v>1.18</v>
      </c>
      <c r="U49" s="583">
        <v>1.18</v>
      </c>
      <c r="V49" s="1066">
        <v>1.18</v>
      </c>
      <c r="W49" s="595">
        <v>0.6</v>
      </c>
    </row>
    <row r="50" spans="1:35">
      <c r="A50" s="589" t="e">
        <f>HLOOKUP(B27,L39:Q52,12)</f>
        <v>#N/A</v>
      </c>
      <c r="B50" s="597" t="e">
        <f>HLOOKUP(B27,L56:Q69,12)</f>
        <v>#N/A</v>
      </c>
      <c r="C50" s="584" t="e">
        <f>HLOOKUP(B27,R39:W52,12)</f>
        <v>#N/A</v>
      </c>
      <c r="D50" s="595" t="e">
        <f t="shared" si="0"/>
        <v>#N/A</v>
      </c>
      <c r="H50" t="e">
        <f>HLOOKUP(B27,M1:R27,12)</f>
        <v>#N/A</v>
      </c>
      <c r="L50" s="589" t="s">
        <v>1619</v>
      </c>
      <c r="M50" s="584" t="s">
        <v>1619</v>
      </c>
      <c r="N50" s="584" t="s">
        <v>1619</v>
      </c>
      <c r="O50" s="584" t="s">
        <v>1619</v>
      </c>
      <c r="P50" s="1063" t="s">
        <v>1619</v>
      </c>
      <c r="Q50" s="1064" t="s">
        <v>1620</v>
      </c>
      <c r="R50" s="1071">
        <v>0.6</v>
      </c>
      <c r="S50" s="583">
        <v>0.6</v>
      </c>
      <c r="T50" s="583">
        <v>0.6</v>
      </c>
      <c r="U50" s="583">
        <v>0.6</v>
      </c>
      <c r="V50" s="1066">
        <v>0.6</v>
      </c>
      <c r="W50" s="595">
        <v>0.3</v>
      </c>
    </row>
    <row r="51" spans="1:35">
      <c r="A51" s="589" t="e">
        <f>HLOOKUP(B27,L39:Q52,13)</f>
        <v>#N/A</v>
      </c>
      <c r="B51" s="597" t="e">
        <f>HLOOKUP(B27,L56:Q69,13)</f>
        <v>#N/A</v>
      </c>
      <c r="C51" s="584" t="e">
        <f>HLOOKUP(B27,R39:W52,13)</f>
        <v>#N/A</v>
      </c>
      <c r="D51" s="595" t="e">
        <f t="shared" si="0"/>
        <v>#N/A</v>
      </c>
      <c r="H51" t="e">
        <f>HLOOKUP(B27,M1:R27,13)</f>
        <v>#N/A</v>
      </c>
      <c r="L51" s="589" t="s">
        <v>1620</v>
      </c>
      <c r="M51" s="584" t="s">
        <v>1620</v>
      </c>
      <c r="N51" s="584" t="s">
        <v>1620</v>
      </c>
      <c r="O51" s="584" t="s">
        <v>1620</v>
      </c>
      <c r="P51" s="1063" t="s">
        <v>1620</v>
      </c>
      <c r="Q51" s="1075" t="s">
        <v>343</v>
      </c>
      <c r="R51" s="1071">
        <v>0.3</v>
      </c>
      <c r="S51" s="583">
        <v>0.3</v>
      </c>
      <c r="T51" s="583">
        <v>0.3</v>
      </c>
      <c r="U51" s="583">
        <v>0.3</v>
      </c>
      <c r="V51" s="1066">
        <v>0.3</v>
      </c>
      <c r="W51" s="1076">
        <v>0.15</v>
      </c>
    </row>
    <row r="52" spans="1:35" ht="13.5" thickBot="1">
      <c r="A52" s="589" t="e">
        <f>HLOOKUP(B27,L39:Q52,14)</f>
        <v>#N/A</v>
      </c>
      <c r="B52" s="597" t="e">
        <f>HLOOKUP(B27,L56:Q69,14)</f>
        <v>#N/A</v>
      </c>
      <c r="C52" s="584" t="e">
        <f>HLOOKUP(B27,R39:W52,14)</f>
        <v>#N/A</v>
      </c>
      <c r="D52" s="595" t="e">
        <f t="shared" si="0"/>
        <v>#N/A</v>
      </c>
      <c r="H52" t="e">
        <f>HLOOKUP(B27,M1:R27,14)</f>
        <v>#N/A</v>
      </c>
      <c r="L52" s="591" t="s">
        <v>1621</v>
      </c>
      <c r="M52" s="592" t="s">
        <v>1621</v>
      </c>
      <c r="N52" s="592" t="s">
        <v>1621</v>
      </c>
      <c r="O52" s="592" t="s">
        <v>1621</v>
      </c>
      <c r="P52" s="1065" t="s">
        <v>1621</v>
      </c>
      <c r="Q52" s="593" t="s">
        <v>1621</v>
      </c>
      <c r="R52" s="596">
        <v>7.4999999999999997E-2</v>
      </c>
      <c r="S52" s="1072">
        <v>7.4999999999999997E-2</v>
      </c>
      <c r="T52" s="1072">
        <v>7.4999999999999997E-2</v>
      </c>
      <c r="U52" s="1072">
        <v>7.4999999999999997E-2</v>
      </c>
      <c r="V52" s="1073">
        <v>7.4999999999999997E-2</v>
      </c>
      <c r="W52" s="1074">
        <v>7.4999999999999997E-2</v>
      </c>
    </row>
    <row r="53" spans="1:35" ht="14.25" thickTop="1" thickBot="1">
      <c r="A53" s="596"/>
      <c r="B53" s="592" t="e">
        <f>IF(B52&gt;=99,100,0)</f>
        <v>#N/A</v>
      </c>
      <c r="C53" s="592">
        <v>0</v>
      </c>
      <c r="D53" s="593">
        <f t="shared" si="0"/>
        <v>0</v>
      </c>
      <c r="H53" t="e">
        <f>HLOOKUP(B27,M1:R27,15)</f>
        <v>#N/A</v>
      </c>
    </row>
    <row r="54" spans="1:35" ht="14.25" thickTop="1" thickBot="1">
      <c r="B54" s="585"/>
      <c r="H54" t="e">
        <f>HLOOKUP(B27,M1:R27,16)</f>
        <v>#N/A</v>
      </c>
    </row>
    <row r="55" spans="1:35" ht="14.25" thickTop="1" thickBot="1">
      <c r="B55" s="585"/>
      <c r="H55" t="e">
        <f>HLOOKUP(B27,M1:R27,17)</f>
        <v>#N/A</v>
      </c>
      <c r="L55" s="1654" t="s">
        <v>1622</v>
      </c>
      <c r="M55" s="1655"/>
      <c r="N55" s="1655"/>
      <c r="O55" s="1655"/>
      <c r="P55" s="1655"/>
      <c r="Q55" s="1656"/>
      <c r="R55" s="1654" t="s">
        <v>1623</v>
      </c>
      <c r="S55" s="1655"/>
      <c r="T55" s="1655"/>
      <c r="U55" s="1655"/>
      <c r="V55" s="1655"/>
      <c r="W55" s="1656"/>
      <c r="X55" s="1654" t="s">
        <v>1624</v>
      </c>
      <c r="Y55" s="1655"/>
      <c r="Z55" s="1655"/>
      <c r="AA55" s="1655"/>
      <c r="AB55" s="1655"/>
      <c r="AC55" s="1656"/>
      <c r="AD55" s="1654" t="s">
        <v>1625</v>
      </c>
      <c r="AE55" s="1655"/>
      <c r="AF55" s="1655"/>
      <c r="AG55" s="1655"/>
      <c r="AH55" s="1655"/>
      <c r="AI55" s="1656"/>
    </row>
    <row r="56" spans="1:35" ht="14.25" thickTop="1" thickBot="1">
      <c r="A56" s="605" t="s">
        <v>1626</v>
      </c>
      <c r="B56" s="606"/>
      <c r="C56" s="606"/>
      <c r="D56" s="607"/>
      <c r="H56" t="e">
        <f>HLOOKUP(B27,M1:R27,18)</f>
        <v>#N/A</v>
      </c>
      <c r="L56" s="586">
        <v>1</v>
      </c>
      <c r="M56" s="587">
        <v>2</v>
      </c>
      <c r="N56" s="587">
        <v>3</v>
      </c>
      <c r="O56" s="587">
        <v>4</v>
      </c>
      <c r="P56" s="1054">
        <v>5</v>
      </c>
      <c r="Q56" s="1056">
        <v>14</v>
      </c>
      <c r="R56" s="586">
        <v>1</v>
      </c>
      <c r="S56" s="587">
        <v>2</v>
      </c>
      <c r="T56" s="587">
        <v>3</v>
      </c>
      <c r="U56" s="587">
        <v>4</v>
      </c>
      <c r="V56" s="1054">
        <v>5</v>
      </c>
      <c r="W56" s="1061">
        <v>14</v>
      </c>
      <c r="X56" s="586">
        <v>1</v>
      </c>
      <c r="Y56" s="587">
        <v>2</v>
      </c>
      <c r="Z56" s="587">
        <v>3</v>
      </c>
      <c r="AA56" s="587">
        <v>4</v>
      </c>
      <c r="AB56" s="1054">
        <v>5</v>
      </c>
      <c r="AC56" s="588">
        <v>14</v>
      </c>
      <c r="AD56" s="586">
        <v>1</v>
      </c>
      <c r="AE56" s="587">
        <v>2</v>
      </c>
      <c r="AF56" s="587">
        <v>3</v>
      </c>
      <c r="AG56" s="587">
        <v>4</v>
      </c>
      <c r="AH56" s="1054">
        <v>5</v>
      </c>
      <c r="AI56" s="588">
        <v>14</v>
      </c>
    </row>
    <row r="57" spans="1:35" ht="13.5" thickTop="1">
      <c r="A57" s="586" t="s">
        <v>1601</v>
      </c>
      <c r="B57" s="587" t="s">
        <v>1602</v>
      </c>
      <c r="C57" s="587" t="s">
        <v>1603</v>
      </c>
      <c r="D57" s="588" t="s">
        <v>1604</v>
      </c>
      <c r="H57" t="e">
        <f>HLOOKUP(B27,M1:R27,19)</f>
        <v>#N/A</v>
      </c>
      <c r="L57" s="590">
        <f>IF(Gradation!C10="",100,(100-Gradation!C10))</f>
        <v>100</v>
      </c>
      <c r="M57" s="597">
        <f>IF(Gradation!C10="",100,(100-Gradation!C10))</f>
        <v>100</v>
      </c>
      <c r="N57" s="597">
        <f>IF(Gradation!C10="",100,(100-Gradation!C10))</f>
        <v>100</v>
      </c>
      <c r="O57" s="597">
        <f>IF(Gradation!C10="",100,(100-Gradation!C10))</f>
        <v>100</v>
      </c>
      <c r="P57" s="1055">
        <f>IF(Gradation!C10="",100,(100-Gradation!C10))</f>
        <v>100</v>
      </c>
      <c r="Q57" s="598">
        <f>IF(Gradation!C10="",100,(100-Gradation!C10))</f>
        <v>100</v>
      </c>
      <c r="R57" s="590">
        <f>IF(Gradation!F10="",100,(100-Gradation!F10))</f>
        <v>100</v>
      </c>
      <c r="S57" s="597">
        <f>IF(Gradation!F10="",100,(100-Gradation!F10))</f>
        <v>100</v>
      </c>
      <c r="T57" s="597">
        <f>IF(Gradation!F10="",100,(100-Gradation!F10))</f>
        <v>100</v>
      </c>
      <c r="U57" s="597">
        <f>IF(Gradation!F10="",100,(100-Gradation!F10))</f>
        <v>100</v>
      </c>
      <c r="V57" s="1055">
        <f>IF(Gradation!F10="",100,(100-Gradation!F10))</f>
        <v>100</v>
      </c>
      <c r="W57" s="598">
        <f>IF(Gradation!F10="",100,(100-Gradation!F10))</f>
        <v>100</v>
      </c>
      <c r="X57" s="590">
        <f>IF(Gradation!I10="",100,(100-Gradation!I10))</f>
        <v>100</v>
      </c>
      <c r="Y57" s="597">
        <f>IF(Gradation!I10="",100,(100-Gradation!I10))</f>
        <v>100</v>
      </c>
      <c r="Z57" s="597">
        <f>IF(Gradation!I10="",100,(100-Gradation!I10))</f>
        <v>100</v>
      </c>
      <c r="AA57" s="597">
        <f>IF(Gradation!I10="",100,(100-Gradation!I10))</f>
        <v>100</v>
      </c>
      <c r="AB57" s="1055">
        <f>IF(Gradation!I10="",100,(100-Gradation!I10))</f>
        <v>100</v>
      </c>
      <c r="AC57" s="1055">
        <f>IF(Gradation!I10="",100,(100-Gradation!I10))</f>
        <v>100</v>
      </c>
      <c r="AD57" s="590">
        <f>IF(Gradation!L10="",100,(100-Gradation!L10))</f>
        <v>100</v>
      </c>
      <c r="AE57" s="597">
        <f>IF(Gradation!L10="",100,(100-Gradation!L10))</f>
        <v>100</v>
      </c>
      <c r="AF57" s="597">
        <f>IF(Gradation!L10="",100,(100-Gradation!L10))</f>
        <v>100</v>
      </c>
      <c r="AG57" s="597">
        <f>IF(Gradation!L10="",100,(100-Gradation!L10))</f>
        <v>100</v>
      </c>
      <c r="AH57" s="1055">
        <f>IF(Gradation!L10="",100,(100-Gradation!L10))</f>
        <v>100</v>
      </c>
      <c r="AI57" s="1062">
        <f>IF(Gradation!L10="",100,(100-Gradation!L10))</f>
        <v>100</v>
      </c>
    </row>
    <row r="58" spans="1:35">
      <c r="A58" s="589" t="e">
        <f>HLOOKUP(B27,L39:Q52,2)</f>
        <v>#N/A</v>
      </c>
      <c r="B58" s="597" t="e">
        <f>HLOOKUP(B27,R56:W69,2)</f>
        <v>#N/A</v>
      </c>
      <c r="C58" s="584" t="e">
        <f>HLOOKUP(B27,R39:W52,2)</f>
        <v>#N/A</v>
      </c>
      <c r="D58" s="595" t="e">
        <f>C58^0.45</f>
        <v>#N/A</v>
      </c>
      <c r="H58" t="e">
        <f>HLOOKUP(B27,M1:R27,20)</f>
        <v>#N/A</v>
      </c>
      <c r="L58" s="590">
        <f>IF(Gradation!C10="",100,(100-Gradation!C10))</f>
        <v>100</v>
      </c>
      <c r="M58" s="597">
        <f>IF(Gradation!C10="",100,(100-Gradation!C10))</f>
        <v>100</v>
      </c>
      <c r="N58" s="597">
        <f>IF(Gradation!C10="",100,(100-Gradation!C10))</f>
        <v>100</v>
      </c>
      <c r="O58" s="597">
        <f>IF(Gradation!C10="",100,(100-Gradation!C10))</f>
        <v>100</v>
      </c>
      <c r="P58" s="1055">
        <f>IF(Gradation!C10="",100,(100-Gradation!C10))</f>
        <v>100</v>
      </c>
      <c r="Q58" s="598">
        <f>IF(Gradation!C11="",100,(100-Gradation!C11))</f>
        <v>100</v>
      </c>
      <c r="R58" s="590">
        <f>IF(Gradation!F10="",100,(100-Gradation!F10))</f>
        <v>100</v>
      </c>
      <c r="S58" s="597">
        <f>IF(Gradation!F10="",100,(100-Gradation!F10))</f>
        <v>100</v>
      </c>
      <c r="T58" s="597">
        <f>IF(Gradation!F10="",100,(100-Gradation!F10))</f>
        <v>100</v>
      </c>
      <c r="U58" s="597">
        <f>IF(Gradation!F10="",100,(100-Gradation!F10))</f>
        <v>100</v>
      </c>
      <c r="V58" s="1055">
        <f>IF(Gradation!F10="",100,(100-Gradation!F10))</f>
        <v>100</v>
      </c>
      <c r="W58" s="598">
        <f>IF(Gradation!F11="",100,(100-Gradation!F11))</f>
        <v>100</v>
      </c>
      <c r="X58" s="590">
        <f>IF(Gradation!I10="",100,(100-Gradation!I10))</f>
        <v>100</v>
      </c>
      <c r="Y58" s="597">
        <f>IF(Gradation!I10="",100,(100-Gradation!I10))</f>
        <v>100</v>
      </c>
      <c r="Z58" s="597">
        <f>IF(Gradation!I10="",100,(100-Gradation!I10))</f>
        <v>100</v>
      </c>
      <c r="AA58" s="597">
        <f>IF(Gradation!I10="",100,(100-Gradation!I10))</f>
        <v>100</v>
      </c>
      <c r="AB58" s="1055">
        <f>IF(Gradation!I10="",100,(100-Gradation!I10))</f>
        <v>100</v>
      </c>
      <c r="AC58" s="1055">
        <f>IF(Gradation!I11="",100,(100-Gradation!I11))</f>
        <v>100</v>
      </c>
      <c r="AD58" s="590">
        <f>IF(Gradation!L10="",100,(100-Gradation!L10))</f>
        <v>100</v>
      </c>
      <c r="AE58" s="597">
        <f>IF(Gradation!L10="",100,(100-Gradation!L10))</f>
        <v>100</v>
      </c>
      <c r="AF58" s="597">
        <f>IF(Gradation!L10="",100,(100-Gradation!L10))</f>
        <v>100</v>
      </c>
      <c r="AG58" s="597">
        <f>IF(Gradation!L10="",100,(100-Gradation!L10))</f>
        <v>100</v>
      </c>
      <c r="AH58" s="1055">
        <f>IF(Gradation!L10="",100,(100-Gradation!L10))</f>
        <v>100</v>
      </c>
      <c r="AI58" s="598">
        <f>IF(Gradation!L11="",100,(100-Gradation!L11))</f>
        <v>100</v>
      </c>
    </row>
    <row r="59" spans="1:35">
      <c r="A59" s="589" t="e">
        <f>HLOOKUP(B27,L39:Q52,3)</f>
        <v>#N/A</v>
      </c>
      <c r="B59" s="597" t="e">
        <f>HLOOKUP(B27,R56:W69,3)</f>
        <v>#N/A</v>
      </c>
      <c r="C59" s="584" t="e">
        <f>HLOOKUP(B27,R39:W52,3)</f>
        <v>#N/A</v>
      </c>
      <c r="D59" s="595" t="e">
        <f t="shared" ref="D59:D71" si="2">C59^0.45</f>
        <v>#N/A</v>
      </c>
      <c r="H59" t="e">
        <f>HLOOKUP(B27,M1:R27,21)</f>
        <v>#N/A</v>
      </c>
      <c r="L59" s="590">
        <f>IF(Gradation!C10="",100,(100-Gradation!C10))</f>
        <v>100</v>
      </c>
      <c r="M59" s="597">
        <f>IF(Gradation!C10="",100,(100-Gradation!C10))</f>
        <v>100</v>
      </c>
      <c r="N59" s="597">
        <f>IF(Gradation!C10="",100,(100-Gradation!C10))</f>
        <v>100</v>
      </c>
      <c r="O59" s="597">
        <f>IF(Gradation!C10="",100,(100-Gradation!C10))</f>
        <v>100</v>
      </c>
      <c r="P59" s="1055">
        <f>IF(Gradation!C11="",100,(100-Gradation!C11))</f>
        <v>100</v>
      </c>
      <c r="Q59" s="598">
        <f>IF(Gradation!C12="",100,(100-Gradation!C12))</f>
        <v>100</v>
      </c>
      <c r="R59" s="590">
        <f>IF(Gradation!F10="",100,(100-Gradation!F10))</f>
        <v>100</v>
      </c>
      <c r="S59" s="597">
        <f>IF(Gradation!F10="",100,(100-Gradation!F10))</f>
        <v>100</v>
      </c>
      <c r="T59" s="597">
        <f>IF(Gradation!F10="",100,(100-Gradation!F10))</f>
        <v>100</v>
      </c>
      <c r="U59" s="597">
        <f>IF(Gradation!F10="",100,(100-Gradation!F10))</f>
        <v>100</v>
      </c>
      <c r="V59" s="1055">
        <f>IF(Gradation!F11="",100,(100-Gradation!F11))</f>
        <v>100</v>
      </c>
      <c r="W59" s="598">
        <f>IF(Gradation!F12="",100,(100-Gradation!F12))</f>
        <v>100</v>
      </c>
      <c r="X59" s="590">
        <f>IF(Gradation!I10="",100,(100-Gradation!I10))</f>
        <v>100</v>
      </c>
      <c r="Y59" s="597">
        <f>IF(Gradation!I10="",100,(100-Gradation!I10))</f>
        <v>100</v>
      </c>
      <c r="Z59" s="597">
        <f>IF(Gradation!I10="",100,(100-Gradation!I10))</f>
        <v>100</v>
      </c>
      <c r="AA59" s="597">
        <f>IF(Gradation!I10="",100,(100-Gradation!I10))</f>
        <v>100</v>
      </c>
      <c r="AB59" s="1055">
        <f>IF(Gradation!I11="",100,(100-Gradation!I11))</f>
        <v>100</v>
      </c>
      <c r="AC59" s="1055">
        <f>IF(Gradation!I12="",100,(100-Gradation!I12))</f>
        <v>100</v>
      </c>
      <c r="AD59" s="590">
        <f>IF(Gradation!L10="",100,(100-Gradation!L10))</f>
        <v>100</v>
      </c>
      <c r="AE59" s="597">
        <f>IF(Gradation!L10="",100,(100-Gradation!L10))</f>
        <v>100</v>
      </c>
      <c r="AF59" s="597">
        <f>IF(Gradation!L10="",100,(100-Gradation!L10))</f>
        <v>100</v>
      </c>
      <c r="AG59" s="597">
        <f>IF(Gradation!L10="",100,(100-Gradation!L10))</f>
        <v>100</v>
      </c>
      <c r="AH59" s="1055">
        <f>IF(Gradation!L11="",100,(100-Gradation!L11))</f>
        <v>100</v>
      </c>
      <c r="AI59" s="598">
        <f>IF(Gradation!L12="",100,(100-Gradation!L12))</f>
        <v>100</v>
      </c>
    </row>
    <row r="60" spans="1:35">
      <c r="A60" s="589" t="e">
        <f>HLOOKUP(B27,L39:Q52,4)</f>
        <v>#N/A</v>
      </c>
      <c r="B60" s="597" t="e">
        <f>HLOOKUP(B27,R56:W69,4)</f>
        <v>#N/A</v>
      </c>
      <c r="C60" s="584" t="e">
        <f>HLOOKUP(B27,R39:W52,4)</f>
        <v>#N/A</v>
      </c>
      <c r="D60" s="595" t="e">
        <f t="shared" si="2"/>
        <v>#N/A</v>
      </c>
      <c r="H60" t="e">
        <f>HLOOKUP(B27,M1:R27,22)</f>
        <v>#N/A</v>
      </c>
      <c r="L60" s="590">
        <f>IF(Gradation!C10="",100,(100-Gradation!C10))</f>
        <v>100</v>
      </c>
      <c r="M60" s="597">
        <f>IF(Gradation!C10="",100,(100-Gradation!C10))</f>
        <v>100</v>
      </c>
      <c r="N60" s="597">
        <f>IF(Gradation!C10="",100,(100-Gradation!C10))</f>
        <v>100</v>
      </c>
      <c r="O60" s="597">
        <f>IF(Gradation!C11="",100,(100-Gradation!C11))</f>
        <v>100</v>
      </c>
      <c r="P60" s="1055">
        <f>IF(Gradation!C12="",100,(100-Gradation!C12))</f>
        <v>100</v>
      </c>
      <c r="Q60" s="598">
        <f>IF(Gradation!C13="",100,(100-Gradation!C13))</f>
        <v>100</v>
      </c>
      <c r="R60" s="590">
        <f>IF(Gradation!F10="",100,(100-Gradation!F10))</f>
        <v>100</v>
      </c>
      <c r="S60" s="597">
        <f>IF(Gradation!F10="",100,(100-Gradation!F10))</f>
        <v>100</v>
      </c>
      <c r="T60" s="597">
        <f>IF(Gradation!F10="",100,(100-Gradation!F10))</f>
        <v>100</v>
      </c>
      <c r="U60" s="597">
        <f>IF(Gradation!F11="",100,(100-Gradation!F11))</f>
        <v>100</v>
      </c>
      <c r="V60" s="1055">
        <f>IF(Gradation!F12="",100,(100-Gradation!F12))</f>
        <v>100</v>
      </c>
      <c r="W60" s="598">
        <f>IF(Gradation!F13="",100,(100-Gradation!F13))</f>
        <v>100</v>
      </c>
      <c r="X60" s="590">
        <f>IF(Gradation!I10="",100,(100-Gradation!I10))</f>
        <v>100</v>
      </c>
      <c r="Y60" s="597">
        <f>IF(Gradation!I10="",100,(100-Gradation!I10))</f>
        <v>100</v>
      </c>
      <c r="Z60" s="597">
        <f>IF(Gradation!I10="",100,(100-Gradation!I10))</f>
        <v>100</v>
      </c>
      <c r="AA60" s="597">
        <f>IF(Gradation!I11="",100,(100-Gradation!I11))</f>
        <v>100</v>
      </c>
      <c r="AB60" s="1055">
        <f>IF(Gradation!I12="",100,(100-Gradation!I12))</f>
        <v>100</v>
      </c>
      <c r="AC60" s="1055">
        <f>IF(Gradation!I13="",100,(100-Gradation!I13))</f>
        <v>100</v>
      </c>
      <c r="AD60" s="590">
        <f>IF(Gradation!L10="",100,(100-Gradation!L10))</f>
        <v>100</v>
      </c>
      <c r="AE60" s="597">
        <f>IF(Gradation!L10="",100,(100-Gradation!L10))</f>
        <v>100</v>
      </c>
      <c r="AF60" s="597">
        <f>IF(Gradation!L10="",100,(100-Gradation!L10))</f>
        <v>100</v>
      </c>
      <c r="AG60" s="597">
        <f>IF(Gradation!L11="",100,(100-Gradation!L11))</f>
        <v>100</v>
      </c>
      <c r="AH60" s="1055">
        <f>IF(Gradation!L12="",100,(100-Gradation!L12))</f>
        <v>100</v>
      </c>
      <c r="AI60" s="598">
        <f>IF(Gradation!L13="",100,(100-Gradation!L13))</f>
        <v>100</v>
      </c>
    </row>
    <row r="61" spans="1:35">
      <c r="A61" s="589" t="e">
        <f>HLOOKUP(B27,L39:Q52,5)</f>
        <v>#N/A</v>
      </c>
      <c r="B61" s="597" t="e">
        <f>HLOOKUP(B27,R56:W69,5)</f>
        <v>#N/A</v>
      </c>
      <c r="C61" s="584" t="e">
        <f>HLOOKUP(B27,R39:W52,5)</f>
        <v>#N/A</v>
      </c>
      <c r="D61" s="595" t="e">
        <f t="shared" si="2"/>
        <v>#N/A</v>
      </c>
      <c r="H61" t="e">
        <f>HLOOKUP(B27,M1:R27,23)</f>
        <v>#N/A</v>
      </c>
      <c r="L61" s="590">
        <f>IF(Gradation!C10="",100,(100-Gradation!C10))</f>
        <v>100</v>
      </c>
      <c r="M61" s="597">
        <f>IF(Gradation!C11="",100,(100-Gradation!C11))</f>
        <v>100</v>
      </c>
      <c r="N61" s="597">
        <f>IF(Gradation!C11="",100,(100-Gradation!C11))</f>
        <v>100</v>
      </c>
      <c r="O61" s="597">
        <f>IF(Gradation!C12="",100,(100-Gradation!C12))</f>
        <v>100</v>
      </c>
      <c r="P61" s="1055">
        <f>IF(Gradation!C13="",100,(100-Gradation!C13))</f>
        <v>100</v>
      </c>
      <c r="Q61" s="598">
        <f>IF(Gradation!C14="",100,(100-Gradation!C14))</f>
        <v>100</v>
      </c>
      <c r="R61" s="590">
        <f>IF(Gradation!F10="",100,(100-Gradation!F10))</f>
        <v>100</v>
      </c>
      <c r="S61" s="597">
        <f>IF(Gradation!F11="",100,(100-Gradation!F11))</f>
        <v>100</v>
      </c>
      <c r="T61" s="597">
        <f>IF(Gradation!F11="",100,(100-Gradation!F11))</f>
        <v>100</v>
      </c>
      <c r="U61" s="597">
        <f>IF(Gradation!F12="",100,(100-Gradation!F12))</f>
        <v>100</v>
      </c>
      <c r="V61" s="1055">
        <f>IF(Gradation!F13="",100,(100-Gradation!F13))</f>
        <v>100</v>
      </c>
      <c r="W61" s="598">
        <f>IF(Gradation!F14="",100,(100-Gradation!F14))</f>
        <v>100</v>
      </c>
      <c r="X61" s="590">
        <f>IF(Gradation!I10="",100,(100-Gradation!I10))</f>
        <v>100</v>
      </c>
      <c r="Y61" s="597">
        <f>IF(Gradation!I11="",100,(100-Gradation!I11))</f>
        <v>100</v>
      </c>
      <c r="Z61" s="597">
        <f>IF(Gradation!I11="",100,(100-Gradation!I11))</f>
        <v>100</v>
      </c>
      <c r="AA61" s="597">
        <f>IF(Gradation!I12="",100,(100-Gradation!I12))</f>
        <v>100</v>
      </c>
      <c r="AB61" s="1055">
        <f>IF(Gradation!I13="",100,(100-Gradation!I13))</f>
        <v>100</v>
      </c>
      <c r="AC61" s="1055">
        <f>IF(Gradation!I14="",100,(100-Gradation!I14))</f>
        <v>100</v>
      </c>
      <c r="AD61" s="590">
        <f>IF(Gradation!L10="",100,(100-Gradation!L10))</f>
        <v>100</v>
      </c>
      <c r="AE61" s="597">
        <f>IF(Gradation!L11="",100,(100-Gradation!L11))</f>
        <v>100</v>
      </c>
      <c r="AF61" s="597">
        <f>IF(Gradation!L11="",100,(100-Gradation!L11))</f>
        <v>100</v>
      </c>
      <c r="AG61" s="597">
        <f>IF(Gradation!L12="",100,(100-Gradation!L12))</f>
        <v>100</v>
      </c>
      <c r="AH61" s="1055">
        <f>IF(Gradation!L13="",100,(100-Gradation!L13))</f>
        <v>100</v>
      </c>
      <c r="AI61" s="598">
        <f>IF(Gradation!L14="",100,(100-Gradation!L14))</f>
        <v>100</v>
      </c>
    </row>
    <row r="62" spans="1:35">
      <c r="A62" s="589" t="e">
        <f>HLOOKUP(B27,L39:Q52,6)</f>
        <v>#N/A</v>
      </c>
      <c r="B62" s="597" t="e">
        <f>HLOOKUP(B27,R56:W69,6)</f>
        <v>#N/A</v>
      </c>
      <c r="C62" s="584" t="e">
        <f>HLOOKUP(B27,R39:W52,6)</f>
        <v>#N/A</v>
      </c>
      <c r="D62" s="595" t="e">
        <f t="shared" si="2"/>
        <v>#N/A</v>
      </c>
      <c r="H62" t="e">
        <f>HLOOKUP(B27,M1:R27,24)</f>
        <v>#N/A</v>
      </c>
      <c r="K62" s="585"/>
      <c r="L62" s="590">
        <f>IF(Gradation!C11="",100,(100-Gradation!C11))</f>
        <v>100</v>
      </c>
      <c r="M62" s="597">
        <f>IF(Gradation!C12="",100,(100-Gradation!C12))</f>
        <v>100</v>
      </c>
      <c r="N62" s="597">
        <f>IF(Gradation!C12="",100,(100-Gradation!C12))</f>
        <v>100</v>
      </c>
      <c r="O62" s="597">
        <f>IF(Gradation!C13="",100,(100-Gradation!C13))</f>
        <v>100</v>
      </c>
      <c r="P62" s="1055">
        <f>IF(Gradation!C14="",100,(100-Gradation!C14))</f>
        <v>100</v>
      </c>
      <c r="Q62" s="598">
        <f>IF(Gradation!C15="",100,(100-Gradation!C15))</f>
        <v>100</v>
      </c>
      <c r="R62" s="590">
        <f>IF(Gradation!F11="",100,(100-Gradation!F11))</f>
        <v>100</v>
      </c>
      <c r="S62" s="597">
        <f>IF(Gradation!F12="",100,(100-Gradation!F12))</f>
        <v>100</v>
      </c>
      <c r="T62" s="597">
        <f>IF(Gradation!F12="",100,(100-Gradation!F12))</f>
        <v>100</v>
      </c>
      <c r="U62" s="597">
        <f>IF(Gradation!F13="",100,(100-Gradation!F13))</f>
        <v>100</v>
      </c>
      <c r="V62" s="1055">
        <f>IF(Gradation!F14="",100,(100-Gradation!F14))</f>
        <v>100</v>
      </c>
      <c r="W62" s="598">
        <f>IF(Gradation!F15="",100,(100-Gradation!F15))</f>
        <v>100</v>
      </c>
      <c r="X62" s="590">
        <f>IF(Gradation!I11="",100,(100-Gradation!I11))</f>
        <v>100</v>
      </c>
      <c r="Y62" s="597">
        <f>IF(Gradation!I12="",100,(100-Gradation!I12))</f>
        <v>100</v>
      </c>
      <c r="Z62" s="597">
        <f>IF(Gradation!I12="",100,(100-Gradation!I12))</f>
        <v>100</v>
      </c>
      <c r="AA62" s="597">
        <f>IF(Gradation!I13="",100,(100-Gradation!I13))</f>
        <v>100</v>
      </c>
      <c r="AB62" s="1055">
        <f>IF(Gradation!I14="",100,(100-Gradation!I14))</f>
        <v>100</v>
      </c>
      <c r="AC62" s="1055">
        <f>IF(Gradation!I15="",100,(100-Gradation!I15))</f>
        <v>100</v>
      </c>
      <c r="AD62" s="590">
        <f>IF(Gradation!L11="",100,(100-Gradation!L11))</f>
        <v>100</v>
      </c>
      <c r="AE62" s="597">
        <f>IF(Gradation!L12="",100,(100-Gradation!L12))</f>
        <v>100</v>
      </c>
      <c r="AF62" s="597">
        <f>IF(Gradation!L12="",100,(100-Gradation!L12))</f>
        <v>100</v>
      </c>
      <c r="AG62" s="597">
        <f>IF(Gradation!L13="",100,(100-Gradation!L13))</f>
        <v>100</v>
      </c>
      <c r="AH62" s="1055">
        <f>IF(Gradation!L14="",100,(100-Gradation!L14))</f>
        <v>100</v>
      </c>
      <c r="AI62" s="598">
        <f>IF(Gradation!L15="",100,(100-Gradation!L15))</f>
        <v>100</v>
      </c>
    </row>
    <row r="63" spans="1:35">
      <c r="A63" s="589" t="e">
        <f>HLOOKUP(B27,L39:Q52,7)</f>
        <v>#N/A</v>
      </c>
      <c r="B63" s="597" t="e">
        <f>HLOOKUP(B27,R56:W69,7)</f>
        <v>#N/A</v>
      </c>
      <c r="C63" s="584" t="e">
        <f>HLOOKUP(B27,R39:W52,7)</f>
        <v>#N/A</v>
      </c>
      <c r="D63" s="595" t="e">
        <f t="shared" si="2"/>
        <v>#N/A</v>
      </c>
      <c r="H63" t="e">
        <f>HLOOKUP(B27,M1:R27,25)</f>
        <v>#N/A</v>
      </c>
      <c r="L63" s="590">
        <f>IF(Gradation!C12="",100,(100-Gradation!C12))</f>
        <v>100</v>
      </c>
      <c r="M63" s="597">
        <f>IF(Gradation!C13="",100,(100-Gradation!C13))</f>
        <v>100</v>
      </c>
      <c r="N63" s="597">
        <f>IF(Gradation!C13="",100,(100-Gradation!C13))</f>
        <v>100</v>
      </c>
      <c r="O63" s="597">
        <f>IF(Gradation!C14="",100,(100-Gradation!C14))</f>
        <v>100</v>
      </c>
      <c r="P63" s="1055">
        <f>IF(Gradation!C15="",100,(100-Gradation!C15))</f>
        <v>100</v>
      </c>
      <c r="Q63" s="598">
        <f>IF(Gradation!C17="",100,(100-Gradation!C17))</f>
        <v>100</v>
      </c>
      <c r="R63" s="590">
        <f>IF(Gradation!F12="",100,(100-Gradation!F12))</f>
        <v>100</v>
      </c>
      <c r="S63" s="597">
        <f>IF(Gradation!F13="",100,(100-Gradation!F13))</f>
        <v>100</v>
      </c>
      <c r="T63" s="597">
        <f>IF(Gradation!F13="",100,(100-Gradation!F13))</f>
        <v>100</v>
      </c>
      <c r="U63" s="597">
        <f>IF(Gradation!F14="",100,(100-Gradation!F14))</f>
        <v>100</v>
      </c>
      <c r="V63" s="1055">
        <f>IF(Gradation!F15="",100,(100-Gradation!F15))</f>
        <v>100</v>
      </c>
      <c r="W63" s="598">
        <f>IF(Gradation!F17="",100,(100-Gradation!F17))</f>
        <v>100</v>
      </c>
      <c r="X63" s="590">
        <f>IF(Gradation!I12="",100,(100-Gradation!I12))</f>
        <v>100</v>
      </c>
      <c r="Y63" s="597">
        <f>IF(Gradation!I13="",100,(100-Gradation!I13))</f>
        <v>100</v>
      </c>
      <c r="Z63" s="597">
        <f>IF(Gradation!I13="",100,(100-Gradation!I13))</f>
        <v>100</v>
      </c>
      <c r="AA63" s="597">
        <f>IF(Gradation!I14="",100,(100-Gradation!I14))</f>
        <v>100</v>
      </c>
      <c r="AB63" s="1055">
        <f>IF(Gradation!I15="",100,(100-Gradation!I15))</f>
        <v>100</v>
      </c>
      <c r="AC63" s="1055">
        <f>IF(Gradation!I17="",100,(100-Gradation!I17))</f>
        <v>100</v>
      </c>
      <c r="AD63" s="590">
        <f>IF(Gradation!L12="",100,(100-Gradation!L12))</f>
        <v>100</v>
      </c>
      <c r="AE63" s="597">
        <f>IF(Gradation!L13="",100,(100-Gradation!L13))</f>
        <v>100</v>
      </c>
      <c r="AF63" s="597">
        <f>IF(Gradation!L13="",100,(100-Gradation!L13))</f>
        <v>100</v>
      </c>
      <c r="AG63" s="597">
        <f>IF(Gradation!L14="",100,(100-Gradation!L14))</f>
        <v>100</v>
      </c>
      <c r="AH63" s="1055">
        <f>IF(Gradation!L15="",100,(100-Gradation!L15))</f>
        <v>100</v>
      </c>
      <c r="AI63" s="598">
        <f>IF(Gradation!L17="",100,(100-Gradation!L17))</f>
        <v>100</v>
      </c>
    </row>
    <row r="64" spans="1:35">
      <c r="A64" s="589" t="e">
        <f>HLOOKUP(B27,L39:Q52,8)</f>
        <v>#N/A</v>
      </c>
      <c r="B64" s="597" t="e">
        <f>HLOOKUP(B27,R56:W69,8)</f>
        <v>#N/A</v>
      </c>
      <c r="C64" s="584" t="e">
        <f>HLOOKUP(B27,R39:W52,8)</f>
        <v>#N/A</v>
      </c>
      <c r="D64" s="595" t="e">
        <f t="shared" si="2"/>
        <v>#N/A</v>
      </c>
      <c r="H64" t="e">
        <f>HLOOKUP(B27,M1:R27,26)</f>
        <v>#N/A</v>
      </c>
      <c r="L64" s="590">
        <f>IF(Gradation!C17="",100,(100-Gradation!C17))</f>
        <v>100</v>
      </c>
      <c r="M64" s="597">
        <f>IF(Gradation!C17="",100,(100-Gradation!C17))</f>
        <v>100</v>
      </c>
      <c r="N64" s="597">
        <f>IF(Gradation!C14="",100,(100-Gradation!C14))</f>
        <v>100</v>
      </c>
      <c r="O64" s="597">
        <f>IF(Gradation!C15="",100,(100-Gradation!C15))</f>
        <v>100</v>
      </c>
      <c r="P64" s="1055">
        <f>IF(Gradation!C17="",100,(100-Gradation!C17))</f>
        <v>100</v>
      </c>
      <c r="Q64" s="598">
        <f>IF(Gradation!C18="",100,(100-Gradation!C18))</f>
        <v>100</v>
      </c>
      <c r="R64" s="590">
        <f>IF(Gradation!F17="",100,(100-Gradation!F17))</f>
        <v>100</v>
      </c>
      <c r="S64" s="597">
        <f>IF(Gradation!F17="",100,(100-Gradation!F17))</f>
        <v>100</v>
      </c>
      <c r="T64" s="597">
        <f>IF(Gradation!F14="",100,(100-Gradation!F14))</f>
        <v>100</v>
      </c>
      <c r="U64" s="597">
        <f>IF(Gradation!F15="",100,(100-Gradation!F15))</f>
        <v>100</v>
      </c>
      <c r="V64" s="1055">
        <f>IF(Gradation!F17="",100,(100-Gradation!F17))</f>
        <v>100</v>
      </c>
      <c r="W64" s="598">
        <f>IF(Gradation!F18="",100,(100-Gradation!F18))</f>
        <v>100</v>
      </c>
      <c r="X64" s="590">
        <f>IF(Gradation!I17="",100,(100-Gradation!I17))</f>
        <v>100</v>
      </c>
      <c r="Y64" s="597">
        <f>IF(Gradation!I17="",100,(100-Gradation!I17))</f>
        <v>100</v>
      </c>
      <c r="Z64" s="597">
        <f>IF(Gradation!I14="",100,(100-Gradation!I14))</f>
        <v>100</v>
      </c>
      <c r="AA64" s="597">
        <f>IF(Gradation!I15="",100,(100-Gradation!I15))</f>
        <v>100</v>
      </c>
      <c r="AB64" s="1055">
        <f>IF(Gradation!I17="",100,(100-Gradation!I17))</f>
        <v>100</v>
      </c>
      <c r="AC64" s="1055">
        <f>IF(Gradation!I18="",100,(100-Gradation!I18))</f>
        <v>100</v>
      </c>
      <c r="AD64" s="590">
        <f>IF(Gradation!L17="",100,(100-Gradation!L17))</f>
        <v>100</v>
      </c>
      <c r="AE64" s="597">
        <f>IF(Gradation!L17="",100,(100-Gradation!L17))</f>
        <v>100</v>
      </c>
      <c r="AF64" s="597">
        <f>IF(Gradation!L14="",100,(100-Gradation!L14))</f>
        <v>100</v>
      </c>
      <c r="AG64" s="597">
        <f>IF(Gradation!L15="",100,(100-Gradation!L15))</f>
        <v>100</v>
      </c>
      <c r="AH64" s="1055">
        <f>IF(Gradation!L17="",100,(100-Gradation!L17))</f>
        <v>100</v>
      </c>
      <c r="AI64" s="598">
        <f>IF(Gradation!L18="",100,(100-Gradation!L18))</f>
        <v>100</v>
      </c>
    </row>
    <row r="65" spans="1:35">
      <c r="A65" s="589" t="e">
        <f>HLOOKUP(B27,L39:Q52,9)</f>
        <v>#N/A</v>
      </c>
      <c r="B65" s="597" t="e">
        <f>HLOOKUP(B27,R56:W69,9)</f>
        <v>#N/A</v>
      </c>
      <c r="C65" s="584" t="e">
        <f>HLOOKUP(B27,R39:W52,9)</f>
        <v>#N/A</v>
      </c>
      <c r="D65" s="595" t="e">
        <f t="shared" si="2"/>
        <v>#N/A</v>
      </c>
      <c r="H65" t="e">
        <f>HLOOKUP(B27,M1:R27,27)</f>
        <v>#N/A</v>
      </c>
      <c r="L65" s="590">
        <f>IF(Gradation!C18="",100,(100-Gradation!C18))</f>
        <v>100</v>
      </c>
      <c r="M65" s="597">
        <f>IF(Gradation!C18="",100,(100-Gradation!C18))</f>
        <v>100</v>
      </c>
      <c r="N65" s="597">
        <f>IF(Gradation!C18="",100,(100-Gradation!C18))</f>
        <v>100</v>
      </c>
      <c r="O65" s="597">
        <f>IF(Gradation!C18="",100,(100-Gradation!C18))</f>
        <v>100</v>
      </c>
      <c r="P65" s="1055">
        <f>IF(Gradation!C18="",100,(100-Gradation!C18))</f>
        <v>100</v>
      </c>
      <c r="Q65" s="598">
        <f>IF(Gradation!C19="",100,(100-Gradation!C19))</f>
        <v>100</v>
      </c>
      <c r="R65" s="590">
        <f>IF(Gradation!F18="",100,(100-Gradation!F18))</f>
        <v>100</v>
      </c>
      <c r="S65" s="597">
        <f>IF(Gradation!F18="",100,(100-Gradation!F18))</f>
        <v>100</v>
      </c>
      <c r="T65" s="597">
        <f>IF(Gradation!F18="",100,(100-Gradation!F18))</f>
        <v>100</v>
      </c>
      <c r="U65" s="597">
        <f>IF(Gradation!F18="",100,(100-Gradation!F18))</f>
        <v>100</v>
      </c>
      <c r="V65" s="1055">
        <f>IF(Gradation!F18="",100,(100-Gradation!F18))</f>
        <v>100</v>
      </c>
      <c r="W65" s="598">
        <f>IF(Gradation!F19="",100,(100-Gradation!F19))</f>
        <v>100</v>
      </c>
      <c r="X65" s="590">
        <f>IF(Gradation!I18="",100,(100-Gradation!I18))</f>
        <v>100</v>
      </c>
      <c r="Y65" s="597">
        <f>IF(Gradation!I18="",100,(100-Gradation!I18))</f>
        <v>100</v>
      </c>
      <c r="Z65" s="597">
        <f>IF(Gradation!I18="",100,(100-Gradation!I18))</f>
        <v>100</v>
      </c>
      <c r="AA65" s="597">
        <f>IF(Gradation!I18="",100,(100-Gradation!I18))</f>
        <v>100</v>
      </c>
      <c r="AB65" s="1055">
        <f>IF(Gradation!I18="",100,(100-Gradation!I18))</f>
        <v>100</v>
      </c>
      <c r="AC65" s="1055">
        <f>IF(Gradation!I19="",100,(100-Gradation!I19))</f>
        <v>100</v>
      </c>
      <c r="AD65" s="590">
        <f>IF(Gradation!L18="",100,(100-Gradation!L18))</f>
        <v>100</v>
      </c>
      <c r="AE65" s="597">
        <f>IF(Gradation!L18="",100,(100-Gradation!L18))</f>
        <v>100</v>
      </c>
      <c r="AF65" s="597">
        <f>IF(Gradation!L18="",100,(100-Gradation!L18))</f>
        <v>100</v>
      </c>
      <c r="AG65" s="597">
        <f>IF(Gradation!L18="",100,(100-Gradation!L18))</f>
        <v>100</v>
      </c>
      <c r="AH65" s="1055">
        <f>IF(Gradation!L18="",100,(100-Gradation!L18))</f>
        <v>100</v>
      </c>
      <c r="AI65" s="598">
        <f>IF(Gradation!L19="",100,(100-Gradation!L19))</f>
        <v>100</v>
      </c>
    </row>
    <row r="66" spans="1:35">
      <c r="A66" s="589" t="e">
        <f>HLOOKUP(B27,L39:Q52,10)</f>
        <v>#N/A</v>
      </c>
      <c r="B66" s="597" t="e">
        <f>HLOOKUP(B27,R56:W69,10)</f>
        <v>#N/A</v>
      </c>
      <c r="C66" s="584" t="e">
        <f>HLOOKUP(B27,R39:W52,10)</f>
        <v>#N/A</v>
      </c>
      <c r="D66" s="595" t="e">
        <f t="shared" si="2"/>
        <v>#N/A</v>
      </c>
      <c r="L66" s="590">
        <f>IF(Gradation!C19="",100,(100-Gradation!C19))</f>
        <v>100</v>
      </c>
      <c r="M66" s="597">
        <f>IF(Gradation!C19="",100,(100-Gradation!C19))</f>
        <v>100</v>
      </c>
      <c r="N66" s="597">
        <f>IF(Gradation!C19="",100,(100-Gradation!C19))</f>
        <v>100</v>
      </c>
      <c r="O66" s="597">
        <f>IF(Gradation!C19="",100,(100-Gradation!C19))</f>
        <v>100</v>
      </c>
      <c r="P66" s="1055">
        <f>IF(Gradation!C19="",100,(100-Gradation!C19))</f>
        <v>100</v>
      </c>
      <c r="Q66" s="598">
        <f>IF(Gradation!C20="",100,(100-Gradation!C20))</f>
        <v>100</v>
      </c>
      <c r="R66" s="590">
        <f>IF(Gradation!F19="",100,(100-Gradation!F19))</f>
        <v>100</v>
      </c>
      <c r="S66" s="597">
        <f>IF(Gradation!F19="",100,(100-Gradation!F19))</f>
        <v>100</v>
      </c>
      <c r="T66" s="597">
        <f>IF(Gradation!F19="",100,(100-Gradation!F19))</f>
        <v>100</v>
      </c>
      <c r="U66" s="597">
        <f>IF(Gradation!F19="",100,(100-Gradation!F19))</f>
        <v>100</v>
      </c>
      <c r="V66" s="1055">
        <f>IF(Gradation!F19="",100,(100-Gradation!F19))</f>
        <v>100</v>
      </c>
      <c r="W66" s="598">
        <f>IF(Gradation!F20="",100,(100-Gradation!F20))</f>
        <v>100</v>
      </c>
      <c r="X66" s="590">
        <f>IF(Gradation!I19="",100,(100-Gradation!I19))</f>
        <v>100</v>
      </c>
      <c r="Y66" s="597">
        <f>IF(Gradation!I19="",100,(100-Gradation!I19))</f>
        <v>100</v>
      </c>
      <c r="Z66" s="597">
        <f>IF(Gradation!I19="",100,(100-Gradation!I19))</f>
        <v>100</v>
      </c>
      <c r="AA66" s="597">
        <f>IF(Gradation!I19="",100,(100-Gradation!I19))</f>
        <v>100</v>
      </c>
      <c r="AB66" s="1055">
        <f>IF(Gradation!I19="",100,(100-Gradation!I19))</f>
        <v>100</v>
      </c>
      <c r="AC66" s="1055">
        <f>IF(Gradation!I20="",100,(100-Gradation!I20))</f>
        <v>100</v>
      </c>
      <c r="AD66" s="590">
        <f>IF(Gradation!L19="",100,(100-Gradation!L19))</f>
        <v>100</v>
      </c>
      <c r="AE66" s="597">
        <f>IF(Gradation!L19="",100,(100-Gradation!L19))</f>
        <v>100</v>
      </c>
      <c r="AF66" s="597">
        <f>IF(Gradation!L19="",100,(100-Gradation!L19))</f>
        <v>100</v>
      </c>
      <c r="AG66" s="597">
        <f>IF(Gradation!L19="",100,(100-Gradation!L19))</f>
        <v>100</v>
      </c>
      <c r="AH66" s="1055">
        <f>IF(Gradation!L19="",100,(100-Gradation!L19))</f>
        <v>100</v>
      </c>
      <c r="AI66" s="598">
        <f>IF(Gradation!L20="",100,(100-Gradation!L20))</f>
        <v>100</v>
      </c>
    </row>
    <row r="67" spans="1:35">
      <c r="A67" s="589" t="e">
        <f>HLOOKUP(B27,L39:Q52,11)</f>
        <v>#N/A</v>
      </c>
      <c r="B67" s="597" t="e">
        <f>HLOOKUP(B27,R56:W69,11)</f>
        <v>#N/A</v>
      </c>
      <c r="C67" s="584" t="e">
        <f>HLOOKUP(B27,R39:W52,11)</f>
        <v>#N/A</v>
      </c>
      <c r="D67" s="595" t="e">
        <f t="shared" si="2"/>
        <v>#N/A</v>
      </c>
      <c r="L67" s="590">
        <f>IF(Gradation!C20="",100,(100-Gradation!C20))</f>
        <v>100</v>
      </c>
      <c r="M67" s="597">
        <f>IF(Gradation!C20="",100,(100-Gradation!C20))</f>
        <v>100</v>
      </c>
      <c r="N67" s="597">
        <f>IF(Gradation!C20="",100,(100-Gradation!C20))</f>
        <v>100</v>
      </c>
      <c r="O67" s="597">
        <f>IF(Gradation!C20="",100,(100-Gradation!C20))</f>
        <v>100</v>
      </c>
      <c r="P67" s="1055">
        <f>IF(Gradation!C20="",100,(100-Gradation!C20))</f>
        <v>100</v>
      </c>
      <c r="Q67" s="598">
        <f>IF(Gradation!C21="",100,(100-Gradation!C21))</f>
        <v>100</v>
      </c>
      <c r="R67" s="590">
        <f>IF(Gradation!F20="",100,(100-Gradation!F20))</f>
        <v>100</v>
      </c>
      <c r="S67" s="597">
        <f>IF(Gradation!F20="",100,(100-Gradation!F20))</f>
        <v>100</v>
      </c>
      <c r="T67" s="597">
        <f>IF(Gradation!F20="",100,(100-Gradation!F20))</f>
        <v>100</v>
      </c>
      <c r="U67" s="597">
        <f>IF(Gradation!F20="",100,(100-Gradation!F20))</f>
        <v>100</v>
      </c>
      <c r="V67" s="1055">
        <f>IF(Gradation!F20="",100,(100-Gradation!F20))</f>
        <v>100</v>
      </c>
      <c r="W67" s="598">
        <f>IF(Gradation!F21="",100,(100-Gradation!F21))</f>
        <v>100</v>
      </c>
      <c r="X67" s="590">
        <f>IF(Gradation!I20="",100,(100-Gradation!I20))</f>
        <v>100</v>
      </c>
      <c r="Y67" s="597">
        <f>IF(Gradation!I20="",100,(100-Gradation!I20))</f>
        <v>100</v>
      </c>
      <c r="Z67" s="597">
        <f>IF(Gradation!I20="",100,(100-Gradation!I20))</f>
        <v>100</v>
      </c>
      <c r="AA67" s="597">
        <f>IF(Gradation!I20="",100,(100-Gradation!I20))</f>
        <v>100</v>
      </c>
      <c r="AB67" s="1055">
        <f>IF(Gradation!I20="",100,(100-Gradation!I20))</f>
        <v>100</v>
      </c>
      <c r="AC67" s="1055">
        <f>IF(Gradation!I21="",100,(100-Gradation!I21))</f>
        <v>100</v>
      </c>
      <c r="AD67" s="590">
        <f>IF(Gradation!L20="",100,(100-Gradation!L20))</f>
        <v>100</v>
      </c>
      <c r="AE67" s="597">
        <f>IF(Gradation!L20="",100,(100-Gradation!L20))</f>
        <v>100</v>
      </c>
      <c r="AF67" s="597">
        <f>IF(Gradation!L20="",100,(100-Gradation!L20))</f>
        <v>100</v>
      </c>
      <c r="AG67" s="597">
        <f>IF(Gradation!L20="",100,(100-Gradation!L20))</f>
        <v>100</v>
      </c>
      <c r="AH67" s="1055">
        <f>IF(Gradation!L20="",100,(100-Gradation!L20))</f>
        <v>100</v>
      </c>
      <c r="AI67" s="598">
        <f>IF(Gradation!L21="",100,(100-Gradation!L21))</f>
        <v>100</v>
      </c>
    </row>
    <row r="68" spans="1:35">
      <c r="A68" s="589" t="e">
        <f>HLOOKUP(B27,L39:Q52,12)</f>
        <v>#N/A</v>
      </c>
      <c r="B68" s="597" t="e">
        <f>HLOOKUP(B27,R56:W69,12)</f>
        <v>#N/A</v>
      </c>
      <c r="C68" s="584" t="e">
        <f>HLOOKUP(B27,R39:W52,12)</f>
        <v>#N/A</v>
      </c>
      <c r="D68" s="595" t="e">
        <f t="shared" si="2"/>
        <v>#N/A</v>
      </c>
      <c r="L68" s="590">
        <f>IF(Gradation!C21="",100,(100-Gradation!C21))</f>
        <v>100</v>
      </c>
      <c r="M68" s="597">
        <f>IF(Gradation!C21="",100,(100-Gradation!C21))</f>
        <v>100</v>
      </c>
      <c r="N68" s="597">
        <f>IF(Gradation!C21="",100,(100-Gradation!C21))</f>
        <v>100</v>
      </c>
      <c r="O68" s="597">
        <f>IF(Gradation!C21="",100,(100-Gradation!C21))</f>
        <v>100</v>
      </c>
      <c r="P68" s="1055">
        <f>IF(Gradation!C21="",100,(100-Gradation!C21))</f>
        <v>100</v>
      </c>
      <c r="Q68" s="598">
        <f>IF(Gradation!C22="",100,(100-Gradation!C22))</f>
        <v>100</v>
      </c>
      <c r="R68" s="590">
        <f>IF(Gradation!F21="",100,(100-Gradation!F21))</f>
        <v>100</v>
      </c>
      <c r="S68" s="597">
        <f>IF(Gradation!F21="",100,(100-Gradation!F21))</f>
        <v>100</v>
      </c>
      <c r="T68" s="597">
        <f>IF(Gradation!F21="",100,(100-Gradation!F21))</f>
        <v>100</v>
      </c>
      <c r="U68" s="597">
        <f>IF(Gradation!F21="",100,(100-Gradation!F21))</f>
        <v>100</v>
      </c>
      <c r="V68" s="1055">
        <f>IF(Gradation!F21="",100,(100-Gradation!F21))</f>
        <v>100</v>
      </c>
      <c r="W68" s="598">
        <f>IF(Gradation!F22="",100,(100-Gradation!F22))</f>
        <v>100</v>
      </c>
      <c r="X68" s="590">
        <f>IF(Gradation!I21="",100,(100-Gradation!I21))</f>
        <v>100</v>
      </c>
      <c r="Y68" s="597">
        <f>IF(Gradation!I21="",100,(100-Gradation!I21))</f>
        <v>100</v>
      </c>
      <c r="Z68" s="597">
        <f>IF(Gradation!I21="",100,(100-Gradation!I21))</f>
        <v>100</v>
      </c>
      <c r="AA68" s="597">
        <f>IF(Gradation!I21="",100,(100-Gradation!I21))</f>
        <v>100</v>
      </c>
      <c r="AB68" s="1055">
        <f>IF(Gradation!I21="",100,(100-Gradation!I21))</f>
        <v>100</v>
      </c>
      <c r="AC68" s="1055">
        <f>IF(Gradation!I22="",100,(100-Gradation!I22))</f>
        <v>100</v>
      </c>
      <c r="AD68" s="590">
        <f>IF(Gradation!L21="",100,(100-Gradation!L21))</f>
        <v>100</v>
      </c>
      <c r="AE68" s="597">
        <f>IF(Gradation!L21="",100,(100-Gradation!L21))</f>
        <v>100</v>
      </c>
      <c r="AF68" s="597">
        <f>IF(Gradation!L21="",100,(100-Gradation!L21))</f>
        <v>100</v>
      </c>
      <c r="AG68" s="597">
        <f>IF(Gradation!L21="",100,(100-Gradation!L21))</f>
        <v>100</v>
      </c>
      <c r="AH68" s="1055">
        <f>IF(Gradation!L21="",100,(100-Gradation!L21))</f>
        <v>100</v>
      </c>
      <c r="AI68" s="598">
        <f>IF(Gradation!L22="",100,(100-Gradation!L22))</f>
        <v>100</v>
      </c>
    </row>
    <row r="69" spans="1:35" ht="13.5" thickBot="1">
      <c r="A69" s="589" t="e">
        <f>HLOOKUP(B27,L39:Q52,13)</f>
        <v>#N/A</v>
      </c>
      <c r="B69" s="597" t="e">
        <f>HLOOKUP(B27,R56:W69,13)</f>
        <v>#N/A</v>
      </c>
      <c r="C69" s="584" t="e">
        <f>HLOOKUP(B27,R39:W52,13)</f>
        <v>#N/A</v>
      </c>
      <c r="D69" s="595" t="e">
        <f t="shared" si="2"/>
        <v>#N/A</v>
      </c>
      <c r="L69" s="1057">
        <f>IF(Gradation!C23="",100,(100-Gradation!C23))</f>
        <v>100</v>
      </c>
      <c r="M69" s="1058">
        <f>IF(Gradation!C23="",100,(100-Gradation!C23))</f>
        <v>100</v>
      </c>
      <c r="N69" s="1058">
        <f>IF(Gradation!C23="",100,(100-Gradation!C23))</f>
        <v>100</v>
      </c>
      <c r="O69" s="1058">
        <f>IF(Gradation!C23="",100,(100-Gradation!C23))</f>
        <v>100</v>
      </c>
      <c r="P69" s="1059">
        <f>IF(Gradation!C23="",100,(100-Gradation!C23))</f>
        <v>100</v>
      </c>
      <c r="Q69" s="1060">
        <f>IF(Gradation!C23="",100,(100-Gradation!C23))</f>
        <v>100</v>
      </c>
      <c r="R69" s="1057">
        <f>IF(Gradation!F23="",100,(100-Gradation!F23))</f>
        <v>100</v>
      </c>
      <c r="S69" s="1058">
        <f>IF(Gradation!F23="",100,(100-Gradation!F23))</f>
        <v>100</v>
      </c>
      <c r="T69" s="1058">
        <f>IF(Gradation!F23="",100,(100-Gradation!F23))</f>
        <v>100</v>
      </c>
      <c r="U69" s="1058">
        <f>IF(Gradation!F23="",100,(100-Gradation!F23))</f>
        <v>100</v>
      </c>
      <c r="V69" s="1059">
        <f>IF(Gradation!F23="",100,(100-Gradation!F23))</f>
        <v>100</v>
      </c>
      <c r="W69" s="1060">
        <f>IF(Gradation!F23="",100,(100-Gradation!F23))</f>
        <v>100</v>
      </c>
      <c r="X69" s="1057">
        <f>IF(Gradation!I23="",100,(100-Gradation!I23))</f>
        <v>100</v>
      </c>
      <c r="Y69" s="1058">
        <f>IF(Gradation!I23="",100,(100-Gradation!I23))</f>
        <v>100</v>
      </c>
      <c r="Z69" s="1058">
        <f>IF(Gradation!I23="",100,(100-Gradation!I23))</f>
        <v>100</v>
      </c>
      <c r="AA69" s="1058">
        <f>IF(Gradation!I23="",100,(100-Gradation!I23))</f>
        <v>100</v>
      </c>
      <c r="AB69" s="1059">
        <f>IF(Gradation!I23="",100,(100-Gradation!I23))</f>
        <v>100</v>
      </c>
      <c r="AC69" s="1060">
        <f>IF(Gradation!I23="",100,(100-Gradation!I23))</f>
        <v>100</v>
      </c>
      <c r="AD69" s="1057">
        <f>IF(Gradation!L23="",100,(100-Gradation!L23))</f>
        <v>100</v>
      </c>
      <c r="AE69" s="1058">
        <f>IF(Gradation!L23="",100,(100-Gradation!L23))</f>
        <v>100</v>
      </c>
      <c r="AF69" s="1058">
        <f>IF(Gradation!L23="",100,(100-Gradation!L23))</f>
        <v>100</v>
      </c>
      <c r="AG69" s="1058">
        <f>IF(Gradation!L23="",100,(100-Gradation!L23))</f>
        <v>100</v>
      </c>
      <c r="AH69" s="1059">
        <f>IF(Gradation!L23="",100,(100-Gradation!L23))</f>
        <v>100</v>
      </c>
      <c r="AI69" s="1060">
        <f>IF(Gradation!L23="",100,(100-Gradation!L23))</f>
        <v>100</v>
      </c>
    </row>
    <row r="70" spans="1:35" ht="13.5" thickTop="1">
      <c r="A70" s="589" t="e">
        <f>HLOOKUP(B27,L39:Q52,14)</f>
        <v>#N/A</v>
      </c>
      <c r="B70" s="597" t="e">
        <f>HLOOKUP(B27,R56:W69,14)</f>
        <v>#N/A</v>
      </c>
      <c r="C70" s="584" t="e">
        <f>HLOOKUP(B27,R39:W52,14)</f>
        <v>#N/A</v>
      </c>
      <c r="D70" s="595" t="e">
        <f t="shared" si="2"/>
        <v>#N/A</v>
      </c>
      <c r="L70" s="585"/>
    </row>
    <row r="71" spans="1:35" ht="13.5" thickBot="1">
      <c r="A71" s="591"/>
      <c r="B71" s="592" t="e">
        <f>IF(B70&gt;=99,100,0)</f>
        <v>#N/A</v>
      </c>
      <c r="C71" s="592">
        <v>0</v>
      </c>
      <c r="D71" s="593">
        <f t="shared" si="2"/>
        <v>0</v>
      </c>
      <c r="L71" s="585"/>
    </row>
    <row r="72" spans="1:35" ht="13.5" thickTop="1">
      <c r="L72" s="608"/>
      <c r="M72" s="608"/>
      <c r="N72" s="608"/>
      <c r="O72" s="608"/>
      <c r="P72" s="608"/>
    </row>
    <row r="73" spans="1:35" ht="13.5" thickBot="1">
      <c r="L73" s="585"/>
      <c r="M73" s="585"/>
      <c r="N73" s="585"/>
      <c r="O73" s="585"/>
      <c r="P73" s="585"/>
    </row>
    <row r="74" spans="1:35" ht="14.25" thickTop="1" thickBot="1">
      <c r="A74" s="605" t="s">
        <v>1627</v>
      </c>
      <c r="B74" s="606"/>
      <c r="C74" s="606"/>
      <c r="D74" s="607"/>
      <c r="L74" s="585"/>
      <c r="M74" s="585"/>
      <c r="N74" s="585"/>
      <c r="O74" s="585"/>
      <c r="P74" s="585"/>
    </row>
    <row r="75" spans="1:35" ht="13.5" thickTop="1">
      <c r="A75" s="586" t="s">
        <v>1601</v>
      </c>
      <c r="B75" s="587" t="s">
        <v>1602</v>
      </c>
      <c r="C75" s="587" t="s">
        <v>1603</v>
      </c>
      <c r="D75" s="588" t="s">
        <v>1604</v>
      </c>
      <c r="L75" s="585"/>
      <c r="M75" s="585"/>
      <c r="N75" s="585"/>
      <c r="O75" s="585"/>
      <c r="P75" s="585"/>
    </row>
    <row r="76" spans="1:35">
      <c r="A76" s="589" t="e">
        <f>HLOOKUP(B27,L39:Q52,2)</f>
        <v>#N/A</v>
      </c>
      <c r="B76" s="597" t="e">
        <f>HLOOKUP(B27,X56:AC69,2)</f>
        <v>#N/A</v>
      </c>
      <c r="C76" s="584" t="e">
        <f>HLOOKUP(B27,R39:W52,2)</f>
        <v>#N/A</v>
      </c>
      <c r="D76" s="595" t="e">
        <f>C76^0.45</f>
        <v>#N/A</v>
      </c>
      <c r="L76" s="585"/>
      <c r="M76" s="585"/>
      <c r="N76" s="585"/>
      <c r="O76" s="585"/>
      <c r="P76" s="585"/>
    </row>
    <row r="77" spans="1:35">
      <c r="A77" s="589" t="e">
        <f>HLOOKUP(B27,L39:Q52,3)</f>
        <v>#N/A</v>
      </c>
      <c r="B77" s="597" t="e">
        <f>HLOOKUP(B27,X56:AC69,3)</f>
        <v>#N/A</v>
      </c>
      <c r="C77" s="584" t="e">
        <f>HLOOKUP(B27,R39:W52,3)</f>
        <v>#N/A</v>
      </c>
      <c r="D77" s="595" t="e">
        <f t="shared" ref="D77:D89" si="3">C77^0.45</f>
        <v>#N/A</v>
      </c>
      <c r="L77" s="585"/>
      <c r="M77" s="585"/>
      <c r="N77" s="585"/>
      <c r="O77" s="585"/>
      <c r="P77" s="585"/>
    </row>
    <row r="78" spans="1:35">
      <c r="A78" s="589" t="e">
        <f>HLOOKUP(B27,L39:Q52,4)</f>
        <v>#N/A</v>
      </c>
      <c r="B78" s="597" t="e">
        <f>HLOOKUP(B27,X56:AC69,4)</f>
        <v>#N/A</v>
      </c>
      <c r="C78" s="584" t="e">
        <f>HLOOKUP(B27,R39:W52,4)</f>
        <v>#N/A</v>
      </c>
      <c r="D78" s="595" t="e">
        <f t="shared" si="3"/>
        <v>#N/A</v>
      </c>
      <c r="L78" s="594"/>
      <c r="M78" s="585"/>
      <c r="N78" s="585"/>
      <c r="O78" s="585"/>
      <c r="P78" s="585"/>
    </row>
    <row r="79" spans="1:35">
      <c r="A79" s="589" t="e">
        <f>HLOOKUP(B27,L39:Q52,5)</f>
        <v>#N/A</v>
      </c>
      <c r="B79" s="597" t="e">
        <f>HLOOKUP(B27,X56:AC69,5)</f>
        <v>#N/A</v>
      </c>
      <c r="C79" s="584" t="e">
        <f>HLOOKUP(B27,R39:W52,5)</f>
        <v>#N/A</v>
      </c>
      <c r="D79" s="595" t="e">
        <f t="shared" si="3"/>
        <v>#N/A</v>
      </c>
      <c r="L79" s="594"/>
      <c r="M79" s="585"/>
      <c r="N79" s="585"/>
      <c r="O79" s="585"/>
      <c r="P79" s="585"/>
    </row>
    <row r="80" spans="1:35">
      <c r="A80" s="589" t="e">
        <f>HLOOKUP(B27,L39:Q52,6)</f>
        <v>#N/A</v>
      </c>
      <c r="B80" s="597" t="e">
        <f>HLOOKUP(B27,X56:AC69,6)</f>
        <v>#N/A</v>
      </c>
      <c r="C80" s="584" t="e">
        <f>HLOOKUP(B27,R39:W52,6)</f>
        <v>#N/A</v>
      </c>
      <c r="D80" s="595" t="e">
        <f t="shared" si="3"/>
        <v>#N/A</v>
      </c>
      <c r="L80" s="594"/>
      <c r="M80" s="585"/>
      <c r="N80" s="585"/>
      <c r="O80" s="585"/>
      <c r="P80" s="585"/>
    </row>
    <row r="81" spans="1:16">
      <c r="A81" s="589" t="e">
        <f>HLOOKUP(B27,L39:Q52,7)</f>
        <v>#N/A</v>
      </c>
      <c r="B81" s="597" t="e">
        <f>HLOOKUP(B27,X56:AC69,7)</f>
        <v>#N/A</v>
      </c>
      <c r="C81" s="584" t="e">
        <f>HLOOKUP(B27,R39:W52,7)</f>
        <v>#N/A</v>
      </c>
      <c r="D81" s="595" t="e">
        <f t="shared" si="3"/>
        <v>#N/A</v>
      </c>
      <c r="L81" s="594"/>
      <c r="M81" s="585"/>
      <c r="N81" s="585"/>
      <c r="O81" s="585"/>
      <c r="P81" s="585"/>
    </row>
    <row r="82" spans="1:16">
      <c r="A82" s="589" t="e">
        <f>HLOOKUP(B27,L39:Q52,8)</f>
        <v>#N/A</v>
      </c>
      <c r="B82" s="597" t="e">
        <f>HLOOKUP(B27,X56:AC69,8)</f>
        <v>#N/A</v>
      </c>
      <c r="C82" s="584" t="e">
        <f>HLOOKUP(B27,R39:W52,8)</f>
        <v>#N/A</v>
      </c>
      <c r="D82" s="595" t="e">
        <f t="shared" si="3"/>
        <v>#N/A</v>
      </c>
      <c r="L82" s="594"/>
      <c r="M82" s="585"/>
      <c r="N82" s="585"/>
      <c r="O82" s="585"/>
      <c r="P82" s="585"/>
    </row>
    <row r="83" spans="1:16">
      <c r="A83" s="589" t="e">
        <f>HLOOKUP(B27,L39:Q52,9)</f>
        <v>#N/A</v>
      </c>
      <c r="B83" s="597" t="e">
        <f>HLOOKUP(B27,X56:AC69,9)</f>
        <v>#N/A</v>
      </c>
      <c r="C83" s="584" t="e">
        <f>HLOOKUP(B27,R39:W52,9)</f>
        <v>#N/A</v>
      </c>
      <c r="D83" s="595" t="e">
        <f t="shared" si="3"/>
        <v>#N/A</v>
      </c>
      <c r="L83" s="594"/>
      <c r="M83" s="585"/>
      <c r="N83" s="585"/>
      <c r="O83" s="585"/>
      <c r="P83" s="585"/>
    </row>
    <row r="84" spans="1:16">
      <c r="A84" s="589" t="e">
        <f>HLOOKUP(B27,L39:Q52,10)</f>
        <v>#N/A</v>
      </c>
      <c r="B84" s="597" t="e">
        <f>HLOOKUP(B27,X56:AC69,10)</f>
        <v>#N/A</v>
      </c>
      <c r="C84" s="584" t="e">
        <f>HLOOKUP(B27,R39:W52,10)</f>
        <v>#N/A</v>
      </c>
      <c r="D84" s="595" t="e">
        <f t="shared" si="3"/>
        <v>#N/A</v>
      </c>
      <c r="L84" s="594"/>
      <c r="M84" s="585"/>
      <c r="N84" s="585"/>
      <c r="O84" s="585"/>
      <c r="P84" s="585"/>
    </row>
    <row r="85" spans="1:16">
      <c r="A85" s="589" t="e">
        <f>HLOOKUP(B27,L39:Q52,11)</f>
        <v>#N/A</v>
      </c>
      <c r="B85" s="597" t="e">
        <f>HLOOKUP(B27,X56:AC69,11)</f>
        <v>#N/A</v>
      </c>
      <c r="C85" s="584" t="e">
        <f>HLOOKUP(B27,R39:W52,11)</f>
        <v>#N/A</v>
      </c>
      <c r="D85" s="595" t="e">
        <f t="shared" si="3"/>
        <v>#N/A</v>
      </c>
      <c r="L85" s="594"/>
      <c r="M85" s="585"/>
      <c r="N85" s="585"/>
      <c r="O85" s="585"/>
      <c r="P85" s="585"/>
    </row>
    <row r="86" spans="1:16">
      <c r="A86" s="589" t="e">
        <f>HLOOKUP(B27,L39:Q52,12)</f>
        <v>#N/A</v>
      </c>
      <c r="B86" s="597" t="e">
        <f>HLOOKUP(B27,X56:AC69,12)</f>
        <v>#N/A</v>
      </c>
      <c r="C86" s="584" t="e">
        <f>HLOOKUP(B27,R39:W52,12)</f>
        <v>#N/A</v>
      </c>
      <c r="D86" s="595" t="e">
        <f t="shared" si="3"/>
        <v>#N/A</v>
      </c>
      <c r="L86" s="594"/>
      <c r="M86" s="585"/>
      <c r="N86" s="585"/>
      <c r="O86" s="585"/>
      <c r="P86" s="585"/>
    </row>
    <row r="87" spans="1:16">
      <c r="A87" s="589" t="e">
        <f>HLOOKUP(B27,L39:Q52,13)</f>
        <v>#N/A</v>
      </c>
      <c r="B87" s="597" t="e">
        <f>HLOOKUP(B27,X56:AC69,13)</f>
        <v>#N/A</v>
      </c>
      <c r="C87" s="584" t="e">
        <f>HLOOKUP(B27,R39:W52,13)</f>
        <v>#N/A</v>
      </c>
      <c r="D87" s="595" t="e">
        <f t="shared" si="3"/>
        <v>#N/A</v>
      </c>
    </row>
    <row r="88" spans="1:16">
      <c r="A88" s="589" t="e">
        <f>HLOOKUP(B27,L39:Q52,14)</f>
        <v>#N/A</v>
      </c>
      <c r="B88" s="597" t="e">
        <f>HLOOKUP(B27,X56:AC69,14)</f>
        <v>#N/A</v>
      </c>
      <c r="C88" s="584" t="e">
        <f>HLOOKUP(B27,R39:W52,14)</f>
        <v>#N/A</v>
      </c>
      <c r="D88" s="595" t="e">
        <f t="shared" si="3"/>
        <v>#N/A</v>
      </c>
    </row>
    <row r="89" spans="1:16" ht="13.5" thickBot="1">
      <c r="A89" s="591"/>
      <c r="B89" s="592" t="e">
        <f>IF(B88&gt;=99,100,0)</f>
        <v>#N/A</v>
      </c>
      <c r="C89" s="592">
        <v>0</v>
      </c>
      <c r="D89" s="593">
        <f t="shared" si="3"/>
        <v>0</v>
      </c>
    </row>
    <row r="90" spans="1:16" ht="13.5" thickTop="1"/>
    <row r="91" spans="1:16" ht="13.5" thickBot="1"/>
    <row r="92" spans="1:16" ht="14.25" thickTop="1" thickBot="1">
      <c r="A92" s="605" t="s">
        <v>1628</v>
      </c>
      <c r="B92" s="606"/>
      <c r="C92" s="606"/>
      <c r="D92" s="607"/>
    </row>
    <row r="93" spans="1:16" ht="13.5" thickTop="1">
      <c r="A93" s="586" t="s">
        <v>1601</v>
      </c>
      <c r="B93" s="587" t="s">
        <v>1602</v>
      </c>
      <c r="C93" s="587" t="s">
        <v>1603</v>
      </c>
      <c r="D93" s="588" t="s">
        <v>1604</v>
      </c>
    </row>
    <row r="94" spans="1:16">
      <c r="A94" s="589" t="e">
        <f>HLOOKUP(B27,L39:Q52,2)</f>
        <v>#N/A</v>
      </c>
      <c r="B94" s="597" t="e">
        <f>HLOOKUP(B27,AD56:AI69,2)</f>
        <v>#N/A</v>
      </c>
      <c r="C94" s="584" t="e">
        <f>HLOOKUP(B27,R39:W52,2)</f>
        <v>#N/A</v>
      </c>
      <c r="D94" s="595" t="e">
        <f>C94^0.45</f>
        <v>#N/A</v>
      </c>
    </row>
    <row r="95" spans="1:16">
      <c r="A95" s="589" t="e">
        <f>HLOOKUP(B27,L39:Q52,3)</f>
        <v>#N/A</v>
      </c>
      <c r="B95" s="597" t="e">
        <f>HLOOKUP(B27,AD56:AI69,3)</f>
        <v>#N/A</v>
      </c>
      <c r="C95" s="584" t="e">
        <f>HLOOKUP(B27,R39:W52,3)</f>
        <v>#N/A</v>
      </c>
      <c r="D95" s="595" t="e">
        <f t="shared" ref="D95:D107" si="4">C95^0.45</f>
        <v>#N/A</v>
      </c>
    </row>
    <row r="96" spans="1:16">
      <c r="A96" s="589" t="e">
        <f>HLOOKUP(B27,L39:Q52,4)</f>
        <v>#N/A</v>
      </c>
      <c r="B96" s="597" t="e">
        <f>HLOOKUP(B27,AD56:AI69,4)</f>
        <v>#N/A</v>
      </c>
      <c r="C96" s="584" t="e">
        <f>HLOOKUP(B27,R39:W52,4)</f>
        <v>#N/A</v>
      </c>
      <c r="D96" s="595" t="e">
        <f t="shared" si="4"/>
        <v>#N/A</v>
      </c>
    </row>
    <row r="97" spans="1:4">
      <c r="A97" s="589" t="e">
        <f>HLOOKUP(B27,L39:Q52,5)</f>
        <v>#N/A</v>
      </c>
      <c r="B97" s="597" t="e">
        <f>HLOOKUP(B27,AD56:AI69,5)</f>
        <v>#N/A</v>
      </c>
      <c r="C97" s="584" t="e">
        <f>HLOOKUP(B27,R39:W52,5)</f>
        <v>#N/A</v>
      </c>
      <c r="D97" s="595" t="e">
        <f t="shared" si="4"/>
        <v>#N/A</v>
      </c>
    </row>
    <row r="98" spans="1:4">
      <c r="A98" s="589" t="e">
        <f>HLOOKUP(B27,L39:Q52,6)</f>
        <v>#N/A</v>
      </c>
      <c r="B98" s="597" t="e">
        <f>HLOOKUP(B27,AD56:AI69,6)</f>
        <v>#N/A</v>
      </c>
      <c r="C98" s="584" t="e">
        <f>HLOOKUP(B27,R39:W52,6)</f>
        <v>#N/A</v>
      </c>
      <c r="D98" s="595" t="e">
        <f t="shared" si="4"/>
        <v>#N/A</v>
      </c>
    </row>
    <row r="99" spans="1:4">
      <c r="A99" s="589" t="e">
        <f>HLOOKUP(B27,L39:Q52,7)</f>
        <v>#N/A</v>
      </c>
      <c r="B99" s="597" t="e">
        <f>HLOOKUP(B27,AD56:AI69,7)</f>
        <v>#N/A</v>
      </c>
      <c r="C99" s="584" t="e">
        <f>HLOOKUP(B27,R39:W52,7)</f>
        <v>#N/A</v>
      </c>
      <c r="D99" s="595" t="e">
        <f t="shared" si="4"/>
        <v>#N/A</v>
      </c>
    </row>
    <row r="100" spans="1:4">
      <c r="A100" s="589" t="e">
        <f>HLOOKUP(B27,L39:Q52,8)</f>
        <v>#N/A</v>
      </c>
      <c r="B100" s="597" t="e">
        <f>HLOOKUP(B27,AD56:AI69,8)</f>
        <v>#N/A</v>
      </c>
      <c r="C100" s="584" t="e">
        <f>HLOOKUP(B27,R39:W52,8)</f>
        <v>#N/A</v>
      </c>
      <c r="D100" s="595" t="e">
        <f t="shared" si="4"/>
        <v>#N/A</v>
      </c>
    </row>
    <row r="101" spans="1:4">
      <c r="A101" s="589" t="e">
        <f>HLOOKUP(B27,L39:Q52,9)</f>
        <v>#N/A</v>
      </c>
      <c r="B101" s="597" t="e">
        <f>HLOOKUP(B27,AD56:AI69,9)</f>
        <v>#N/A</v>
      </c>
      <c r="C101" s="584" t="e">
        <f>HLOOKUP(B27,R39:W52,9)</f>
        <v>#N/A</v>
      </c>
      <c r="D101" s="595" t="e">
        <f t="shared" si="4"/>
        <v>#N/A</v>
      </c>
    </row>
    <row r="102" spans="1:4">
      <c r="A102" s="589" t="e">
        <f>HLOOKUP(B27,L39:Q52,10)</f>
        <v>#N/A</v>
      </c>
      <c r="B102" s="597" t="e">
        <f>HLOOKUP(B27,AD56:AI69,10)</f>
        <v>#N/A</v>
      </c>
      <c r="C102" s="584" t="e">
        <f>HLOOKUP(B27,R39:W52,10)</f>
        <v>#N/A</v>
      </c>
      <c r="D102" s="595" t="e">
        <f t="shared" si="4"/>
        <v>#N/A</v>
      </c>
    </row>
    <row r="103" spans="1:4">
      <c r="A103" s="589" t="e">
        <f>HLOOKUP(B27,L39:Q52,11)</f>
        <v>#N/A</v>
      </c>
      <c r="B103" s="597" t="e">
        <f>HLOOKUP(B27,AD56:AI69,11)</f>
        <v>#N/A</v>
      </c>
      <c r="C103" s="584" t="e">
        <f>HLOOKUP(B27,R39:W52,11)</f>
        <v>#N/A</v>
      </c>
      <c r="D103" s="595" t="e">
        <f t="shared" si="4"/>
        <v>#N/A</v>
      </c>
    </row>
    <row r="104" spans="1:4">
      <c r="A104" s="589" t="e">
        <f>HLOOKUP(B27,L39:Q52,12)</f>
        <v>#N/A</v>
      </c>
      <c r="B104" s="597" t="e">
        <f>HLOOKUP(B27,AD56:AI69,12)</f>
        <v>#N/A</v>
      </c>
      <c r="C104" s="584" t="e">
        <f>HLOOKUP(B27,R39:W52,12)</f>
        <v>#N/A</v>
      </c>
      <c r="D104" s="595" t="e">
        <f t="shared" si="4"/>
        <v>#N/A</v>
      </c>
    </row>
    <row r="105" spans="1:4">
      <c r="A105" s="589" t="e">
        <f>HLOOKUP(B27,L39:Q52,13)</f>
        <v>#N/A</v>
      </c>
      <c r="B105" s="597" t="e">
        <f>HLOOKUP(B27,AD56:AI69,13)</f>
        <v>#N/A</v>
      </c>
      <c r="C105" s="584" t="e">
        <f>HLOOKUP(B27,R39:W52,13)</f>
        <v>#N/A</v>
      </c>
      <c r="D105" s="595" t="e">
        <f t="shared" si="4"/>
        <v>#N/A</v>
      </c>
    </row>
    <row r="106" spans="1:4">
      <c r="A106" s="589" t="e">
        <f>HLOOKUP(B27,L39:Q52,14)</f>
        <v>#N/A</v>
      </c>
      <c r="B106" s="597" t="e">
        <f>HLOOKUP(B27,AD56:AI69,14)</f>
        <v>#N/A</v>
      </c>
      <c r="C106" s="584" t="e">
        <f>HLOOKUP(B27,R39:W52,14)</f>
        <v>#N/A</v>
      </c>
      <c r="D106" s="595" t="e">
        <f t="shared" si="4"/>
        <v>#N/A</v>
      </c>
    </row>
    <row r="107" spans="1:4" ht="13.5" thickBot="1">
      <c r="A107" s="591"/>
      <c r="B107" s="592" t="e">
        <f>IF(B106&gt;=99,100,0)</f>
        <v>#N/A</v>
      </c>
      <c r="C107" s="592">
        <v>0</v>
      </c>
      <c r="D107" s="593">
        <f t="shared" si="4"/>
        <v>0</v>
      </c>
    </row>
    <row r="108" spans="1:4" ht="13.5" thickTop="1"/>
  </sheetData>
  <mergeCells count="6">
    <mergeCell ref="X55:AC55"/>
    <mergeCell ref="AD55:AI55"/>
    <mergeCell ref="L38:Q38"/>
    <mergeCell ref="R38:W38"/>
    <mergeCell ref="L55:Q55"/>
    <mergeCell ref="R55:W55"/>
  </mergeCells>
  <phoneticPr fontId="31" type="noConversion"/>
  <pageMargins left="0.75" right="0.75" top="1" bottom="1" header="0.5" footer="0.5"/>
  <pageSetup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pageSetUpPr fitToPage="1"/>
  </sheetPr>
  <dimension ref="A1:U60"/>
  <sheetViews>
    <sheetView showGridLines="0" topLeftCell="A7" zoomScaleNormal="100" workbookViewId="0">
      <selection activeCell="B40" sqref="B40"/>
    </sheetView>
  </sheetViews>
  <sheetFormatPr defaultRowHeight="12.75"/>
  <cols>
    <col min="1" max="1" width="14.42578125" style="1277" customWidth="1"/>
    <col min="2" max="2" width="7.28515625" style="1277" customWidth="1"/>
    <col min="3" max="3" width="7.7109375" style="1277" customWidth="1"/>
    <col min="4" max="4" width="7.5703125" style="1277" customWidth="1"/>
    <col min="5" max="15" width="7.28515625" style="1277" customWidth="1"/>
    <col min="16" max="16" width="9" style="1277" customWidth="1"/>
    <col min="17" max="16384" width="9.140625" style="1277"/>
  </cols>
  <sheetData>
    <row r="1" spans="1:18" ht="13.5" thickTop="1">
      <c r="A1" s="1274"/>
      <c r="B1" s="1275"/>
      <c r="C1" s="1275"/>
      <c r="D1" s="1275"/>
      <c r="E1" s="1275"/>
      <c r="F1" s="1275"/>
      <c r="G1" s="1275"/>
      <c r="H1" s="1275"/>
      <c r="I1" s="1275"/>
      <c r="J1" s="1275"/>
      <c r="K1" s="1275"/>
      <c r="L1" s="1275"/>
      <c r="M1" s="1275"/>
      <c r="N1" s="1275"/>
      <c r="O1" s="1276"/>
    </row>
    <row r="2" spans="1:18" s="1281" customFormat="1" ht="13.9" customHeight="1">
      <c r="A2" s="1278" t="s">
        <v>2709</v>
      </c>
      <c r="B2" s="1279"/>
      <c r="C2" s="1279"/>
      <c r="D2" s="1279"/>
      <c r="E2" s="1279"/>
      <c r="F2" s="1279"/>
      <c r="G2" s="1279"/>
      <c r="H2" s="1279"/>
      <c r="I2" s="1279"/>
      <c r="J2" s="1279"/>
      <c r="K2" s="1279"/>
      <c r="L2" s="1279"/>
      <c r="M2" s="1279"/>
      <c r="N2" s="1279"/>
      <c r="O2" s="1280"/>
    </row>
    <row r="3" spans="1:18" s="1281" customFormat="1" ht="13.9" customHeight="1">
      <c r="A3" s="1278" t="s">
        <v>2710</v>
      </c>
      <c r="B3" s="1279"/>
      <c r="C3" s="1279"/>
      <c r="D3" s="1279"/>
      <c r="E3" s="1279"/>
      <c r="F3" s="1279"/>
      <c r="G3" s="1279"/>
      <c r="H3" s="1279"/>
      <c r="I3" s="1279"/>
      <c r="J3" s="1279"/>
      <c r="K3" s="1279"/>
      <c r="L3" s="1279"/>
      <c r="M3" s="1279"/>
      <c r="N3" s="1279"/>
      <c r="O3" s="1280"/>
    </row>
    <row r="4" spans="1:18" s="1281" customFormat="1" ht="13.9" customHeight="1">
      <c r="A4" s="1278" t="s">
        <v>2711</v>
      </c>
      <c r="B4" s="1279"/>
      <c r="C4" s="1279"/>
      <c r="D4" s="1279"/>
      <c r="E4" s="1279"/>
      <c r="F4" s="1279"/>
      <c r="G4" s="1279"/>
      <c r="H4" s="1279"/>
      <c r="I4" s="1279"/>
      <c r="J4" s="1279"/>
      <c r="K4" s="1279"/>
      <c r="L4" s="1279"/>
      <c r="M4" s="1279"/>
      <c r="N4" s="1279"/>
      <c r="O4" s="1280"/>
    </row>
    <row r="5" spans="1:18" s="1281" customFormat="1" ht="13.9" customHeight="1" thickBot="1">
      <c r="A5" s="1282"/>
      <c r="B5" s="1283"/>
      <c r="C5" s="1283"/>
      <c r="D5" s="1283"/>
      <c r="E5" s="1283"/>
      <c r="F5" s="1283"/>
      <c r="G5" s="1283"/>
      <c r="H5" s="1283"/>
      <c r="I5" s="1283"/>
      <c r="J5" s="1283"/>
      <c r="K5" s="1283"/>
      <c r="L5" s="1283"/>
      <c r="M5" s="1283"/>
      <c r="N5" s="1283"/>
      <c r="O5" s="1284"/>
    </row>
    <row r="6" spans="1:18" s="1281" customFormat="1" ht="13.9" customHeight="1" thickTop="1"/>
    <row r="7" spans="1:18" s="1281" customFormat="1" ht="13.9" customHeight="1">
      <c r="A7" s="1285" t="s">
        <v>2712</v>
      </c>
      <c r="B7" s="1286"/>
      <c r="C7" s="1286"/>
      <c r="D7" s="1286"/>
      <c r="E7" s="1286"/>
      <c r="F7" s="1286"/>
      <c r="G7" s="1286"/>
      <c r="H7" s="1286"/>
      <c r="I7" s="1286"/>
      <c r="J7" s="1286"/>
      <c r="K7" s="1286"/>
      <c r="L7" s="1286"/>
      <c r="M7" s="1286"/>
      <c r="N7" s="1286"/>
      <c r="O7" s="1286"/>
    </row>
    <row r="8" spans="1:18" s="1281" customFormat="1" ht="13.9" customHeight="1">
      <c r="A8" s="1287"/>
      <c r="B8" s="1288"/>
      <c r="C8" s="1288"/>
      <c r="D8" s="1288"/>
      <c r="E8" s="1288"/>
      <c r="F8" s="1288"/>
      <c r="G8" s="1288"/>
      <c r="H8" s="1288"/>
      <c r="I8" s="1288"/>
      <c r="J8" s="1288"/>
      <c r="K8" s="1288"/>
      <c r="L8" s="1288"/>
      <c r="M8" s="1288"/>
      <c r="N8" s="1288"/>
      <c r="O8" s="1288"/>
    </row>
    <row r="9" spans="1:18" s="1281" customFormat="1" ht="13.9" customHeight="1">
      <c r="A9" s="1289" t="s">
        <v>2798</v>
      </c>
      <c r="B9" s="1290" t="str">
        <f>IF('Pay Values'!B3="","",'Pay Values'!B3)</f>
        <v/>
      </c>
      <c r="E9" s="1287"/>
      <c r="F9" s="1289" t="s">
        <v>2713</v>
      </c>
      <c r="H9" s="1290" t="str">
        <f>IF('Pay Values'!I3="","",'Pay Values'!I3)</f>
        <v/>
      </c>
      <c r="J9" s="1289" t="s">
        <v>2714</v>
      </c>
      <c r="K9" s="1287"/>
      <c r="L9" s="1676" t="str">
        <f>IF('Pay Values'!B5="","",'Pay Values'!B5)</f>
        <v/>
      </c>
      <c r="M9" s="1676"/>
      <c r="N9" s="1676"/>
      <c r="O9" s="1676"/>
    </row>
    <row r="10" spans="1:18" s="1281" customFormat="1" ht="13.9" customHeight="1">
      <c r="E10" s="1287"/>
      <c r="K10" s="1287"/>
      <c r="L10" s="1676"/>
      <c r="M10" s="1676"/>
      <c r="N10" s="1676"/>
      <c r="O10" s="1676"/>
    </row>
    <row r="11" spans="1:18" s="1281" customFormat="1" ht="13.9" customHeight="1">
      <c r="A11" s="1289" t="s">
        <v>2715</v>
      </c>
      <c r="B11" s="1290" t="str">
        <f>IF('Pay Values'!B4="","",'Pay Values'!B4)</f>
        <v/>
      </c>
      <c r="E11" s="1287"/>
      <c r="F11" s="1289" t="s">
        <v>2716</v>
      </c>
      <c r="H11" s="1290" t="str">
        <f>IF('Pay Values'!I5="","",'Pay Values'!I5)</f>
        <v/>
      </c>
      <c r="J11" s="1289" t="s">
        <v>2717</v>
      </c>
      <c r="K11" s="1287"/>
      <c r="L11" s="1676" t="e">
        <f>IF('Pay Values'!C6="","",'Pay Values'!C6)</f>
        <v>#N/A</v>
      </c>
      <c r="M11" s="1676"/>
      <c r="N11" s="1676"/>
      <c r="O11" s="1676"/>
      <c r="P11" s="1291"/>
    </row>
    <row r="12" spans="1:18" s="1281" customFormat="1" ht="13.9" customHeight="1">
      <c r="B12" s="1290"/>
      <c r="E12" s="1287"/>
      <c r="F12" s="1287"/>
      <c r="G12" s="1287"/>
      <c r="H12" s="1287"/>
      <c r="I12" s="1287"/>
      <c r="J12" s="1287"/>
      <c r="K12" s="1287"/>
      <c r="L12" s="1676"/>
      <c r="M12" s="1676"/>
      <c r="N12" s="1676"/>
      <c r="O12" s="1676"/>
      <c r="P12" s="1291"/>
    </row>
    <row r="13" spans="1:18" s="1281" customFormat="1" ht="13.9" customHeight="1">
      <c r="A13" s="1289" t="s">
        <v>2718</v>
      </c>
      <c r="B13" s="1290" t="e">
        <f>IF(Calculations!E147="","",Calculations!E147)</f>
        <v>#N/A</v>
      </c>
      <c r="E13" s="1287"/>
      <c r="F13" s="1289" t="s">
        <v>2719</v>
      </c>
      <c r="J13" s="1289"/>
      <c r="K13" s="1287"/>
      <c r="M13" s="1287"/>
      <c r="N13" s="1287"/>
      <c r="O13" s="1287"/>
      <c r="P13" s="1291"/>
    </row>
    <row r="14" spans="1:18" s="1281" customFormat="1" ht="13.9" customHeight="1" thickBot="1">
      <c r="A14" s="1292" t="s">
        <v>2720</v>
      </c>
      <c r="B14" s="1287"/>
      <c r="E14" s="1287"/>
      <c r="J14" s="1291"/>
      <c r="P14" s="1291"/>
    </row>
    <row r="15" spans="1:18" s="1281" customFormat="1" ht="13.9" customHeight="1" thickTop="1" thickBot="1">
      <c r="A15" s="1289" t="s">
        <v>2721</v>
      </c>
      <c r="B15" s="1290" t="str">
        <f>IF('Pay Values'!B46="","",'Pay Values'!B46)</f>
        <v/>
      </c>
      <c r="E15" s="1287"/>
      <c r="F15" s="1293"/>
      <c r="H15" s="1290"/>
      <c r="I15" s="1294"/>
      <c r="J15" s="1287"/>
      <c r="K15" s="1295" t="s">
        <v>2722</v>
      </c>
      <c r="L15" s="1296"/>
      <c r="M15" s="1297"/>
      <c r="N15" s="1298"/>
      <c r="O15" s="1299"/>
      <c r="P15" s="1291"/>
    </row>
    <row r="16" spans="1:18" s="1281" customFormat="1" ht="13.9" customHeight="1" thickTop="1" thickBot="1">
      <c r="A16" s="1287"/>
      <c r="B16" s="1287"/>
      <c r="C16" s="1287"/>
      <c r="D16" s="1287"/>
      <c r="E16" s="1287"/>
      <c r="F16" s="1287"/>
      <c r="G16" s="1287"/>
      <c r="H16" s="1287"/>
      <c r="I16" s="1287"/>
      <c r="J16" s="1287"/>
      <c r="K16" s="1300" t="s">
        <v>2723</v>
      </c>
      <c r="L16" s="1301"/>
      <c r="M16" s="1302"/>
      <c r="N16" s="1303"/>
      <c r="O16" s="1304"/>
      <c r="P16" s="1291"/>
      <c r="Q16" s="1291"/>
      <c r="R16" s="1291"/>
    </row>
    <row r="17" spans="1:21" s="1281" customFormat="1" ht="13.9" customHeight="1" thickTop="1">
      <c r="A17" s="1305" t="str">
        <f>IF(B33=150,"Performance specimens are to be compacted to a","TSR specimens are to be compacted by the")</f>
        <v>Performance specimens are to be compacted to a</v>
      </c>
      <c r="B17" s="1306"/>
      <c r="C17" s="1306"/>
      <c r="D17" s="1306"/>
      <c r="E17" s="1307"/>
      <c r="F17" s="1287"/>
      <c r="G17" s="1308" t="s">
        <v>2724</v>
      </c>
      <c r="H17" s="1309" t="s">
        <v>2725</v>
      </c>
      <c r="I17" s="1310"/>
      <c r="J17" s="1287"/>
      <c r="K17" s="1311" t="s">
        <v>2726</v>
      </c>
      <c r="L17" s="1312"/>
      <c r="M17" s="1313"/>
      <c r="N17" s="1314"/>
      <c r="O17" s="1315"/>
      <c r="P17" s="1316"/>
      <c r="Q17" s="1316"/>
      <c r="R17" s="1316"/>
    </row>
    <row r="18" spans="1:21" s="1281" customFormat="1" ht="13.9" customHeight="1" thickBot="1">
      <c r="A18" s="1317" t="str">
        <f>IF(B33=150,"height of 62.0 mm with a target air void percentage","amount of blows that will yeild 7.0% (+ or - 1.0%)")</f>
        <v>height of 62.0 mm with a target air void percentage</v>
      </c>
      <c r="B18" s="1318"/>
      <c r="C18" s="1318"/>
      <c r="D18" s="1318"/>
      <c r="E18" s="1319"/>
      <c r="F18" s="1287"/>
      <c r="G18" s="1320"/>
      <c r="H18" s="1677"/>
      <c r="I18" s="1678"/>
      <c r="J18" s="1287"/>
      <c r="K18" s="1321" t="s">
        <v>2727</v>
      </c>
      <c r="L18" s="1322"/>
      <c r="M18" s="1323"/>
      <c r="N18" s="1324" t="str">
        <f>IF(N17="","",(($G$18)*N17)/(100-($G$18)))</f>
        <v/>
      </c>
      <c r="O18" s="1325" t="str">
        <f>IF(O17="","",(($G$18)*O17)/(100-($G$18)))</f>
        <v/>
      </c>
      <c r="P18" s="1291"/>
      <c r="Q18" s="1291"/>
      <c r="R18" s="1291"/>
    </row>
    <row r="19" spans="1:21" s="1281" customFormat="1" ht="13.9" customHeight="1" thickTop="1">
      <c r="A19" s="1317" t="str">
        <f>IF(B33=150,"of 7.0 % (+ or - 0.5 %).","air voids.  The target degree of initial saturation")</f>
        <v>of 7.0 % (+ or - 0.5 %).</v>
      </c>
      <c r="B19" s="1318"/>
      <c r="C19" s="1318"/>
      <c r="D19" s="1318"/>
      <c r="E19" s="1319"/>
      <c r="F19" s="1287"/>
      <c r="G19" s="1309" t="s">
        <v>2728</v>
      </c>
      <c r="H19" s="1326"/>
      <c r="I19" s="1310"/>
      <c r="J19" s="1287"/>
      <c r="K19" s="1327" t="s">
        <v>2729</v>
      </c>
      <c r="L19" s="1322"/>
      <c r="M19" s="1328"/>
      <c r="N19" s="1329"/>
      <c r="O19" s="1330"/>
      <c r="P19" s="1291"/>
      <c r="Q19" s="1331"/>
      <c r="R19" s="1331"/>
    </row>
    <row r="20" spans="1:21" s="1281" customFormat="1" ht="13.9" customHeight="1" thickBot="1">
      <c r="A20" s="1332" t="str">
        <f>IF(B33=150,"","is 65.0% (+ or - 5.0%)")</f>
        <v/>
      </c>
      <c r="B20" s="1333"/>
      <c r="C20" s="1333"/>
      <c r="D20" s="1333"/>
      <c r="E20" s="1334"/>
      <c r="F20" s="1287"/>
      <c r="G20" s="1677"/>
      <c r="H20" s="1679"/>
      <c r="I20" s="1678"/>
      <c r="J20" s="1287"/>
      <c r="K20" s="1327" t="s">
        <v>2730</v>
      </c>
      <c r="L20" s="1322"/>
      <c r="M20" s="1335"/>
      <c r="N20" s="1329"/>
      <c r="O20" s="1330"/>
      <c r="P20" s="1291"/>
      <c r="Q20" s="1331"/>
      <c r="R20" s="1331"/>
      <c r="S20" s="1287"/>
      <c r="T20" s="1287"/>
      <c r="U20" s="1287"/>
    </row>
    <row r="21" spans="1:21" s="1281" customFormat="1" ht="13.9" customHeight="1" thickTop="1" thickBot="1">
      <c r="A21" s="1287"/>
      <c r="B21" s="1287"/>
      <c r="C21" s="1287"/>
      <c r="D21" s="1287"/>
      <c r="E21" s="1287"/>
      <c r="F21" s="1287"/>
      <c r="G21" s="1287"/>
      <c r="H21" s="1287"/>
      <c r="I21" s="1287"/>
      <c r="K21" s="1327" t="s">
        <v>2731</v>
      </c>
      <c r="L21" s="1322"/>
      <c r="M21" s="1336"/>
      <c r="N21" s="1329"/>
      <c r="O21" s="1330"/>
      <c r="P21" s="1291"/>
      <c r="Q21" s="1331"/>
      <c r="R21" s="1331"/>
      <c r="S21" s="1287"/>
      <c r="T21" s="1287"/>
      <c r="U21" s="1287"/>
    </row>
    <row r="22" spans="1:21" s="1281" customFormat="1" ht="13.9" customHeight="1" thickTop="1" thickBot="1">
      <c r="A22" s="1337" t="s">
        <v>2800</v>
      </c>
      <c r="B22" s="1338"/>
      <c r="C22" s="1297" t="s">
        <v>2732</v>
      </c>
      <c r="D22" s="1339"/>
      <c r="E22" s="1297" t="s">
        <v>2733</v>
      </c>
      <c r="F22" s="1339"/>
      <c r="G22" s="1340"/>
      <c r="H22" s="1341" t="s">
        <v>2734</v>
      </c>
      <c r="I22" s="1342"/>
      <c r="J22" s="1287"/>
      <c r="K22" s="1327" t="s">
        <v>2735</v>
      </c>
      <c r="L22" s="1322"/>
      <c r="M22" s="1323"/>
      <c r="N22" s="1343" t="str">
        <f>IF(N21="","",N21-N20)</f>
        <v/>
      </c>
      <c r="O22" s="1344" t="str">
        <f>IF(O21="","",O21-O20)</f>
        <v/>
      </c>
      <c r="Q22" s="1331"/>
      <c r="R22" s="1331"/>
    </row>
    <row r="23" spans="1:21" s="1281" customFormat="1" ht="13.9" customHeight="1" thickTop="1">
      <c r="A23" s="1300" t="s">
        <v>2801</v>
      </c>
      <c r="B23" s="1345"/>
      <c r="C23" s="1680"/>
      <c r="D23" s="1681"/>
      <c r="E23" s="1682"/>
      <c r="F23" s="1683"/>
      <c r="G23" s="1684"/>
      <c r="H23" s="1685"/>
      <c r="I23" s="1686"/>
      <c r="J23" s="1287"/>
      <c r="K23" s="1327" t="s">
        <v>2736</v>
      </c>
      <c r="L23" s="1322"/>
      <c r="M23" s="1346"/>
      <c r="N23" s="1347" t="str">
        <f>IF(N22="","",(N19/N22))</f>
        <v/>
      </c>
      <c r="O23" s="1348" t="str">
        <f>IF(O22="","",(O19/O22))</f>
        <v/>
      </c>
      <c r="Q23" s="1349"/>
      <c r="R23" s="1349"/>
    </row>
    <row r="24" spans="1:21" s="1281" customFormat="1" ht="13.9" customHeight="1">
      <c r="A24" s="1321" t="s">
        <v>2802</v>
      </c>
      <c r="B24" s="1350"/>
      <c r="C24" s="1663"/>
      <c r="D24" s="1664"/>
      <c r="E24" s="1665"/>
      <c r="F24" s="1666"/>
      <c r="G24" s="1667"/>
      <c r="H24" s="1668"/>
      <c r="I24" s="1669"/>
      <c r="J24" s="1287"/>
      <c r="K24" s="1327" t="s">
        <v>1740</v>
      </c>
      <c r="L24" s="1322"/>
      <c r="M24" s="1351"/>
      <c r="N24" s="1352"/>
      <c r="O24" s="1348" t="str">
        <f>IF(N24="","",N24)</f>
        <v/>
      </c>
      <c r="Q24" s="1349"/>
      <c r="R24" s="1349"/>
    </row>
    <row r="25" spans="1:21" s="1281" customFormat="1" ht="13.9" customHeight="1">
      <c r="A25" s="1321" t="s">
        <v>2737</v>
      </c>
      <c r="B25" s="1353"/>
      <c r="C25" s="1663"/>
      <c r="D25" s="1664"/>
      <c r="E25" s="1665"/>
      <c r="F25" s="1666"/>
      <c r="G25" s="1667"/>
      <c r="H25" s="1668"/>
      <c r="I25" s="1669"/>
      <c r="J25" s="1287"/>
      <c r="K25" s="1327" t="s">
        <v>2738</v>
      </c>
      <c r="L25" s="1322"/>
      <c r="M25" s="1323"/>
      <c r="N25" s="1343" t="str">
        <f>IF(N21="","",(100*(N24-N23)/N24))</f>
        <v/>
      </c>
      <c r="O25" s="1344" t="str">
        <f>IF(O21="","",(100*(O24-O23)/O24))</f>
        <v/>
      </c>
      <c r="Q25" s="1331"/>
      <c r="R25" s="1331"/>
    </row>
    <row r="26" spans="1:21" s="1281" customFormat="1" ht="13.9" customHeight="1">
      <c r="A26" s="1327" t="s">
        <v>2739</v>
      </c>
      <c r="B26" s="1353"/>
      <c r="C26" s="1663"/>
      <c r="D26" s="1664"/>
      <c r="E26" s="1665"/>
      <c r="F26" s="1666"/>
      <c r="G26" s="1667"/>
      <c r="H26" s="1668"/>
      <c r="I26" s="1669"/>
      <c r="J26" s="1287"/>
      <c r="K26" s="1321" t="s">
        <v>2740</v>
      </c>
      <c r="L26" s="1322"/>
      <c r="M26" s="1354"/>
      <c r="N26" s="1672" t="str">
        <f>IF(N24="","",7)</f>
        <v/>
      </c>
      <c r="O26" s="1673"/>
      <c r="Q26" s="1355"/>
      <c r="R26" s="1291"/>
    </row>
    <row r="27" spans="1:21" s="1281" customFormat="1" ht="13.9" customHeight="1">
      <c r="A27" s="1321" t="s">
        <v>2741</v>
      </c>
      <c r="B27" s="1353"/>
      <c r="C27" s="1663"/>
      <c r="D27" s="1664"/>
      <c r="E27" s="1665"/>
      <c r="F27" s="1666"/>
      <c r="G27" s="1667"/>
      <c r="H27" s="1668"/>
      <c r="I27" s="1669"/>
      <c r="J27" s="1287"/>
      <c r="K27" s="1321" t="s">
        <v>2742</v>
      </c>
      <c r="L27" s="1322"/>
      <c r="M27" s="1323"/>
      <c r="N27" s="1674" t="str">
        <f>IF($N$21="","",(N17+(((N25-N26)/(N25-O25))*(O17-N17))))</f>
        <v/>
      </c>
      <c r="O27" s="1675"/>
      <c r="Q27" s="1356"/>
      <c r="R27" s="1291"/>
    </row>
    <row r="28" spans="1:21" s="1281" customFormat="1" ht="13.9" customHeight="1" thickBot="1">
      <c r="A28" s="1327" t="s">
        <v>2743</v>
      </c>
      <c r="B28" s="1353"/>
      <c r="C28" s="1663"/>
      <c r="D28" s="1664"/>
      <c r="E28" s="1665"/>
      <c r="F28" s="1666"/>
      <c r="G28" s="1667"/>
      <c r="H28" s="1668"/>
      <c r="I28" s="1669"/>
      <c r="J28" s="1287"/>
      <c r="K28" s="1357" t="s">
        <v>2744</v>
      </c>
      <c r="L28" s="1358"/>
      <c r="M28" s="1359"/>
      <c r="N28" s="1670" t="str">
        <f>IF(N27="","",(($G$18)*N27)/(100-($G$18)))</f>
        <v/>
      </c>
      <c r="O28" s="1671"/>
      <c r="Q28" s="1316"/>
    </row>
    <row r="29" spans="1:21" s="1281" customFormat="1" ht="13.9" customHeight="1" thickTop="1">
      <c r="A29" s="1321" t="s">
        <v>2745</v>
      </c>
      <c r="B29" s="1353"/>
      <c r="C29" s="1663"/>
      <c r="D29" s="1664"/>
      <c r="E29" s="1665"/>
      <c r="F29" s="1666"/>
      <c r="G29" s="1667"/>
      <c r="H29" s="1668"/>
      <c r="I29" s="1669"/>
      <c r="J29" s="1287"/>
      <c r="K29" s="1287"/>
      <c r="L29" s="1287"/>
      <c r="M29" s="1287"/>
      <c r="N29" s="1287"/>
      <c r="O29" s="1287"/>
    </row>
    <row r="30" spans="1:21" ht="13.9" customHeight="1" thickBot="1">
      <c r="A30" s="1360" t="s">
        <v>2746</v>
      </c>
      <c r="B30" s="1361"/>
      <c r="C30" s="1362"/>
      <c r="D30" s="1363"/>
      <c r="E30" s="1364"/>
      <c r="F30" s="1365"/>
      <c r="G30" s="1660"/>
      <c r="H30" s="1661"/>
      <c r="I30" s="1662"/>
      <c r="J30" s="1366"/>
      <c r="K30" s="1366"/>
      <c r="L30" s="1366"/>
      <c r="M30" s="1366"/>
      <c r="N30" s="1366"/>
      <c r="O30" s="1367"/>
    </row>
    <row r="31" spans="1:21" ht="14.25" thickTop="1" thickBot="1">
      <c r="A31" s="1358"/>
      <c r="B31" s="1368"/>
      <c r="C31" s="1368"/>
      <c r="D31" s="1368"/>
      <c r="E31" s="1368"/>
      <c r="F31" s="1368"/>
      <c r="G31" s="1368"/>
      <c r="H31" s="1369"/>
      <c r="I31" s="1368"/>
      <c r="J31" s="1368"/>
      <c r="K31" s="1368"/>
      <c r="L31" s="1368"/>
      <c r="M31" s="1368"/>
      <c r="N31" s="1368"/>
      <c r="O31" s="1369"/>
    </row>
    <row r="32" spans="1:21" ht="13.5" thickTop="1">
      <c r="A32" s="1370" t="s">
        <v>943</v>
      </c>
      <c r="B32" s="1502">
        <v>1</v>
      </c>
      <c r="C32" s="1503">
        <v>2</v>
      </c>
      <c r="D32" s="1503">
        <v>3</v>
      </c>
      <c r="E32" s="1503">
        <v>4</v>
      </c>
      <c r="F32" s="1503">
        <v>5</v>
      </c>
      <c r="G32" s="1504">
        <v>6</v>
      </c>
      <c r="H32" s="1371" t="s">
        <v>1733</v>
      </c>
      <c r="I32" s="1502">
        <v>7</v>
      </c>
      <c r="J32" s="1503">
        <v>8</v>
      </c>
      <c r="K32" s="1503">
        <v>9</v>
      </c>
      <c r="L32" s="1503">
        <v>10</v>
      </c>
      <c r="M32" s="1503">
        <v>11</v>
      </c>
      <c r="N32" s="1504">
        <v>12</v>
      </c>
      <c r="O32" s="1371" t="s">
        <v>1733</v>
      </c>
    </row>
    <row r="33" spans="1:15">
      <c r="A33" s="1370" t="s">
        <v>2747</v>
      </c>
      <c r="B33" s="1372">
        <v>150</v>
      </c>
      <c r="C33" s="1373">
        <f>$B$33</f>
        <v>150</v>
      </c>
      <c r="D33" s="1373">
        <f>$B$33</f>
        <v>150</v>
      </c>
      <c r="E33" s="1373">
        <f>$B$33</f>
        <v>150</v>
      </c>
      <c r="F33" s="1373">
        <f>$B$33</f>
        <v>150</v>
      </c>
      <c r="G33" s="1373">
        <f>$B$33</f>
        <v>150</v>
      </c>
      <c r="H33" s="1374"/>
      <c r="I33" s="1373">
        <f t="shared" ref="I33:N33" si="0">$B$33</f>
        <v>150</v>
      </c>
      <c r="J33" s="1373">
        <f t="shared" si="0"/>
        <v>150</v>
      </c>
      <c r="K33" s="1373">
        <f t="shared" si="0"/>
        <v>150</v>
      </c>
      <c r="L33" s="1373">
        <f t="shared" si="0"/>
        <v>150</v>
      </c>
      <c r="M33" s="1373">
        <f t="shared" si="0"/>
        <v>150</v>
      </c>
      <c r="N33" s="1373">
        <f t="shared" si="0"/>
        <v>150</v>
      </c>
      <c r="O33" s="1374"/>
    </row>
    <row r="34" spans="1:15">
      <c r="A34" s="1370" t="s">
        <v>2748</v>
      </c>
      <c r="B34" s="1372"/>
      <c r="C34" s="1375"/>
      <c r="D34" s="1375"/>
      <c r="E34" s="1375"/>
      <c r="F34" s="1375"/>
      <c r="G34" s="1376"/>
      <c r="H34" s="1374"/>
      <c r="I34" s="1372"/>
      <c r="J34" s="1375"/>
      <c r="K34" s="1375"/>
      <c r="L34" s="1375"/>
      <c r="M34" s="1375"/>
      <c r="N34" s="1376"/>
      <c r="O34" s="1374"/>
    </row>
    <row r="35" spans="1:15">
      <c r="A35" s="1370" t="s">
        <v>2749</v>
      </c>
      <c r="B35" s="1372"/>
      <c r="C35" s="1375"/>
      <c r="D35" s="1375"/>
      <c r="E35" s="1375"/>
      <c r="F35" s="1375"/>
      <c r="G35" s="1376"/>
      <c r="H35" s="1374"/>
      <c r="I35" s="1372"/>
      <c r="J35" s="1375"/>
      <c r="K35" s="1375"/>
      <c r="L35" s="1375"/>
      <c r="M35" s="1375"/>
      <c r="N35" s="1376"/>
      <c r="O35" s="1374"/>
    </row>
    <row r="36" spans="1:15">
      <c r="A36" s="1370" t="s">
        <v>2731</v>
      </c>
      <c r="B36" s="1377"/>
      <c r="C36" s="1378"/>
      <c r="D36" s="1378"/>
      <c r="E36" s="1378"/>
      <c r="F36" s="1378"/>
      <c r="G36" s="1379"/>
      <c r="H36" s="1374"/>
      <c r="I36" s="1377"/>
      <c r="J36" s="1378"/>
      <c r="K36" s="1378"/>
      <c r="L36" s="1378"/>
      <c r="M36" s="1378"/>
      <c r="N36" s="1379"/>
      <c r="O36" s="1374"/>
    </row>
    <row r="37" spans="1:15">
      <c r="A37" s="1370" t="s">
        <v>2750</v>
      </c>
      <c r="B37" s="1377"/>
      <c r="C37" s="1378"/>
      <c r="D37" s="1378"/>
      <c r="E37" s="1378"/>
      <c r="F37" s="1378"/>
      <c r="G37" s="1379"/>
      <c r="H37" s="1380"/>
      <c r="I37" s="1377"/>
      <c r="J37" s="1378"/>
      <c r="K37" s="1378"/>
      <c r="L37" s="1378"/>
      <c r="M37" s="1378"/>
      <c r="N37" s="1379"/>
      <c r="O37" s="1380"/>
    </row>
    <row r="38" spans="1:15">
      <c r="A38" s="1370" t="s">
        <v>2751</v>
      </c>
      <c r="B38" s="1381" t="str">
        <f t="shared" ref="B38:G38" si="1">IF(B36="","",B36-B37)</f>
        <v/>
      </c>
      <c r="C38" s="1373" t="str">
        <f t="shared" si="1"/>
        <v/>
      </c>
      <c r="D38" s="1373" t="str">
        <f t="shared" si="1"/>
        <v/>
      </c>
      <c r="E38" s="1373" t="str">
        <f t="shared" si="1"/>
        <v/>
      </c>
      <c r="F38" s="1373" t="str">
        <f t="shared" si="1"/>
        <v/>
      </c>
      <c r="G38" s="1382" t="str">
        <f t="shared" si="1"/>
        <v/>
      </c>
      <c r="H38" s="1380"/>
      <c r="I38" s="1381" t="str">
        <f t="shared" ref="I38:N38" si="2">IF(I36="","",I36-I37)</f>
        <v/>
      </c>
      <c r="J38" s="1373" t="str">
        <f t="shared" si="2"/>
        <v/>
      </c>
      <c r="K38" s="1373" t="str">
        <f t="shared" si="2"/>
        <v/>
      </c>
      <c r="L38" s="1373" t="str">
        <f t="shared" si="2"/>
        <v/>
      </c>
      <c r="M38" s="1373" t="str">
        <f t="shared" si="2"/>
        <v/>
      </c>
      <c r="N38" s="1382" t="str">
        <f t="shared" si="2"/>
        <v/>
      </c>
      <c r="O38" s="1380"/>
    </row>
    <row r="39" spans="1:15">
      <c r="A39" s="1370" t="s">
        <v>2752</v>
      </c>
      <c r="B39" s="1383" t="str">
        <f t="shared" ref="B39:G39" si="3">IF(B38="","",(B35/B38))</f>
        <v/>
      </c>
      <c r="C39" s="1384" t="str">
        <f t="shared" si="3"/>
        <v/>
      </c>
      <c r="D39" s="1384" t="str">
        <f t="shared" si="3"/>
        <v/>
      </c>
      <c r="E39" s="1384" t="str">
        <f t="shared" si="3"/>
        <v/>
      </c>
      <c r="F39" s="1384" t="str">
        <f t="shared" si="3"/>
        <v/>
      </c>
      <c r="G39" s="1385" t="str">
        <f t="shared" si="3"/>
        <v/>
      </c>
      <c r="H39" s="1374"/>
      <c r="I39" s="1383" t="str">
        <f t="shared" ref="I39:N39" si="4">IF(I38="","",(I35/I38))</f>
        <v/>
      </c>
      <c r="J39" s="1384" t="str">
        <f t="shared" si="4"/>
        <v/>
      </c>
      <c r="K39" s="1384" t="str">
        <f t="shared" si="4"/>
        <v/>
      </c>
      <c r="L39" s="1384" t="str">
        <f t="shared" si="4"/>
        <v/>
      </c>
      <c r="M39" s="1384" t="str">
        <f t="shared" si="4"/>
        <v/>
      </c>
      <c r="N39" s="1385" t="str">
        <f t="shared" si="4"/>
        <v/>
      </c>
      <c r="O39" s="1374"/>
    </row>
    <row r="40" spans="1:15">
      <c r="A40" s="1370" t="s">
        <v>2046</v>
      </c>
      <c r="B40" s="1521"/>
      <c r="C40" s="1523"/>
      <c r="D40" s="1523"/>
      <c r="E40" s="1523"/>
      <c r="F40" s="1523"/>
      <c r="G40" s="1522"/>
      <c r="H40" s="1374"/>
      <c r="I40" s="1386"/>
      <c r="J40" s="1523"/>
      <c r="K40" s="1523"/>
      <c r="L40" s="1523"/>
      <c r="M40" s="1523"/>
      <c r="N40" s="1522"/>
      <c r="O40" s="1374"/>
    </row>
    <row r="41" spans="1:15" ht="13.5" thickBot="1">
      <c r="A41" s="1370" t="s">
        <v>2738</v>
      </c>
      <c r="B41" s="1387" t="str">
        <f t="shared" ref="B41:G41" si="5">IF(B39="","",(100*(B40-B39)/B40))</f>
        <v/>
      </c>
      <c r="C41" s="1388" t="str">
        <f t="shared" si="5"/>
        <v/>
      </c>
      <c r="D41" s="1388" t="str">
        <f t="shared" si="5"/>
        <v/>
      </c>
      <c r="E41" s="1388" t="str">
        <f t="shared" si="5"/>
        <v/>
      </c>
      <c r="F41" s="1388" t="str">
        <f t="shared" si="5"/>
        <v/>
      </c>
      <c r="G41" s="1389" t="str">
        <f t="shared" si="5"/>
        <v/>
      </c>
      <c r="H41" s="1390" t="str">
        <f>IF(B41="","",(AVERAGE(B41:G41)))</f>
        <v/>
      </c>
      <c r="I41" s="1387" t="str">
        <f t="shared" ref="I41:N41" si="6">IF(I39="","",(100*(I40-I39)/I40))</f>
        <v/>
      </c>
      <c r="J41" s="1388" t="str">
        <f t="shared" si="6"/>
        <v/>
      </c>
      <c r="K41" s="1388" t="str">
        <f t="shared" si="6"/>
        <v/>
      </c>
      <c r="L41" s="1388" t="str">
        <f t="shared" si="6"/>
        <v/>
      </c>
      <c r="M41" s="1388" t="str">
        <f t="shared" si="6"/>
        <v/>
      </c>
      <c r="N41" s="1389" t="str">
        <f t="shared" si="6"/>
        <v/>
      </c>
      <c r="O41" s="1390" t="str">
        <f>IF(I41="","",(AVERAGE(I41:N41)))</f>
        <v/>
      </c>
    </row>
    <row r="42" spans="1:15" ht="13.5" thickTop="1">
      <c r="M42" s="1281"/>
      <c r="N42" s="1281"/>
    </row>
    <row r="43" spans="1:15">
      <c r="A43" s="1391" t="s">
        <v>2753</v>
      </c>
      <c r="B43" s="1392"/>
      <c r="C43" s="1393"/>
      <c r="D43" s="1393"/>
      <c r="E43" s="1393"/>
      <c r="F43" s="1393"/>
      <c r="G43" s="1393"/>
      <c r="H43" s="1393"/>
      <c r="I43" s="1393"/>
      <c r="J43" s="1393"/>
      <c r="K43" s="1393"/>
      <c r="L43" s="1393"/>
      <c r="M43" s="1393"/>
      <c r="N43" s="1393"/>
      <c r="O43" s="1393"/>
    </row>
    <row r="44" spans="1:15" s="1287" customFormat="1">
      <c r="A44" s="1394"/>
      <c r="B44" s="1394"/>
      <c r="C44" s="1394"/>
      <c r="D44" s="1394"/>
      <c r="E44" s="1394"/>
      <c r="F44" s="1394"/>
      <c r="G44" s="1394"/>
      <c r="H44" s="1394"/>
      <c r="I44" s="1394"/>
      <c r="J44" s="1394"/>
      <c r="K44" s="1394"/>
      <c r="L44" s="1394"/>
      <c r="M44" s="1394"/>
      <c r="N44" s="1394"/>
      <c r="O44" s="1394"/>
    </row>
    <row r="45" spans="1:15" s="1287" customFormat="1">
      <c r="A45" s="1394"/>
      <c r="B45" s="1394"/>
      <c r="C45" s="1394"/>
      <c r="D45" s="1394"/>
      <c r="E45" s="1394"/>
      <c r="F45" s="1394"/>
      <c r="G45" s="1394"/>
      <c r="H45" s="1394"/>
      <c r="I45" s="1394"/>
      <c r="J45" s="1394"/>
      <c r="K45" s="1394"/>
      <c r="L45" s="1394"/>
      <c r="M45" s="1394"/>
      <c r="N45" s="1394"/>
      <c r="O45" s="1394"/>
    </row>
    <row r="46" spans="1:15" s="1287" customFormat="1" ht="13.5" thickBot="1">
      <c r="A46" s="1501"/>
      <c r="B46" s="1501"/>
      <c r="C46" s="1501"/>
      <c r="D46" s="1501"/>
      <c r="E46" s="1501"/>
      <c r="F46" s="1501"/>
      <c r="G46" s="1501"/>
      <c r="H46" s="1501"/>
      <c r="I46" s="1501"/>
      <c r="J46" s="1501"/>
      <c r="K46" s="1501"/>
      <c r="L46" s="1501"/>
      <c r="M46" s="1501"/>
      <c r="N46" s="1501"/>
      <c r="O46" s="1501"/>
    </row>
    <row r="47" spans="1:15" s="1287" customFormat="1" ht="13.5" thickTop="1">
      <c r="A47" s="1370" t="s">
        <v>943</v>
      </c>
      <c r="B47" s="1502">
        <v>1</v>
      </c>
      <c r="C47" s="1503">
        <v>2</v>
      </c>
      <c r="D47" s="1503">
        <v>3</v>
      </c>
      <c r="E47" s="1503">
        <v>4</v>
      </c>
      <c r="F47" s="1503">
        <v>5</v>
      </c>
      <c r="G47" s="1504">
        <v>6</v>
      </c>
      <c r="H47" s="1371" t="s">
        <v>1733</v>
      </c>
      <c r="I47" s="1502">
        <v>7</v>
      </c>
      <c r="J47" s="1503">
        <v>8</v>
      </c>
      <c r="K47" s="1503">
        <v>9</v>
      </c>
      <c r="L47" s="1503">
        <v>10</v>
      </c>
      <c r="M47" s="1503">
        <v>11</v>
      </c>
      <c r="N47" s="1504">
        <v>12</v>
      </c>
      <c r="O47" s="1371" t="s">
        <v>1733</v>
      </c>
    </row>
    <row r="48" spans="1:15" s="1287" customFormat="1">
      <c r="A48" s="1370" t="s">
        <v>2747</v>
      </c>
      <c r="B48" s="1372">
        <v>150</v>
      </c>
      <c r="C48" s="1373">
        <f>$B$33</f>
        <v>150</v>
      </c>
      <c r="D48" s="1373">
        <f>$B$33</f>
        <v>150</v>
      </c>
      <c r="E48" s="1373">
        <f>$B$33</f>
        <v>150</v>
      </c>
      <c r="F48" s="1373">
        <f>$B$33</f>
        <v>150</v>
      </c>
      <c r="G48" s="1373">
        <f>$B$33</f>
        <v>150</v>
      </c>
      <c r="H48" s="1374"/>
      <c r="I48" s="1373">
        <f t="shared" ref="I48:N48" si="7">$B$33</f>
        <v>150</v>
      </c>
      <c r="J48" s="1373">
        <f t="shared" si="7"/>
        <v>150</v>
      </c>
      <c r="K48" s="1373">
        <f t="shared" si="7"/>
        <v>150</v>
      </c>
      <c r="L48" s="1373">
        <f t="shared" si="7"/>
        <v>150</v>
      </c>
      <c r="M48" s="1373">
        <f t="shared" si="7"/>
        <v>150</v>
      </c>
      <c r="N48" s="1373">
        <f t="shared" si="7"/>
        <v>150</v>
      </c>
      <c r="O48" s="1374"/>
    </row>
    <row r="49" spans="1:15" s="1287" customFormat="1">
      <c r="A49" s="1370" t="s">
        <v>2748</v>
      </c>
      <c r="B49" s="1372"/>
      <c r="C49" s="1375"/>
      <c r="D49" s="1375"/>
      <c r="E49" s="1375"/>
      <c r="F49" s="1375"/>
      <c r="G49" s="1376"/>
      <c r="H49" s="1374"/>
      <c r="I49" s="1372"/>
      <c r="J49" s="1375"/>
      <c r="K49" s="1375"/>
      <c r="L49" s="1375"/>
      <c r="M49" s="1375"/>
      <c r="N49" s="1376"/>
      <c r="O49" s="1374"/>
    </row>
    <row r="50" spans="1:15" s="1287" customFormat="1">
      <c r="A50" s="1370" t="s">
        <v>2749</v>
      </c>
      <c r="B50" s="1372"/>
      <c r="C50" s="1375"/>
      <c r="D50" s="1375"/>
      <c r="E50" s="1375"/>
      <c r="F50" s="1375"/>
      <c r="G50" s="1376"/>
      <c r="H50" s="1374"/>
      <c r="I50" s="1372"/>
      <c r="J50" s="1375"/>
      <c r="K50" s="1375"/>
      <c r="L50" s="1375"/>
      <c r="M50" s="1375"/>
      <c r="N50" s="1376"/>
      <c r="O50" s="1374"/>
    </row>
    <row r="51" spans="1:15" s="1287" customFormat="1">
      <c r="A51" s="1370" t="s">
        <v>2731</v>
      </c>
      <c r="B51" s="1377"/>
      <c r="C51" s="1378"/>
      <c r="D51" s="1378"/>
      <c r="E51" s="1378"/>
      <c r="F51" s="1378"/>
      <c r="G51" s="1379"/>
      <c r="H51" s="1374"/>
      <c r="I51" s="1377"/>
      <c r="J51" s="1378"/>
      <c r="K51" s="1378"/>
      <c r="L51" s="1378"/>
      <c r="M51" s="1378"/>
      <c r="N51" s="1379"/>
      <c r="O51" s="1374"/>
    </row>
    <row r="52" spans="1:15" s="1287" customFormat="1">
      <c r="A52" s="1370" t="s">
        <v>2750</v>
      </c>
      <c r="B52" s="1377"/>
      <c r="C52" s="1378"/>
      <c r="D52" s="1378"/>
      <c r="E52" s="1378"/>
      <c r="F52" s="1378"/>
      <c r="G52" s="1379"/>
      <c r="H52" s="1380"/>
      <c r="I52" s="1377"/>
      <c r="J52" s="1378"/>
      <c r="K52" s="1378"/>
      <c r="L52" s="1378"/>
      <c r="M52" s="1378"/>
      <c r="N52" s="1379"/>
      <c r="O52" s="1380"/>
    </row>
    <row r="53" spans="1:15" s="1287" customFormat="1">
      <c r="A53" s="1370" t="s">
        <v>2751</v>
      </c>
      <c r="B53" s="1381" t="str">
        <f t="shared" ref="B53:G53" si="8">IF(B51="","",B51-B52)</f>
        <v/>
      </c>
      <c r="C53" s="1373" t="str">
        <f t="shared" si="8"/>
        <v/>
      </c>
      <c r="D53" s="1373" t="str">
        <f t="shared" si="8"/>
        <v/>
      </c>
      <c r="E53" s="1373" t="str">
        <f t="shared" si="8"/>
        <v/>
      </c>
      <c r="F53" s="1373" t="str">
        <f t="shared" si="8"/>
        <v/>
      </c>
      <c r="G53" s="1382" t="str">
        <f t="shared" si="8"/>
        <v/>
      </c>
      <c r="H53" s="1380"/>
      <c r="I53" s="1381" t="str">
        <f t="shared" ref="I53:N53" si="9">IF(I51="","",I51-I52)</f>
        <v/>
      </c>
      <c r="J53" s="1373" t="str">
        <f t="shared" si="9"/>
        <v/>
      </c>
      <c r="K53" s="1373" t="str">
        <f t="shared" si="9"/>
        <v/>
      </c>
      <c r="L53" s="1373" t="str">
        <f t="shared" si="9"/>
        <v/>
      </c>
      <c r="M53" s="1373" t="str">
        <f t="shared" si="9"/>
        <v/>
      </c>
      <c r="N53" s="1382" t="str">
        <f t="shared" si="9"/>
        <v/>
      </c>
      <c r="O53" s="1380"/>
    </row>
    <row r="54" spans="1:15" s="1287" customFormat="1">
      <c r="A54" s="1370" t="s">
        <v>2752</v>
      </c>
      <c r="B54" s="1383" t="str">
        <f t="shared" ref="B54:G54" si="10">IF(B53="","",(B50/B53))</f>
        <v/>
      </c>
      <c r="C54" s="1384" t="str">
        <f t="shared" si="10"/>
        <v/>
      </c>
      <c r="D54" s="1384" t="str">
        <f t="shared" si="10"/>
        <v/>
      </c>
      <c r="E54" s="1384" t="str">
        <f t="shared" si="10"/>
        <v/>
      </c>
      <c r="F54" s="1384" t="str">
        <f t="shared" si="10"/>
        <v/>
      </c>
      <c r="G54" s="1385" t="str">
        <f t="shared" si="10"/>
        <v/>
      </c>
      <c r="H54" s="1374"/>
      <c r="I54" s="1383" t="str">
        <f t="shared" ref="I54:N54" si="11">IF(I53="","",(I50/I53))</f>
        <v/>
      </c>
      <c r="J54" s="1384" t="str">
        <f t="shared" si="11"/>
        <v/>
      </c>
      <c r="K54" s="1384" t="str">
        <f t="shared" si="11"/>
        <v/>
      </c>
      <c r="L54" s="1384" t="str">
        <f t="shared" si="11"/>
        <v/>
      </c>
      <c r="M54" s="1384" t="str">
        <f t="shared" si="11"/>
        <v/>
      </c>
      <c r="N54" s="1385" t="str">
        <f t="shared" si="11"/>
        <v/>
      </c>
      <c r="O54" s="1374"/>
    </row>
    <row r="55" spans="1:15" s="1287" customFormat="1">
      <c r="A55" s="1370" t="s">
        <v>2046</v>
      </c>
      <c r="B55" s="1386"/>
      <c r="C55" s="1523"/>
      <c r="D55" s="1523"/>
      <c r="E55" s="1523"/>
      <c r="F55" s="1523"/>
      <c r="G55" s="1522"/>
      <c r="H55" s="1374"/>
      <c r="I55" s="1386"/>
      <c r="J55" s="1523"/>
      <c r="K55" s="1523"/>
      <c r="L55" s="1523"/>
      <c r="M55" s="1523"/>
      <c r="N55" s="1522"/>
      <c r="O55" s="1374"/>
    </row>
    <row r="56" spans="1:15" s="1287" customFormat="1" ht="13.5" thickBot="1">
      <c r="A56" s="1370" t="s">
        <v>2738</v>
      </c>
      <c r="B56" s="1387" t="str">
        <f t="shared" ref="B56:G56" si="12">IF(B54="","",(100*(B55-B54)/B55))</f>
        <v/>
      </c>
      <c r="C56" s="1388" t="str">
        <f t="shared" si="12"/>
        <v/>
      </c>
      <c r="D56" s="1388" t="str">
        <f t="shared" si="12"/>
        <v/>
      </c>
      <c r="E56" s="1388" t="str">
        <f t="shared" si="12"/>
        <v/>
      </c>
      <c r="F56" s="1388" t="str">
        <f t="shared" si="12"/>
        <v/>
      </c>
      <c r="G56" s="1389" t="str">
        <f t="shared" si="12"/>
        <v/>
      </c>
      <c r="H56" s="1390" t="str">
        <f>IF(B56="","",(AVERAGE(B56:G56)))</f>
        <v/>
      </c>
      <c r="I56" s="1387" t="str">
        <f t="shared" ref="I56:N56" si="13">IF(I54="","",(100*(I55-I54)/I55))</f>
        <v/>
      </c>
      <c r="J56" s="1388" t="str">
        <f t="shared" si="13"/>
        <v/>
      </c>
      <c r="K56" s="1388" t="str">
        <f t="shared" si="13"/>
        <v/>
      </c>
      <c r="L56" s="1388" t="str">
        <f t="shared" si="13"/>
        <v/>
      </c>
      <c r="M56" s="1388" t="str">
        <f t="shared" si="13"/>
        <v/>
      </c>
      <c r="N56" s="1389" t="str">
        <f t="shared" si="13"/>
        <v/>
      </c>
      <c r="O56" s="1390" t="str">
        <f>IF(I56="","",(AVERAGE(I56:N56)))</f>
        <v/>
      </c>
    </row>
    <row r="57" spans="1:15" s="1287" customFormat="1" ht="13.5" thickTop="1">
      <c r="A57" s="1277"/>
      <c r="B57" s="1277"/>
      <c r="C57" s="1277"/>
      <c r="D57" s="1277"/>
      <c r="E57" s="1277"/>
      <c r="F57" s="1277"/>
      <c r="G57" s="1277"/>
      <c r="H57" s="1277"/>
      <c r="I57" s="1277"/>
      <c r="J57" s="1277"/>
      <c r="K57" s="1277"/>
      <c r="L57" s="1277"/>
      <c r="M57" s="1281"/>
      <c r="N57" s="1281"/>
      <c r="O57" s="1277"/>
    </row>
    <row r="58" spans="1:15" s="1287" customFormat="1">
      <c r="A58" s="1391" t="s">
        <v>2753</v>
      </c>
      <c r="B58" s="1392"/>
      <c r="C58" s="1393"/>
      <c r="D58" s="1393"/>
      <c r="E58" s="1393"/>
      <c r="F58" s="1393"/>
      <c r="G58" s="1393"/>
      <c r="H58" s="1393"/>
      <c r="I58" s="1393"/>
      <c r="J58" s="1393"/>
      <c r="K58" s="1393"/>
      <c r="L58" s="1393"/>
      <c r="M58" s="1393"/>
      <c r="N58" s="1393"/>
      <c r="O58" s="1393"/>
    </row>
    <row r="59" spans="1:15">
      <c r="A59" s="1394"/>
      <c r="B59" s="1394"/>
      <c r="C59" s="1394"/>
      <c r="D59" s="1394"/>
      <c r="E59" s="1394"/>
      <c r="F59" s="1394"/>
      <c r="G59" s="1394"/>
      <c r="H59" s="1394"/>
      <c r="I59" s="1394"/>
      <c r="J59" s="1394"/>
      <c r="K59" s="1394"/>
      <c r="L59" s="1394"/>
      <c r="M59" s="1394"/>
      <c r="N59" s="1394"/>
      <c r="O59" s="1394"/>
    </row>
    <row r="60" spans="1:15">
      <c r="A60" s="1394"/>
      <c r="B60" s="1394"/>
      <c r="C60" s="1394"/>
      <c r="D60" s="1394"/>
      <c r="E60" s="1394"/>
      <c r="F60" s="1394"/>
      <c r="G60" s="1394"/>
      <c r="H60" s="1394"/>
      <c r="I60" s="1394"/>
      <c r="J60" s="1394"/>
      <c r="K60" s="1394"/>
      <c r="L60" s="1394"/>
      <c r="M60" s="1394"/>
      <c r="N60" s="1394"/>
      <c r="O60" s="1394"/>
    </row>
  </sheetData>
  <sheetProtection algorithmName="SHA-512" hashValue="+fNAJNPxUVIQFoN68ofkfIah2QzSKZBAf+H3AiKJSCdjmhTzsytTfBEmCXf/OerDTqsuNtjH99tNOjpzfasbUg==" saltValue="JR4xb/FU16oNIOVe9ixnxg==" spinCount="100000" sheet="1" objects="1" scenarios="1"/>
  <mergeCells count="29">
    <mergeCell ref="L9:O10"/>
    <mergeCell ref="L11:O12"/>
    <mergeCell ref="H18:I18"/>
    <mergeCell ref="G20:I20"/>
    <mergeCell ref="C23:D23"/>
    <mergeCell ref="E23:F23"/>
    <mergeCell ref="G23:I23"/>
    <mergeCell ref="C24:D24"/>
    <mergeCell ref="E24:F24"/>
    <mergeCell ref="G24:I24"/>
    <mergeCell ref="C25:D25"/>
    <mergeCell ref="E25:F25"/>
    <mergeCell ref="G25:I25"/>
    <mergeCell ref="C26:D26"/>
    <mergeCell ref="E26:F26"/>
    <mergeCell ref="G26:I26"/>
    <mergeCell ref="N26:O26"/>
    <mergeCell ref="C27:D27"/>
    <mergeCell ref="E27:F27"/>
    <mergeCell ref="G27:I27"/>
    <mergeCell ref="N27:O27"/>
    <mergeCell ref="G30:I30"/>
    <mergeCell ref="C28:D28"/>
    <mergeCell ref="E28:F28"/>
    <mergeCell ref="G28:I28"/>
    <mergeCell ref="N28:O28"/>
    <mergeCell ref="C29:D29"/>
    <mergeCell ref="E29:F29"/>
    <mergeCell ref="G29:I29"/>
  </mergeCells>
  <printOptions horizontalCentered="1"/>
  <pageMargins left="0" right="0" top="0.5" bottom="0.5" header="0.5" footer="0.5"/>
  <pageSetup scale="90" orientation="portrait" horizontalDpi="4294967292" verticalDpi="4294967292" r:id="rId1"/>
  <headerFooter alignWithMargins="0"/>
  <rowBreaks count="1" manualBreakCount="1">
    <brk id="61" max="65535" man="1"/>
  </rowBreaks>
  <drawing r:id="rId2"/>
  <legacyDrawing r:id="rId3"/>
  <controls>
    <mc:AlternateContent xmlns:mc="http://schemas.openxmlformats.org/markup-compatibility/2006">
      <mc:Choice Requires="x14">
        <control shapeId="40961" r:id="rId4" name="ComboBox1">
          <controlPr defaultSize="0" autoLine="0" linkedCell="Calculations!AR1" listFillRange="Calculations!AQ1:AQ4" r:id="rId5">
            <anchor moveWithCells="1">
              <from>
                <xdr:col>7</xdr:col>
                <xdr:colOff>38100</xdr:colOff>
                <xdr:row>11</xdr:row>
                <xdr:rowOff>152400</xdr:rowOff>
              </from>
              <to>
                <xdr:col>8</xdr:col>
                <xdr:colOff>428625</xdr:colOff>
                <xdr:row>13</xdr:row>
                <xdr:rowOff>19050</xdr:rowOff>
              </to>
            </anchor>
          </controlPr>
        </control>
      </mc:Choice>
      <mc:Fallback>
        <control shapeId="40961" r:id="rId4" name="Combo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dimension ref="A1:AE1031"/>
  <sheetViews>
    <sheetView zoomScaleNormal="100" workbookViewId="0">
      <pane ySplit="30" topLeftCell="A31" activePane="bottomLeft" state="frozen"/>
      <selection pane="bottomLeft"/>
    </sheetView>
  </sheetViews>
  <sheetFormatPr defaultRowHeight="12.75"/>
  <cols>
    <col min="1" max="16" width="12.5703125" style="1400" customWidth="1"/>
    <col min="17" max="17" width="9.140625" style="1400"/>
    <col min="18" max="21" width="9.140625" style="1408" hidden="1" customWidth="1"/>
    <col min="22" max="23" width="9.140625" style="1408" customWidth="1"/>
    <col min="24" max="25" width="19.5703125" style="1408" hidden="1" customWidth="1"/>
    <col min="26" max="26" width="9.140625" style="1399" customWidth="1"/>
    <col min="27" max="27" width="9.140625" style="1408"/>
    <col min="28" max="16384" width="9.140625" style="1400"/>
  </cols>
  <sheetData>
    <row r="1" spans="1:31" ht="26.25" customHeight="1" thickBot="1">
      <c r="A1" s="1395" t="s">
        <v>2754</v>
      </c>
      <c r="B1" s="1396" t="s">
        <v>2755</v>
      </c>
      <c r="C1" s="1397"/>
      <c r="D1" s="1687" t="s">
        <v>1598</v>
      </c>
      <c r="E1" s="1687"/>
      <c r="F1" s="1687"/>
      <c r="G1" s="1687"/>
      <c r="H1" s="1687"/>
      <c r="I1" s="1687"/>
      <c r="J1" s="1687"/>
      <c r="K1" s="1687"/>
      <c r="L1" s="1687"/>
      <c r="M1" s="1687"/>
      <c r="N1" s="1687"/>
      <c r="O1" s="1397"/>
      <c r="P1" s="1398" t="s">
        <v>3254</v>
      </c>
      <c r="Q1" s="1399"/>
      <c r="R1" s="1399"/>
      <c r="S1" s="1399"/>
      <c r="T1" s="1399"/>
      <c r="U1" s="1399"/>
      <c r="V1" s="1399"/>
      <c r="W1" s="1399"/>
      <c r="X1" s="1399"/>
      <c r="Y1" s="1399"/>
      <c r="AA1" s="1399"/>
      <c r="AB1" s="1399"/>
      <c r="AC1" s="1399"/>
      <c r="AD1" s="1399"/>
      <c r="AE1" s="1399"/>
    </row>
    <row r="2" spans="1:31" ht="69" customHeight="1">
      <c r="A2" s="1401"/>
      <c r="B2" s="1402"/>
      <c r="C2" s="1403"/>
      <c r="D2" s="1403"/>
      <c r="E2" s="1403"/>
      <c r="F2" s="1403"/>
      <c r="G2" s="1403"/>
      <c r="H2" s="1403"/>
      <c r="I2" s="1403"/>
      <c r="J2" s="1403"/>
      <c r="K2" s="1403"/>
      <c r="L2" s="1403"/>
      <c r="M2" s="1403"/>
      <c r="N2" s="1403"/>
      <c r="O2" s="1403"/>
      <c r="P2" s="1404"/>
      <c r="Q2" s="1399"/>
      <c r="R2" s="1399"/>
      <c r="S2" s="1399"/>
      <c r="T2" s="1399"/>
      <c r="U2" s="1399"/>
      <c r="V2" s="1399"/>
      <c r="W2" s="1399"/>
      <c r="X2" s="1399"/>
      <c r="Y2" s="1399"/>
      <c r="AA2" s="1399"/>
      <c r="AB2" s="1399"/>
      <c r="AC2" s="1399"/>
      <c r="AD2" s="1399"/>
      <c r="AE2" s="1399"/>
    </row>
    <row r="3" spans="1:31" ht="18" customHeight="1" thickBot="1">
      <c r="A3" s="1405"/>
      <c r="B3" s="1406"/>
      <c r="C3" s="1406"/>
      <c r="D3" s="1406"/>
      <c r="E3" s="1406"/>
      <c r="F3" s="1406"/>
      <c r="G3" s="1406"/>
      <c r="H3" s="1406"/>
      <c r="I3" s="1406"/>
      <c r="J3" s="1406"/>
      <c r="K3" s="1406"/>
      <c r="L3" s="1406"/>
      <c r="M3" s="1406"/>
      <c r="N3" s="1406"/>
      <c r="O3" s="1406"/>
      <c r="P3" s="1407" t="s">
        <v>2756</v>
      </c>
      <c r="Q3" s="1399"/>
      <c r="R3" s="1399"/>
      <c r="S3" s="1399"/>
      <c r="T3" s="1399"/>
      <c r="U3" s="1399"/>
      <c r="V3" s="1399"/>
      <c r="X3" s="1409" t="s">
        <v>1152</v>
      </c>
      <c r="Y3" s="1409">
        <v>1</v>
      </c>
      <c r="AB3" s="1399"/>
      <c r="AC3" s="1399"/>
      <c r="AD3" s="1399"/>
      <c r="AE3" s="1399"/>
    </row>
    <row r="4" spans="1:31" ht="22.5" customHeight="1" thickBot="1">
      <c r="A4" s="1410" t="s">
        <v>2757</v>
      </c>
      <c r="B4" s="1688"/>
      <c r="C4" s="1689"/>
      <c r="D4" s="1689"/>
      <c r="E4" s="1689"/>
      <c r="F4" s="1689"/>
      <c r="G4" s="1689"/>
      <c r="H4" s="1689"/>
      <c r="I4" s="1689"/>
      <c r="J4" s="1689"/>
      <c r="K4" s="1689"/>
      <c r="L4" s="1689"/>
      <c r="M4" s="1689"/>
      <c r="N4" s="1689"/>
      <c r="O4" s="1689"/>
      <c r="P4" s="1690"/>
      <c r="Q4" s="1399"/>
      <c r="R4" s="1399"/>
      <c r="S4" s="1399"/>
      <c r="T4" s="1399"/>
      <c r="U4" s="1399"/>
      <c r="V4" s="1399"/>
      <c r="W4" s="1399"/>
      <c r="X4" s="1411">
        <f>B4</f>
        <v>0</v>
      </c>
      <c r="Y4" s="1412"/>
      <c r="AA4" s="1399"/>
      <c r="AB4" s="1399"/>
      <c r="AC4" s="1399"/>
      <c r="AD4" s="1399"/>
      <c r="AE4" s="1399"/>
    </row>
    <row r="5" spans="1:31" ht="12.75" hidden="1" customHeight="1">
      <c r="A5" s="1413" t="s">
        <v>2758</v>
      </c>
      <c r="B5" s="1414">
        <f ca="1">COUNTA(INDIRECT("A"&amp;FirstRow&amp;":A"&amp;FirstRow+1000))</f>
        <v>0</v>
      </c>
      <c r="C5" s="1415" t="s">
        <v>2758</v>
      </c>
      <c r="D5" s="1416">
        <f ca="1">COUNTA(INDIRECT("C"&amp;FirstRow&amp;":C"&amp;FirstRow+1000))</f>
        <v>0</v>
      </c>
      <c r="E5" s="1413" t="s">
        <v>2758</v>
      </c>
      <c r="F5" s="1414">
        <f ca="1">COUNTA(INDIRECT("E"&amp;FirstRow&amp;":E"&amp;FirstRow+1000))</f>
        <v>0</v>
      </c>
      <c r="G5" s="1415" t="s">
        <v>2758</v>
      </c>
      <c r="H5" s="1416">
        <f ca="1">COUNTA(INDIRECT("G"&amp;FirstRow&amp;":G"&amp;FirstRow+1000))</f>
        <v>0</v>
      </c>
      <c r="I5" s="1413" t="s">
        <v>2758</v>
      </c>
      <c r="J5" s="1414">
        <f ca="1">COUNTA(INDIRECT("I"&amp;FirstRow&amp;":I"&amp;FirstRow+1000))</f>
        <v>0</v>
      </c>
      <c r="K5" s="1415" t="s">
        <v>2758</v>
      </c>
      <c r="L5" s="1416">
        <f ca="1">COUNTA(INDIRECT("K"&amp;FirstRow&amp;":K"&amp;FirstRow+1000))</f>
        <v>0</v>
      </c>
      <c r="M5" s="1413" t="s">
        <v>2758</v>
      </c>
      <c r="N5" s="1414">
        <f ca="1">COUNTA(INDIRECT("M"&amp;FirstRow&amp;":M"&amp;FirstRow+1000))</f>
        <v>0</v>
      </c>
      <c r="O5" s="1415" t="s">
        <v>2758</v>
      </c>
      <c r="P5" s="1416">
        <f ca="1">COUNTA(INDIRECT("O"&amp;FirstRow&amp;":O"&amp;FirstRow+1000))</f>
        <v>0</v>
      </c>
      <c r="Q5" s="1399"/>
      <c r="R5" s="1399"/>
      <c r="S5" s="1399"/>
      <c r="T5" s="1399"/>
      <c r="U5" s="1399"/>
      <c r="V5" s="1399"/>
      <c r="W5" s="1399"/>
      <c r="X5" s="1417" t="e">
        <f t="array" aca="1" ref="X5:Y1031" ca="1">IF(OFFSET(A5:P1031,0,(TestNum-1)*2)="",NA(),OFFSET(A5:P1031,0,(TestNum-1)*2))</f>
        <v>#NAME?</v>
      </c>
      <c r="Y5" s="1418" t="e">
        <f ca="1"/>
        <v>#NAME?</v>
      </c>
      <c r="AA5" s="1399"/>
      <c r="AB5" s="1399"/>
      <c r="AC5" s="1399"/>
      <c r="AD5" s="1399"/>
      <c r="AE5" s="1399"/>
    </row>
    <row r="6" spans="1:31" ht="12.75" hidden="1" customHeight="1">
      <c r="A6" s="1417" t="s">
        <v>2759</v>
      </c>
      <c r="B6" s="1419">
        <f ca="1">MAX(INDIRECT("B"&amp;FirstRow&amp;":B"&amp;FirstRow+B5))</f>
        <v>0</v>
      </c>
      <c r="C6" s="1449" t="s">
        <v>2759</v>
      </c>
      <c r="D6" s="1450">
        <f ca="1">MAX(INDIRECT("D"&amp;FirstRow&amp;":D"&amp;FirstRow+D5))</f>
        <v>0</v>
      </c>
      <c r="E6" s="1417" t="s">
        <v>2759</v>
      </c>
      <c r="F6" s="1419">
        <f ca="1">MAX(INDIRECT("F"&amp;FirstRow&amp;":F"&amp;FirstRow+F5))</f>
        <v>0</v>
      </c>
      <c r="G6" s="1449" t="s">
        <v>2759</v>
      </c>
      <c r="H6" s="1450">
        <f ca="1">MAX(INDIRECT("H"&amp;FirstRow&amp;":H"&amp;FirstRow+H5))</f>
        <v>0</v>
      </c>
      <c r="I6" s="1417" t="s">
        <v>2759</v>
      </c>
      <c r="J6" s="1419">
        <f ca="1">MAX(INDIRECT("J"&amp;FirstRow&amp;":J"&amp;FirstRow+J5))</f>
        <v>0</v>
      </c>
      <c r="K6" s="1449" t="s">
        <v>2759</v>
      </c>
      <c r="L6" s="1450">
        <f ca="1">MAX(INDIRECT("L"&amp;FirstRow&amp;":L"&amp;FirstRow+L5))</f>
        <v>0</v>
      </c>
      <c r="M6" s="1417" t="s">
        <v>2759</v>
      </c>
      <c r="N6" s="1419">
        <f ca="1">MAX(INDIRECT("N"&amp;FirstRow&amp;":N"&amp;FirstRow+N5))</f>
        <v>0</v>
      </c>
      <c r="O6" s="1449" t="s">
        <v>2759</v>
      </c>
      <c r="P6" s="1450">
        <f ca="1">MAX(INDIRECT("P"&amp;FirstRow&amp;":P"&amp;FirstRow+P5))</f>
        <v>0</v>
      </c>
      <c r="Q6" s="1399"/>
      <c r="R6" s="1451" t="s">
        <v>2760</v>
      </c>
      <c r="S6" s="1399">
        <v>31</v>
      </c>
      <c r="T6" s="1399"/>
      <c r="U6" s="1399"/>
      <c r="V6" s="1399"/>
      <c r="W6" s="1399"/>
      <c r="X6" s="1417" t="e">
        <f ca="1"/>
        <v>#NAME?</v>
      </c>
      <c r="Y6" s="1419" t="e">
        <f ca="1"/>
        <v>#NAME?</v>
      </c>
      <c r="AA6" s="1399"/>
      <c r="AB6" s="1399"/>
      <c r="AC6" s="1399"/>
      <c r="AD6" s="1399"/>
      <c r="AE6" s="1399"/>
    </row>
    <row r="7" spans="1:31" ht="12.75" hidden="1" customHeight="1">
      <c r="A7" s="1417" t="s">
        <v>2761</v>
      </c>
      <c r="B7" s="1419">
        <f ca="1">0.85*B6</f>
        <v>0</v>
      </c>
      <c r="C7" s="1449" t="s">
        <v>2761</v>
      </c>
      <c r="D7" s="1450">
        <f ca="1">0.85*D6</f>
        <v>0</v>
      </c>
      <c r="E7" s="1417" t="s">
        <v>2761</v>
      </c>
      <c r="F7" s="1419">
        <f ca="1">0.85*F6</f>
        <v>0</v>
      </c>
      <c r="G7" s="1449" t="s">
        <v>2761</v>
      </c>
      <c r="H7" s="1450">
        <f ca="1">0.85*H6</f>
        <v>0</v>
      </c>
      <c r="I7" s="1417" t="s">
        <v>2761</v>
      </c>
      <c r="J7" s="1419">
        <f ca="1">0.85*J6</f>
        <v>0</v>
      </c>
      <c r="K7" s="1449" t="s">
        <v>2761</v>
      </c>
      <c r="L7" s="1450">
        <f ca="1">0.85*L6</f>
        <v>0</v>
      </c>
      <c r="M7" s="1417" t="s">
        <v>2761</v>
      </c>
      <c r="N7" s="1419">
        <f ca="1">0.85*N6</f>
        <v>0</v>
      </c>
      <c r="O7" s="1449" t="s">
        <v>2761</v>
      </c>
      <c r="P7" s="1450">
        <f ca="1">0.85*P6</f>
        <v>0</v>
      </c>
      <c r="Q7" s="1399"/>
      <c r="R7" s="1399"/>
      <c r="S7" s="1399"/>
      <c r="T7" s="1399"/>
      <c r="U7" s="1399"/>
      <c r="V7" s="1399"/>
      <c r="W7" s="1399"/>
      <c r="X7" s="1417" t="e">
        <f ca="1"/>
        <v>#NAME?</v>
      </c>
      <c r="Y7" s="1419" t="e">
        <f ca="1"/>
        <v>#NAME?</v>
      </c>
      <c r="AA7" s="1399"/>
      <c r="AB7" s="1399"/>
      <c r="AC7" s="1399"/>
      <c r="AD7" s="1399"/>
      <c r="AE7" s="1399"/>
    </row>
    <row r="8" spans="1:31" ht="12.75" hidden="1" customHeight="1">
      <c r="A8" s="1417" t="s">
        <v>2762</v>
      </c>
      <c r="B8" s="1419">
        <f ca="1">0.75*B6</f>
        <v>0</v>
      </c>
      <c r="C8" s="1449" t="s">
        <v>2762</v>
      </c>
      <c r="D8" s="1450">
        <f ca="1">0.75*D6</f>
        <v>0</v>
      </c>
      <c r="E8" s="1417" t="s">
        <v>2762</v>
      </c>
      <c r="F8" s="1419">
        <f ca="1">0.75*F6</f>
        <v>0</v>
      </c>
      <c r="G8" s="1449" t="s">
        <v>2762</v>
      </c>
      <c r="H8" s="1450">
        <f ca="1">0.75*H6</f>
        <v>0</v>
      </c>
      <c r="I8" s="1417" t="s">
        <v>2762</v>
      </c>
      <c r="J8" s="1419">
        <f ca="1">0.75*J6</f>
        <v>0</v>
      </c>
      <c r="K8" s="1449" t="s">
        <v>2762</v>
      </c>
      <c r="L8" s="1450">
        <f ca="1">0.75*L6</f>
        <v>0</v>
      </c>
      <c r="M8" s="1417" t="s">
        <v>2762</v>
      </c>
      <c r="N8" s="1419">
        <f ca="1">0.75*N6</f>
        <v>0</v>
      </c>
      <c r="O8" s="1449" t="s">
        <v>2762</v>
      </c>
      <c r="P8" s="1450">
        <f ca="1">0.75*P6</f>
        <v>0</v>
      </c>
      <c r="Q8" s="1399"/>
      <c r="R8" s="1399"/>
      <c r="S8" s="1399"/>
      <c r="T8" s="1399"/>
      <c r="U8" s="1399"/>
      <c r="V8" s="1399"/>
      <c r="W8" s="1399"/>
      <c r="X8" s="1417" t="e">
        <f ca="1"/>
        <v>#NAME?</v>
      </c>
      <c r="Y8" s="1419" t="e">
        <f ca="1"/>
        <v>#NAME?</v>
      </c>
      <c r="AA8" s="1399"/>
      <c r="AB8" s="1399"/>
      <c r="AC8" s="1399"/>
      <c r="AD8" s="1399"/>
      <c r="AE8" s="1399"/>
    </row>
    <row r="9" spans="1:31" ht="12.75" hidden="1" customHeight="1">
      <c r="A9" s="1417" t="s">
        <v>2763</v>
      </c>
      <c r="B9" s="1419">
        <f ca="1">0.65*B6</f>
        <v>0</v>
      </c>
      <c r="C9" s="1449" t="s">
        <v>2763</v>
      </c>
      <c r="D9" s="1450">
        <f ca="1">0.65*D6</f>
        <v>0</v>
      </c>
      <c r="E9" s="1417" t="s">
        <v>2763</v>
      </c>
      <c r="F9" s="1419">
        <f ca="1">0.65*F6</f>
        <v>0</v>
      </c>
      <c r="G9" s="1449" t="s">
        <v>2763</v>
      </c>
      <c r="H9" s="1450">
        <f ca="1">0.65*H6</f>
        <v>0</v>
      </c>
      <c r="I9" s="1417" t="s">
        <v>2763</v>
      </c>
      <c r="J9" s="1419">
        <f ca="1">0.65*J6</f>
        <v>0</v>
      </c>
      <c r="K9" s="1449" t="s">
        <v>2763</v>
      </c>
      <c r="L9" s="1450">
        <f ca="1">0.65*L6</f>
        <v>0</v>
      </c>
      <c r="M9" s="1417" t="s">
        <v>2763</v>
      </c>
      <c r="N9" s="1419">
        <f ca="1">0.65*N6</f>
        <v>0</v>
      </c>
      <c r="O9" s="1449" t="s">
        <v>2763</v>
      </c>
      <c r="P9" s="1450">
        <f ca="1">0.65*P6</f>
        <v>0</v>
      </c>
      <c r="Q9" s="1399"/>
      <c r="R9" s="1399"/>
      <c r="S9" s="1399"/>
      <c r="T9" s="1399"/>
      <c r="U9" s="1399"/>
      <c r="V9" s="1399"/>
      <c r="W9" s="1399"/>
      <c r="X9" s="1417" t="e">
        <f ca="1"/>
        <v>#NAME?</v>
      </c>
      <c r="Y9" s="1419" t="e">
        <f ca="1"/>
        <v>#NAME?</v>
      </c>
      <c r="AA9" s="1399"/>
      <c r="AB9" s="1399"/>
      <c r="AC9" s="1399"/>
      <c r="AD9" s="1399"/>
      <c r="AE9" s="1399"/>
    </row>
    <row r="10" spans="1:31" ht="12.75" hidden="1" customHeight="1">
      <c r="A10" s="1417" t="s">
        <v>2764</v>
      </c>
      <c r="B10" s="1420" t="e">
        <f ca="1">MATCH(B6,INDIRECT("B"&amp;FirstRow&amp;":B"&amp;FirstRow+B5),0)+FirstRow-1</f>
        <v>#N/A</v>
      </c>
      <c r="C10" s="1449" t="s">
        <v>2764</v>
      </c>
      <c r="D10" s="1452" t="e">
        <f ca="1">MATCH(D6,INDIRECT("D"&amp;FirstRow&amp;":D"&amp;FirstRow+D5),0)+FirstRow-1</f>
        <v>#N/A</v>
      </c>
      <c r="E10" s="1417" t="s">
        <v>2764</v>
      </c>
      <c r="F10" s="1420" t="e">
        <f ca="1">MATCH(F6,INDIRECT("F"&amp;FirstRow&amp;":F"&amp;FirstRow+F5),0)+FirstRow-1</f>
        <v>#N/A</v>
      </c>
      <c r="G10" s="1449" t="s">
        <v>2764</v>
      </c>
      <c r="H10" s="1452" t="e">
        <f ca="1">MATCH(H6,INDIRECT("H"&amp;FirstRow&amp;":H"&amp;FirstRow+H5),0)+FirstRow-1</f>
        <v>#N/A</v>
      </c>
      <c r="I10" s="1417" t="s">
        <v>2764</v>
      </c>
      <c r="J10" s="1420" t="e">
        <f ca="1">MATCH(J6,INDIRECT("J"&amp;FirstRow&amp;":J"&amp;FirstRow+J5),0)+FirstRow-1</f>
        <v>#N/A</v>
      </c>
      <c r="K10" s="1449" t="s">
        <v>2764</v>
      </c>
      <c r="L10" s="1452" t="e">
        <f ca="1">MATCH(L6,INDIRECT("L"&amp;FirstRow&amp;":L"&amp;FirstRow+L5),0)+FirstRow-1</f>
        <v>#N/A</v>
      </c>
      <c r="M10" s="1417" t="s">
        <v>2764</v>
      </c>
      <c r="N10" s="1420" t="e">
        <f ca="1">MATCH(N6,INDIRECT("N"&amp;FirstRow&amp;":N"&amp;FirstRow+N5),0)+FirstRow-1</f>
        <v>#N/A</v>
      </c>
      <c r="O10" s="1449" t="s">
        <v>2764</v>
      </c>
      <c r="P10" s="1452" t="e">
        <f ca="1">MATCH(P6,INDIRECT("P"&amp;FirstRow&amp;":P"&amp;FirstRow+P5),0)+FirstRow-1</f>
        <v>#N/A</v>
      </c>
      <c r="Q10" s="1399"/>
      <c r="R10" s="1399"/>
      <c r="S10" s="1399"/>
      <c r="T10" s="1399"/>
      <c r="U10" s="1399"/>
      <c r="V10" s="1399"/>
      <c r="W10" s="1399"/>
      <c r="X10" s="1417" t="e">
        <f ca="1"/>
        <v>#NAME?</v>
      </c>
      <c r="Y10" s="1420" t="e">
        <f ca="1"/>
        <v>#NAME?</v>
      </c>
      <c r="AA10" s="1399"/>
      <c r="AB10" s="1399"/>
      <c r="AC10" s="1399"/>
      <c r="AD10" s="1399"/>
      <c r="AE10" s="1399"/>
    </row>
    <row r="11" spans="1:31" ht="12.75" hidden="1" customHeight="1">
      <c r="A11" s="1417" t="s">
        <v>2765</v>
      </c>
      <c r="B11" s="1420" t="e">
        <f ca="1">MATCH(B7,INDIRECT("B"&amp;B10&amp;":B"&amp;FirstRow+B5),-1)+B10</f>
        <v>#N/A</v>
      </c>
      <c r="C11" s="1449" t="s">
        <v>2765</v>
      </c>
      <c r="D11" s="1452" t="e">
        <f ca="1">MATCH(D7,INDIRECT("D"&amp;D10&amp;":D"&amp;FirstRow+D5),-1)+D10</f>
        <v>#N/A</v>
      </c>
      <c r="E11" s="1417" t="s">
        <v>2765</v>
      </c>
      <c r="F11" s="1420" t="e">
        <f ca="1">MATCH(F7,INDIRECT("F"&amp;F10&amp;":F"&amp;FirstRow+F5),-1)+F10</f>
        <v>#N/A</v>
      </c>
      <c r="G11" s="1449" t="s">
        <v>2765</v>
      </c>
      <c r="H11" s="1452" t="e">
        <f ca="1">MATCH(H7,INDIRECT("H"&amp;H10&amp;":H"&amp;FirstRow+H5),-1)+H10</f>
        <v>#N/A</v>
      </c>
      <c r="I11" s="1417" t="s">
        <v>2765</v>
      </c>
      <c r="J11" s="1420" t="e">
        <f ca="1">MATCH(J7,INDIRECT("J"&amp;J10&amp;":J"&amp;FirstRow+J5),-1)+J10</f>
        <v>#N/A</v>
      </c>
      <c r="K11" s="1449" t="s">
        <v>2765</v>
      </c>
      <c r="L11" s="1452" t="e">
        <f ca="1">MATCH(L7,INDIRECT("L"&amp;L10&amp;":L"&amp;FirstRow+L5),-1)+L10</f>
        <v>#N/A</v>
      </c>
      <c r="M11" s="1417" t="s">
        <v>2765</v>
      </c>
      <c r="N11" s="1420" t="e">
        <f ca="1">MATCH(N7,INDIRECT("N"&amp;N10&amp;":N"&amp;FirstRow+N5),-1)+N10</f>
        <v>#N/A</v>
      </c>
      <c r="O11" s="1449" t="s">
        <v>2765</v>
      </c>
      <c r="P11" s="1452" t="e">
        <f ca="1">MATCH(P7,INDIRECT("P"&amp;P10&amp;":P"&amp;FirstRow+P5),-1)+P10</f>
        <v>#N/A</v>
      </c>
      <c r="Q11" s="1399"/>
      <c r="R11" s="1399"/>
      <c r="S11" s="1399"/>
      <c r="T11" s="1399"/>
      <c r="U11" s="1399"/>
      <c r="V11" s="1399"/>
      <c r="W11" s="1399"/>
      <c r="X11" s="1417" t="e">
        <f ca="1"/>
        <v>#NAME?</v>
      </c>
      <c r="Y11" s="1420" t="e">
        <f ca="1"/>
        <v>#NAME?</v>
      </c>
      <c r="AA11" s="1399"/>
      <c r="AB11" s="1399"/>
      <c r="AC11" s="1399"/>
      <c r="AD11" s="1399"/>
      <c r="AE11" s="1399"/>
    </row>
    <row r="12" spans="1:31" ht="12.75" hidden="1" customHeight="1">
      <c r="A12" s="1417" t="s">
        <v>2766</v>
      </c>
      <c r="B12" s="1420" t="e">
        <f ca="1">MATCH(B8,INDIRECT("B"&amp;B10&amp;":B"&amp;FirstRow+B5),-1)+B10</f>
        <v>#N/A</v>
      </c>
      <c r="C12" s="1449" t="s">
        <v>2766</v>
      </c>
      <c r="D12" s="1452" t="e">
        <f ca="1">MATCH(D8,INDIRECT("D"&amp;D10&amp;":D"&amp;FirstRow+D5),-1)+D10</f>
        <v>#N/A</v>
      </c>
      <c r="E12" s="1417" t="s">
        <v>2766</v>
      </c>
      <c r="F12" s="1420" t="e">
        <f ca="1">MATCH(F8,INDIRECT("F"&amp;F10&amp;":F"&amp;FirstRow+F5),-1)+F10</f>
        <v>#N/A</v>
      </c>
      <c r="G12" s="1449" t="s">
        <v>2766</v>
      </c>
      <c r="H12" s="1452" t="e">
        <f ca="1">MATCH(H8,INDIRECT("H"&amp;H10&amp;":H"&amp;FirstRow+H5),-1)+H10</f>
        <v>#N/A</v>
      </c>
      <c r="I12" s="1417" t="s">
        <v>2766</v>
      </c>
      <c r="J12" s="1420" t="e">
        <f ca="1">MATCH(J8,INDIRECT("J"&amp;J10&amp;":J"&amp;FirstRow+J5),-1)+J10</f>
        <v>#N/A</v>
      </c>
      <c r="K12" s="1449" t="s">
        <v>2766</v>
      </c>
      <c r="L12" s="1452" t="e">
        <f ca="1">MATCH(L8,INDIRECT("L"&amp;L10&amp;":L"&amp;FirstRow+L5),-1)+L10</f>
        <v>#N/A</v>
      </c>
      <c r="M12" s="1417" t="s">
        <v>2766</v>
      </c>
      <c r="N12" s="1420" t="e">
        <f ca="1">MATCH(N8,INDIRECT("N"&amp;N10&amp;":N"&amp;FirstRow+N5),-1)+N10</f>
        <v>#N/A</v>
      </c>
      <c r="O12" s="1449" t="s">
        <v>2766</v>
      </c>
      <c r="P12" s="1452" t="e">
        <f ca="1">MATCH(P8,INDIRECT("P"&amp;P10&amp;":P"&amp;FirstRow+P5),-1)+P10</f>
        <v>#N/A</v>
      </c>
      <c r="Q12" s="1399"/>
      <c r="R12" s="1399"/>
      <c r="S12" s="1399"/>
      <c r="T12" s="1399"/>
      <c r="U12" s="1399"/>
      <c r="V12" s="1399"/>
      <c r="W12" s="1399"/>
      <c r="X12" s="1417" t="e">
        <f ca="1"/>
        <v>#NAME?</v>
      </c>
      <c r="Y12" s="1420" t="e">
        <f ca="1"/>
        <v>#NAME?</v>
      </c>
      <c r="AA12" s="1399"/>
      <c r="AB12" s="1399"/>
      <c r="AC12" s="1399"/>
      <c r="AD12" s="1399"/>
      <c r="AE12" s="1399"/>
    </row>
    <row r="13" spans="1:31" ht="12.75" hidden="1" customHeight="1" thickBot="1">
      <c r="A13" s="1417" t="s">
        <v>2767</v>
      </c>
      <c r="B13" s="1420" t="e">
        <f ca="1">MATCH(B9,INDIRECT("B"&amp;B10&amp;":B"&amp;FirstRow+B5),-1)+B10</f>
        <v>#N/A</v>
      </c>
      <c r="C13" s="1449" t="s">
        <v>2767</v>
      </c>
      <c r="D13" s="1452" t="e">
        <f ca="1">MATCH(D9,INDIRECT("D"&amp;D10&amp;":D"&amp;FirstRow+D5),-1)+D10</f>
        <v>#N/A</v>
      </c>
      <c r="E13" s="1417" t="s">
        <v>2767</v>
      </c>
      <c r="F13" s="1420" t="e">
        <f ca="1">MATCH(F9,INDIRECT("F"&amp;F10&amp;":F"&amp;FirstRow+F5),-1)+F10</f>
        <v>#N/A</v>
      </c>
      <c r="G13" s="1449" t="s">
        <v>2767</v>
      </c>
      <c r="H13" s="1452" t="e">
        <f ca="1">MATCH(H9,INDIRECT("H"&amp;H10&amp;":H"&amp;FirstRow+H5),-1)+H10</f>
        <v>#N/A</v>
      </c>
      <c r="I13" s="1417" t="s">
        <v>2767</v>
      </c>
      <c r="J13" s="1420" t="e">
        <f ca="1">MATCH(J9,INDIRECT("J"&amp;J10&amp;":J"&amp;FirstRow+J5),-1)+J10</f>
        <v>#N/A</v>
      </c>
      <c r="K13" s="1449" t="s">
        <v>2767</v>
      </c>
      <c r="L13" s="1452" t="e">
        <f ca="1">MATCH(L9,INDIRECT("L"&amp;L10&amp;":L"&amp;FirstRow+L5),-1)+L10</f>
        <v>#N/A</v>
      </c>
      <c r="M13" s="1417" t="s">
        <v>2767</v>
      </c>
      <c r="N13" s="1420" t="e">
        <f ca="1">MATCH(N9,INDIRECT("N"&amp;N10&amp;":N"&amp;FirstRow+N5),-1)+N10</f>
        <v>#N/A</v>
      </c>
      <c r="O13" s="1449" t="s">
        <v>2767</v>
      </c>
      <c r="P13" s="1452" t="e">
        <f ca="1">MATCH(P9,INDIRECT("P"&amp;P10&amp;":P"&amp;FirstRow+P5),-1)+P10</f>
        <v>#N/A</v>
      </c>
      <c r="Q13" s="1399"/>
      <c r="R13" s="1399"/>
      <c r="S13" s="1399"/>
      <c r="T13" s="1399"/>
      <c r="U13" s="1399"/>
      <c r="V13" s="1399"/>
      <c r="W13" s="1399"/>
      <c r="X13" s="1417" t="e">
        <f ca="1"/>
        <v>#NAME?</v>
      </c>
      <c r="Y13" s="1420" t="e">
        <f ca="1"/>
        <v>#NAME?</v>
      </c>
      <c r="AA13" s="1399"/>
      <c r="AB13" s="1399"/>
      <c r="AC13" s="1399"/>
      <c r="AD13" s="1399"/>
      <c r="AE13" s="1399"/>
    </row>
    <row r="14" spans="1:31" ht="15.75" customHeight="1">
      <c r="A14" s="1453" t="s">
        <v>2768</v>
      </c>
      <c r="B14" s="1454" t="str">
        <f ca="1">IF(ISNA(B12),"",INDIRECT("A"&amp;B12))</f>
        <v/>
      </c>
      <c r="C14" s="1453" t="s">
        <v>2768</v>
      </c>
      <c r="D14" s="1454" t="str">
        <f ca="1">IF(ISNA(D12),"",INDIRECT("C"&amp;D12))</f>
        <v/>
      </c>
      <c r="E14" s="1453" t="s">
        <v>2768</v>
      </c>
      <c r="F14" s="1454" t="str">
        <f ca="1">IF(ISNA(F12),"",INDIRECT("E"&amp;F12))</f>
        <v/>
      </c>
      <c r="G14" s="1453" t="s">
        <v>2768</v>
      </c>
      <c r="H14" s="1454" t="str">
        <f ca="1">IF(ISNA(H12),"",INDIRECT("G"&amp;H12))</f>
        <v/>
      </c>
      <c r="I14" s="1453" t="s">
        <v>2768</v>
      </c>
      <c r="J14" s="1454" t="str">
        <f ca="1">IF(ISNA(J12),"",INDIRECT("I"&amp;J12))</f>
        <v/>
      </c>
      <c r="K14" s="1453" t="s">
        <v>2768</v>
      </c>
      <c r="L14" s="1454" t="str">
        <f ca="1">IF(ISNA(L12),"",INDIRECT("K"&amp;L12))</f>
        <v/>
      </c>
      <c r="M14" s="1453" t="s">
        <v>2768</v>
      </c>
      <c r="N14" s="1454" t="str">
        <f ca="1">IF(ISNA(N12),"",INDIRECT("M"&amp;N12))</f>
        <v/>
      </c>
      <c r="O14" s="1453" t="s">
        <v>2768</v>
      </c>
      <c r="P14" s="1454" t="str">
        <f ca="1">IF(ISNA(P12),"",INDIRECT("O"&amp;P12))</f>
        <v/>
      </c>
      <c r="Q14" s="1399"/>
      <c r="R14" s="1399"/>
      <c r="S14" s="1399"/>
      <c r="T14" s="1399"/>
      <c r="U14" s="1399"/>
      <c r="V14" s="1399"/>
      <c r="W14" s="1399"/>
      <c r="X14" s="1421" t="e">
        <f ca="1"/>
        <v>#NAME?</v>
      </c>
      <c r="Y14" s="1422" t="e">
        <f ca="1"/>
        <v>#NAME?</v>
      </c>
      <c r="AA14" s="1399"/>
      <c r="AB14" s="1399"/>
      <c r="AC14" s="1399"/>
      <c r="AD14" s="1399"/>
      <c r="AE14" s="1399"/>
    </row>
    <row r="15" spans="1:31" ht="12.75" hidden="1" customHeight="1">
      <c r="A15" s="1455" t="s">
        <v>2131</v>
      </c>
      <c r="B15" s="1456" t="e">
        <f ca="1">ABS(SLOPE((INDEX(B:B,B11):INDEX(B:B,B13)),(INDEX(A:A,B11):INDEX(A:A,B13))))</f>
        <v>#N/A</v>
      </c>
      <c r="C15" s="1457" t="s">
        <v>2131</v>
      </c>
      <c r="D15" s="1456" t="e">
        <f ca="1">ABS(SLOPE((INDEX(D:D,D11):INDEX(D:D,D13)),(INDEX(C:C,D11):INDEX(C:C,D13))))</f>
        <v>#N/A</v>
      </c>
      <c r="E15" s="1457" t="s">
        <v>2131</v>
      </c>
      <c r="F15" s="1456" t="e">
        <f ca="1">ABS(SLOPE((INDEX(F:F,F11):INDEX(F:F,F13)),(INDEX(E:E,F11):INDEX(E:E,F13))))</f>
        <v>#N/A</v>
      </c>
      <c r="G15" s="1458" t="s">
        <v>2131</v>
      </c>
      <c r="H15" s="1456" t="e">
        <f ca="1">ABS(SLOPE((INDEX(H:H,H11):INDEX(H:H,H13)),(INDEX(G:G,H11):INDEX(G:G,H13))))</f>
        <v>#N/A</v>
      </c>
      <c r="I15" s="1457" t="s">
        <v>2131</v>
      </c>
      <c r="J15" s="1456" t="e">
        <f ca="1">ABS(SLOPE((INDEX(J:J,J11):INDEX(J:J,J13)),(INDEX(I:I,J11):INDEX(I:I,J13))))</f>
        <v>#N/A</v>
      </c>
      <c r="K15" s="1458" t="s">
        <v>2131</v>
      </c>
      <c r="L15" s="1456" t="e">
        <f ca="1">ABS(SLOPE((INDEX(L:L,L11):INDEX(L:L,L13)),(INDEX(K:K,L11):INDEX(K:K,L13))))</f>
        <v>#N/A</v>
      </c>
      <c r="M15" s="1457" t="s">
        <v>2131</v>
      </c>
      <c r="N15" s="1456" t="e">
        <f ca="1">ABS(SLOPE((INDEX(N:N,N11):INDEX(N:N,N13)),(INDEX(M:M,N11):INDEX(M:M,N13))))</f>
        <v>#N/A</v>
      </c>
      <c r="O15" s="1458" t="s">
        <v>2131</v>
      </c>
      <c r="P15" s="1456" t="e">
        <f ca="1">ABS(SLOPE((INDEX(P:P,P11):INDEX(P:P,P13)),(INDEX(O:O,P11):INDEX(O:O,P13))))</f>
        <v>#N/A</v>
      </c>
      <c r="Q15" s="1399"/>
      <c r="R15" s="1399"/>
      <c r="S15" s="1399"/>
      <c r="T15" s="1399"/>
      <c r="U15" s="1399"/>
      <c r="V15" s="1399"/>
      <c r="W15" s="1399"/>
      <c r="X15" s="1417" t="e">
        <f ca="1"/>
        <v>#NAME?</v>
      </c>
      <c r="Y15" s="1419" t="e">
        <f ca="1"/>
        <v>#NAME?</v>
      </c>
      <c r="AA15" s="1399"/>
      <c r="AB15" s="1399"/>
      <c r="AC15" s="1399"/>
      <c r="AD15" s="1399"/>
      <c r="AE15" s="1399"/>
    </row>
    <row r="16" spans="1:31" ht="12.75" hidden="1" customHeight="1">
      <c r="A16" s="1455" t="s">
        <v>2769</v>
      </c>
      <c r="B16" s="1459" t="str">
        <f>IF(ISBLANK(B22),IF(ISBLANK(A28),"",A28),B22)</f>
        <v/>
      </c>
      <c r="C16" s="1455" t="s">
        <v>2769</v>
      </c>
      <c r="D16" s="1459" t="str">
        <f>IF(ISBLANK(D22),IF(ISBLANK(C28),"",C28),D22)</f>
        <v/>
      </c>
      <c r="E16" s="1455" t="s">
        <v>2769</v>
      </c>
      <c r="F16" s="1459" t="str">
        <f>IF(ISBLANK(F22),IF(ISBLANK(E28),"",E28),F22)</f>
        <v/>
      </c>
      <c r="G16" s="1455" t="s">
        <v>2769</v>
      </c>
      <c r="H16" s="1459" t="str">
        <f>IF(ISBLANK(H22),IF(ISBLANK(G28),"",G28),H22)</f>
        <v/>
      </c>
      <c r="I16" s="1455" t="s">
        <v>2769</v>
      </c>
      <c r="J16" s="1459" t="str">
        <f>IF(ISBLANK(J22),IF(ISBLANK(I28),"",I28),J22)</f>
        <v/>
      </c>
      <c r="K16" s="1455" t="s">
        <v>2769</v>
      </c>
      <c r="L16" s="1459" t="str">
        <f>IF(ISBLANK(L22),IF(ISBLANK(K28),"",K28),L22)</f>
        <v/>
      </c>
      <c r="M16" s="1455" t="s">
        <v>2769</v>
      </c>
      <c r="N16" s="1459" t="str">
        <f>IF(ISBLANK(N22),IF(ISBLANK(M28),"",M28),N22)</f>
        <v/>
      </c>
      <c r="O16" s="1455" t="s">
        <v>2769</v>
      </c>
      <c r="P16" s="1459" t="str">
        <f>IF(ISBLANK(P22),IF(ISBLANK(O28),"",O28),P22)</f>
        <v/>
      </c>
      <c r="Q16" s="1399"/>
      <c r="R16" s="1399"/>
      <c r="S16" s="1399"/>
      <c r="T16" s="1399"/>
      <c r="U16" s="1399"/>
      <c r="V16" s="1399"/>
      <c r="W16" s="1399"/>
      <c r="X16" s="1423" t="e">
        <f ca="1"/>
        <v>#NAME?</v>
      </c>
      <c r="Y16" s="1418" t="e">
        <f ca="1"/>
        <v>#NAME?</v>
      </c>
      <c r="AA16" s="1399"/>
      <c r="AB16" s="1399"/>
      <c r="AC16" s="1399"/>
      <c r="AD16" s="1399"/>
      <c r="AE16" s="1399"/>
    </row>
    <row r="17" spans="1:31" ht="12.75" hidden="1" customHeight="1">
      <c r="A17" s="1460" t="s">
        <v>2770</v>
      </c>
      <c r="B17" s="1461" t="e">
        <f ca="1">MATCH(0.1,INDIRECT("B"&amp;B10&amp;":B"&amp;FirstRow+B5),-1)+B10</f>
        <v>#N/A</v>
      </c>
      <c r="C17" s="1460" t="s">
        <v>2770</v>
      </c>
      <c r="D17" s="1461" t="e">
        <f ca="1">MATCH(0.1,INDIRECT("D"&amp;D10&amp;":D"&amp;FirstRow+D5),-1)+D10</f>
        <v>#N/A</v>
      </c>
      <c r="E17" s="1460" t="s">
        <v>2770</v>
      </c>
      <c r="F17" s="1461" t="e">
        <f ca="1">MATCH(0.1,INDIRECT("F"&amp;F10&amp;":F"&amp;FirstRow+F5),-1)+F10</f>
        <v>#N/A</v>
      </c>
      <c r="G17" s="1460" t="s">
        <v>2770</v>
      </c>
      <c r="H17" s="1461" t="e">
        <f ca="1">MATCH(0.1,INDIRECT("H"&amp;H10&amp;":H"&amp;FirstRow+H5),-1)+H10</f>
        <v>#N/A</v>
      </c>
      <c r="I17" s="1460" t="s">
        <v>2770</v>
      </c>
      <c r="J17" s="1461" t="e">
        <f ca="1">MATCH(0.1,INDIRECT("J"&amp;J10&amp;":J"&amp;FirstRow+J5),-1)+J10</f>
        <v>#N/A</v>
      </c>
      <c r="K17" s="1460" t="s">
        <v>2770</v>
      </c>
      <c r="L17" s="1461" t="e">
        <f ca="1">MATCH(0.1,INDIRECT("L"&amp;L10&amp;":L"&amp;FirstRow+L5),-1)+L10</f>
        <v>#N/A</v>
      </c>
      <c r="M17" s="1460" t="s">
        <v>2770</v>
      </c>
      <c r="N17" s="1461" t="e">
        <f ca="1">MATCH(0.1,INDIRECT("N"&amp;N10&amp;":N"&amp;FirstRow+N5),-1)+N10</f>
        <v>#N/A</v>
      </c>
      <c r="O17" s="1460" t="s">
        <v>2770</v>
      </c>
      <c r="P17" s="1461" t="e">
        <f ca="1">MATCH(0.1,INDIRECT("P"&amp;P10&amp;":P"&amp;FirstRow+P5),-1)+P10</f>
        <v>#N/A</v>
      </c>
      <c r="Q17" s="1399"/>
      <c r="R17" s="1399"/>
      <c r="S17" s="1399"/>
      <c r="T17" s="1399"/>
      <c r="U17" s="1399"/>
      <c r="V17" s="1399"/>
      <c r="W17" s="1399"/>
      <c r="X17" s="1417" t="e">
        <f ca="1"/>
        <v>#NAME?</v>
      </c>
      <c r="Y17" s="1420" t="e">
        <f ca="1"/>
        <v>#NAME?</v>
      </c>
      <c r="AA17" s="1399"/>
      <c r="AB17" s="1399"/>
      <c r="AC17" s="1399"/>
      <c r="AD17" s="1399"/>
      <c r="AE17" s="1399"/>
    </row>
    <row r="18" spans="1:31" ht="15.75" customHeight="1">
      <c r="A18" s="1462" t="s">
        <v>2771</v>
      </c>
      <c r="B18" s="1463" t="str">
        <f ca="1">IF(ISERROR(B15),"",ABS(B15))</f>
        <v/>
      </c>
      <c r="C18" s="1462" t="s">
        <v>2771</v>
      </c>
      <c r="D18" s="1463" t="str">
        <f ca="1">IF(ISERROR(D15),"",ABS(D15))</f>
        <v/>
      </c>
      <c r="E18" s="1462" t="s">
        <v>2771</v>
      </c>
      <c r="F18" s="1463" t="str">
        <f ca="1">IF(ISERROR(F15),"",ABS(F15))</f>
        <v/>
      </c>
      <c r="G18" s="1462" t="s">
        <v>2771</v>
      </c>
      <c r="H18" s="1463" t="str">
        <f ca="1">IF(ISERROR(H15),"",ABS(H15))</f>
        <v/>
      </c>
      <c r="I18" s="1462" t="s">
        <v>2771</v>
      </c>
      <c r="J18" s="1463" t="str">
        <f ca="1">IF(ISERROR(J15),"",ABS(J15))</f>
        <v/>
      </c>
      <c r="K18" s="1462" t="s">
        <v>2771</v>
      </c>
      <c r="L18" s="1463" t="str">
        <f ca="1">IF(ISERROR(L15),"",ABS(L15))</f>
        <v/>
      </c>
      <c r="M18" s="1462" t="s">
        <v>2771</v>
      </c>
      <c r="N18" s="1463" t="str">
        <f ca="1">IF(ISERROR(N15),"",ABS(N15))</f>
        <v/>
      </c>
      <c r="O18" s="1462" t="s">
        <v>2771</v>
      </c>
      <c r="P18" s="1463" t="str">
        <f ca="1">IF(ISERROR(P15),"",ABS(P15))</f>
        <v/>
      </c>
      <c r="Q18" s="1399"/>
      <c r="R18" s="1399"/>
      <c r="S18" s="1399"/>
      <c r="T18" s="1399"/>
      <c r="U18" s="1399"/>
      <c r="V18" s="1399"/>
      <c r="W18" s="1399"/>
      <c r="X18" s="1424" t="e">
        <f ca="1"/>
        <v>#NAME?</v>
      </c>
      <c r="Y18" s="1425" t="e">
        <f ca="1"/>
        <v>#NAME?</v>
      </c>
      <c r="AA18" s="1399"/>
      <c r="AB18" s="1399"/>
      <c r="AC18" s="1399"/>
      <c r="AD18" s="1399"/>
      <c r="AE18" s="1399"/>
    </row>
    <row r="19" spans="1:31" ht="15.75" customHeight="1">
      <c r="A19" s="1462" t="s">
        <v>2772</v>
      </c>
      <c r="B19" s="1464" t="str">
        <f ca="1">IF(ISNA(B17),"",SUMPRODUCT((INDIRECT("A"&amp;FirstRow+1&amp;":A"&amp;B17))-(INDIRECT("A"&amp;FirstRow&amp;":A"&amp;B17-1)),(((INDIRECT("B"&amp;FirstRow+1&amp;":B"&amp;B17))+(INDIRECT("B"&amp;FirstRow&amp;":B"&amp;B17-1)))/2)))</f>
        <v/>
      </c>
      <c r="C19" s="1462" t="s">
        <v>2772</v>
      </c>
      <c r="D19" s="1464" t="str">
        <f ca="1">IF(ISNA(D17),"",SUMPRODUCT((INDIRECT("C"&amp;FirstRow+1&amp;":C"&amp;D17))-(INDIRECT("C"&amp;FirstRow&amp;":C"&amp;D17-1)),(((INDIRECT("D"&amp;FirstRow+1&amp;":D"&amp;D17))+(INDIRECT("D"&amp;FirstRow&amp;":D"&amp;D17-1)))/2)))</f>
        <v/>
      </c>
      <c r="E19" s="1462" t="s">
        <v>2772</v>
      </c>
      <c r="F19" s="1464" t="str">
        <f ca="1">IF(ISNA(F17),"",SUMPRODUCT((INDIRECT("E"&amp;FirstRow+1&amp;":E"&amp;F17))-(INDIRECT("E"&amp;FirstRow&amp;":E"&amp;F17-1)),(((INDIRECT("F"&amp;FirstRow+1&amp;":F"&amp;F17))+(INDIRECT("F"&amp;FirstRow&amp;":F"&amp;F17-1)))/2)))</f>
        <v/>
      </c>
      <c r="G19" s="1462" t="s">
        <v>2772</v>
      </c>
      <c r="H19" s="1464" t="str">
        <f ca="1">IF(ISNA(H17),"",SUMPRODUCT((INDIRECT("G"&amp;FirstRow+1&amp;":G"&amp;H17))-(INDIRECT("G"&amp;FirstRow&amp;":G"&amp;H17-1)),(((INDIRECT("H"&amp;FirstRow+1&amp;":H"&amp;H17))+(INDIRECT("H"&amp;FirstRow&amp;":H"&amp;H17-1)))/2)))</f>
        <v/>
      </c>
      <c r="I19" s="1462" t="s">
        <v>2772</v>
      </c>
      <c r="J19" s="1464" t="str">
        <f ca="1">IF(ISNA(J17),"",SUMPRODUCT((INDIRECT("I"&amp;FirstRow+1&amp;":I"&amp;J17))-(INDIRECT("I"&amp;FirstRow&amp;":I"&amp;J17-1)),(((INDIRECT("J"&amp;FirstRow+1&amp;":J"&amp;J17))+(INDIRECT("J"&amp;FirstRow&amp;":J"&amp;J17-1)))/2)))</f>
        <v/>
      </c>
      <c r="K19" s="1462" t="s">
        <v>2772</v>
      </c>
      <c r="L19" s="1464" t="str">
        <f ca="1">IF(ISNA(L17),"",SUMPRODUCT((INDIRECT("K"&amp;FirstRow+1&amp;":K"&amp;L17))-(INDIRECT("K"&amp;FirstRow&amp;":K"&amp;L17-1)),(((INDIRECT("L"&amp;FirstRow+1&amp;":L"&amp;L17))+(INDIRECT("L"&amp;FirstRow&amp;":L"&amp;L17-1)))/2)))</f>
        <v/>
      </c>
      <c r="M19" s="1462" t="s">
        <v>2772</v>
      </c>
      <c r="N19" s="1464" t="str">
        <f ca="1">IF(ISNA(N17),"",SUMPRODUCT((INDIRECT("M"&amp;FirstRow+1&amp;":M"&amp;N17))-(INDIRECT("M"&amp;FirstRow&amp;":M"&amp;N17-1)),(((INDIRECT("N"&amp;FirstRow+1&amp;":N"&amp;N17))+(INDIRECT("N"&amp;FirstRow&amp;":N"&amp;N17-1)))/2)))</f>
        <v/>
      </c>
      <c r="O19" s="1462" t="s">
        <v>2772</v>
      </c>
      <c r="P19" s="1464" t="str">
        <f ca="1">IF(ISNA(P17),"",SUMPRODUCT((INDIRECT("O"&amp;FirstRow+1&amp;":O"&amp;P17))-(INDIRECT("O"&amp;FirstRow&amp;":O"&amp;P17-1)),(((INDIRECT("P"&amp;FirstRow+1&amp;":P"&amp;P17))+(INDIRECT("P"&amp;FirstRow&amp;":P"&amp;P17-1)))/2)))</f>
        <v/>
      </c>
      <c r="Q19" s="1399"/>
      <c r="R19" s="1399"/>
      <c r="S19" s="1399"/>
      <c r="T19" s="1399"/>
      <c r="U19" s="1399"/>
      <c r="V19" s="1399"/>
      <c r="W19" s="1399"/>
      <c r="X19" s="1424" t="e">
        <f ca="1"/>
        <v>#NAME?</v>
      </c>
      <c r="Y19" s="1426" t="e">
        <f ca="1"/>
        <v>#NAME?</v>
      </c>
      <c r="AA19" s="1399"/>
      <c r="AB19" s="1399"/>
      <c r="AC19" s="1399"/>
      <c r="AD19" s="1399"/>
      <c r="AE19" s="1399"/>
    </row>
    <row r="20" spans="1:31" ht="15.75" customHeight="1" thickBot="1">
      <c r="A20" s="1465" t="s">
        <v>2773</v>
      </c>
      <c r="B20" s="1466" t="str">
        <f ca="1">IF(B19="","",(B19/(B25*B26))*1000000)</f>
        <v/>
      </c>
      <c r="C20" s="1465" t="s">
        <v>2773</v>
      </c>
      <c r="D20" s="1466" t="str">
        <f ca="1">IF(D19="","",(D19/(D25*D26))*1000000)</f>
        <v/>
      </c>
      <c r="E20" s="1465" t="s">
        <v>2773</v>
      </c>
      <c r="F20" s="1466" t="str">
        <f ca="1">IF(F19="","",(F19/(F25*F26))*1000000)</f>
        <v/>
      </c>
      <c r="G20" s="1465" t="s">
        <v>2773</v>
      </c>
      <c r="H20" s="1466" t="str">
        <f ca="1">IF(H19="","",(H19/(H25*H26))*1000000)</f>
        <v/>
      </c>
      <c r="I20" s="1465" t="s">
        <v>2773</v>
      </c>
      <c r="J20" s="1466" t="str">
        <f ca="1">IF(J19="","",(J19/(J25*J26))*1000000)</f>
        <v/>
      </c>
      <c r="K20" s="1465" t="s">
        <v>2773</v>
      </c>
      <c r="L20" s="1466" t="str">
        <f ca="1">IF(L19="","",(L19/(L25*L26))*1000000)</f>
        <v/>
      </c>
      <c r="M20" s="1465" t="s">
        <v>2773</v>
      </c>
      <c r="N20" s="1466" t="str">
        <f ca="1">IF(N19="","",(N19/(N25*N26))*1000000)</f>
        <v/>
      </c>
      <c r="O20" s="1465" t="s">
        <v>2773</v>
      </c>
      <c r="P20" s="1466" t="str">
        <f ca="1">IF(P19="","",(P19/(P25*P26))*1000000)</f>
        <v/>
      </c>
      <c r="Q20" s="1399"/>
      <c r="R20" s="1399"/>
      <c r="S20" s="1399"/>
      <c r="T20" s="1399"/>
      <c r="U20" s="1399"/>
      <c r="V20" s="1399"/>
      <c r="W20" s="1399"/>
      <c r="X20" s="1424" t="e">
        <f ca="1"/>
        <v>#NAME?</v>
      </c>
      <c r="Y20" s="1427" t="e">
        <f ca="1"/>
        <v>#NAME?</v>
      </c>
      <c r="AA20" s="1399"/>
      <c r="AB20" s="1399"/>
      <c r="AC20" s="1399"/>
      <c r="AD20" s="1399"/>
      <c r="AE20" s="1399"/>
    </row>
    <row r="21" spans="1:31" ht="21.75" customHeight="1" thickBot="1">
      <c r="A21" s="1467" t="s">
        <v>2774</v>
      </c>
      <c r="B21" s="1468" t="str">
        <f ca="1">IF(B20="","",(B26/62)*(B14/B25)*(B20/B18))</f>
        <v/>
      </c>
      <c r="C21" s="1467" t="s">
        <v>2774</v>
      </c>
      <c r="D21" s="1468" t="str">
        <f ca="1">IF(D20="","",(D26/62)*(D14/D25)*(D20/D18))</f>
        <v/>
      </c>
      <c r="E21" s="1467" t="s">
        <v>2774</v>
      </c>
      <c r="F21" s="1468" t="str">
        <f ca="1">IF(F20="","",(F26/62)*(F14/F25)*(F20/F18))</f>
        <v/>
      </c>
      <c r="G21" s="1467" t="s">
        <v>2774</v>
      </c>
      <c r="H21" s="1468" t="str">
        <f ca="1">IF(H20="","",(H26/62)*(H14/H25)*(H20/H18))</f>
        <v/>
      </c>
      <c r="I21" s="1467" t="s">
        <v>2774</v>
      </c>
      <c r="J21" s="1468" t="str">
        <f ca="1">IF(J20="","",(J26/62)*(J14/J25)*(J20/J18))</f>
        <v/>
      </c>
      <c r="K21" s="1467" t="s">
        <v>2774</v>
      </c>
      <c r="L21" s="1468" t="str">
        <f ca="1">IF(L20="","",(L26/62)*(L14/L25)*(L20/L18))</f>
        <v/>
      </c>
      <c r="M21" s="1467" t="s">
        <v>2774</v>
      </c>
      <c r="N21" s="1468" t="str">
        <f ca="1">IF(N20="","",(N26/62)*(N14/N25)*(N20/N18))</f>
        <v/>
      </c>
      <c r="O21" s="1467" t="s">
        <v>2774</v>
      </c>
      <c r="P21" s="1468" t="str">
        <f ca="1">IF(P20="","",(P26/62)*(P14/P25)*(P20/P18))</f>
        <v/>
      </c>
      <c r="Q21" s="1399"/>
      <c r="R21" s="1399"/>
      <c r="S21" s="1399"/>
      <c r="T21" s="1399"/>
      <c r="U21" s="1399"/>
      <c r="V21" s="1399"/>
      <c r="W21" s="1399"/>
      <c r="X21" s="1428" t="e">
        <f ca="1"/>
        <v>#NAME?</v>
      </c>
      <c r="Y21" s="1429" t="e">
        <f ca="1"/>
        <v>#NAME?</v>
      </c>
      <c r="AA21" s="1399"/>
      <c r="AB21" s="1399"/>
      <c r="AC21" s="1399"/>
      <c r="AD21" s="1399"/>
      <c r="AE21" s="1399"/>
    </row>
    <row r="22" spans="1:31" ht="21.75" customHeight="1">
      <c r="A22" s="1430" t="s">
        <v>2775</v>
      </c>
      <c r="B22" s="1469"/>
      <c r="C22" s="1470" t="s">
        <v>2776</v>
      </c>
      <c r="D22" s="1469"/>
      <c r="E22" s="1470" t="s">
        <v>2777</v>
      </c>
      <c r="F22" s="1469"/>
      <c r="G22" s="1470" t="s">
        <v>2778</v>
      </c>
      <c r="H22" s="1469"/>
      <c r="I22" s="1470" t="s">
        <v>2779</v>
      </c>
      <c r="J22" s="1469"/>
      <c r="K22" s="1470" t="s">
        <v>2780</v>
      </c>
      <c r="L22" s="1469"/>
      <c r="M22" s="1470" t="s">
        <v>2781</v>
      </c>
      <c r="N22" s="1469"/>
      <c r="O22" s="1470" t="s">
        <v>2782</v>
      </c>
      <c r="P22" s="1471"/>
      <c r="Q22" s="1399"/>
      <c r="R22" s="1399"/>
      <c r="S22" s="1399"/>
      <c r="T22" s="1399"/>
      <c r="U22" s="1399"/>
      <c r="V22" s="1399"/>
      <c r="W22" s="1399"/>
      <c r="X22" s="1430" t="e">
        <f ca="1"/>
        <v>#NAME?</v>
      </c>
      <c r="Y22" s="1431" t="e">
        <f ca="1"/>
        <v>#NAME?</v>
      </c>
      <c r="AA22" s="1399"/>
      <c r="AB22" s="1399"/>
      <c r="AC22" s="1399"/>
      <c r="AD22" s="1399"/>
      <c r="AE22" s="1399"/>
    </row>
    <row r="23" spans="1:31" ht="12.75" customHeight="1">
      <c r="A23" s="1432" t="s">
        <v>2783</v>
      </c>
      <c r="B23" s="1472"/>
      <c r="C23" s="1473" t="s">
        <v>2783</v>
      </c>
      <c r="D23" s="1472"/>
      <c r="E23" s="1473" t="s">
        <v>2783</v>
      </c>
      <c r="F23" s="1472"/>
      <c r="G23" s="1473" t="s">
        <v>2783</v>
      </c>
      <c r="H23" s="1472"/>
      <c r="I23" s="1473" t="s">
        <v>2783</v>
      </c>
      <c r="J23" s="1472"/>
      <c r="K23" s="1473" t="s">
        <v>2783</v>
      </c>
      <c r="L23" s="1472"/>
      <c r="M23" s="1473" t="s">
        <v>2783</v>
      </c>
      <c r="N23" s="1472"/>
      <c r="O23" s="1473" t="s">
        <v>2783</v>
      </c>
      <c r="P23" s="1474"/>
      <c r="Q23" s="1399"/>
      <c r="R23" s="1399"/>
      <c r="S23" s="1399"/>
      <c r="T23" s="1399"/>
      <c r="U23" s="1399"/>
      <c r="V23" s="1399"/>
      <c r="W23" s="1399"/>
      <c r="X23" s="1432" t="e">
        <f ca="1"/>
        <v>#NAME?</v>
      </c>
      <c r="Y23" s="1433" t="e">
        <f ca="1"/>
        <v>#NAME?</v>
      </c>
      <c r="AA23" s="1399"/>
      <c r="AB23" s="1399"/>
      <c r="AC23" s="1399"/>
      <c r="AD23" s="1399"/>
      <c r="AE23" s="1399"/>
    </row>
    <row r="24" spans="1:31" ht="12.75" customHeight="1">
      <c r="A24" s="1432" t="s">
        <v>1642</v>
      </c>
      <c r="B24" s="1475"/>
      <c r="C24" s="1473" t="s">
        <v>1642</v>
      </c>
      <c r="D24" s="1475"/>
      <c r="E24" s="1473" t="s">
        <v>1642</v>
      </c>
      <c r="F24" s="1475"/>
      <c r="G24" s="1473" t="s">
        <v>1642</v>
      </c>
      <c r="H24" s="1475"/>
      <c r="I24" s="1473" t="s">
        <v>1642</v>
      </c>
      <c r="J24" s="1475"/>
      <c r="K24" s="1473" t="s">
        <v>1642</v>
      </c>
      <c r="L24" s="1475"/>
      <c r="M24" s="1473" t="s">
        <v>1642</v>
      </c>
      <c r="N24" s="1475"/>
      <c r="O24" s="1473" t="s">
        <v>1642</v>
      </c>
      <c r="P24" s="1476"/>
      <c r="Q24" s="1399"/>
      <c r="R24" s="1399"/>
      <c r="S24" s="1399"/>
      <c r="T24" s="1399"/>
      <c r="U24" s="1399"/>
      <c r="V24" s="1399"/>
      <c r="W24" s="1399"/>
      <c r="X24" s="1432" t="e">
        <f ca="1"/>
        <v>#NAME?</v>
      </c>
      <c r="Y24" s="1434" t="e">
        <f ca="1"/>
        <v>#NAME?</v>
      </c>
      <c r="AA24" s="1399"/>
      <c r="AB24" s="1399"/>
      <c r="AC24" s="1399"/>
      <c r="AD24" s="1399"/>
      <c r="AE24" s="1399"/>
    </row>
    <row r="25" spans="1:31" ht="12.75" customHeight="1">
      <c r="A25" s="1432" t="s">
        <v>2784</v>
      </c>
      <c r="B25" s="1472"/>
      <c r="C25" s="1473" t="s">
        <v>2784</v>
      </c>
      <c r="D25" s="1472"/>
      <c r="E25" s="1473" t="s">
        <v>2784</v>
      </c>
      <c r="F25" s="1472"/>
      <c r="G25" s="1473" t="s">
        <v>2784</v>
      </c>
      <c r="H25" s="1472"/>
      <c r="I25" s="1473" t="s">
        <v>2784</v>
      </c>
      <c r="J25" s="1472"/>
      <c r="K25" s="1473" t="s">
        <v>2784</v>
      </c>
      <c r="L25" s="1472"/>
      <c r="M25" s="1473" t="s">
        <v>2784</v>
      </c>
      <c r="N25" s="1477"/>
      <c r="O25" s="1473" t="s">
        <v>2784</v>
      </c>
      <c r="P25" s="1474"/>
      <c r="Q25" s="1399"/>
      <c r="R25" s="1399"/>
      <c r="S25" s="1399"/>
      <c r="T25" s="1399"/>
      <c r="U25" s="1399"/>
      <c r="V25" s="1399"/>
      <c r="W25" s="1399"/>
      <c r="X25" s="1432" t="e">
        <f ca="1"/>
        <v>#NAME?</v>
      </c>
      <c r="Y25" s="1433" t="e">
        <f ca="1"/>
        <v>#NAME?</v>
      </c>
      <c r="AA25" s="1399"/>
      <c r="AB25" s="1399"/>
      <c r="AC25" s="1399"/>
      <c r="AD25" s="1399"/>
      <c r="AE25" s="1399"/>
    </row>
    <row r="26" spans="1:31" ht="12.75" customHeight="1" thickBot="1">
      <c r="A26" s="1435" t="s">
        <v>2785</v>
      </c>
      <c r="B26" s="1478"/>
      <c r="C26" s="1479" t="s">
        <v>2785</v>
      </c>
      <c r="D26" s="1478"/>
      <c r="E26" s="1479" t="s">
        <v>2785</v>
      </c>
      <c r="F26" s="1478"/>
      <c r="G26" s="1479" t="s">
        <v>2785</v>
      </c>
      <c r="H26" s="1478"/>
      <c r="I26" s="1479" t="s">
        <v>2785</v>
      </c>
      <c r="J26" s="1478"/>
      <c r="K26" s="1479" t="s">
        <v>2785</v>
      </c>
      <c r="L26" s="1478"/>
      <c r="M26" s="1479" t="s">
        <v>2785</v>
      </c>
      <c r="N26" s="1480"/>
      <c r="O26" s="1479" t="s">
        <v>2785</v>
      </c>
      <c r="P26" s="1481"/>
      <c r="Q26" s="1399"/>
      <c r="R26" s="1399"/>
      <c r="S26" s="1399"/>
      <c r="T26" s="1399"/>
      <c r="U26" s="1399"/>
      <c r="V26" s="1399"/>
      <c r="W26" s="1399"/>
      <c r="X26" s="1435" t="e">
        <f ca="1"/>
        <v>#NAME?</v>
      </c>
      <c r="Y26" s="1436" t="e">
        <f ca="1"/>
        <v>#NAME?</v>
      </c>
      <c r="AA26" s="1399"/>
      <c r="AB26" s="1399"/>
      <c r="AC26" s="1399"/>
      <c r="AD26" s="1399"/>
      <c r="AE26" s="1399"/>
    </row>
    <row r="27" spans="1:31" ht="20.25" customHeight="1" thickBot="1">
      <c r="A27" s="1691" t="s">
        <v>2786</v>
      </c>
      <c r="B27" s="1692"/>
      <c r="C27" s="1693"/>
      <c r="D27" s="1693"/>
      <c r="E27" s="1693"/>
      <c r="F27" s="1693"/>
      <c r="G27" s="1693"/>
      <c r="H27" s="1693"/>
      <c r="I27" s="1693"/>
      <c r="J27" s="1693"/>
      <c r="K27" s="1693"/>
      <c r="L27" s="1693"/>
      <c r="M27" s="1693"/>
      <c r="N27" s="1693"/>
      <c r="O27" s="1693"/>
      <c r="P27" s="1694"/>
      <c r="Q27" s="1399"/>
      <c r="R27" s="1399"/>
      <c r="S27" s="1399"/>
      <c r="T27" s="1399"/>
      <c r="U27" s="1399"/>
      <c r="V27" s="1399"/>
      <c r="W27" s="1399"/>
      <c r="X27" s="1437" t="e">
        <f ca="1"/>
        <v>#NAME?</v>
      </c>
      <c r="Y27" s="1438" t="e">
        <f ca="1"/>
        <v>#NAME?</v>
      </c>
      <c r="AA27" s="1399"/>
      <c r="AB27" s="1399"/>
      <c r="AC27" s="1399"/>
      <c r="AD27" s="1399"/>
      <c r="AE27" s="1399"/>
    </row>
    <row r="28" spans="1:31" ht="18" customHeight="1" thickBot="1">
      <c r="A28" s="1695"/>
      <c r="B28" s="1696"/>
      <c r="C28" s="1695"/>
      <c r="D28" s="1696"/>
      <c r="E28" s="1695"/>
      <c r="F28" s="1696"/>
      <c r="G28" s="1695"/>
      <c r="H28" s="1696"/>
      <c r="I28" s="1695"/>
      <c r="J28" s="1696"/>
      <c r="K28" s="1695"/>
      <c r="L28" s="1696"/>
      <c r="M28" s="1695"/>
      <c r="N28" s="1696"/>
      <c r="O28" s="1695"/>
      <c r="P28" s="1696"/>
      <c r="Q28" s="1399"/>
      <c r="R28" s="1399"/>
      <c r="S28" s="1399"/>
      <c r="T28" s="1399"/>
      <c r="U28" s="1399"/>
      <c r="V28" s="1399"/>
      <c r="W28" s="1399"/>
      <c r="X28" s="1439" t="e">
        <f ca="1"/>
        <v>#NAME?</v>
      </c>
      <c r="Y28" s="1440" t="e">
        <f ca="1"/>
        <v>#NAME?</v>
      </c>
      <c r="AA28" s="1399"/>
      <c r="AB28" s="1399"/>
      <c r="AC28" s="1399"/>
      <c r="AD28" s="1399"/>
      <c r="AE28" s="1399"/>
    </row>
    <row r="29" spans="1:31" ht="18" customHeight="1">
      <c r="A29" s="1482" t="str">
        <f ca="1">IF(ISBLANK(A31),"",INDIRECT("A$"&amp;MATCH(MAX(B31:B1031),B31:B1031,0)+FirstRow-1))</f>
        <v/>
      </c>
      <c r="B29" s="1483" t="str">
        <f>IF(ISBLANK(B31),"",MAX(B31:B1031))</f>
        <v/>
      </c>
      <c r="C29" s="1482" t="str">
        <f ca="1">IF(ISBLANK(C31),"",INDIRECT("C$"&amp;MATCH(MAX(D31:D1031),D31:D1031,0)+FirstRow-1))</f>
        <v/>
      </c>
      <c r="D29" s="1483" t="str">
        <f>IF(ISBLANK(D31),"",MAX(D31:D1031))</f>
        <v/>
      </c>
      <c r="E29" s="1482" t="str">
        <f ca="1">IF(ISBLANK(E31),"",INDIRECT("E$"&amp;MATCH(MAX(F31:F1031),F31:F1031,0)+FirstRow-1))</f>
        <v/>
      </c>
      <c r="F29" s="1483" t="str">
        <f>IF(ISBLANK(F31),"",MAX(F31:F1031))</f>
        <v/>
      </c>
      <c r="G29" s="1482" t="str">
        <f ca="1">IF(ISBLANK(G31),"",INDIRECT("g$"&amp;MATCH(MAX(H31:H1031),H31:H1031,0)+FirstRow-1))</f>
        <v/>
      </c>
      <c r="H29" s="1483" t="str">
        <f>IF(ISBLANK(H31),"",MAX(H31:H1031))</f>
        <v/>
      </c>
      <c r="I29" s="1482" t="str">
        <f ca="1">IF(ISBLANK(I31),"",INDIRECT("I$"&amp;MATCH(MAX(J31:J1031),J31:J1031,0)+FirstRow-1))</f>
        <v/>
      </c>
      <c r="J29" s="1483" t="str">
        <f>IF(ISBLANK(J31),"",MAX(J31:J1031))</f>
        <v/>
      </c>
      <c r="K29" s="1482" t="str">
        <f ca="1">IF(ISBLANK(K31),"",INDIRECT("K$"&amp;MATCH(MAX(L31:L1031),L31:L1031,0)+FirstRow-1))</f>
        <v/>
      </c>
      <c r="L29" s="1483" t="str">
        <f>IF(ISBLANK(L31),"",MAX(L31:L1031))</f>
        <v/>
      </c>
      <c r="M29" s="1482" t="str">
        <f ca="1">IF(ISBLANK(M31),"",INDIRECT("M$"&amp;MATCH(MAX(N31:N1031),N31:N1031,0)+FirstRow-1))</f>
        <v/>
      </c>
      <c r="N29" s="1483" t="str">
        <f>IF(ISBLANK(N31),"",MAX(N31:N1031))</f>
        <v/>
      </c>
      <c r="O29" s="1482" t="str">
        <f ca="1">IF(ISBLANK(O31),"",INDIRECT("O$"&amp;MATCH(MAX(P31:P1031),P31:P1031,0)+FirstRow-1))</f>
        <v/>
      </c>
      <c r="P29" s="1483" t="str">
        <f>IF(ISBLANK(P31),"",MAX(P31:P1031))</f>
        <v/>
      </c>
      <c r="Q29" s="1399"/>
      <c r="R29" s="1399"/>
      <c r="S29" s="1399"/>
      <c r="T29" s="1399"/>
      <c r="U29" s="1399"/>
      <c r="V29" s="1399"/>
      <c r="W29" s="1399"/>
      <c r="X29" s="1441" t="e">
        <f ca="1"/>
        <v>#NAME?</v>
      </c>
      <c r="Y29" s="1442" t="e">
        <f ca="1"/>
        <v>#NAME?</v>
      </c>
      <c r="AA29" s="1399"/>
      <c r="AB29" s="1399"/>
      <c r="AC29" s="1399"/>
      <c r="AD29" s="1399"/>
      <c r="AE29" s="1399"/>
    </row>
    <row r="30" spans="1:31">
      <c r="A30" s="1443" t="s">
        <v>2787</v>
      </c>
      <c r="B30" s="1444" t="s">
        <v>2788</v>
      </c>
      <c r="C30" s="1484" t="s">
        <v>2789</v>
      </c>
      <c r="D30" s="1485" t="s">
        <v>2790</v>
      </c>
      <c r="E30" s="1443" t="s">
        <v>2789</v>
      </c>
      <c r="F30" s="1444" t="s">
        <v>2790</v>
      </c>
      <c r="G30" s="1484" t="s">
        <v>2789</v>
      </c>
      <c r="H30" s="1485" t="s">
        <v>2790</v>
      </c>
      <c r="I30" s="1443" t="s">
        <v>2789</v>
      </c>
      <c r="J30" s="1444" t="s">
        <v>2790</v>
      </c>
      <c r="K30" s="1484" t="s">
        <v>2789</v>
      </c>
      <c r="L30" s="1485" t="s">
        <v>2790</v>
      </c>
      <c r="M30" s="1443" t="s">
        <v>2789</v>
      </c>
      <c r="N30" s="1444" t="s">
        <v>2790</v>
      </c>
      <c r="O30" s="1484" t="s">
        <v>2789</v>
      </c>
      <c r="P30" s="1485" t="s">
        <v>2790</v>
      </c>
      <c r="Q30" s="1399"/>
      <c r="R30" s="1399"/>
      <c r="S30" s="1399"/>
      <c r="T30" s="1399"/>
      <c r="U30" s="1399"/>
      <c r="V30" s="1399"/>
      <c r="W30" s="1486"/>
      <c r="X30" s="1443" t="e">
        <f ca="1"/>
        <v>#NAME?</v>
      </c>
      <c r="Y30" s="1444" t="e">
        <f ca="1"/>
        <v>#NAME?</v>
      </c>
      <c r="Z30" s="1486"/>
      <c r="AA30" s="1486"/>
      <c r="AB30" s="1399"/>
      <c r="AC30" s="1399"/>
      <c r="AD30" s="1399"/>
      <c r="AE30" s="1399"/>
    </row>
    <row r="31" spans="1:31">
      <c r="A31" s="1487"/>
      <c r="B31" s="1488"/>
      <c r="C31" s="1489"/>
      <c r="D31" s="1490"/>
      <c r="E31" s="1487"/>
      <c r="F31" s="1488"/>
      <c r="G31" s="1489"/>
      <c r="H31" s="1490"/>
      <c r="I31" s="1487"/>
      <c r="J31" s="1488"/>
      <c r="K31" s="1489"/>
      <c r="L31" s="1490"/>
      <c r="M31" s="1487"/>
      <c r="N31" s="1488"/>
      <c r="O31" s="1489"/>
      <c r="P31" s="1490"/>
      <c r="Q31" s="1491"/>
      <c r="R31" s="1399" t="s">
        <v>2791</v>
      </c>
      <c r="S31" s="1492">
        <f>MAX(B31:B706,D31:D706,F31:F706,H31:H706,J31:J706,L31:L706,N31:N706,P31:P706)</f>
        <v>0</v>
      </c>
      <c r="T31" s="1399"/>
      <c r="U31" s="1399"/>
      <c r="V31" s="1399"/>
      <c r="W31" s="1399"/>
      <c r="X31" s="1445" t="e">
        <f ca="1"/>
        <v>#NAME?</v>
      </c>
      <c r="Y31" s="1446" t="e">
        <f ca="1"/>
        <v>#NAME?</v>
      </c>
      <c r="AA31" s="1399"/>
      <c r="AB31" s="1399"/>
      <c r="AC31" s="1399"/>
      <c r="AD31" s="1399"/>
      <c r="AE31" s="1399"/>
    </row>
    <row r="32" spans="1:31">
      <c r="A32" s="1487"/>
      <c r="B32" s="1488"/>
      <c r="C32" s="1489"/>
      <c r="D32" s="1490"/>
      <c r="E32" s="1487"/>
      <c r="F32" s="1488"/>
      <c r="G32" s="1489"/>
      <c r="H32" s="1490"/>
      <c r="I32" s="1487"/>
      <c r="J32" s="1488"/>
      <c r="K32" s="1489"/>
      <c r="L32" s="1490"/>
      <c r="M32" s="1487"/>
      <c r="N32" s="1488"/>
      <c r="O32" s="1489"/>
      <c r="P32" s="1490"/>
      <c r="Q32" s="1399"/>
      <c r="R32" s="1399" t="s">
        <v>2792</v>
      </c>
      <c r="S32" s="1399" t="s">
        <v>2793</v>
      </c>
      <c r="T32" s="1399"/>
      <c r="U32" s="1399"/>
      <c r="V32" s="1399"/>
      <c r="W32" s="1399"/>
      <c r="X32" s="1445" t="e">
        <f ca="1"/>
        <v>#NAME?</v>
      </c>
      <c r="Y32" s="1446" t="e">
        <f ca="1"/>
        <v>#NAME?</v>
      </c>
      <c r="AA32" s="1399"/>
      <c r="AB32" s="1399"/>
      <c r="AC32" s="1399"/>
      <c r="AD32" s="1399"/>
      <c r="AE32" s="1399"/>
    </row>
    <row r="33" spans="1:31">
      <c r="A33" s="1487"/>
      <c r="B33" s="1488"/>
      <c r="C33" s="1489"/>
      <c r="D33" s="1490"/>
      <c r="E33" s="1487"/>
      <c r="F33" s="1488"/>
      <c r="G33" s="1489"/>
      <c r="H33" s="1490"/>
      <c r="I33" s="1487"/>
      <c r="J33" s="1488"/>
      <c r="K33" s="1489"/>
      <c r="L33" s="1490"/>
      <c r="M33" s="1487"/>
      <c r="N33" s="1488"/>
      <c r="O33" s="1489"/>
      <c r="P33" s="1490"/>
      <c r="Q33" s="1399"/>
      <c r="R33" s="1399" t="s">
        <v>2794</v>
      </c>
      <c r="S33" s="1399" t="s">
        <v>2795</v>
      </c>
      <c r="T33" s="1399"/>
      <c r="U33" s="1399"/>
      <c r="V33" s="1399"/>
      <c r="W33" s="1399"/>
      <c r="X33" s="1445" t="e">
        <f ca="1"/>
        <v>#NAME?</v>
      </c>
      <c r="Y33" s="1446" t="e">
        <f ca="1"/>
        <v>#NAME?</v>
      </c>
      <c r="AA33" s="1399"/>
      <c r="AB33" s="1399"/>
      <c r="AC33" s="1399"/>
      <c r="AD33" s="1399"/>
      <c r="AE33" s="1399"/>
    </row>
    <row r="34" spans="1:31">
      <c r="A34" s="1487"/>
      <c r="B34" s="1488"/>
      <c r="C34" s="1489"/>
      <c r="D34" s="1490"/>
      <c r="E34" s="1487"/>
      <c r="F34" s="1488"/>
      <c r="G34" s="1489"/>
      <c r="H34" s="1490"/>
      <c r="I34" s="1487"/>
      <c r="J34" s="1488"/>
      <c r="K34" s="1489"/>
      <c r="L34" s="1490"/>
      <c r="M34" s="1487"/>
      <c r="N34" s="1488"/>
      <c r="O34" s="1489"/>
      <c r="P34" s="1490"/>
      <c r="Q34" s="1399"/>
      <c r="R34" s="1399"/>
      <c r="S34" s="1399"/>
      <c r="T34" s="1399"/>
      <c r="U34" s="1399"/>
      <c r="V34" s="1399"/>
      <c r="W34" s="1399"/>
      <c r="X34" s="1445" t="e">
        <f ca="1"/>
        <v>#NAME?</v>
      </c>
      <c r="Y34" s="1446" t="e">
        <f ca="1"/>
        <v>#NAME?</v>
      </c>
      <c r="AA34" s="1399"/>
      <c r="AB34" s="1399"/>
      <c r="AC34" s="1399"/>
      <c r="AD34" s="1399"/>
      <c r="AE34" s="1399"/>
    </row>
    <row r="35" spans="1:31">
      <c r="A35" s="1487"/>
      <c r="B35" s="1488"/>
      <c r="C35" s="1489"/>
      <c r="D35" s="1490"/>
      <c r="E35" s="1487"/>
      <c r="F35" s="1488"/>
      <c r="G35" s="1489"/>
      <c r="H35" s="1490"/>
      <c r="I35" s="1487"/>
      <c r="J35" s="1488"/>
      <c r="K35" s="1489"/>
      <c r="L35" s="1490"/>
      <c r="M35" s="1487"/>
      <c r="N35" s="1488"/>
      <c r="O35" s="1489"/>
      <c r="P35" s="1490"/>
      <c r="Q35" s="1493"/>
      <c r="R35" s="1399"/>
      <c r="S35" s="1399"/>
      <c r="T35" s="1399"/>
      <c r="U35" s="1399"/>
      <c r="V35" s="1399"/>
      <c r="W35" s="1399"/>
      <c r="X35" s="1445" t="e">
        <f ca="1"/>
        <v>#NAME?</v>
      </c>
      <c r="Y35" s="1446" t="e">
        <f ca="1"/>
        <v>#NAME?</v>
      </c>
      <c r="AA35" s="1399"/>
      <c r="AB35" s="1399"/>
      <c r="AC35" s="1399"/>
      <c r="AD35" s="1399"/>
      <c r="AE35" s="1399"/>
    </row>
    <row r="36" spans="1:31">
      <c r="A36" s="1487"/>
      <c r="B36" s="1488"/>
      <c r="C36" s="1489"/>
      <c r="D36" s="1490"/>
      <c r="E36" s="1487"/>
      <c r="F36" s="1488"/>
      <c r="G36" s="1489"/>
      <c r="H36" s="1490"/>
      <c r="I36" s="1487"/>
      <c r="J36" s="1488"/>
      <c r="K36" s="1489"/>
      <c r="L36" s="1490"/>
      <c r="M36" s="1487"/>
      <c r="N36" s="1488"/>
      <c r="O36" s="1489"/>
      <c r="P36" s="1490"/>
      <c r="Q36" s="1399"/>
      <c r="R36" s="1399"/>
      <c r="S36" s="1486"/>
      <c r="T36" s="1399"/>
      <c r="U36" s="1399"/>
      <c r="V36" s="1399"/>
      <c r="W36" s="1399"/>
      <c r="X36" s="1445" t="e">
        <f ca="1"/>
        <v>#NAME?</v>
      </c>
      <c r="Y36" s="1446" t="e">
        <f ca="1"/>
        <v>#NAME?</v>
      </c>
      <c r="AA36" s="1399"/>
      <c r="AB36" s="1399"/>
      <c r="AC36" s="1399"/>
      <c r="AD36" s="1399"/>
      <c r="AE36" s="1399"/>
    </row>
    <row r="37" spans="1:31">
      <c r="A37" s="1487"/>
      <c r="B37" s="1488"/>
      <c r="C37" s="1489"/>
      <c r="D37" s="1490"/>
      <c r="E37" s="1487"/>
      <c r="F37" s="1488"/>
      <c r="G37" s="1489"/>
      <c r="H37" s="1490"/>
      <c r="I37" s="1487"/>
      <c r="J37" s="1488"/>
      <c r="K37" s="1489"/>
      <c r="L37" s="1490"/>
      <c r="M37" s="1487"/>
      <c r="N37" s="1488"/>
      <c r="O37" s="1489"/>
      <c r="P37" s="1490"/>
      <c r="Q37" s="1493"/>
      <c r="R37" s="1399"/>
      <c r="S37" s="1399"/>
      <c r="T37" s="1399"/>
      <c r="U37" s="1399"/>
      <c r="V37" s="1399"/>
      <c r="W37" s="1399"/>
      <c r="X37" s="1445" t="e">
        <f ca="1"/>
        <v>#NAME?</v>
      </c>
      <c r="Y37" s="1446" t="e">
        <f ca="1"/>
        <v>#NAME?</v>
      </c>
      <c r="AA37" s="1399"/>
      <c r="AB37" s="1399"/>
      <c r="AC37" s="1399"/>
      <c r="AD37" s="1399"/>
      <c r="AE37" s="1399"/>
    </row>
    <row r="38" spans="1:31">
      <c r="A38" s="1487"/>
      <c r="B38" s="1488"/>
      <c r="C38" s="1489"/>
      <c r="D38" s="1490"/>
      <c r="E38" s="1487"/>
      <c r="F38" s="1488"/>
      <c r="G38" s="1489"/>
      <c r="H38" s="1490"/>
      <c r="I38" s="1487"/>
      <c r="J38" s="1488"/>
      <c r="K38" s="1489"/>
      <c r="L38" s="1490"/>
      <c r="M38" s="1487"/>
      <c r="N38" s="1488"/>
      <c r="O38" s="1489"/>
      <c r="P38" s="1490"/>
      <c r="Q38" s="1399"/>
      <c r="R38" s="1399"/>
      <c r="S38" s="1399"/>
      <c r="T38" s="1399"/>
      <c r="U38" s="1399"/>
      <c r="V38" s="1399"/>
      <c r="W38" s="1399"/>
      <c r="X38" s="1445" t="e">
        <f ca="1"/>
        <v>#NAME?</v>
      </c>
      <c r="Y38" s="1446" t="e">
        <f ca="1"/>
        <v>#NAME?</v>
      </c>
      <c r="AA38" s="1399"/>
      <c r="AB38" s="1399"/>
      <c r="AC38" s="1399"/>
      <c r="AD38" s="1399"/>
      <c r="AE38" s="1399"/>
    </row>
    <row r="39" spans="1:31">
      <c r="A39" s="1487"/>
      <c r="B39" s="1488"/>
      <c r="C39" s="1489"/>
      <c r="D39" s="1490"/>
      <c r="E39" s="1487"/>
      <c r="F39" s="1488"/>
      <c r="G39" s="1489"/>
      <c r="H39" s="1490"/>
      <c r="I39" s="1487"/>
      <c r="J39" s="1488"/>
      <c r="K39" s="1489"/>
      <c r="L39" s="1490"/>
      <c r="M39" s="1487"/>
      <c r="N39" s="1488"/>
      <c r="O39" s="1489"/>
      <c r="P39" s="1490"/>
      <c r="Q39" s="1399"/>
      <c r="R39" s="1399"/>
      <c r="S39" s="1399"/>
      <c r="T39" s="1399"/>
      <c r="U39" s="1399"/>
      <c r="V39" s="1399"/>
      <c r="W39" s="1399"/>
      <c r="X39" s="1445" t="e">
        <f ca="1"/>
        <v>#NAME?</v>
      </c>
      <c r="Y39" s="1446" t="e">
        <f ca="1"/>
        <v>#NAME?</v>
      </c>
      <c r="AA39" s="1399"/>
      <c r="AB39" s="1399"/>
      <c r="AC39" s="1399"/>
      <c r="AD39" s="1399"/>
      <c r="AE39" s="1399"/>
    </row>
    <row r="40" spans="1:31">
      <c r="A40" s="1487"/>
      <c r="B40" s="1488"/>
      <c r="C40" s="1489"/>
      <c r="D40" s="1490"/>
      <c r="E40" s="1487"/>
      <c r="F40" s="1488"/>
      <c r="G40" s="1489"/>
      <c r="H40" s="1490"/>
      <c r="I40" s="1487"/>
      <c r="J40" s="1488"/>
      <c r="K40" s="1489"/>
      <c r="L40" s="1490"/>
      <c r="M40" s="1487"/>
      <c r="N40" s="1488"/>
      <c r="O40" s="1489"/>
      <c r="P40" s="1490"/>
      <c r="Q40" s="1399"/>
      <c r="R40" s="1399"/>
      <c r="S40" s="1399"/>
      <c r="T40" s="1399"/>
      <c r="U40" s="1399"/>
      <c r="V40" s="1399"/>
      <c r="W40" s="1399"/>
      <c r="X40" s="1445" t="e">
        <f ca="1"/>
        <v>#NAME?</v>
      </c>
      <c r="Y40" s="1446" t="e">
        <f ca="1"/>
        <v>#NAME?</v>
      </c>
      <c r="AA40" s="1399"/>
      <c r="AB40" s="1399"/>
      <c r="AC40" s="1399"/>
      <c r="AD40" s="1399"/>
      <c r="AE40" s="1399"/>
    </row>
    <row r="41" spans="1:31">
      <c r="A41" s="1487"/>
      <c r="B41" s="1488"/>
      <c r="C41" s="1489"/>
      <c r="D41" s="1490"/>
      <c r="E41" s="1487"/>
      <c r="F41" s="1488"/>
      <c r="G41" s="1489"/>
      <c r="H41" s="1490"/>
      <c r="I41" s="1487"/>
      <c r="J41" s="1488"/>
      <c r="K41" s="1489"/>
      <c r="L41" s="1490"/>
      <c r="M41" s="1487"/>
      <c r="N41" s="1488"/>
      <c r="O41" s="1489"/>
      <c r="P41" s="1490"/>
      <c r="Q41" s="1399"/>
      <c r="R41" s="1399"/>
      <c r="S41" s="1399"/>
      <c r="T41" s="1399"/>
      <c r="U41" s="1399"/>
      <c r="V41" s="1399"/>
      <c r="W41" s="1399"/>
      <c r="X41" s="1445" t="e">
        <f ca="1"/>
        <v>#NAME?</v>
      </c>
      <c r="Y41" s="1446" t="e">
        <f ca="1"/>
        <v>#NAME?</v>
      </c>
      <c r="AA41" s="1399"/>
      <c r="AB41" s="1399"/>
      <c r="AC41" s="1399"/>
      <c r="AD41" s="1399"/>
      <c r="AE41" s="1399"/>
    </row>
    <row r="42" spans="1:31">
      <c r="A42" s="1487"/>
      <c r="B42" s="1488"/>
      <c r="C42" s="1489"/>
      <c r="D42" s="1490"/>
      <c r="E42" s="1487"/>
      <c r="F42" s="1488"/>
      <c r="G42" s="1489"/>
      <c r="H42" s="1490"/>
      <c r="I42" s="1487"/>
      <c r="J42" s="1488"/>
      <c r="K42" s="1489"/>
      <c r="L42" s="1490"/>
      <c r="M42" s="1487"/>
      <c r="N42" s="1488"/>
      <c r="O42" s="1489"/>
      <c r="P42" s="1490"/>
      <c r="Q42" s="1399"/>
      <c r="R42" s="1399"/>
      <c r="S42" s="1399"/>
      <c r="T42" s="1399"/>
      <c r="U42" s="1399"/>
      <c r="V42" s="1399"/>
      <c r="W42" s="1399"/>
      <c r="X42" s="1445" t="e">
        <f ca="1"/>
        <v>#NAME?</v>
      </c>
      <c r="Y42" s="1446" t="e">
        <f ca="1"/>
        <v>#NAME?</v>
      </c>
      <c r="AA42" s="1399"/>
      <c r="AB42" s="1399"/>
      <c r="AC42" s="1399"/>
      <c r="AD42" s="1399"/>
      <c r="AE42" s="1399"/>
    </row>
    <row r="43" spans="1:31">
      <c r="A43" s="1487"/>
      <c r="B43" s="1488"/>
      <c r="C43" s="1489"/>
      <c r="D43" s="1490"/>
      <c r="E43" s="1487"/>
      <c r="F43" s="1488"/>
      <c r="G43" s="1489"/>
      <c r="H43" s="1490"/>
      <c r="I43" s="1487"/>
      <c r="J43" s="1488"/>
      <c r="K43" s="1489"/>
      <c r="L43" s="1490"/>
      <c r="M43" s="1487"/>
      <c r="N43" s="1488"/>
      <c r="O43" s="1489"/>
      <c r="P43" s="1490"/>
      <c r="Q43" s="1399"/>
      <c r="R43" s="1399"/>
      <c r="S43" s="1399"/>
      <c r="T43" s="1399"/>
      <c r="U43" s="1399"/>
      <c r="V43" s="1399"/>
      <c r="W43" s="1399"/>
      <c r="X43" s="1445" t="e">
        <f ca="1"/>
        <v>#NAME?</v>
      </c>
      <c r="Y43" s="1446" t="e">
        <f ca="1"/>
        <v>#NAME?</v>
      </c>
      <c r="AA43" s="1399"/>
      <c r="AB43" s="1399"/>
      <c r="AC43" s="1399"/>
      <c r="AD43" s="1399"/>
      <c r="AE43" s="1399"/>
    </row>
    <row r="44" spans="1:31">
      <c r="A44" s="1487"/>
      <c r="B44" s="1488"/>
      <c r="C44" s="1489"/>
      <c r="D44" s="1490"/>
      <c r="E44" s="1487"/>
      <c r="F44" s="1488"/>
      <c r="G44" s="1489"/>
      <c r="H44" s="1490"/>
      <c r="I44" s="1487"/>
      <c r="J44" s="1488"/>
      <c r="K44" s="1489"/>
      <c r="L44" s="1490"/>
      <c r="M44" s="1487"/>
      <c r="N44" s="1488"/>
      <c r="O44" s="1489"/>
      <c r="P44" s="1490"/>
      <c r="Q44" s="1399"/>
      <c r="R44" s="1399"/>
      <c r="S44" s="1399"/>
      <c r="T44" s="1399"/>
      <c r="U44" s="1399"/>
      <c r="V44" s="1399"/>
      <c r="W44" s="1399"/>
      <c r="X44" s="1445" t="e">
        <f ca="1"/>
        <v>#NAME?</v>
      </c>
      <c r="Y44" s="1446" t="e">
        <f ca="1"/>
        <v>#NAME?</v>
      </c>
      <c r="AA44" s="1399"/>
      <c r="AB44" s="1399"/>
      <c r="AC44" s="1399"/>
      <c r="AD44" s="1399"/>
      <c r="AE44" s="1399"/>
    </row>
    <row r="45" spans="1:31">
      <c r="A45" s="1487"/>
      <c r="B45" s="1488"/>
      <c r="C45" s="1489"/>
      <c r="D45" s="1490"/>
      <c r="E45" s="1487"/>
      <c r="F45" s="1488"/>
      <c r="G45" s="1489"/>
      <c r="H45" s="1490"/>
      <c r="I45" s="1487"/>
      <c r="J45" s="1488"/>
      <c r="K45" s="1489"/>
      <c r="L45" s="1490"/>
      <c r="M45" s="1487"/>
      <c r="N45" s="1488"/>
      <c r="O45" s="1489"/>
      <c r="P45" s="1490"/>
      <c r="Q45" s="1399"/>
      <c r="R45" s="1399"/>
      <c r="S45" s="1399"/>
      <c r="T45" s="1399"/>
      <c r="U45" s="1399"/>
      <c r="V45" s="1399"/>
      <c r="W45" s="1399"/>
      <c r="X45" s="1445" t="e">
        <f ca="1"/>
        <v>#NAME?</v>
      </c>
      <c r="Y45" s="1446" t="e">
        <f ca="1"/>
        <v>#NAME?</v>
      </c>
      <c r="AA45" s="1399"/>
      <c r="AB45" s="1399"/>
      <c r="AC45" s="1399"/>
      <c r="AD45" s="1399"/>
      <c r="AE45" s="1399"/>
    </row>
    <row r="46" spans="1:31">
      <c r="A46" s="1487"/>
      <c r="B46" s="1488"/>
      <c r="C46" s="1489"/>
      <c r="D46" s="1490"/>
      <c r="E46" s="1487"/>
      <c r="F46" s="1488"/>
      <c r="G46" s="1489"/>
      <c r="H46" s="1490"/>
      <c r="I46" s="1487"/>
      <c r="J46" s="1488"/>
      <c r="K46" s="1489"/>
      <c r="L46" s="1490"/>
      <c r="M46" s="1487"/>
      <c r="N46" s="1488"/>
      <c r="O46" s="1489"/>
      <c r="P46" s="1490"/>
      <c r="Q46" s="1399"/>
      <c r="R46" s="1399"/>
      <c r="S46" s="1399"/>
      <c r="T46" s="1399"/>
      <c r="U46" s="1399"/>
      <c r="V46" s="1399"/>
      <c r="W46" s="1399"/>
      <c r="X46" s="1445" t="e">
        <f ca="1"/>
        <v>#NAME?</v>
      </c>
      <c r="Y46" s="1446" t="e">
        <f ca="1"/>
        <v>#NAME?</v>
      </c>
      <c r="AA46" s="1399"/>
      <c r="AB46" s="1399"/>
      <c r="AC46" s="1399"/>
      <c r="AD46" s="1399"/>
      <c r="AE46" s="1399"/>
    </row>
    <row r="47" spans="1:31">
      <c r="A47" s="1487"/>
      <c r="B47" s="1488"/>
      <c r="C47" s="1489"/>
      <c r="D47" s="1490"/>
      <c r="E47" s="1487"/>
      <c r="F47" s="1488"/>
      <c r="G47" s="1489"/>
      <c r="H47" s="1490"/>
      <c r="I47" s="1487"/>
      <c r="J47" s="1488"/>
      <c r="K47" s="1489"/>
      <c r="L47" s="1490"/>
      <c r="M47" s="1487"/>
      <c r="N47" s="1488"/>
      <c r="O47" s="1489"/>
      <c r="P47" s="1490"/>
      <c r="Q47" s="1399"/>
      <c r="R47" s="1399"/>
      <c r="S47" s="1399"/>
      <c r="T47" s="1399"/>
      <c r="U47" s="1399"/>
      <c r="V47" s="1399"/>
      <c r="W47" s="1399"/>
      <c r="X47" s="1445" t="e">
        <f ca="1"/>
        <v>#NAME?</v>
      </c>
      <c r="Y47" s="1446" t="e">
        <f ca="1"/>
        <v>#NAME?</v>
      </c>
      <c r="AA47" s="1399"/>
      <c r="AB47" s="1399"/>
      <c r="AC47" s="1399"/>
      <c r="AD47" s="1399"/>
      <c r="AE47" s="1399"/>
    </row>
    <row r="48" spans="1:31">
      <c r="A48" s="1487"/>
      <c r="B48" s="1488"/>
      <c r="C48" s="1489"/>
      <c r="D48" s="1490"/>
      <c r="E48" s="1487"/>
      <c r="F48" s="1488"/>
      <c r="G48" s="1489"/>
      <c r="H48" s="1490"/>
      <c r="I48" s="1487"/>
      <c r="J48" s="1488"/>
      <c r="K48" s="1489"/>
      <c r="L48" s="1490"/>
      <c r="M48" s="1487"/>
      <c r="N48" s="1488"/>
      <c r="O48" s="1489"/>
      <c r="P48" s="1490"/>
      <c r="Q48" s="1399"/>
      <c r="R48" s="1399"/>
      <c r="S48" s="1399"/>
      <c r="T48" s="1399"/>
      <c r="U48" s="1399"/>
      <c r="V48" s="1399"/>
      <c r="W48" s="1399"/>
      <c r="X48" s="1445" t="e">
        <f ca="1"/>
        <v>#NAME?</v>
      </c>
      <c r="Y48" s="1446" t="e">
        <f ca="1"/>
        <v>#NAME?</v>
      </c>
      <c r="AA48" s="1399"/>
      <c r="AB48" s="1399"/>
      <c r="AC48" s="1399"/>
      <c r="AD48" s="1399"/>
      <c r="AE48" s="1399"/>
    </row>
    <row r="49" spans="1:31">
      <c r="A49" s="1487"/>
      <c r="B49" s="1488"/>
      <c r="C49" s="1489"/>
      <c r="D49" s="1490"/>
      <c r="E49" s="1487"/>
      <c r="F49" s="1488"/>
      <c r="G49" s="1489"/>
      <c r="H49" s="1490"/>
      <c r="I49" s="1487"/>
      <c r="J49" s="1488"/>
      <c r="K49" s="1489"/>
      <c r="L49" s="1490"/>
      <c r="M49" s="1487"/>
      <c r="N49" s="1488"/>
      <c r="O49" s="1489"/>
      <c r="P49" s="1490"/>
      <c r="Q49" s="1399"/>
      <c r="R49" s="1399"/>
      <c r="S49" s="1399"/>
      <c r="T49" s="1399"/>
      <c r="U49" s="1399"/>
      <c r="V49" s="1399"/>
      <c r="W49" s="1399"/>
      <c r="X49" s="1445" t="e">
        <f ca="1"/>
        <v>#NAME?</v>
      </c>
      <c r="Y49" s="1446" t="e">
        <f ca="1"/>
        <v>#NAME?</v>
      </c>
      <c r="AA49" s="1399"/>
      <c r="AB49" s="1399"/>
      <c r="AC49" s="1399"/>
      <c r="AD49" s="1399"/>
      <c r="AE49" s="1399"/>
    </row>
    <row r="50" spans="1:31">
      <c r="A50" s="1487"/>
      <c r="B50" s="1488"/>
      <c r="C50" s="1489"/>
      <c r="D50" s="1490"/>
      <c r="E50" s="1487"/>
      <c r="F50" s="1488"/>
      <c r="G50" s="1489"/>
      <c r="H50" s="1490"/>
      <c r="I50" s="1487"/>
      <c r="J50" s="1488"/>
      <c r="K50" s="1489"/>
      <c r="L50" s="1490"/>
      <c r="M50" s="1487"/>
      <c r="N50" s="1488"/>
      <c r="O50" s="1489"/>
      <c r="P50" s="1490"/>
      <c r="Q50" s="1399"/>
      <c r="R50" s="1399"/>
      <c r="S50" s="1399"/>
      <c r="T50" s="1399"/>
      <c r="U50" s="1399"/>
      <c r="V50" s="1399"/>
      <c r="W50" s="1399"/>
      <c r="X50" s="1445" t="e">
        <f ca="1"/>
        <v>#NAME?</v>
      </c>
      <c r="Y50" s="1446" t="e">
        <f ca="1"/>
        <v>#NAME?</v>
      </c>
      <c r="AA50" s="1399"/>
      <c r="AB50" s="1399"/>
      <c r="AC50" s="1399"/>
      <c r="AD50" s="1399"/>
      <c r="AE50" s="1399"/>
    </row>
    <row r="51" spans="1:31">
      <c r="A51" s="1487"/>
      <c r="B51" s="1488"/>
      <c r="C51" s="1489"/>
      <c r="D51" s="1490"/>
      <c r="E51" s="1487"/>
      <c r="F51" s="1488"/>
      <c r="G51" s="1489"/>
      <c r="H51" s="1490"/>
      <c r="I51" s="1487"/>
      <c r="J51" s="1488"/>
      <c r="K51" s="1489"/>
      <c r="L51" s="1490"/>
      <c r="M51" s="1487"/>
      <c r="N51" s="1488"/>
      <c r="O51" s="1489"/>
      <c r="P51" s="1490"/>
      <c r="Q51" s="1399"/>
      <c r="R51" s="1399"/>
      <c r="S51" s="1399"/>
      <c r="T51" s="1399"/>
      <c r="U51" s="1399"/>
      <c r="V51" s="1399"/>
      <c r="W51" s="1399"/>
      <c r="X51" s="1445" t="e">
        <f ca="1"/>
        <v>#NAME?</v>
      </c>
      <c r="Y51" s="1446" t="e">
        <f ca="1"/>
        <v>#NAME?</v>
      </c>
      <c r="AA51" s="1399"/>
      <c r="AB51" s="1399"/>
      <c r="AC51" s="1399"/>
      <c r="AD51" s="1399"/>
      <c r="AE51" s="1399"/>
    </row>
    <row r="52" spans="1:31">
      <c r="A52" s="1487"/>
      <c r="B52" s="1488"/>
      <c r="C52" s="1489"/>
      <c r="D52" s="1490"/>
      <c r="E52" s="1487"/>
      <c r="F52" s="1488"/>
      <c r="G52" s="1489"/>
      <c r="H52" s="1490"/>
      <c r="I52" s="1487"/>
      <c r="J52" s="1488"/>
      <c r="K52" s="1489"/>
      <c r="L52" s="1490"/>
      <c r="M52" s="1487"/>
      <c r="N52" s="1488"/>
      <c r="O52" s="1489"/>
      <c r="P52" s="1490"/>
      <c r="Q52" s="1399"/>
      <c r="R52" s="1399"/>
      <c r="S52" s="1399"/>
      <c r="T52" s="1399"/>
      <c r="U52" s="1399"/>
      <c r="V52" s="1399"/>
      <c r="W52" s="1399"/>
      <c r="X52" s="1445" t="e">
        <f ca="1"/>
        <v>#NAME?</v>
      </c>
      <c r="Y52" s="1446" t="e">
        <f ca="1"/>
        <v>#NAME?</v>
      </c>
      <c r="AA52" s="1399"/>
      <c r="AB52" s="1399"/>
      <c r="AC52" s="1399"/>
      <c r="AD52" s="1399"/>
      <c r="AE52" s="1399"/>
    </row>
    <row r="53" spans="1:31">
      <c r="A53" s="1487"/>
      <c r="B53" s="1488"/>
      <c r="C53" s="1489"/>
      <c r="D53" s="1490"/>
      <c r="E53" s="1487"/>
      <c r="F53" s="1488"/>
      <c r="G53" s="1489"/>
      <c r="H53" s="1490"/>
      <c r="I53" s="1487"/>
      <c r="J53" s="1488"/>
      <c r="K53" s="1489"/>
      <c r="L53" s="1490"/>
      <c r="M53" s="1487"/>
      <c r="N53" s="1488"/>
      <c r="O53" s="1489"/>
      <c r="P53" s="1490"/>
      <c r="Q53" s="1399"/>
      <c r="R53" s="1399"/>
      <c r="S53" s="1399"/>
      <c r="T53" s="1399"/>
      <c r="U53" s="1399"/>
      <c r="V53" s="1399"/>
      <c r="W53" s="1399"/>
      <c r="X53" s="1445" t="e">
        <f ca="1"/>
        <v>#NAME?</v>
      </c>
      <c r="Y53" s="1446" t="e">
        <f ca="1"/>
        <v>#NAME?</v>
      </c>
      <c r="AA53" s="1399"/>
      <c r="AB53" s="1399"/>
      <c r="AC53" s="1399"/>
      <c r="AD53" s="1399"/>
      <c r="AE53" s="1399"/>
    </row>
    <row r="54" spans="1:31">
      <c r="A54" s="1487"/>
      <c r="B54" s="1488"/>
      <c r="C54" s="1489"/>
      <c r="D54" s="1490"/>
      <c r="E54" s="1487"/>
      <c r="F54" s="1488"/>
      <c r="G54" s="1489"/>
      <c r="H54" s="1490"/>
      <c r="I54" s="1487"/>
      <c r="J54" s="1488"/>
      <c r="K54" s="1489"/>
      <c r="L54" s="1490"/>
      <c r="M54" s="1487"/>
      <c r="N54" s="1488"/>
      <c r="O54" s="1489"/>
      <c r="P54" s="1490"/>
      <c r="Q54" s="1399"/>
      <c r="R54" s="1399"/>
      <c r="S54" s="1399"/>
      <c r="T54" s="1399"/>
      <c r="U54" s="1399"/>
      <c r="V54" s="1399"/>
      <c r="W54" s="1399"/>
      <c r="X54" s="1445" t="e">
        <f ca="1"/>
        <v>#NAME?</v>
      </c>
      <c r="Y54" s="1446" t="e">
        <f ca="1"/>
        <v>#NAME?</v>
      </c>
      <c r="AA54" s="1399"/>
      <c r="AB54" s="1399"/>
      <c r="AC54" s="1399"/>
      <c r="AD54" s="1399"/>
      <c r="AE54" s="1399"/>
    </row>
    <row r="55" spans="1:31">
      <c r="A55" s="1487"/>
      <c r="B55" s="1488"/>
      <c r="C55" s="1489"/>
      <c r="D55" s="1490"/>
      <c r="E55" s="1487"/>
      <c r="F55" s="1488"/>
      <c r="G55" s="1489"/>
      <c r="H55" s="1490"/>
      <c r="I55" s="1487"/>
      <c r="J55" s="1488"/>
      <c r="K55" s="1489"/>
      <c r="L55" s="1490"/>
      <c r="M55" s="1487"/>
      <c r="N55" s="1488"/>
      <c r="O55" s="1489"/>
      <c r="P55" s="1490"/>
      <c r="Q55" s="1399"/>
      <c r="R55" s="1399"/>
      <c r="S55" s="1399"/>
      <c r="T55" s="1399"/>
      <c r="U55" s="1399"/>
      <c r="V55" s="1399"/>
      <c r="W55" s="1399"/>
      <c r="X55" s="1445" t="e">
        <f ca="1"/>
        <v>#NAME?</v>
      </c>
      <c r="Y55" s="1446" t="e">
        <f ca="1"/>
        <v>#NAME?</v>
      </c>
      <c r="AA55" s="1399"/>
      <c r="AB55" s="1399"/>
      <c r="AC55" s="1399"/>
      <c r="AD55" s="1399"/>
      <c r="AE55" s="1399"/>
    </row>
    <row r="56" spans="1:31">
      <c r="A56" s="1487"/>
      <c r="B56" s="1488"/>
      <c r="C56" s="1489"/>
      <c r="D56" s="1490"/>
      <c r="E56" s="1487"/>
      <c r="F56" s="1488"/>
      <c r="G56" s="1489"/>
      <c r="H56" s="1490"/>
      <c r="I56" s="1487"/>
      <c r="J56" s="1488"/>
      <c r="K56" s="1489"/>
      <c r="L56" s="1490"/>
      <c r="M56" s="1487"/>
      <c r="N56" s="1488"/>
      <c r="O56" s="1489"/>
      <c r="P56" s="1490"/>
      <c r="Q56" s="1399"/>
      <c r="R56" s="1399"/>
      <c r="S56" s="1399"/>
      <c r="T56" s="1399"/>
      <c r="U56" s="1399"/>
      <c r="V56" s="1399"/>
      <c r="W56" s="1399"/>
      <c r="X56" s="1445" t="e">
        <f ca="1"/>
        <v>#NAME?</v>
      </c>
      <c r="Y56" s="1446" t="e">
        <f ca="1"/>
        <v>#NAME?</v>
      </c>
      <c r="AA56" s="1399"/>
      <c r="AB56" s="1399"/>
      <c r="AC56" s="1399"/>
      <c r="AD56" s="1399"/>
      <c r="AE56" s="1399"/>
    </row>
    <row r="57" spans="1:31">
      <c r="A57" s="1487"/>
      <c r="B57" s="1488"/>
      <c r="C57" s="1489"/>
      <c r="D57" s="1490"/>
      <c r="E57" s="1487"/>
      <c r="F57" s="1488"/>
      <c r="G57" s="1489"/>
      <c r="H57" s="1490"/>
      <c r="I57" s="1487"/>
      <c r="J57" s="1488"/>
      <c r="K57" s="1489"/>
      <c r="L57" s="1490"/>
      <c r="M57" s="1487"/>
      <c r="N57" s="1488"/>
      <c r="O57" s="1489"/>
      <c r="P57" s="1490"/>
      <c r="Q57" s="1399"/>
      <c r="R57" s="1399"/>
      <c r="S57" s="1399"/>
      <c r="T57" s="1399"/>
      <c r="U57" s="1399"/>
      <c r="V57" s="1399"/>
      <c r="W57" s="1399"/>
      <c r="X57" s="1445" t="e">
        <f ca="1"/>
        <v>#NAME?</v>
      </c>
      <c r="Y57" s="1446" t="e">
        <f ca="1"/>
        <v>#NAME?</v>
      </c>
      <c r="AA57" s="1399"/>
      <c r="AB57" s="1399"/>
      <c r="AC57" s="1399"/>
      <c r="AD57" s="1399"/>
      <c r="AE57" s="1399"/>
    </row>
    <row r="58" spans="1:31">
      <c r="A58" s="1487"/>
      <c r="B58" s="1488"/>
      <c r="C58" s="1489"/>
      <c r="D58" s="1490"/>
      <c r="E58" s="1487"/>
      <c r="F58" s="1488"/>
      <c r="G58" s="1489"/>
      <c r="H58" s="1490"/>
      <c r="I58" s="1487"/>
      <c r="J58" s="1488"/>
      <c r="K58" s="1489"/>
      <c r="L58" s="1490"/>
      <c r="M58" s="1487"/>
      <c r="N58" s="1488"/>
      <c r="O58" s="1489"/>
      <c r="P58" s="1490"/>
      <c r="Q58" s="1399"/>
      <c r="R58" s="1399"/>
      <c r="S58" s="1399"/>
      <c r="T58" s="1399"/>
      <c r="U58" s="1399"/>
      <c r="V58" s="1399"/>
      <c r="W58" s="1399"/>
      <c r="X58" s="1445" t="e">
        <f ca="1"/>
        <v>#NAME?</v>
      </c>
      <c r="Y58" s="1446" t="e">
        <f ca="1"/>
        <v>#NAME?</v>
      </c>
      <c r="AA58" s="1399"/>
      <c r="AB58" s="1399"/>
      <c r="AC58" s="1399"/>
      <c r="AD58" s="1399"/>
      <c r="AE58" s="1399"/>
    </row>
    <row r="59" spans="1:31">
      <c r="A59" s="1487"/>
      <c r="B59" s="1488"/>
      <c r="C59" s="1489"/>
      <c r="D59" s="1490"/>
      <c r="E59" s="1487"/>
      <c r="F59" s="1488"/>
      <c r="G59" s="1489"/>
      <c r="H59" s="1490"/>
      <c r="I59" s="1487"/>
      <c r="J59" s="1488"/>
      <c r="K59" s="1489"/>
      <c r="L59" s="1490"/>
      <c r="M59" s="1487"/>
      <c r="N59" s="1488"/>
      <c r="O59" s="1489"/>
      <c r="P59" s="1490"/>
      <c r="Q59" s="1399"/>
      <c r="R59" s="1399"/>
      <c r="S59" s="1399"/>
      <c r="T59" s="1399"/>
      <c r="U59" s="1399"/>
      <c r="V59" s="1399"/>
      <c r="W59" s="1399"/>
      <c r="X59" s="1445" t="e">
        <f ca="1"/>
        <v>#NAME?</v>
      </c>
      <c r="Y59" s="1446" t="e">
        <f ca="1"/>
        <v>#NAME?</v>
      </c>
      <c r="AA59" s="1399"/>
      <c r="AB59" s="1399"/>
      <c r="AC59" s="1399"/>
      <c r="AD59" s="1399"/>
      <c r="AE59" s="1399"/>
    </row>
    <row r="60" spans="1:31">
      <c r="A60" s="1487"/>
      <c r="B60" s="1488"/>
      <c r="C60" s="1489"/>
      <c r="D60" s="1490"/>
      <c r="E60" s="1487"/>
      <c r="F60" s="1488"/>
      <c r="G60" s="1489"/>
      <c r="H60" s="1490"/>
      <c r="I60" s="1487"/>
      <c r="J60" s="1488"/>
      <c r="K60" s="1489"/>
      <c r="L60" s="1490"/>
      <c r="M60" s="1487"/>
      <c r="N60" s="1488"/>
      <c r="O60" s="1489"/>
      <c r="P60" s="1490"/>
      <c r="Q60" s="1399"/>
      <c r="X60" s="1445" t="e">
        <f ca="1"/>
        <v>#NAME?</v>
      </c>
      <c r="Y60" s="1446" t="e">
        <f ca="1"/>
        <v>#NAME?</v>
      </c>
      <c r="Z60" s="1408"/>
      <c r="AB60" s="1399"/>
      <c r="AC60" s="1399"/>
      <c r="AD60" s="1399"/>
      <c r="AE60" s="1399"/>
    </row>
    <row r="61" spans="1:31">
      <c r="A61" s="1487"/>
      <c r="B61" s="1488"/>
      <c r="C61" s="1489"/>
      <c r="D61" s="1490"/>
      <c r="E61" s="1487"/>
      <c r="F61" s="1488"/>
      <c r="G61" s="1489"/>
      <c r="H61" s="1490"/>
      <c r="I61" s="1487"/>
      <c r="J61" s="1488"/>
      <c r="K61" s="1489"/>
      <c r="L61" s="1490"/>
      <c r="M61" s="1487"/>
      <c r="N61" s="1488"/>
      <c r="O61" s="1489"/>
      <c r="P61" s="1490"/>
      <c r="Q61" s="1399"/>
      <c r="X61" s="1445" t="e">
        <f ca="1"/>
        <v>#NAME?</v>
      </c>
      <c r="Y61" s="1446" t="e">
        <f ca="1"/>
        <v>#NAME?</v>
      </c>
      <c r="Z61" s="1408"/>
      <c r="AB61" s="1399"/>
      <c r="AC61" s="1399"/>
      <c r="AD61" s="1399"/>
      <c r="AE61" s="1399"/>
    </row>
    <row r="62" spans="1:31">
      <c r="A62" s="1487"/>
      <c r="B62" s="1488"/>
      <c r="C62" s="1489"/>
      <c r="D62" s="1490"/>
      <c r="E62" s="1487"/>
      <c r="F62" s="1488"/>
      <c r="G62" s="1489"/>
      <c r="H62" s="1490"/>
      <c r="I62" s="1487"/>
      <c r="J62" s="1488"/>
      <c r="K62" s="1489"/>
      <c r="L62" s="1490"/>
      <c r="M62" s="1487"/>
      <c r="N62" s="1488"/>
      <c r="O62" s="1489"/>
      <c r="P62" s="1490"/>
      <c r="Q62" s="1399"/>
      <c r="X62" s="1445" t="e">
        <f ca="1"/>
        <v>#NAME?</v>
      </c>
      <c r="Y62" s="1446" t="e">
        <f ca="1"/>
        <v>#NAME?</v>
      </c>
      <c r="Z62" s="1408"/>
      <c r="AB62" s="1399"/>
      <c r="AC62" s="1399"/>
      <c r="AD62" s="1399"/>
      <c r="AE62" s="1399"/>
    </row>
    <row r="63" spans="1:31">
      <c r="A63" s="1487"/>
      <c r="B63" s="1488"/>
      <c r="C63" s="1489"/>
      <c r="D63" s="1490"/>
      <c r="E63" s="1487"/>
      <c r="F63" s="1488"/>
      <c r="G63" s="1489"/>
      <c r="H63" s="1490"/>
      <c r="I63" s="1487"/>
      <c r="J63" s="1488"/>
      <c r="K63" s="1489"/>
      <c r="L63" s="1490"/>
      <c r="M63" s="1487"/>
      <c r="N63" s="1488"/>
      <c r="O63" s="1489"/>
      <c r="P63" s="1490"/>
      <c r="Q63" s="1399"/>
      <c r="X63" s="1445" t="e">
        <f ca="1"/>
        <v>#NAME?</v>
      </c>
      <c r="Y63" s="1446" t="e">
        <f ca="1"/>
        <v>#NAME?</v>
      </c>
      <c r="Z63" s="1408"/>
      <c r="AB63" s="1399"/>
      <c r="AC63" s="1399"/>
      <c r="AD63" s="1399"/>
      <c r="AE63" s="1399"/>
    </row>
    <row r="64" spans="1:31">
      <c r="A64" s="1487"/>
      <c r="B64" s="1488"/>
      <c r="C64" s="1489"/>
      <c r="D64" s="1490"/>
      <c r="E64" s="1487"/>
      <c r="F64" s="1488"/>
      <c r="G64" s="1489"/>
      <c r="H64" s="1490"/>
      <c r="I64" s="1487"/>
      <c r="J64" s="1488"/>
      <c r="K64" s="1489"/>
      <c r="L64" s="1490"/>
      <c r="M64" s="1487"/>
      <c r="N64" s="1488"/>
      <c r="O64" s="1489"/>
      <c r="P64" s="1490"/>
      <c r="Q64" s="1399"/>
      <c r="X64" s="1445" t="e">
        <f ca="1"/>
        <v>#NAME?</v>
      </c>
      <c r="Y64" s="1446" t="e">
        <f ca="1"/>
        <v>#NAME?</v>
      </c>
      <c r="Z64" s="1408"/>
      <c r="AB64" s="1399"/>
      <c r="AC64" s="1399"/>
      <c r="AD64" s="1399"/>
      <c r="AE64" s="1399"/>
    </row>
    <row r="65" spans="1:31">
      <c r="A65" s="1487"/>
      <c r="B65" s="1488"/>
      <c r="C65" s="1489"/>
      <c r="D65" s="1490"/>
      <c r="E65" s="1487"/>
      <c r="F65" s="1488"/>
      <c r="G65" s="1489"/>
      <c r="H65" s="1490"/>
      <c r="I65" s="1487"/>
      <c r="J65" s="1488"/>
      <c r="K65" s="1489"/>
      <c r="L65" s="1490"/>
      <c r="M65" s="1487"/>
      <c r="N65" s="1488"/>
      <c r="O65" s="1489"/>
      <c r="P65" s="1490"/>
      <c r="Q65" s="1399"/>
      <c r="X65" s="1445" t="e">
        <f ca="1"/>
        <v>#NAME?</v>
      </c>
      <c r="Y65" s="1446" t="e">
        <f ca="1"/>
        <v>#NAME?</v>
      </c>
      <c r="Z65" s="1408"/>
      <c r="AB65" s="1399"/>
      <c r="AC65" s="1399"/>
      <c r="AD65" s="1399"/>
      <c r="AE65" s="1399"/>
    </row>
    <row r="66" spans="1:31">
      <c r="A66" s="1487"/>
      <c r="B66" s="1488"/>
      <c r="C66" s="1489"/>
      <c r="D66" s="1490"/>
      <c r="E66" s="1487"/>
      <c r="F66" s="1488"/>
      <c r="G66" s="1489"/>
      <c r="H66" s="1490"/>
      <c r="I66" s="1487"/>
      <c r="J66" s="1488"/>
      <c r="K66" s="1489"/>
      <c r="L66" s="1490"/>
      <c r="M66" s="1487"/>
      <c r="N66" s="1488"/>
      <c r="O66" s="1489"/>
      <c r="P66" s="1490"/>
      <c r="Q66" s="1399"/>
      <c r="X66" s="1445" t="e">
        <f ca="1"/>
        <v>#NAME?</v>
      </c>
      <c r="Y66" s="1446" t="e">
        <f ca="1"/>
        <v>#NAME?</v>
      </c>
      <c r="Z66" s="1408"/>
      <c r="AB66" s="1399"/>
      <c r="AC66" s="1399"/>
      <c r="AD66" s="1399"/>
      <c r="AE66" s="1399"/>
    </row>
    <row r="67" spans="1:31">
      <c r="A67" s="1487"/>
      <c r="B67" s="1488"/>
      <c r="C67" s="1489"/>
      <c r="D67" s="1490"/>
      <c r="E67" s="1487"/>
      <c r="F67" s="1488"/>
      <c r="G67" s="1489"/>
      <c r="H67" s="1490"/>
      <c r="I67" s="1487"/>
      <c r="J67" s="1488"/>
      <c r="K67" s="1489"/>
      <c r="L67" s="1490"/>
      <c r="M67" s="1487"/>
      <c r="N67" s="1488"/>
      <c r="O67" s="1489"/>
      <c r="P67" s="1490"/>
      <c r="Q67" s="1399"/>
      <c r="X67" s="1445" t="e">
        <f ca="1"/>
        <v>#NAME?</v>
      </c>
      <c r="Y67" s="1446" t="e">
        <f ca="1"/>
        <v>#NAME?</v>
      </c>
      <c r="Z67" s="1408"/>
      <c r="AB67" s="1399"/>
      <c r="AC67" s="1399"/>
      <c r="AD67" s="1399"/>
      <c r="AE67" s="1399"/>
    </row>
    <row r="68" spans="1:31">
      <c r="A68" s="1487"/>
      <c r="B68" s="1488"/>
      <c r="C68" s="1489"/>
      <c r="D68" s="1490"/>
      <c r="E68" s="1487"/>
      <c r="F68" s="1488"/>
      <c r="G68" s="1489"/>
      <c r="H68" s="1490"/>
      <c r="I68" s="1487"/>
      <c r="J68" s="1488"/>
      <c r="K68" s="1489"/>
      <c r="L68" s="1490"/>
      <c r="M68" s="1487"/>
      <c r="N68" s="1488"/>
      <c r="O68" s="1489"/>
      <c r="P68" s="1490"/>
      <c r="Q68" s="1399"/>
      <c r="X68" s="1445" t="e">
        <f ca="1"/>
        <v>#NAME?</v>
      </c>
      <c r="Y68" s="1446" t="e">
        <f ca="1"/>
        <v>#NAME?</v>
      </c>
      <c r="Z68" s="1408"/>
      <c r="AB68" s="1399"/>
      <c r="AC68" s="1399"/>
      <c r="AD68" s="1399"/>
      <c r="AE68" s="1399"/>
    </row>
    <row r="69" spans="1:31">
      <c r="A69" s="1487"/>
      <c r="B69" s="1488"/>
      <c r="C69" s="1489"/>
      <c r="D69" s="1490"/>
      <c r="E69" s="1487"/>
      <c r="F69" s="1488"/>
      <c r="G69" s="1489"/>
      <c r="H69" s="1490"/>
      <c r="I69" s="1487"/>
      <c r="J69" s="1488"/>
      <c r="K69" s="1489"/>
      <c r="L69" s="1490"/>
      <c r="M69" s="1487"/>
      <c r="N69" s="1488"/>
      <c r="O69" s="1489"/>
      <c r="P69" s="1490"/>
      <c r="Q69" s="1399"/>
      <c r="X69" s="1445" t="e">
        <f ca="1"/>
        <v>#NAME?</v>
      </c>
      <c r="Y69" s="1446" t="e">
        <f ca="1"/>
        <v>#NAME?</v>
      </c>
      <c r="Z69" s="1408"/>
      <c r="AB69" s="1399"/>
      <c r="AC69" s="1399"/>
      <c r="AD69" s="1399"/>
      <c r="AE69" s="1399"/>
    </row>
    <row r="70" spans="1:31">
      <c r="A70" s="1487"/>
      <c r="B70" s="1488"/>
      <c r="C70" s="1489"/>
      <c r="D70" s="1490"/>
      <c r="E70" s="1487"/>
      <c r="F70" s="1488"/>
      <c r="G70" s="1489"/>
      <c r="H70" s="1490"/>
      <c r="I70" s="1487"/>
      <c r="J70" s="1488"/>
      <c r="K70" s="1489"/>
      <c r="L70" s="1490"/>
      <c r="M70" s="1487"/>
      <c r="N70" s="1488"/>
      <c r="O70" s="1489"/>
      <c r="P70" s="1490"/>
      <c r="Q70" s="1399"/>
      <c r="X70" s="1445" t="e">
        <f ca="1"/>
        <v>#NAME?</v>
      </c>
      <c r="Y70" s="1446" t="e">
        <f ca="1"/>
        <v>#NAME?</v>
      </c>
      <c r="Z70" s="1408"/>
      <c r="AB70" s="1399"/>
      <c r="AC70" s="1399"/>
      <c r="AD70" s="1399"/>
      <c r="AE70" s="1399"/>
    </row>
    <row r="71" spans="1:31">
      <c r="A71" s="1487"/>
      <c r="B71" s="1488"/>
      <c r="C71" s="1489"/>
      <c r="D71" s="1490"/>
      <c r="E71" s="1487"/>
      <c r="F71" s="1488"/>
      <c r="G71" s="1489"/>
      <c r="H71" s="1490"/>
      <c r="I71" s="1487"/>
      <c r="J71" s="1488"/>
      <c r="K71" s="1489"/>
      <c r="L71" s="1490"/>
      <c r="M71" s="1487"/>
      <c r="N71" s="1488"/>
      <c r="O71" s="1489"/>
      <c r="P71" s="1490"/>
      <c r="Q71" s="1399"/>
      <c r="X71" s="1445" t="e">
        <f ca="1"/>
        <v>#NAME?</v>
      </c>
      <c r="Y71" s="1446" t="e">
        <f ca="1"/>
        <v>#NAME?</v>
      </c>
      <c r="Z71" s="1408"/>
      <c r="AB71" s="1399"/>
      <c r="AC71" s="1399"/>
      <c r="AD71" s="1399"/>
      <c r="AE71" s="1399"/>
    </row>
    <row r="72" spans="1:31">
      <c r="A72" s="1487"/>
      <c r="B72" s="1488"/>
      <c r="C72" s="1489"/>
      <c r="D72" s="1490"/>
      <c r="E72" s="1487"/>
      <c r="F72" s="1488"/>
      <c r="G72" s="1489"/>
      <c r="H72" s="1490"/>
      <c r="I72" s="1487"/>
      <c r="J72" s="1488"/>
      <c r="K72" s="1489"/>
      <c r="L72" s="1490"/>
      <c r="M72" s="1487"/>
      <c r="N72" s="1488"/>
      <c r="O72" s="1489"/>
      <c r="P72" s="1490"/>
      <c r="Q72" s="1399"/>
      <c r="X72" s="1445" t="e">
        <f ca="1"/>
        <v>#NAME?</v>
      </c>
      <c r="Y72" s="1446" t="e">
        <f ca="1"/>
        <v>#NAME?</v>
      </c>
      <c r="Z72" s="1408"/>
      <c r="AB72" s="1399"/>
      <c r="AC72" s="1399"/>
      <c r="AD72" s="1399"/>
      <c r="AE72" s="1399"/>
    </row>
    <row r="73" spans="1:31">
      <c r="A73" s="1487"/>
      <c r="B73" s="1488"/>
      <c r="C73" s="1489"/>
      <c r="D73" s="1490"/>
      <c r="E73" s="1487"/>
      <c r="F73" s="1488"/>
      <c r="G73" s="1489"/>
      <c r="H73" s="1490"/>
      <c r="I73" s="1487"/>
      <c r="J73" s="1488"/>
      <c r="K73" s="1489"/>
      <c r="L73" s="1490"/>
      <c r="M73" s="1487"/>
      <c r="N73" s="1488"/>
      <c r="O73" s="1489"/>
      <c r="P73" s="1490"/>
      <c r="Q73" s="1399"/>
      <c r="X73" s="1445" t="e">
        <f ca="1"/>
        <v>#NAME?</v>
      </c>
      <c r="Y73" s="1446" t="e">
        <f ca="1"/>
        <v>#NAME?</v>
      </c>
      <c r="Z73" s="1408"/>
      <c r="AB73" s="1399"/>
      <c r="AC73" s="1399"/>
      <c r="AD73" s="1399"/>
      <c r="AE73" s="1399"/>
    </row>
    <row r="74" spans="1:31">
      <c r="A74" s="1487"/>
      <c r="B74" s="1488"/>
      <c r="C74" s="1489"/>
      <c r="D74" s="1490"/>
      <c r="E74" s="1487"/>
      <c r="F74" s="1488"/>
      <c r="G74" s="1489"/>
      <c r="H74" s="1490"/>
      <c r="I74" s="1487"/>
      <c r="J74" s="1488"/>
      <c r="K74" s="1489"/>
      <c r="L74" s="1490"/>
      <c r="M74" s="1487"/>
      <c r="N74" s="1488"/>
      <c r="O74" s="1489"/>
      <c r="P74" s="1490"/>
      <c r="Q74" s="1399"/>
      <c r="X74" s="1445" t="e">
        <f ca="1"/>
        <v>#NAME?</v>
      </c>
      <c r="Y74" s="1446" t="e">
        <f ca="1"/>
        <v>#NAME?</v>
      </c>
      <c r="Z74" s="1408"/>
      <c r="AB74" s="1399"/>
      <c r="AC74" s="1399"/>
      <c r="AD74" s="1399"/>
      <c r="AE74" s="1399"/>
    </row>
    <row r="75" spans="1:31">
      <c r="A75" s="1487"/>
      <c r="B75" s="1488"/>
      <c r="C75" s="1489"/>
      <c r="D75" s="1490"/>
      <c r="E75" s="1487"/>
      <c r="F75" s="1488"/>
      <c r="G75" s="1489"/>
      <c r="H75" s="1490"/>
      <c r="I75" s="1487"/>
      <c r="J75" s="1488"/>
      <c r="K75" s="1489"/>
      <c r="L75" s="1490"/>
      <c r="M75" s="1487"/>
      <c r="N75" s="1488"/>
      <c r="O75" s="1489"/>
      <c r="P75" s="1490"/>
      <c r="Q75" s="1399"/>
      <c r="X75" s="1445" t="e">
        <f ca="1"/>
        <v>#NAME?</v>
      </c>
      <c r="Y75" s="1446" t="e">
        <f ca="1"/>
        <v>#NAME?</v>
      </c>
      <c r="Z75" s="1408"/>
      <c r="AB75" s="1399"/>
      <c r="AC75" s="1399"/>
      <c r="AD75" s="1399"/>
      <c r="AE75" s="1399"/>
    </row>
    <row r="76" spans="1:31">
      <c r="A76" s="1487"/>
      <c r="B76" s="1488"/>
      <c r="C76" s="1489"/>
      <c r="D76" s="1490"/>
      <c r="E76" s="1487"/>
      <c r="F76" s="1488"/>
      <c r="G76" s="1489"/>
      <c r="H76" s="1490"/>
      <c r="I76" s="1487"/>
      <c r="J76" s="1488"/>
      <c r="K76" s="1489"/>
      <c r="L76" s="1490"/>
      <c r="M76" s="1487"/>
      <c r="N76" s="1488"/>
      <c r="O76" s="1489"/>
      <c r="P76" s="1490"/>
      <c r="Q76" s="1399"/>
      <c r="X76" s="1445" t="e">
        <f ca="1"/>
        <v>#NAME?</v>
      </c>
      <c r="Y76" s="1446" t="e">
        <f ca="1"/>
        <v>#NAME?</v>
      </c>
      <c r="Z76" s="1408"/>
      <c r="AB76" s="1399"/>
      <c r="AC76" s="1399"/>
      <c r="AD76" s="1399"/>
      <c r="AE76" s="1399"/>
    </row>
    <row r="77" spans="1:31">
      <c r="A77" s="1487"/>
      <c r="B77" s="1488"/>
      <c r="C77" s="1489"/>
      <c r="D77" s="1490"/>
      <c r="E77" s="1487"/>
      <c r="F77" s="1488"/>
      <c r="G77" s="1489"/>
      <c r="H77" s="1490"/>
      <c r="I77" s="1487"/>
      <c r="J77" s="1488"/>
      <c r="K77" s="1489"/>
      <c r="L77" s="1490"/>
      <c r="M77" s="1487"/>
      <c r="N77" s="1488"/>
      <c r="O77" s="1489"/>
      <c r="P77" s="1490"/>
      <c r="Q77" s="1399"/>
      <c r="X77" s="1445" t="e">
        <f ca="1"/>
        <v>#NAME?</v>
      </c>
      <c r="Y77" s="1446" t="e">
        <f ca="1"/>
        <v>#NAME?</v>
      </c>
      <c r="Z77" s="1408"/>
      <c r="AB77" s="1399"/>
      <c r="AC77" s="1399"/>
      <c r="AD77" s="1399"/>
      <c r="AE77" s="1399"/>
    </row>
    <row r="78" spans="1:31">
      <c r="A78" s="1487"/>
      <c r="B78" s="1488"/>
      <c r="C78" s="1489"/>
      <c r="D78" s="1490"/>
      <c r="E78" s="1487"/>
      <c r="F78" s="1488"/>
      <c r="G78" s="1489"/>
      <c r="H78" s="1490"/>
      <c r="I78" s="1487"/>
      <c r="J78" s="1488"/>
      <c r="K78" s="1489"/>
      <c r="L78" s="1490"/>
      <c r="M78" s="1487"/>
      <c r="N78" s="1488"/>
      <c r="O78" s="1489"/>
      <c r="P78" s="1490"/>
      <c r="Q78" s="1399"/>
      <c r="X78" s="1445" t="e">
        <f ca="1"/>
        <v>#NAME?</v>
      </c>
      <c r="Y78" s="1446" t="e">
        <f ca="1"/>
        <v>#NAME?</v>
      </c>
      <c r="Z78" s="1408"/>
      <c r="AB78" s="1399"/>
      <c r="AC78" s="1399"/>
      <c r="AD78" s="1399"/>
      <c r="AE78" s="1399"/>
    </row>
    <row r="79" spans="1:31">
      <c r="A79" s="1487"/>
      <c r="B79" s="1488"/>
      <c r="C79" s="1489"/>
      <c r="D79" s="1490"/>
      <c r="E79" s="1487"/>
      <c r="F79" s="1488"/>
      <c r="G79" s="1489"/>
      <c r="H79" s="1490"/>
      <c r="I79" s="1487"/>
      <c r="J79" s="1488"/>
      <c r="K79" s="1489"/>
      <c r="L79" s="1490"/>
      <c r="M79" s="1487"/>
      <c r="N79" s="1488"/>
      <c r="O79" s="1489"/>
      <c r="P79" s="1490"/>
      <c r="Q79" s="1399"/>
      <c r="X79" s="1445" t="e">
        <f ca="1"/>
        <v>#NAME?</v>
      </c>
      <c r="Y79" s="1446" t="e">
        <f ca="1"/>
        <v>#NAME?</v>
      </c>
      <c r="Z79" s="1408"/>
      <c r="AB79" s="1399"/>
      <c r="AC79" s="1399"/>
      <c r="AD79" s="1399"/>
      <c r="AE79" s="1399"/>
    </row>
    <row r="80" spans="1:31">
      <c r="A80" s="1487"/>
      <c r="B80" s="1488"/>
      <c r="C80" s="1489"/>
      <c r="D80" s="1490"/>
      <c r="E80" s="1487"/>
      <c r="F80" s="1488"/>
      <c r="G80" s="1489"/>
      <c r="H80" s="1490"/>
      <c r="I80" s="1487"/>
      <c r="J80" s="1488"/>
      <c r="K80" s="1489"/>
      <c r="L80" s="1490"/>
      <c r="M80" s="1487"/>
      <c r="N80" s="1488"/>
      <c r="O80" s="1489"/>
      <c r="P80" s="1490"/>
      <c r="Q80" s="1399"/>
      <c r="X80" s="1445" t="e">
        <f ca="1"/>
        <v>#NAME?</v>
      </c>
      <c r="Y80" s="1446" t="e">
        <f ca="1"/>
        <v>#NAME?</v>
      </c>
      <c r="Z80" s="1408"/>
      <c r="AB80" s="1399"/>
      <c r="AC80" s="1399"/>
      <c r="AD80" s="1399"/>
      <c r="AE80" s="1399"/>
    </row>
    <row r="81" spans="1:31">
      <c r="A81" s="1487"/>
      <c r="B81" s="1488"/>
      <c r="C81" s="1489"/>
      <c r="D81" s="1490"/>
      <c r="E81" s="1487"/>
      <c r="F81" s="1488"/>
      <c r="G81" s="1489"/>
      <c r="H81" s="1490"/>
      <c r="I81" s="1487"/>
      <c r="J81" s="1488"/>
      <c r="K81" s="1489"/>
      <c r="L81" s="1490"/>
      <c r="M81" s="1487"/>
      <c r="N81" s="1488"/>
      <c r="O81" s="1489"/>
      <c r="P81" s="1490"/>
      <c r="Q81" s="1399"/>
      <c r="X81" s="1445" t="e">
        <f ca="1"/>
        <v>#NAME?</v>
      </c>
      <c r="Y81" s="1446" t="e">
        <f ca="1"/>
        <v>#NAME?</v>
      </c>
      <c r="Z81" s="1408"/>
      <c r="AB81" s="1399"/>
      <c r="AC81" s="1399"/>
      <c r="AD81" s="1399"/>
      <c r="AE81" s="1399"/>
    </row>
    <row r="82" spans="1:31">
      <c r="A82" s="1487"/>
      <c r="B82" s="1488"/>
      <c r="C82" s="1489"/>
      <c r="D82" s="1490"/>
      <c r="E82" s="1487"/>
      <c r="F82" s="1488"/>
      <c r="G82" s="1489"/>
      <c r="H82" s="1490"/>
      <c r="I82" s="1487"/>
      <c r="J82" s="1488"/>
      <c r="K82" s="1489"/>
      <c r="L82" s="1490"/>
      <c r="M82" s="1487"/>
      <c r="N82" s="1488"/>
      <c r="O82" s="1489"/>
      <c r="P82" s="1490"/>
      <c r="Q82" s="1399"/>
      <c r="X82" s="1445" t="e">
        <f ca="1"/>
        <v>#NAME?</v>
      </c>
      <c r="Y82" s="1446" t="e">
        <f ca="1"/>
        <v>#NAME?</v>
      </c>
      <c r="Z82" s="1408"/>
      <c r="AB82" s="1399"/>
      <c r="AC82" s="1399"/>
      <c r="AD82" s="1399"/>
      <c r="AE82" s="1399"/>
    </row>
    <row r="83" spans="1:31">
      <c r="A83" s="1487"/>
      <c r="B83" s="1488"/>
      <c r="C83" s="1489"/>
      <c r="D83" s="1490"/>
      <c r="E83" s="1487"/>
      <c r="F83" s="1488"/>
      <c r="G83" s="1489"/>
      <c r="H83" s="1490"/>
      <c r="I83" s="1487"/>
      <c r="J83" s="1488"/>
      <c r="K83" s="1489"/>
      <c r="L83" s="1490"/>
      <c r="M83" s="1487"/>
      <c r="N83" s="1488"/>
      <c r="O83" s="1489"/>
      <c r="P83" s="1490"/>
      <c r="Q83" s="1399"/>
      <c r="X83" s="1445" t="e">
        <f ca="1"/>
        <v>#NAME?</v>
      </c>
      <c r="Y83" s="1446" t="e">
        <f ca="1"/>
        <v>#NAME?</v>
      </c>
      <c r="Z83" s="1408"/>
      <c r="AB83" s="1399"/>
      <c r="AC83" s="1399"/>
      <c r="AD83" s="1399"/>
      <c r="AE83" s="1399"/>
    </row>
    <row r="84" spans="1:31">
      <c r="A84" s="1487"/>
      <c r="B84" s="1488"/>
      <c r="C84" s="1489"/>
      <c r="D84" s="1490"/>
      <c r="E84" s="1487"/>
      <c r="F84" s="1488"/>
      <c r="G84" s="1489"/>
      <c r="H84" s="1490"/>
      <c r="I84" s="1487"/>
      <c r="J84" s="1488"/>
      <c r="K84" s="1489"/>
      <c r="L84" s="1490"/>
      <c r="M84" s="1487"/>
      <c r="N84" s="1488"/>
      <c r="O84" s="1489"/>
      <c r="P84" s="1490"/>
      <c r="Q84" s="1399"/>
      <c r="X84" s="1445" t="e">
        <f ca="1"/>
        <v>#NAME?</v>
      </c>
      <c r="Y84" s="1446" t="e">
        <f ca="1"/>
        <v>#NAME?</v>
      </c>
      <c r="Z84" s="1408"/>
      <c r="AB84" s="1399"/>
      <c r="AC84" s="1399"/>
      <c r="AD84" s="1399"/>
      <c r="AE84" s="1399"/>
    </row>
    <row r="85" spans="1:31">
      <c r="A85" s="1487"/>
      <c r="B85" s="1488"/>
      <c r="C85" s="1489"/>
      <c r="D85" s="1490"/>
      <c r="E85" s="1487"/>
      <c r="F85" s="1488"/>
      <c r="G85" s="1489"/>
      <c r="H85" s="1490"/>
      <c r="I85" s="1487"/>
      <c r="J85" s="1488"/>
      <c r="K85" s="1489"/>
      <c r="L85" s="1490"/>
      <c r="M85" s="1487"/>
      <c r="N85" s="1488"/>
      <c r="O85" s="1489"/>
      <c r="P85" s="1490"/>
      <c r="Q85" s="1399"/>
      <c r="X85" s="1445" t="e">
        <f ca="1"/>
        <v>#NAME?</v>
      </c>
      <c r="Y85" s="1446" t="e">
        <f ca="1"/>
        <v>#NAME?</v>
      </c>
      <c r="Z85" s="1408"/>
      <c r="AB85" s="1399"/>
      <c r="AC85" s="1399"/>
      <c r="AD85" s="1399"/>
      <c r="AE85" s="1399"/>
    </row>
    <row r="86" spans="1:31">
      <c r="A86" s="1487"/>
      <c r="B86" s="1488"/>
      <c r="C86" s="1489"/>
      <c r="D86" s="1490"/>
      <c r="E86" s="1487"/>
      <c r="F86" s="1488"/>
      <c r="G86" s="1489"/>
      <c r="H86" s="1490"/>
      <c r="I86" s="1487"/>
      <c r="J86" s="1488"/>
      <c r="K86" s="1489"/>
      <c r="L86" s="1490"/>
      <c r="M86" s="1487"/>
      <c r="N86" s="1488"/>
      <c r="O86" s="1489"/>
      <c r="P86" s="1490"/>
      <c r="Q86" s="1399"/>
      <c r="X86" s="1445" t="e">
        <f ca="1"/>
        <v>#NAME?</v>
      </c>
      <c r="Y86" s="1446" t="e">
        <f ca="1"/>
        <v>#NAME?</v>
      </c>
      <c r="Z86" s="1408"/>
      <c r="AB86" s="1399"/>
      <c r="AC86" s="1399"/>
      <c r="AD86" s="1399"/>
      <c r="AE86" s="1399"/>
    </row>
    <row r="87" spans="1:31">
      <c r="A87" s="1487"/>
      <c r="B87" s="1488"/>
      <c r="C87" s="1489"/>
      <c r="D87" s="1490"/>
      <c r="E87" s="1487"/>
      <c r="F87" s="1488"/>
      <c r="G87" s="1489"/>
      <c r="H87" s="1490"/>
      <c r="I87" s="1487"/>
      <c r="J87" s="1488"/>
      <c r="K87" s="1489"/>
      <c r="L87" s="1490"/>
      <c r="M87" s="1487"/>
      <c r="N87" s="1488"/>
      <c r="O87" s="1489"/>
      <c r="P87" s="1490"/>
      <c r="Q87" s="1399"/>
      <c r="X87" s="1445" t="e">
        <f ca="1"/>
        <v>#NAME?</v>
      </c>
      <c r="Y87" s="1446" t="e">
        <f ca="1"/>
        <v>#NAME?</v>
      </c>
      <c r="Z87" s="1408"/>
      <c r="AB87" s="1399"/>
      <c r="AC87" s="1399"/>
      <c r="AD87" s="1399"/>
      <c r="AE87" s="1399"/>
    </row>
    <row r="88" spans="1:31">
      <c r="A88" s="1487"/>
      <c r="B88" s="1488"/>
      <c r="C88" s="1489"/>
      <c r="D88" s="1490"/>
      <c r="E88" s="1487"/>
      <c r="F88" s="1488"/>
      <c r="G88" s="1489"/>
      <c r="H88" s="1490"/>
      <c r="I88" s="1487"/>
      <c r="J88" s="1488"/>
      <c r="K88" s="1489"/>
      <c r="L88" s="1490"/>
      <c r="M88" s="1487"/>
      <c r="N88" s="1488"/>
      <c r="O88" s="1489"/>
      <c r="P88" s="1490"/>
      <c r="Q88" s="1399"/>
      <c r="X88" s="1445" t="e">
        <f ca="1"/>
        <v>#NAME?</v>
      </c>
      <c r="Y88" s="1446" t="e">
        <f ca="1"/>
        <v>#NAME?</v>
      </c>
      <c r="Z88" s="1408"/>
      <c r="AB88" s="1399"/>
      <c r="AC88" s="1399"/>
      <c r="AD88" s="1399"/>
      <c r="AE88" s="1399"/>
    </row>
    <row r="89" spans="1:31">
      <c r="A89" s="1487"/>
      <c r="B89" s="1488"/>
      <c r="C89" s="1489"/>
      <c r="D89" s="1490"/>
      <c r="E89" s="1487"/>
      <c r="F89" s="1488"/>
      <c r="G89" s="1489"/>
      <c r="H89" s="1490"/>
      <c r="I89" s="1487"/>
      <c r="J89" s="1488"/>
      <c r="K89" s="1489"/>
      <c r="L89" s="1490"/>
      <c r="M89" s="1487"/>
      <c r="N89" s="1488"/>
      <c r="O89" s="1489"/>
      <c r="P89" s="1490"/>
      <c r="Q89" s="1399"/>
      <c r="X89" s="1445" t="e">
        <f ca="1"/>
        <v>#NAME?</v>
      </c>
      <c r="Y89" s="1446" t="e">
        <f ca="1"/>
        <v>#NAME?</v>
      </c>
      <c r="Z89" s="1408"/>
      <c r="AB89" s="1399"/>
      <c r="AC89" s="1399"/>
      <c r="AD89" s="1399"/>
      <c r="AE89" s="1399"/>
    </row>
    <row r="90" spans="1:31">
      <c r="A90" s="1487"/>
      <c r="B90" s="1488"/>
      <c r="C90" s="1489"/>
      <c r="D90" s="1490"/>
      <c r="E90" s="1487"/>
      <c r="F90" s="1488"/>
      <c r="G90" s="1489"/>
      <c r="H90" s="1490"/>
      <c r="I90" s="1487"/>
      <c r="J90" s="1488"/>
      <c r="K90" s="1489"/>
      <c r="L90" s="1490"/>
      <c r="M90" s="1487"/>
      <c r="N90" s="1488"/>
      <c r="O90" s="1489"/>
      <c r="P90" s="1490"/>
      <c r="Q90" s="1399"/>
      <c r="X90" s="1445" t="e">
        <f ca="1"/>
        <v>#NAME?</v>
      </c>
      <c r="Y90" s="1446" t="e">
        <f ca="1"/>
        <v>#NAME?</v>
      </c>
      <c r="Z90" s="1408"/>
      <c r="AB90" s="1399"/>
      <c r="AC90" s="1399"/>
      <c r="AD90" s="1399"/>
      <c r="AE90" s="1399"/>
    </row>
    <row r="91" spans="1:31">
      <c r="A91" s="1487"/>
      <c r="B91" s="1488"/>
      <c r="C91" s="1489"/>
      <c r="D91" s="1490"/>
      <c r="E91" s="1487"/>
      <c r="F91" s="1488"/>
      <c r="G91" s="1489"/>
      <c r="H91" s="1490"/>
      <c r="I91" s="1487"/>
      <c r="J91" s="1488"/>
      <c r="K91" s="1489"/>
      <c r="L91" s="1490"/>
      <c r="M91" s="1487"/>
      <c r="N91" s="1488"/>
      <c r="O91" s="1489"/>
      <c r="P91" s="1490"/>
      <c r="Q91" s="1399"/>
      <c r="X91" s="1445" t="e">
        <f ca="1"/>
        <v>#NAME?</v>
      </c>
      <c r="Y91" s="1446" t="e">
        <f ca="1"/>
        <v>#NAME?</v>
      </c>
      <c r="Z91" s="1408"/>
      <c r="AB91" s="1399"/>
      <c r="AC91" s="1399"/>
      <c r="AD91" s="1399"/>
      <c r="AE91" s="1399"/>
    </row>
    <row r="92" spans="1:31">
      <c r="A92" s="1487"/>
      <c r="B92" s="1488"/>
      <c r="C92" s="1489"/>
      <c r="D92" s="1490"/>
      <c r="E92" s="1487"/>
      <c r="F92" s="1488"/>
      <c r="G92" s="1489"/>
      <c r="H92" s="1490"/>
      <c r="I92" s="1487"/>
      <c r="J92" s="1488"/>
      <c r="K92" s="1489"/>
      <c r="L92" s="1490"/>
      <c r="M92" s="1487"/>
      <c r="N92" s="1488"/>
      <c r="O92" s="1489"/>
      <c r="P92" s="1490"/>
      <c r="Q92" s="1399"/>
      <c r="X92" s="1445" t="e">
        <f ca="1"/>
        <v>#NAME?</v>
      </c>
      <c r="Y92" s="1446" t="e">
        <f ca="1"/>
        <v>#NAME?</v>
      </c>
      <c r="Z92" s="1408"/>
      <c r="AB92" s="1399"/>
      <c r="AC92" s="1399"/>
      <c r="AD92" s="1399"/>
      <c r="AE92" s="1399"/>
    </row>
    <row r="93" spans="1:31">
      <c r="A93" s="1487"/>
      <c r="B93" s="1488"/>
      <c r="C93" s="1489"/>
      <c r="D93" s="1490"/>
      <c r="E93" s="1487"/>
      <c r="F93" s="1488"/>
      <c r="G93" s="1489"/>
      <c r="H93" s="1490"/>
      <c r="I93" s="1487"/>
      <c r="J93" s="1488"/>
      <c r="K93" s="1489"/>
      <c r="L93" s="1490"/>
      <c r="M93" s="1487"/>
      <c r="N93" s="1488"/>
      <c r="O93" s="1489"/>
      <c r="P93" s="1490"/>
      <c r="Q93" s="1399"/>
      <c r="X93" s="1445" t="e">
        <f ca="1"/>
        <v>#NAME?</v>
      </c>
      <c r="Y93" s="1446" t="e">
        <f ca="1"/>
        <v>#NAME?</v>
      </c>
      <c r="Z93" s="1408"/>
      <c r="AB93" s="1399"/>
      <c r="AC93" s="1399"/>
      <c r="AD93" s="1399"/>
      <c r="AE93" s="1399"/>
    </row>
    <row r="94" spans="1:31">
      <c r="A94" s="1487"/>
      <c r="B94" s="1488"/>
      <c r="C94" s="1489"/>
      <c r="D94" s="1490"/>
      <c r="E94" s="1487"/>
      <c r="F94" s="1488"/>
      <c r="G94" s="1489"/>
      <c r="H94" s="1490"/>
      <c r="I94" s="1487"/>
      <c r="J94" s="1488"/>
      <c r="K94" s="1489"/>
      <c r="L94" s="1490"/>
      <c r="M94" s="1487"/>
      <c r="N94" s="1488"/>
      <c r="O94" s="1489"/>
      <c r="P94" s="1490"/>
      <c r="Q94" s="1399"/>
      <c r="X94" s="1445" t="e">
        <f ca="1"/>
        <v>#NAME?</v>
      </c>
      <c r="Y94" s="1446" t="e">
        <f ca="1"/>
        <v>#NAME?</v>
      </c>
      <c r="Z94" s="1408"/>
      <c r="AB94" s="1399"/>
      <c r="AC94" s="1399"/>
      <c r="AD94" s="1399"/>
      <c r="AE94" s="1399"/>
    </row>
    <row r="95" spans="1:31">
      <c r="A95" s="1487"/>
      <c r="B95" s="1488"/>
      <c r="C95" s="1489"/>
      <c r="D95" s="1490"/>
      <c r="E95" s="1487"/>
      <c r="F95" s="1488"/>
      <c r="G95" s="1489"/>
      <c r="H95" s="1490"/>
      <c r="I95" s="1487"/>
      <c r="J95" s="1488"/>
      <c r="K95" s="1489"/>
      <c r="L95" s="1490"/>
      <c r="M95" s="1487"/>
      <c r="N95" s="1488"/>
      <c r="O95" s="1489"/>
      <c r="P95" s="1490"/>
      <c r="Q95" s="1399"/>
      <c r="X95" s="1445" t="e">
        <f ca="1"/>
        <v>#NAME?</v>
      </c>
      <c r="Y95" s="1446" t="e">
        <f ca="1"/>
        <v>#NAME?</v>
      </c>
      <c r="Z95" s="1408"/>
      <c r="AB95" s="1399"/>
      <c r="AC95" s="1399"/>
      <c r="AD95" s="1399"/>
      <c r="AE95" s="1399"/>
    </row>
    <row r="96" spans="1:31">
      <c r="A96" s="1487"/>
      <c r="B96" s="1488"/>
      <c r="C96" s="1489"/>
      <c r="D96" s="1490"/>
      <c r="E96" s="1487"/>
      <c r="F96" s="1488"/>
      <c r="G96" s="1489"/>
      <c r="H96" s="1490"/>
      <c r="I96" s="1487"/>
      <c r="J96" s="1488"/>
      <c r="K96" s="1489"/>
      <c r="L96" s="1490"/>
      <c r="M96" s="1487"/>
      <c r="N96" s="1488"/>
      <c r="O96" s="1489"/>
      <c r="P96" s="1490"/>
      <c r="Q96" s="1399"/>
      <c r="X96" s="1445" t="e">
        <f ca="1"/>
        <v>#NAME?</v>
      </c>
      <c r="Y96" s="1446" t="e">
        <f ca="1"/>
        <v>#NAME?</v>
      </c>
      <c r="Z96" s="1408"/>
      <c r="AB96" s="1399"/>
      <c r="AC96" s="1399"/>
      <c r="AD96" s="1399"/>
      <c r="AE96" s="1399"/>
    </row>
    <row r="97" spans="1:31">
      <c r="A97" s="1487"/>
      <c r="B97" s="1488"/>
      <c r="C97" s="1489"/>
      <c r="D97" s="1490"/>
      <c r="E97" s="1487"/>
      <c r="F97" s="1488"/>
      <c r="G97" s="1489"/>
      <c r="H97" s="1490"/>
      <c r="I97" s="1487"/>
      <c r="J97" s="1488"/>
      <c r="K97" s="1489"/>
      <c r="L97" s="1490"/>
      <c r="M97" s="1487"/>
      <c r="N97" s="1488"/>
      <c r="O97" s="1489"/>
      <c r="P97" s="1490"/>
      <c r="Q97" s="1399"/>
      <c r="X97" s="1445" t="e">
        <f ca="1"/>
        <v>#NAME?</v>
      </c>
      <c r="Y97" s="1446" t="e">
        <f ca="1"/>
        <v>#NAME?</v>
      </c>
      <c r="Z97" s="1408"/>
      <c r="AB97" s="1399"/>
      <c r="AC97" s="1399"/>
      <c r="AD97" s="1399"/>
      <c r="AE97" s="1399"/>
    </row>
    <row r="98" spans="1:31">
      <c r="A98" s="1487"/>
      <c r="B98" s="1488"/>
      <c r="C98" s="1489"/>
      <c r="D98" s="1490"/>
      <c r="E98" s="1487"/>
      <c r="F98" s="1488"/>
      <c r="G98" s="1489"/>
      <c r="H98" s="1490"/>
      <c r="I98" s="1487"/>
      <c r="J98" s="1488"/>
      <c r="K98" s="1489"/>
      <c r="L98" s="1490"/>
      <c r="M98" s="1487"/>
      <c r="N98" s="1488"/>
      <c r="O98" s="1489"/>
      <c r="P98" s="1490"/>
      <c r="Q98" s="1399"/>
      <c r="X98" s="1445" t="e">
        <f ca="1"/>
        <v>#NAME?</v>
      </c>
      <c r="Y98" s="1446" t="e">
        <f ca="1"/>
        <v>#NAME?</v>
      </c>
      <c r="Z98" s="1408"/>
      <c r="AB98" s="1399"/>
      <c r="AC98" s="1399"/>
      <c r="AD98" s="1399"/>
      <c r="AE98" s="1399"/>
    </row>
    <row r="99" spans="1:31">
      <c r="A99" s="1487"/>
      <c r="B99" s="1488"/>
      <c r="C99" s="1489"/>
      <c r="D99" s="1490"/>
      <c r="E99" s="1487"/>
      <c r="F99" s="1488"/>
      <c r="G99" s="1489"/>
      <c r="H99" s="1490"/>
      <c r="I99" s="1487"/>
      <c r="J99" s="1488"/>
      <c r="K99" s="1489"/>
      <c r="L99" s="1490"/>
      <c r="M99" s="1487"/>
      <c r="N99" s="1488"/>
      <c r="O99" s="1489"/>
      <c r="P99" s="1490"/>
      <c r="Q99" s="1399"/>
      <c r="X99" s="1445" t="e">
        <f ca="1"/>
        <v>#NAME?</v>
      </c>
      <c r="Y99" s="1446" t="e">
        <f ca="1"/>
        <v>#NAME?</v>
      </c>
      <c r="Z99" s="1408"/>
      <c r="AB99" s="1399"/>
      <c r="AC99" s="1399"/>
      <c r="AD99" s="1399"/>
      <c r="AE99" s="1399"/>
    </row>
    <row r="100" spans="1:31">
      <c r="A100" s="1487"/>
      <c r="B100" s="1488"/>
      <c r="C100" s="1489"/>
      <c r="D100" s="1490"/>
      <c r="E100" s="1487"/>
      <c r="F100" s="1488"/>
      <c r="G100" s="1489"/>
      <c r="H100" s="1490"/>
      <c r="I100" s="1487"/>
      <c r="J100" s="1488"/>
      <c r="K100" s="1489"/>
      <c r="L100" s="1490"/>
      <c r="M100" s="1487"/>
      <c r="N100" s="1488"/>
      <c r="O100" s="1489"/>
      <c r="P100" s="1490"/>
      <c r="Q100" s="1399"/>
      <c r="X100" s="1445" t="e">
        <f ca="1"/>
        <v>#NAME?</v>
      </c>
      <c r="Y100" s="1446" t="e">
        <f ca="1"/>
        <v>#NAME?</v>
      </c>
      <c r="Z100" s="1408"/>
      <c r="AB100" s="1399"/>
      <c r="AC100" s="1399"/>
      <c r="AD100" s="1399"/>
      <c r="AE100" s="1399"/>
    </row>
    <row r="101" spans="1:31">
      <c r="A101" s="1487"/>
      <c r="B101" s="1488"/>
      <c r="C101" s="1489"/>
      <c r="D101" s="1490"/>
      <c r="E101" s="1487"/>
      <c r="F101" s="1488"/>
      <c r="G101" s="1489"/>
      <c r="H101" s="1490"/>
      <c r="I101" s="1487"/>
      <c r="J101" s="1488"/>
      <c r="K101" s="1489"/>
      <c r="L101" s="1490"/>
      <c r="M101" s="1487"/>
      <c r="N101" s="1488"/>
      <c r="O101" s="1489"/>
      <c r="P101" s="1490"/>
      <c r="Q101" s="1399"/>
      <c r="X101" s="1445" t="e">
        <f ca="1"/>
        <v>#NAME?</v>
      </c>
      <c r="Y101" s="1446" t="e">
        <f ca="1"/>
        <v>#NAME?</v>
      </c>
      <c r="Z101" s="1408"/>
      <c r="AB101" s="1399"/>
      <c r="AC101" s="1399"/>
      <c r="AD101" s="1399"/>
      <c r="AE101" s="1399"/>
    </row>
    <row r="102" spans="1:31">
      <c r="A102" s="1487"/>
      <c r="B102" s="1488"/>
      <c r="C102" s="1489"/>
      <c r="D102" s="1490"/>
      <c r="E102" s="1487"/>
      <c r="F102" s="1488"/>
      <c r="G102" s="1489"/>
      <c r="H102" s="1490"/>
      <c r="I102" s="1487"/>
      <c r="J102" s="1488"/>
      <c r="K102" s="1489"/>
      <c r="L102" s="1490"/>
      <c r="M102" s="1487"/>
      <c r="N102" s="1488"/>
      <c r="O102" s="1489"/>
      <c r="P102" s="1490"/>
      <c r="Q102" s="1399"/>
      <c r="X102" s="1445" t="e">
        <f ca="1"/>
        <v>#NAME?</v>
      </c>
      <c r="Y102" s="1446" t="e">
        <f ca="1"/>
        <v>#NAME?</v>
      </c>
      <c r="Z102" s="1408"/>
      <c r="AB102" s="1399"/>
      <c r="AC102" s="1399"/>
      <c r="AD102" s="1399"/>
      <c r="AE102" s="1399"/>
    </row>
    <row r="103" spans="1:31">
      <c r="A103" s="1487"/>
      <c r="B103" s="1488"/>
      <c r="C103" s="1489"/>
      <c r="D103" s="1490"/>
      <c r="E103" s="1487"/>
      <c r="F103" s="1488"/>
      <c r="G103" s="1489"/>
      <c r="H103" s="1490"/>
      <c r="I103" s="1487"/>
      <c r="J103" s="1488"/>
      <c r="K103" s="1489"/>
      <c r="L103" s="1490"/>
      <c r="M103" s="1487"/>
      <c r="N103" s="1488"/>
      <c r="O103" s="1489"/>
      <c r="P103" s="1490"/>
      <c r="Q103" s="1399"/>
      <c r="X103" s="1445" t="e">
        <f ca="1"/>
        <v>#NAME?</v>
      </c>
      <c r="Y103" s="1446" t="e">
        <f ca="1"/>
        <v>#NAME?</v>
      </c>
      <c r="Z103" s="1408"/>
      <c r="AB103" s="1399"/>
      <c r="AC103" s="1399"/>
      <c r="AD103" s="1399"/>
      <c r="AE103" s="1399"/>
    </row>
    <row r="104" spans="1:31">
      <c r="A104" s="1487"/>
      <c r="B104" s="1488"/>
      <c r="C104" s="1489"/>
      <c r="D104" s="1490"/>
      <c r="E104" s="1487"/>
      <c r="F104" s="1488"/>
      <c r="G104" s="1489"/>
      <c r="H104" s="1490"/>
      <c r="I104" s="1487"/>
      <c r="J104" s="1488"/>
      <c r="K104" s="1489"/>
      <c r="L104" s="1490"/>
      <c r="M104" s="1487"/>
      <c r="N104" s="1488"/>
      <c r="O104" s="1489"/>
      <c r="P104" s="1490"/>
      <c r="Q104" s="1399"/>
      <c r="X104" s="1445" t="e">
        <f ca="1"/>
        <v>#NAME?</v>
      </c>
      <c r="Y104" s="1446" t="e">
        <f ca="1"/>
        <v>#NAME?</v>
      </c>
      <c r="Z104" s="1408"/>
      <c r="AB104" s="1399"/>
      <c r="AC104" s="1399"/>
      <c r="AD104" s="1399"/>
      <c r="AE104" s="1399"/>
    </row>
    <row r="105" spans="1:31">
      <c r="A105" s="1487"/>
      <c r="B105" s="1488"/>
      <c r="C105" s="1489"/>
      <c r="D105" s="1490"/>
      <c r="E105" s="1487"/>
      <c r="F105" s="1488"/>
      <c r="G105" s="1489"/>
      <c r="H105" s="1490"/>
      <c r="I105" s="1487"/>
      <c r="J105" s="1488"/>
      <c r="K105" s="1489"/>
      <c r="L105" s="1490"/>
      <c r="M105" s="1487"/>
      <c r="N105" s="1488"/>
      <c r="O105" s="1489"/>
      <c r="P105" s="1490"/>
      <c r="Q105" s="1399"/>
      <c r="X105" s="1445" t="e">
        <f ca="1"/>
        <v>#NAME?</v>
      </c>
      <c r="Y105" s="1446" t="e">
        <f ca="1"/>
        <v>#NAME?</v>
      </c>
      <c r="Z105" s="1408"/>
      <c r="AB105" s="1399"/>
      <c r="AC105" s="1399"/>
      <c r="AD105" s="1399"/>
      <c r="AE105" s="1399"/>
    </row>
    <row r="106" spans="1:31">
      <c r="A106" s="1487"/>
      <c r="B106" s="1488"/>
      <c r="C106" s="1489"/>
      <c r="D106" s="1490"/>
      <c r="E106" s="1487"/>
      <c r="F106" s="1488"/>
      <c r="G106" s="1489"/>
      <c r="H106" s="1490"/>
      <c r="I106" s="1487"/>
      <c r="J106" s="1488"/>
      <c r="K106" s="1489"/>
      <c r="L106" s="1490"/>
      <c r="M106" s="1487"/>
      <c r="N106" s="1488"/>
      <c r="O106" s="1489"/>
      <c r="P106" s="1490"/>
      <c r="Q106" s="1399"/>
      <c r="X106" s="1445" t="e">
        <f ca="1"/>
        <v>#NAME?</v>
      </c>
      <c r="Y106" s="1446" t="e">
        <f ca="1"/>
        <v>#NAME?</v>
      </c>
      <c r="Z106" s="1408"/>
      <c r="AB106" s="1399"/>
      <c r="AC106" s="1399"/>
      <c r="AD106" s="1399"/>
      <c r="AE106" s="1399"/>
    </row>
    <row r="107" spans="1:31">
      <c r="A107" s="1487"/>
      <c r="B107" s="1488"/>
      <c r="C107" s="1489"/>
      <c r="D107" s="1490"/>
      <c r="E107" s="1487"/>
      <c r="F107" s="1488"/>
      <c r="G107" s="1489"/>
      <c r="H107" s="1490"/>
      <c r="I107" s="1487"/>
      <c r="J107" s="1488"/>
      <c r="K107" s="1489"/>
      <c r="L107" s="1490"/>
      <c r="M107" s="1487"/>
      <c r="N107" s="1488"/>
      <c r="O107" s="1489"/>
      <c r="P107" s="1490"/>
      <c r="Q107" s="1399"/>
      <c r="X107" s="1445" t="e">
        <f ca="1"/>
        <v>#NAME?</v>
      </c>
      <c r="Y107" s="1446" t="e">
        <f ca="1"/>
        <v>#NAME?</v>
      </c>
      <c r="Z107" s="1408"/>
      <c r="AB107" s="1399"/>
      <c r="AC107" s="1399"/>
      <c r="AD107" s="1399"/>
      <c r="AE107" s="1399"/>
    </row>
    <row r="108" spans="1:31">
      <c r="A108" s="1487"/>
      <c r="B108" s="1488"/>
      <c r="C108" s="1489"/>
      <c r="D108" s="1490"/>
      <c r="E108" s="1487"/>
      <c r="F108" s="1488"/>
      <c r="G108" s="1489"/>
      <c r="H108" s="1490"/>
      <c r="I108" s="1487"/>
      <c r="J108" s="1488"/>
      <c r="K108" s="1489"/>
      <c r="L108" s="1490"/>
      <c r="M108" s="1487"/>
      <c r="N108" s="1488"/>
      <c r="O108" s="1489"/>
      <c r="P108" s="1490"/>
      <c r="Q108" s="1399"/>
      <c r="X108" s="1445" t="e">
        <f ca="1"/>
        <v>#NAME?</v>
      </c>
      <c r="Y108" s="1446" t="e">
        <f ca="1"/>
        <v>#NAME?</v>
      </c>
      <c r="Z108" s="1408"/>
      <c r="AB108" s="1399"/>
      <c r="AC108" s="1399"/>
      <c r="AD108" s="1399"/>
      <c r="AE108" s="1399"/>
    </row>
    <row r="109" spans="1:31">
      <c r="A109" s="1487"/>
      <c r="B109" s="1488"/>
      <c r="C109" s="1489"/>
      <c r="D109" s="1490"/>
      <c r="E109" s="1487"/>
      <c r="F109" s="1488"/>
      <c r="G109" s="1489"/>
      <c r="H109" s="1490"/>
      <c r="I109" s="1487"/>
      <c r="J109" s="1488"/>
      <c r="K109" s="1489"/>
      <c r="L109" s="1490"/>
      <c r="M109" s="1487"/>
      <c r="N109" s="1488"/>
      <c r="O109" s="1489"/>
      <c r="P109" s="1490"/>
      <c r="Q109" s="1399"/>
      <c r="X109" s="1445" t="e">
        <f ca="1"/>
        <v>#NAME?</v>
      </c>
      <c r="Y109" s="1446" t="e">
        <f ca="1"/>
        <v>#NAME?</v>
      </c>
      <c r="Z109" s="1408"/>
      <c r="AB109" s="1399"/>
      <c r="AC109" s="1399"/>
      <c r="AD109" s="1399"/>
      <c r="AE109" s="1399"/>
    </row>
    <row r="110" spans="1:31">
      <c r="A110" s="1487"/>
      <c r="B110" s="1488"/>
      <c r="C110" s="1489"/>
      <c r="D110" s="1490"/>
      <c r="E110" s="1487"/>
      <c r="F110" s="1488"/>
      <c r="G110" s="1489"/>
      <c r="H110" s="1490"/>
      <c r="I110" s="1487"/>
      <c r="J110" s="1488"/>
      <c r="K110" s="1489"/>
      <c r="L110" s="1490"/>
      <c r="M110" s="1487"/>
      <c r="N110" s="1488"/>
      <c r="O110" s="1489"/>
      <c r="P110" s="1490"/>
      <c r="Q110" s="1399"/>
      <c r="X110" s="1445" t="e">
        <f ca="1"/>
        <v>#NAME?</v>
      </c>
      <c r="Y110" s="1446" t="e">
        <f ca="1"/>
        <v>#NAME?</v>
      </c>
      <c r="Z110" s="1408"/>
      <c r="AB110" s="1399"/>
      <c r="AC110" s="1399"/>
      <c r="AD110" s="1399"/>
      <c r="AE110" s="1399"/>
    </row>
    <row r="111" spans="1:31">
      <c r="A111" s="1487"/>
      <c r="B111" s="1488"/>
      <c r="C111" s="1489"/>
      <c r="D111" s="1490"/>
      <c r="E111" s="1487"/>
      <c r="F111" s="1488"/>
      <c r="G111" s="1489"/>
      <c r="H111" s="1490"/>
      <c r="I111" s="1487"/>
      <c r="J111" s="1488"/>
      <c r="K111" s="1489"/>
      <c r="L111" s="1490"/>
      <c r="M111" s="1487"/>
      <c r="N111" s="1488"/>
      <c r="O111" s="1489"/>
      <c r="P111" s="1490"/>
      <c r="Q111" s="1399"/>
      <c r="X111" s="1445" t="e">
        <f ca="1"/>
        <v>#NAME?</v>
      </c>
      <c r="Y111" s="1446" t="e">
        <f ca="1"/>
        <v>#NAME?</v>
      </c>
      <c r="Z111" s="1408"/>
      <c r="AB111" s="1399"/>
      <c r="AC111" s="1399"/>
      <c r="AD111" s="1399"/>
      <c r="AE111" s="1399"/>
    </row>
    <row r="112" spans="1:31">
      <c r="A112" s="1487"/>
      <c r="B112" s="1488"/>
      <c r="C112" s="1489"/>
      <c r="D112" s="1490"/>
      <c r="E112" s="1487"/>
      <c r="F112" s="1488"/>
      <c r="G112" s="1489"/>
      <c r="H112" s="1490"/>
      <c r="I112" s="1487"/>
      <c r="J112" s="1488"/>
      <c r="K112" s="1489"/>
      <c r="L112" s="1490"/>
      <c r="M112" s="1487"/>
      <c r="N112" s="1488"/>
      <c r="O112" s="1489"/>
      <c r="P112" s="1490"/>
      <c r="Q112" s="1399"/>
      <c r="X112" s="1445" t="e">
        <f ca="1"/>
        <v>#NAME?</v>
      </c>
      <c r="Y112" s="1446" t="e">
        <f ca="1"/>
        <v>#NAME?</v>
      </c>
      <c r="Z112" s="1408"/>
      <c r="AB112" s="1399"/>
      <c r="AC112" s="1399"/>
      <c r="AD112" s="1399"/>
      <c r="AE112" s="1399"/>
    </row>
    <row r="113" spans="1:31">
      <c r="A113" s="1487"/>
      <c r="B113" s="1488"/>
      <c r="C113" s="1489"/>
      <c r="D113" s="1490"/>
      <c r="E113" s="1487"/>
      <c r="F113" s="1488"/>
      <c r="G113" s="1489"/>
      <c r="H113" s="1490"/>
      <c r="I113" s="1487"/>
      <c r="J113" s="1488"/>
      <c r="K113" s="1489"/>
      <c r="L113" s="1490"/>
      <c r="M113" s="1487"/>
      <c r="N113" s="1488"/>
      <c r="O113" s="1489"/>
      <c r="P113" s="1490"/>
      <c r="Q113" s="1399"/>
      <c r="X113" s="1445" t="e">
        <f ca="1"/>
        <v>#NAME?</v>
      </c>
      <c r="Y113" s="1446" t="e">
        <f ca="1"/>
        <v>#NAME?</v>
      </c>
      <c r="Z113" s="1408"/>
      <c r="AB113" s="1399"/>
      <c r="AC113" s="1399"/>
      <c r="AD113" s="1399"/>
      <c r="AE113" s="1399"/>
    </row>
    <row r="114" spans="1:31">
      <c r="A114" s="1487"/>
      <c r="B114" s="1488"/>
      <c r="C114" s="1489"/>
      <c r="D114" s="1490"/>
      <c r="E114" s="1487"/>
      <c r="F114" s="1488"/>
      <c r="G114" s="1489"/>
      <c r="H114" s="1490"/>
      <c r="I114" s="1487"/>
      <c r="J114" s="1488"/>
      <c r="K114" s="1489"/>
      <c r="L114" s="1490"/>
      <c r="M114" s="1487"/>
      <c r="N114" s="1488"/>
      <c r="O114" s="1489"/>
      <c r="P114" s="1490"/>
      <c r="Q114" s="1399"/>
      <c r="X114" s="1445" t="e">
        <f ca="1"/>
        <v>#NAME?</v>
      </c>
      <c r="Y114" s="1446" t="e">
        <f ca="1"/>
        <v>#NAME?</v>
      </c>
      <c r="Z114" s="1408"/>
      <c r="AB114" s="1399"/>
      <c r="AC114" s="1399"/>
      <c r="AD114" s="1399"/>
      <c r="AE114" s="1399"/>
    </row>
    <row r="115" spans="1:31">
      <c r="A115" s="1487"/>
      <c r="B115" s="1488"/>
      <c r="C115" s="1489"/>
      <c r="D115" s="1490"/>
      <c r="E115" s="1487"/>
      <c r="F115" s="1488"/>
      <c r="G115" s="1489"/>
      <c r="H115" s="1490"/>
      <c r="I115" s="1487"/>
      <c r="J115" s="1488"/>
      <c r="K115" s="1489"/>
      <c r="L115" s="1490"/>
      <c r="M115" s="1487"/>
      <c r="N115" s="1488"/>
      <c r="O115" s="1489"/>
      <c r="P115" s="1490"/>
      <c r="Q115" s="1399"/>
      <c r="X115" s="1445" t="e">
        <f ca="1"/>
        <v>#NAME?</v>
      </c>
      <c r="Y115" s="1446" t="e">
        <f ca="1"/>
        <v>#NAME?</v>
      </c>
      <c r="Z115" s="1408"/>
      <c r="AB115" s="1399"/>
      <c r="AC115" s="1399"/>
      <c r="AD115" s="1399"/>
      <c r="AE115" s="1399"/>
    </row>
    <row r="116" spans="1:31">
      <c r="A116" s="1487"/>
      <c r="B116" s="1488"/>
      <c r="C116" s="1489"/>
      <c r="D116" s="1490"/>
      <c r="E116" s="1487"/>
      <c r="F116" s="1488"/>
      <c r="G116" s="1489"/>
      <c r="H116" s="1490"/>
      <c r="I116" s="1487"/>
      <c r="J116" s="1488"/>
      <c r="K116" s="1489"/>
      <c r="L116" s="1490"/>
      <c r="M116" s="1487"/>
      <c r="N116" s="1488"/>
      <c r="O116" s="1489"/>
      <c r="P116" s="1490"/>
      <c r="Q116" s="1399"/>
      <c r="X116" s="1445" t="e">
        <f ca="1"/>
        <v>#NAME?</v>
      </c>
      <c r="Y116" s="1446" t="e">
        <f ca="1"/>
        <v>#NAME?</v>
      </c>
      <c r="Z116" s="1408"/>
      <c r="AB116" s="1399"/>
      <c r="AC116" s="1399"/>
      <c r="AD116" s="1399"/>
      <c r="AE116" s="1399"/>
    </row>
    <row r="117" spans="1:31">
      <c r="A117" s="1487"/>
      <c r="B117" s="1488"/>
      <c r="C117" s="1489"/>
      <c r="D117" s="1490"/>
      <c r="E117" s="1487"/>
      <c r="F117" s="1488"/>
      <c r="G117" s="1489"/>
      <c r="H117" s="1490"/>
      <c r="I117" s="1487"/>
      <c r="J117" s="1488"/>
      <c r="K117" s="1489"/>
      <c r="L117" s="1490"/>
      <c r="M117" s="1487"/>
      <c r="N117" s="1488"/>
      <c r="O117" s="1489"/>
      <c r="P117" s="1490"/>
      <c r="Q117" s="1399"/>
      <c r="X117" s="1445" t="e">
        <f ca="1"/>
        <v>#NAME?</v>
      </c>
      <c r="Y117" s="1446" t="e">
        <f ca="1"/>
        <v>#NAME?</v>
      </c>
      <c r="Z117" s="1408"/>
      <c r="AB117" s="1399"/>
      <c r="AC117" s="1399"/>
      <c r="AD117" s="1399"/>
      <c r="AE117" s="1399"/>
    </row>
    <row r="118" spans="1:31">
      <c r="A118" s="1487"/>
      <c r="B118" s="1488"/>
      <c r="C118" s="1489"/>
      <c r="D118" s="1490"/>
      <c r="E118" s="1487"/>
      <c r="F118" s="1488"/>
      <c r="G118" s="1489"/>
      <c r="H118" s="1490"/>
      <c r="I118" s="1487"/>
      <c r="J118" s="1488"/>
      <c r="K118" s="1489"/>
      <c r="L118" s="1490"/>
      <c r="M118" s="1487"/>
      <c r="N118" s="1488"/>
      <c r="O118" s="1489"/>
      <c r="P118" s="1490"/>
      <c r="Q118" s="1399"/>
      <c r="X118" s="1445" t="e">
        <f ca="1"/>
        <v>#NAME?</v>
      </c>
      <c r="Y118" s="1446" t="e">
        <f ca="1"/>
        <v>#NAME?</v>
      </c>
      <c r="Z118" s="1408"/>
      <c r="AB118" s="1399"/>
      <c r="AC118" s="1399"/>
      <c r="AD118" s="1399"/>
      <c r="AE118" s="1399"/>
    </row>
    <row r="119" spans="1:31">
      <c r="A119" s="1487"/>
      <c r="B119" s="1488"/>
      <c r="C119" s="1489"/>
      <c r="D119" s="1490"/>
      <c r="E119" s="1487"/>
      <c r="F119" s="1488"/>
      <c r="G119" s="1489"/>
      <c r="H119" s="1490"/>
      <c r="I119" s="1487"/>
      <c r="J119" s="1488"/>
      <c r="K119" s="1489"/>
      <c r="L119" s="1490"/>
      <c r="M119" s="1487"/>
      <c r="N119" s="1488"/>
      <c r="O119" s="1489"/>
      <c r="P119" s="1490"/>
      <c r="Q119" s="1399"/>
      <c r="X119" s="1445" t="e">
        <f ca="1"/>
        <v>#NAME?</v>
      </c>
      <c r="Y119" s="1446" t="e">
        <f ca="1"/>
        <v>#NAME?</v>
      </c>
      <c r="Z119" s="1408"/>
      <c r="AB119" s="1399"/>
      <c r="AC119" s="1399"/>
      <c r="AD119" s="1399"/>
      <c r="AE119" s="1399"/>
    </row>
    <row r="120" spans="1:31">
      <c r="A120" s="1487"/>
      <c r="B120" s="1488"/>
      <c r="C120" s="1489"/>
      <c r="D120" s="1490"/>
      <c r="E120" s="1487"/>
      <c r="F120" s="1488"/>
      <c r="G120" s="1489"/>
      <c r="H120" s="1490"/>
      <c r="I120" s="1487"/>
      <c r="J120" s="1488"/>
      <c r="K120" s="1489"/>
      <c r="L120" s="1490"/>
      <c r="M120" s="1487"/>
      <c r="N120" s="1488"/>
      <c r="O120" s="1489"/>
      <c r="P120" s="1490"/>
      <c r="Q120" s="1399"/>
      <c r="X120" s="1445" t="e">
        <f ca="1"/>
        <v>#NAME?</v>
      </c>
      <c r="Y120" s="1446" t="e">
        <f ca="1"/>
        <v>#NAME?</v>
      </c>
      <c r="Z120" s="1408"/>
      <c r="AB120" s="1399"/>
      <c r="AC120" s="1399"/>
      <c r="AD120" s="1399"/>
      <c r="AE120" s="1399"/>
    </row>
    <row r="121" spans="1:31">
      <c r="A121" s="1487"/>
      <c r="B121" s="1488"/>
      <c r="C121" s="1489"/>
      <c r="D121" s="1490"/>
      <c r="E121" s="1487"/>
      <c r="F121" s="1488"/>
      <c r="G121" s="1489"/>
      <c r="H121" s="1490"/>
      <c r="I121" s="1487"/>
      <c r="J121" s="1488"/>
      <c r="K121" s="1489"/>
      <c r="L121" s="1490"/>
      <c r="M121" s="1487"/>
      <c r="N121" s="1488"/>
      <c r="O121" s="1489"/>
      <c r="P121" s="1490"/>
      <c r="Q121" s="1399"/>
      <c r="X121" s="1445" t="e">
        <f ca="1"/>
        <v>#NAME?</v>
      </c>
      <c r="Y121" s="1446" t="e">
        <f ca="1"/>
        <v>#NAME?</v>
      </c>
      <c r="Z121" s="1408"/>
      <c r="AB121" s="1399"/>
      <c r="AC121" s="1399"/>
      <c r="AD121" s="1399"/>
      <c r="AE121" s="1399"/>
    </row>
    <row r="122" spans="1:31">
      <c r="A122" s="1487"/>
      <c r="B122" s="1488"/>
      <c r="C122" s="1489"/>
      <c r="D122" s="1490"/>
      <c r="E122" s="1487"/>
      <c r="F122" s="1488"/>
      <c r="G122" s="1489"/>
      <c r="H122" s="1490"/>
      <c r="I122" s="1487"/>
      <c r="J122" s="1488"/>
      <c r="K122" s="1489"/>
      <c r="L122" s="1490"/>
      <c r="M122" s="1487"/>
      <c r="N122" s="1488"/>
      <c r="O122" s="1489"/>
      <c r="P122" s="1490"/>
      <c r="Q122" s="1399"/>
      <c r="X122" s="1445" t="e">
        <f ca="1"/>
        <v>#NAME?</v>
      </c>
      <c r="Y122" s="1446" t="e">
        <f ca="1"/>
        <v>#NAME?</v>
      </c>
      <c r="Z122" s="1408"/>
      <c r="AB122" s="1399"/>
      <c r="AC122" s="1399"/>
      <c r="AD122" s="1399"/>
      <c r="AE122" s="1399"/>
    </row>
    <row r="123" spans="1:31">
      <c r="A123" s="1487"/>
      <c r="B123" s="1488"/>
      <c r="C123" s="1489"/>
      <c r="D123" s="1490"/>
      <c r="E123" s="1487"/>
      <c r="F123" s="1488"/>
      <c r="G123" s="1489"/>
      <c r="H123" s="1490"/>
      <c r="I123" s="1487"/>
      <c r="J123" s="1488"/>
      <c r="K123" s="1489"/>
      <c r="L123" s="1490"/>
      <c r="M123" s="1487"/>
      <c r="N123" s="1488"/>
      <c r="O123" s="1489"/>
      <c r="P123" s="1490"/>
      <c r="Q123" s="1399"/>
      <c r="X123" s="1445" t="e">
        <f ca="1"/>
        <v>#NAME?</v>
      </c>
      <c r="Y123" s="1446" t="e">
        <f ca="1"/>
        <v>#NAME?</v>
      </c>
      <c r="Z123" s="1408"/>
      <c r="AB123" s="1399"/>
      <c r="AC123" s="1399"/>
      <c r="AD123" s="1399"/>
      <c r="AE123" s="1399"/>
    </row>
    <row r="124" spans="1:31">
      <c r="A124" s="1487"/>
      <c r="B124" s="1488"/>
      <c r="C124" s="1489"/>
      <c r="D124" s="1490"/>
      <c r="E124" s="1487"/>
      <c r="F124" s="1488"/>
      <c r="G124" s="1489"/>
      <c r="H124" s="1490"/>
      <c r="I124" s="1487"/>
      <c r="J124" s="1488"/>
      <c r="K124" s="1489"/>
      <c r="L124" s="1490"/>
      <c r="M124" s="1487"/>
      <c r="N124" s="1488"/>
      <c r="O124" s="1489"/>
      <c r="P124" s="1490"/>
      <c r="Q124" s="1399"/>
      <c r="X124" s="1445" t="e">
        <f ca="1"/>
        <v>#NAME?</v>
      </c>
      <c r="Y124" s="1446" t="e">
        <f ca="1"/>
        <v>#NAME?</v>
      </c>
      <c r="Z124" s="1408"/>
      <c r="AB124" s="1399"/>
      <c r="AC124" s="1399"/>
      <c r="AD124" s="1399"/>
      <c r="AE124" s="1399"/>
    </row>
    <row r="125" spans="1:31">
      <c r="A125" s="1487"/>
      <c r="B125" s="1488"/>
      <c r="C125" s="1489"/>
      <c r="D125" s="1490"/>
      <c r="E125" s="1487"/>
      <c r="F125" s="1488"/>
      <c r="G125" s="1489"/>
      <c r="H125" s="1490"/>
      <c r="I125" s="1487"/>
      <c r="J125" s="1488"/>
      <c r="K125" s="1489"/>
      <c r="L125" s="1490"/>
      <c r="M125" s="1487"/>
      <c r="N125" s="1488"/>
      <c r="O125" s="1489"/>
      <c r="P125" s="1490"/>
      <c r="Q125" s="1399"/>
      <c r="X125" s="1445" t="e">
        <f ca="1"/>
        <v>#NAME?</v>
      </c>
      <c r="Y125" s="1446" t="e">
        <f ca="1"/>
        <v>#NAME?</v>
      </c>
      <c r="Z125" s="1408"/>
      <c r="AB125" s="1399"/>
      <c r="AC125" s="1399"/>
      <c r="AD125" s="1399"/>
      <c r="AE125" s="1399"/>
    </row>
    <row r="126" spans="1:31">
      <c r="A126" s="1487"/>
      <c r="B126" s="1488"/>
      <c r="C126" s="1489"/>
      <c r="D126" s="1490"/>
      <c r="E126" s="1487"/>
      <c r="F126" s="1488"/>
      <c r="G126" s="1489"/>
      <c r="H126" s="1490"/>
      <c r="I126" s="1487"/>
      <c r="J126" s="1488"/>
      <c r="K126" s="1489"/>
      <c r="L126" s="1490"/>
      <c r="M126" s="1487"/>
      <c r="N126" s="1488"/>
      <c r="O126" s="1489"/>
      <c r="P126" s="1490"/>
      <c r="Q126" s="1399"/>
      <c r="X126" s="1445" t="e">
        <f ca="1"/>
        <v>#NAME?</v>
      </c>
      <c r="Y126" s="1446" t="e">
        <f ca="1"/>
        <v>#NAME?</v>
      </c>
      <c r="Z126" s="1408"/>
      <c r="AB126" s="1399"/>
      <c r="AC126" s="1399"/>
      <c r="AD126" s="1399"/>
      <c r="AE126" s="1399"/>
    </row>
    <row r="127" spans="1:31">
      <c r="A127" s="1487"/>
      <c r="B127" s="1488"/>
      <c r="C127" s="1489"/>
      <c r="D127" s="1490"/>
      <c r="E127" s="1487"/>
      <c r="F127" s="1488"/>
      <c r="G127" s="1489"/>
      <c r="H127" s="1490"/>
      <c r="I127" s="1487"/>
      <c r="J127" s="1488"/>
      <c r="K127" s="1489"/>
      <c r="L127" s="1490"/>
      <c r="M127" s="1487"/>
      <c r="N127" s="1488"/>
      <c r="O127" s="1489"/>
      <c r="P127" s="1490"/>
      <c r="Q127" s="1399"/>
      <c r="X127" s="1445" t="e">
        <f ca="1"/>
        <v>#NAME?</v>
      </c>
      <c r="Y127" s="1446" t="e">
        <f ca="1"/>
        <v>#NAME?</v>
      </c>
      <c r="Z127" s="1408"/>
      <c r="AB127" s="1399"/>
      <c r="AC127" s="1399"/>
      <c r="AD127" s="1399"/>
      <c r="AE127" s="1399"/>
    </row>
    <row r="128" spans="1:31">
      <c r="A128" s="1487"/>
      <c r="B128" s="1488"/>
      <c r="C128" s="1489"/>
      <c r="D128" s="1490"/>
      <c r="E128" s="1487"/>
      <c r="F128" s="1488"/>
      <c r="G128" s="1489"/>
      <c r="H128" s="1490"/>
      <c r="I128" s="1487"/>
      <c r="J128" s="1488"/>
      <c r="K128" s="1489"/>
      <c r="L128" s="1490"/>
      <c r="M128" s="1487"/>
      <c r="N128" s="1488"/>
      <c r="O128" s="1489"/>
      <c r="P128" s="1490"/>
      <c r="Q128" s="1399"/>
      <c r="X128" s="1445" t="e">
        <f ca="1"/>
        <v>#NAME?</v>
      </c>
      <c r="Y128" s="1446" t="e">
        <f ca="1"/>
        <v>#NAME?</v>
      </c>
      <c r="Z128" s="1408"/>
      <c r="AB128" s="1399"/>
      <c r="AC128" s="1399"/>
      <c r="AD128" s="1399"/>
      <c r="AE128" s="1399"/>
    </row>
    <row r="129" spans="1:31">
      <c r="A129" s="1487"/>
      <c r="B129" s="1488"/>
      <c r="C129" s="1489"/>
      <c r="D129" s="1490"/>
      <c r="E129" s="1487"/>
      <c r="F129" s="1488"/>
      <c r="G129" s="1489"/>
      <c r="H129" s="1490"/>
      <c r="I129" s="1487"/>
      <c r="J129" s="1488"/>
      <c r="K129" s="1489"/>
      <c r="L129" s="1490"/>
      <c r="M129" s="1487"/>
      <c r="N129" s="1488"/>
      <c r="O129" s="1489"/>
      <c r="P129" s="1490"/>
      <c r="Q129" s="1399"/>
      <c r="X129" s="1445" t="e">
        <f ca="1"/>
        <v>#NAME?</v>
      </c>
      <c r="Y129" s="1446" t="e">
        <f ca="1"/>
        <v>#NAME?</v>
      </c>
      <c r="Z129" s="1408"/>
      <c r="AB129" s="1399"/>
      <c r="AC129" s="1399"/>
      <c r="AD129" s="1399"/>
      <c r="AE129" s="1399"/>
    </row>
    <row r="130" spans="1:31">
      <c r="A130" s="1487"/>
      <c r="B130" s="1488"/>
      <c r="C130" s="1489"/>
      <c r="D130" s="1490"/>
      <c r="E130" s="1487"/>
      <c r="F130" s="1488"/>
      <c r="G130" s="1489"/>
      <c r="H130" s="1490"/>
      <c r="I130" s="1487"/>
      <c r="J130" s="1488"/>
      <c r="K130" s="1489"/>
      <c r="L130" s="1490"/>
      <c r="M130" s="1487"/>
      <c r="N130" s="1488"/>
      <c r="O130" s="1489"/>
      <c r="P130" s="1490"/>
      <c r="Q130" s="1399"/>
      <c r="X130" s="1445" t="e">
        <f ca="1"/>
        <v>#NAME?</v>
      </c>
      <c r="Y130" s="1446" t="e">
        <f ca="1"/>
        <v>#NAME?</v>
      </c>
      <c r="Z130" s="1408"/>
      <c r="AB130" s="1399"/>
      <c r="AC130" s="1399"/>
      <c r="AD130" s="1399"/>
      <c r="AE130" s="1399"/>
    </row>
    <row r="131" spans="1:31">
      <c r="A131" s="1487"/>
      <c r="B131" s="1488"/>
      <c r="C131" s="1489"/>
      <c r="D131" s="1490"/>
      <c r="E131" s="1487"/>
      <c r="F131" s="1488"/>
      <c r="G131" s="1489"/>
      <c r="H131" s="1490"/>
      <c r="I131" s="1487"/>
      <c r="J131" s="1488"/>
      <c r="K131" s="1489"/>
      <c r="L131" s="1490"/>
      <c r="M131" s="1487"/>
      <c r="N131" s="1488"/>
      <c r="O131" s="1489"/>
      <c r="P131" s="1490"/>
      <c r="Q131" s="1399"/>
      <c r="X131" s="1445" t="e">
        <f ca="1"/>
        <v>#NAME?</v>
      </c>
      <c r="Y131" s="1446" t="e">
        <f ca="1"/>
        <v>#NAME?</v>
      </c>
      <c r="Z131" s="1408"/>
      <c r="AB131" s="1399"/>
      <c r="AC131" s="1399"/>
      <c r="AD131" s="1399"/>
      <c r="AE131" s="1399"/>
    </row>
    <row r="132" spans="1:31">
      <c r="A132" s="1487"/>
      <c r="B132" s="1488"/>
      <c r="C132" s="1489"/>
      <c r="D132" s="1490"/>
      <c r="E132" s="1487"/>
      <c r="F132" s="1488"/>
      <c r="G132" s="1489"/>
      <c r="H132" s="1490"/>
      <c r="I132" s="1487"/>
      <c r="J132" s="1488"/>
      <c r="K132" s="1489"/>
      <c r="L132" s="1490"/>
      <c r="M132" s="1487"/>
      <c r="N132" s="1488"/>
      <c r="O132" s="1489"/>
      <c r="P132" s="1490"/>
      <c r="Q132" s="1399"/>
      <c r="X132" s="1445" t="e">
        <f ca="1"/>
        <v>#NAME?</v>
      </c>
      <c r="Y132" s="1446" t="e">
        <f ca="1"/>
        <v>#NAME?</v>
      </c>
      <c r="Z132" s="1408"/>
      <c r="AB132" s="1399"/>
      <c r="AC132" s="1399"/>
      <c r="AD132" s="1399"/>
      <c r="AE132" s="1399"/>
    </row>
    <row r="133" spans="1:31">
      <c r="A133" s="1487"/>
      <c r="B133" s="1488"/>
      <c r="C133" s="1489"/>
      <c r="D133" s="1490"/>
      <c r="E133" s="1487"/>
      <c r="F133" s="1488"/>
      <c r="G133" s="1489"/>
      <c r="H133" s="1490"/>
      <c r="I133" s="1487"/>
      <c r="J133" s="1488"/>
      <c r="K133" s="1489"/>
      <c r="L133" s="1490"/>
      <c r="M133" s="1487"/>
      <c r="N133" s="1488"/>
      <c r="O133" s="1489"/>
      <c r="P133" s="1490"/>
      <c r="Q133" s="1399"/>
      <c r="X133" s="1445" t="e">
        <f ca="1"/>
        <v>#NAME?</v>
      </c>
      <c r="Y133" s="1446" t="e">
        <f ca="1"/>
        <v>#NAME?</v>
      </c>
      <c r="Z133" s="1408"/>
      <c r="AB133" s="1399"/>
      <c r="AC133" s="1399"/>
      <c r="AD133" s="1399"/>
      <c r="AE133" s="1399"/>
    </row>
    <row r="134" spans="1:31">
      <c r="A134" s="1487"/>
      <c r="B134" s="1488"/>
      <c r="C134" s="1489"/>
      <c r="D134" s="1490"/>
      <c r="E134" s="1487"/>
      <c r="F134" s="1488"/>
      <c r="G134" s="1489"/>
      <c r="H134" s="1490"/>
      <c r="I134" s="1487"/>
      <c r="J134" s="1488"/>
      <c r="K134" s="1489"/>
      <c r="L134" s="1490"/>
      <c r="M134" s="1487"/>
      <c r="N134" s="1488"/>
      <c r="O134" s="1489"/>
      <c r="P134" s="1490"/>
      <c r="Q134" s="1399"/>
      <c r="X134" s="1445" t="e">
        <f ca="1"/>
        <v>#NAME?</v>
      </c>
      <c r="Y134" s="1446" t="e">
        <f ca="1"/>
        <v>#NAME?</v>
      </c>
      <c r="Z134" s="1408"/>
      <c r="AB134" s="1399"/>
      <c r="AC134" s="1399"/>
      <c r="AD134" s="1399"/>
      <c r="AE134" s="1399"/>
    </row>
    <row r="135" spans="1:31">
      <c r="A135" s="1487"/>
      <c r="B135" s="1488"/>
      <c r="C135" s="1489"/>
      <c r="D135" s="1490"/>
      <c r="E135" s="1487"/>
      <c r="F135" s="1488"/>
      <c r="G135" s="1489"/>
      <c r="H135" s="1490"/>
      <c r="I135" s="1487"/>
      <c r="J135" s="1488"/>
      <c r="K135" s="1489"/>
      <c r="L135" s="1490"/>
      <c r="M135" s="1487"/>
      <c r="N135" s="1488"/>
      <c r="O135" s="1489"/>
      <c r="P135" s="1490"/>
      <c r="Q135" s="1399"/>
      <c r="X135" s="1445" t="e">
        <f ca="1"/>
        <v>#NAME?</v>
      </c>
      <c r="Y135" s="1446" t="e">
        <f ca="1"/>
        <v>#NAME?</v>
      </c>
      <c r="Z135" s="1408"/>
      <c r="AB135" s="1399"/>
      <c r="AC135" s="1399"/>
      <c r="AD135" s="1399"/>
      <c r="AE135" s="1399"/>
    </row>
    <row r="136" spans="1:31">
      <c r="A136" s="1487"/>
      <c r="B136" s="1488"/>
      <c r="C136" s="1489"/>
      <c r="D136" s="1490"/>
      <c r="E136" s="1487"/>
      <c r="F136" s="1488"/>
      <c r="G136" s="1489"/>
      <c r="H136" s="1490"/>
      <c r="I136" s="1487"/>
      <c r="J136" s="1488"/>
      <c r="K136" s="1489"/>
      <c r="L136" s="1490"/>
      <c r="M136" s="1487"/>
      <c r="N136" s="1488"/>
      <c r="O136" s="1489"/>
      <c r="P136" s="1490"/>
      <c r="Q136" s="1399"/>
      <c r="X136" s="1445" t="e">
        <f ca="1"/>
        <v>#NAME?</v>
      </c>
      <c r="Y136" s="1446" t="e">
        <f ca="1"/>
        <v>#NAME?</v>
      </c>
      <c r="Z136" s="1408"/>
      <c r="AB136" s="1399"/>
      <c r="AC136" s="1399"/>
      <c r="AD136" s="1399"/>
      <c r="AE136" s="1399"/>
    </row>
    <row r="137" spans="1:31">
      <c r="A137" s="1487"/>
      <c r="B137" s="1488"/>
      <c r="C137" s="1489"/>
      <c r="D137" s="1490"/>
      <c r="E137" s="1487"/>
      <c r="F137" s="1488"/>
      <c r="G137" s="1489"/>
      <c r="H137" s="1490"/>
      <c r="I137" s="1487"/>
      <c r="J137" s="1488"/>
      <c r="K137" s="1489"/>
      <c r="L137" s="1490"/>
      <c r="M137" s="1487"/>
      <c r="N137" s="1488"/>
      <c r="O137" s="1489"/>
      <c r="P137" s="1490"/>
      <c r="Q137" s="1399"/>
      <c r="X137" s="1445" t="e">
        <f ca="1"/>
        <v>#NAME?</v>
      </c>
      <c r="Y137" s="1446" t="e">
        <f ca="1"/>
        <v>#NAME?</v>
      </c>
      <c r="Z137" s="1408"/>
      <c r="AB137" s="1399"/>
      <c r="AC137" s="1399"/>
      <c r="AD137" s="1399"/>
      <c r="AE137" s="1399"/>
    </row>
    <row r="138" spans="1:31">
      <c r="A138" s="1487"/>
      <c r="B138" s="1488"/>
      <c r="C138" s="1489"/>
      <c r="D138" s="1490"/>
      <c r="E138" s="1487"/>
      <c r="F138" s="1488"/>
      <c r="G138" s="1489"/>
      <c r="H138" s="1490"/>
      <c r="I138" s="1487"/>
      <c r="J138" s="1488"/>
      <c r="K138" s="1489"/>
      <c r="L138" s="1490"/>
      <c r="M138" s="1487"/>
      <c r="N138" s="1488"/>
      <c r="O138" s="1489"/>
      <c r="P138" s="1490"/>
      <c r="Q138" s="1399"/>
      <c r="X138" s="1445" t="e">
        <f ca="1"/>
        <v>#NAME?</v>
      </c>
      <c r="Y138" s="1446" t="e">
        <f ca="1"/>
        <v>#NAME?</v>
      </c>
      <c r="Z138" s="1408"/>
      <c r="AB138" s="1399"/>
      <c r="AC138" s="1399"/>
      <c r="AD138" s="1399"/>
      <c r="AE138" s="1399"/>
    </row>
    <row r="139" spans="1:31">
      <c r="A139" s="1487"/>
      <c r="B139" s="1488"/>
      <c r="C139" s="1489"/>
      <c r="D139" s="1490"/>
      <c r="E139" s="1487"/>
      <c r="F139" s="1488"/>
      <c r="G139" s="1489"/>
      <c r="H139" s="1490"/>
      <c r="I139" s="1487"/>
      <c r="J139" s="1488"/>
      <c r="K139" s="1489"/>
      <c r="L139" s="1490"/>
      <c r="M139" s="1487"/>
      <c r="N139" s="1488"/>
      <c r="O139" s="1489"/>
      <c r="P139" s="1490"/>
      <c r="Q139" s="1399"/>
      <c r="X139" s="1445" t="e">
        <f ca="1"/>
        <v>#NAME?</v>
      </c>
      <c r="Y139" s="1446" t="e">
        <f ca="1"/>
        <v>#NAME?</v>
      </c>
      <c r="Z139" s="1408"/>
      <c r="AB139" s="1399"/>
      <c r="AC139" s="1399"/>
      <c r="AD139" s="1399"/>
      <c r="AE139" s="1399"/>
    </row>
    <row r="140" spans="1:31">
      <c r="A140" s="1487"/>
      <c r="B140" s="1488"/>
      <c r="C140" s="1489"/>
      <c r="D140" s="1490"/>
      <c r="E140" s="1487"/>
      <c r="F140" s="1488"/>
      <c r="G140" s="1489"/>
      <c r="H140" s="1490"/>
      <c r="I140" s="1487"/>
      <c r="J140" s="1488"/>
      <c r="K140" s="1489"/>
      <c r="L140" s="1490"/>
      <c r="M140" s="1487"/>
      <c r="N140" s="1488"/>
      <c r="O140" s="1489"/>
      <c r="P140" s="1490"/>
      <c r="Q140" s="1399"/>
      <c r="X140" s="1445" t="e">
        <f ca="1"/>
        <v>#NAME?</v>
      </c>
      <c r="Y140" s="1446" t="e">
        <f ca="1"/>
        <v>#NAME?</v>
      </c>
      <c r="Z140" s="1408"/>
      <c r="AB140" s="1399"/>
      <c r="AC140" s="1399"/>
      <c r="AD140" s="1399"/>
      <c r="AE140" s="1399"/>
    </row>
    <row r="141" spans="1:31">
      <c r="A141" s="1487"/>
      <c r="B141" s="1488"/>
      <c r="C141" s="1489"/>
      <c r="D141" s="1490"/>
      <c r="E141" s="1487"/>
      <c r="F141" s="1488"/>
      <c r="G141" s="1489"/>
      <c r="H141" s="1490"/>
      <c r="I141" s="1487"/>
      <c r="J141" s="1488"/>
      <c r="K141" s="1489"/>
      <c r="L141" s="1490"/>
      <c r="M141" s="1487"/>
      <c r="N141" s="1488"/>
      <c r="O141" s="1489"/>
      <c r="P141" s="1490"/>
      <c r="Q141" s="1399"/>
      <c r="X141" s="1445" t="e">
        <f ca="1"/>
        <v>#NAME?</v>
      </c>
      <c r="Y141" s="1446" t="e">
        <f ca="1"/>
        <v>#NAME?</v>
      </c>
      <c r="Z141" s="1408"/>
      <c r="AB141" s="1399"/>
      <c r="AC141" s="1399"/>
      <c r="AD141" s="1399"/>
      <c r="AE141" s="1399"/>
    </row>
    <row r="142" spans="1:31">
      <c r="A142" s="1487"/>
      <c r="B142" s="1488"/>
      <c r="C142" s="1489"/>
      <c r="D142" s="1490"/>
      <c r="E142" s="1487"/>
      <c r="F142" s="1488"/>
      <c r="G142" s="1489"/>
      <c r="H142" s="1490"/>
      <c r="I142" s="1487"/>
      <c r="J142" s="1488"/>
      <c r="K142" s="1489"/>
      <c r="L142" s="1490"/>
      <c r="M142" s="1487"/>
      <c r="N142" s="1488"/>
      <c r="O142" s="1489"/>
      <c r="P142" s="1490"/>
      <c r="Q142" s="1399"/>
      <c r="X142" s="1445" t="e">
        <f ca="1"/>
        <v>#NAME?</v>
      </c>
      <c r="Y142" s="1446" t="e">
        <f ca="1"/>
        <v>#NAME?</v>
      </c>
      <c r="Z142" s="1408"/>
      <c r="AB142" s="1399"/>
      <c r="AC142" s="1399"/>
      <c r="AD142" s="1399"/>
      <c r="AE142" s="1399"/>
    </row>
    <row r="143" spans="1:31">
      <c r="A143" s="1487"/>
      <c r="B143" s="1488"/>
      <c r="C143" s="1489"/>
      <c r="D143" s="1490"/>
      <c r="E143" s="1487"/>
      <c r="F143" s="1488"/>
      <c r="G143" s="1489"/>
      <c r="H143" s="1490"/>
      <c r="I143" s="1487"/>
      <c r="J143" s="1488"/>
      <c r="K143" s="1489"/>
      <c r="L143" s="1490"/>
      <c r="M143" s="1487"/>
      <c r="N143" s="1488"/>
      <c r="O143" s="1489"/>
      <c r="P143" s="1490"/>
      <c r="Q143" s="1399"/>
      <c r="X143" s="1445" t="e">
        <f ca="1"/>
        <v>#NAME?</v>
      </c>
      <c r="Y143" s="1446" t="e">
        <f ca="1"/>
        <v>#NAME?</v>
      </c>
      <c r="Z143" s="1408"/>
      <c r="AB143" s="1399"/>
      <c r="AC143" s="1399"/>
      <c r="AD143" s="1399"/>
      <c r="AE143" s="1399"/>
    </row>
    <row r="144" spans="1:31">
      <c r="A144" s="1487"/>
      <c r="B144" s="1488"/>
      <c r="C144" s="1489"/>
      <c r="D144" s="1490"/>
      <c r="E144" s="1487"/>
      <c r="F144" s="1488"/>
      <c r="G144" s="1489"/>
      <c r="H144" s="1490"/>
      <c r="I144" s="1487"/>
      <c r="J144" s="1488"/>
      <c r="K144" s="1489"/>
      <c r="L144" s="1490"/>
      <c r="M144" s="1487"/>
      <c r="N144" s="1488"/>
      <c r="O144" s="1489"/>
      <c r="P144" s="1490"/>
      <c r="Q144" s="1399"/>
      <c r="X144" s="1445" t="e">
        <f ca="1"/>
        <v>#NAME?</v>
      </c>
      <c r="Y144" s="1446" t="e">
        <f ca="1"/>
        <v>#NAME?</v>
      </c>
      <c r="Z144" s="1408"/>
      <c r="AB144" s="1399"/>
      <c r="AC144" s="1399"/>
      <c r="AD144" s="1399"/>
      <c r="AE144" s="1399"/>
    </row>
    <row r="145" spans="1:31">
      <c r="A145" s="1487"/>
      <c r="B145" s="1488"/>
      <c r="C145" s="1489"/>
      <c r="D145" s="1490"/>
      <c r="E145" s="1487"/>
      <c r="F145" s="1488"/>
      <c r="G145" s="1489"/>
      <c r="H145" s="1490"/>
      <c r="I145" s="1487"/>
      <c r="J145" s="1488"/>
      <c r="K145" s="1489"/>
      <c r="L145" s="1490"/>
      <c r="M145" s="1487"/>
      <c r="N145" s="1488"/>
      <c r="O145" s="1489"/>
      <c r="P145" s="1490"/>
      <c r="Q145" s="1399"/>
      <c r="X145" s="1445" t="e">
        <f ca="1"/>
        <v>#NAME?</v>
      </c>
      <c r="Y145" s="1446" t="e">
        <f ca="1"/>
        <v>#NAME?</v>
      </c>
      <c r="Z145" s="1408"/>
      <c r="AB145" s="1399"/>
      <c r="AC145" s="1399"/>
      <c r="AD145" s="1399"/>
      <c r="AE145" s="1399"/>
    </row>
    <row r="146" spans="1:31">
      <c r="A146" s="1487"/>
      <c r="B146" s="1488"/>
      <c r="C146" s="1489"/>
      <c r="D146" s="1490"/>
      <c r="E146" s="1487"/>
      <c r="F146" s="1488"/>
      <c r="G146" s="1489"/>
      <c r="H146" s="1490"/>
      <c r="I146" s="1487"/>
      <c r="J146" s="1488"/>
      <c r="K146" s="1489"/>
      <c r="L146" s="1490"/>
      <c r="M146" s="1487"/>
      <c r="N146" s="1488"/>
      <c r="O146" s="1489"/>
      <c r="P146" s="1490"/>
      <c r="Q146" s="1399"/>
      <c r="X146" s="1445" t="e">
        <f ca="1"/>
        <v>#NAME?</v>
      </c>
      <c r="Y146" s="1446" t="e">
        <f ca="1"/>
        <v>#NAME?</v>
      </c>
      <c r="Z146" s="1408"/>
      <c r="AB146" s="1399"/>
      <c r="AC146" s="1399"/>
      <c r="AD146" s="1399"/>
      <c r="AE146" s="1399"/>
    </row>
    <row r="147" spans="1:31">
      <c r="A147" s="1487"/>
      <c r="B147" s="1488"/>
      <c r="C147" s="1489"/>
      <c r="D147" s="1490"/>
      <c r="E147" s="1487"/>
      <c r="F147" s="1488"/>
      <c r="G147" s="1489"/>
      <c r="H147" s="1490"/>
      <c r="I147" s="1487"/>
      <c r="J147" s="1488"/>
      <c r="K147" s="1489"/>
      <c r="L147" s="1490"/>
      <c r="M147" s="1487"/>
      <c r="N147" s="1488"/>
      <c r="O147" s="1489"/>
      <c r="P147" s="1490"/>
      <c r="Q147" s="1399"/>
      <c r="X147" s="1445" t="e">
        <f ca="1"/>
        <v>#NAME?</v>
      </c>
      <c r="Y147" s="1446" t="e">
        <f ca="1"/>
        <v>#NAME?</v>
      </c>
      <c r="Z147" s="1408"/>
      <c r="AB147" s="1399"/>
      <c r="AC147" s="1399"/>
      <c r="AD147" s="1399"/>
      <c r="AE147" s="1399"/>
    </row>
    <row r="148" spans="1:31">
      <c r="A148" s="1487"/>
      <c r="B148" s="1488"/>
      <c r="C148" s="1489"/>
      <c r="D148" s="1490"/>
      <c r="E148" s="1487"/>
      <c r="F148" s="1488"/>
      <c r="G148" s="1489"/>
      <c r="H148" s="1490"/>
      <c r="I148" s="1487"/>
      <c r="J148" s="1488"/>
      <c r="K148" s="1489"/>
      <c r="L148" s="1490"/>
      <c r="M148" s="1487"/>
      <c r="N148" s="1488"/>
      <c r="O148" s="1489"/>
      <c r="P148" s="1490"/>
      <c r="Q148" s="1399"/>
      <c r="X148" s="1445" t="e">
        <f ca="1"/>
        <v>#NAME?</v>
      </c>
      <c r="Y148" s="1446" t="e">
        <f ca="1"/>
        <v>#NAME?</v>
      </c>
      <c r="Z148" s="1408"/>
      <c r="AB148" s="1399"/>
      <c r="AC148" s="1399"/>
      <c r="AD148" s="1399"/>
      <c r="AE148" s="1399"/>
    </row>
    <row r="149" spans="1:31">
      <c r="A149" s="1487"/>
      <c r="B149" s="1488"/>
      <c r="C149" s="1489"/>
      <c r="D149" s="1490"/>
      <c r="E149" s="1487"/>
      <c r="F149" s="1488"/>
      <c r="G149" s="1489"/>
      <c r="H149" s="1490"/>
      <c r="I149" s="1487"/>
      <c r="J149" s="1488"/>
      <c r="K149" s="1489"/>
      <c r="L149" s="1490"/>
      <c r="M149" s="1487"/>
      <c r="N149" s="1488"/>
      <c r="O149" s="1489"/>
      <c r="P149" s="1490"/>
      <c r="Q149" s="1399"/>
      <c r="X149" s="1445" t="e">
        <f ca="1"/>
        <v>#NAME?</v>
      </c>
      <c r="Y149" s="1446" t="e">
        <f ca="1"/>
        <v>#NAME?</v>
      </c>
      <c r="Z149" s="1408"/>
      <c r="AB149" s="1399"/>
      <c r="AC149" s="1399"/>
      <c r="AD149" s="1399"/>
      <c r="AE149" s="1399"/>
    </row>
    <row r="150" spans="1:31">
      <c r="A150" s="1487"/>
      <c r="B150" s="1488"/>
      <c r="C150" s="1489"/>
      <c r="D150" s="1490"/>
      <c r="E150" s="1487"/>
      <c r="F150" s="1488"/>
      <c r="G150" s="1489"/>
      <c r="H150" s="1490"/>
      <c r="I150" s="1487"/>
      <c r="J150" s="1488"/>
      <c r="K150" s="1489"/>
      <c r="L150" s="1490"/>
      <c r="M150" s="1487"/>
      <c r="N150" s="1488"/>
      <c r="O150" s="1489"/>
      <c r="P150" s="1490"/>
      <c r="Q150" s="1399"/>
      <c r="X150" s="1445" t="e">
        <f ca="1"/>
        <v>#NAME?</v>
      </c>
      <c r="Y150" s="1446" t="e">
        <f ca="1"/>
        <v>#NAME?</v>
      </c>
      <c r="Z150" s="1408"/>
      <c r="AB150" s="1399"/>
      <c r="AC150" s="1399"/>
      <c r="AD150" s="1399"/>
      <c r="AE150" s="1399"/>
    </row>
    <row r="151" spans="1:31">
      <c r="A151" s="1487"/>
      <c r="B151" s="1488"/>
      <c r="C151" s="1489"/>
      <c r="D151" s="1490"/>
      <c r="E151" s="1487"/>
      <c r="F151" s="1488"/>
      <c r="G151" s="1489"/>
      <c r="H151" s="1490"/>
      <c r="I151" s="1487"/>
      <c r="J151" s="1488"/>
      <c r="K151" s="1489"/>
      <c r="L151" s="1490"/>
      <c r="M151" s="1487"/>
      <c r="N151" s="1488"/>
      <c r="O151" s="1489"/>
      <c r="P151" s="1490"/>
      <c r="Q151" s="1399"/>
      <c r="X151" s="1445" t="e">
        <f ca="1"/>
        <v>#NAME?</v>
      </c>
      <c r="Y151" s="1446" t="e">
        <f ca="1"/>
        <v>#NAME?</v>
      </c>
      <c r="Z151" s="1408"/>
      <c r="AB151" s="1399"/>
      <c r="AC151" s="1399"/>
      <c r="AD151" s="1399"/>
      <c r="AE151" s="1399"/>
    </row>
    <row r="152" spans="1:31">
      <c r="A152" s="1487"/>
      <c r="B152" s="1488"/>
      <c r="C152" s="1489"/>
      <c r="D152" s="1490"/>
      <c r="E152" s="1487"/>
      <c r="F152" s="1488"/>
      <c r="G152" s="1489"/>
      <c r="H152" s="1490"/>
      <c r="I152" s="1487"/>
      <c r="J152" s="1488"/>
      <c r="K152" s="1489"/>
      <c r="L152" s="1490"/>
      <c r="M152" s="1487"/>
      <c r="N152" s="1488"/>
      <c r="O152" s="1489"/>
      <c r="P152" s="1490"/>
      <c r="Q152" s="1399"/>
      <c r="X152" s="1445" t="e">
        <f ca="1"/>
        <v>#NAME?</v>
      </c>
      <c r="Y152" s="1446" t="e">
        <f ca="1"/>
        <v>#NAME?</v>
      </c>
      <c r="Z152" s="1408"/>
      <c r="AB152" s="1399"/>
      <c r="AC152" s="1399"/>
      <c r="AD152" s="1399"/>
      <c r="AE152" s="1399"/>
    </row>
    <row r="153" spans="1:31">
      <c r="A153" s="1487"/>
      <c r="B153" s="1488"/>
      <c r="C153" s="1489"/>
      <c r="D153" s="1490"/>
      <c r="E153" s="1487"/>
      <c r="F153" s="1488"/>
      <c r="G153" s="1489"/>
      <c r="H153" s="1490"/>
      <c r="I153" s="1487"/>
      <c r="J153" s="1488"/>
      <c r="K153" s="1489"/>
      <c r="L153" s="1490"/>
      <c r="M153" s="1487"/>
      <c r="N153" s="1488"/>
      <c r="O153" s="1489"/>
      <c r="P153" s="1490"/>
      <c r="Q153" s="1399"/>
      <c r="X153" s="1445" t="e">
        <f ca="1"/>
        <v>#NAME?</v>
      </c>
      <c r="Y153" s="1446" t="e">
        <f ca="1"/>
        <v>#NAME?</v>
      </c>
      <c r="Z153" s="1408"/>
      <c r="AB153" s="1399"/>
      <c r="AC153" s="1399"/>
      <c r="AD153" s="1399"/>
      <c r="AE153" s="1399"/>
    </row>
    <row r="154" spans="1:31">
      <c r="A154" s="1487"/>
      <c r="B154" s="1488"/>
      <c r="C154" s="1489"/>
      <c r="D154" s="1490"/>
      <c r="E154" s="1487"/>
      <c r="F154" s="1488"/>
      <c r="G154" s="1489"/>
      <c r="H154" s="1490"/>
      <c r="I154" s="1487"/>
      <c r="J154" s="1488"/>
      <c r="K154" s="1489"/>
      <c r="L154" s="1490"/>
      <c r="M154" s="1487"/>
      <c r="N154" s="1488"/>
      <c r="O154" s="1489"/>
      <c r="P154" s="1490"/>
      <c r="Q154" s="1399"/>
      <c r="X154" s="1445" t="e">
        <f ca="1"/>
        <v>#NAME?</v>
      </c>
      <c r="Y154" s="1446" t="e">
        <f ca="1"/>
        <v>#NAME?</v>
      </c>
      <c r="Z154" s="1408"/>
      <c r="AB154" s="1399"/>
      <c r="AC154" s="1399"/>
      <c r="AD154" s="1399"/>
      <c r="AE154" s="1399"/>
    </row>
    <row r="155" spans="1:31">
      <c r="A155" s="1487"/>
      <c r="B155" s="1488"/>
      <c r="C155" s="1489"/>
      <c r="D155" s="1490"/>
      <c r="E155" s="1487"/>
      <c r="F155" s="1488"/>
      <c r="G155" s="1489"/>
      <c r="H155" s="1490"/>
      <c r="I155" s="1487"/>
      <c r="J155" s="1488"/>
      <c r="K155" s="1489"/>
      <c r="L155" s="1490"/>
      <c r="M155" s="1487"/>
      <c r="N155" s="1488"/>
      <c r="O155" s="1489"/>
      <c r="P155" s="1490"/>
      <c r="Q155" s="1399"/>
      <c r="X155" s="1445" t="e">
        <f ca="1"/>
        <v>#NAME?</v>
      </c>
      <c r="Y155" s="1446" t="e">
        <f ca="1"/>
        <v>#NAME?</v>
      </c>
      <c r="Z155" s="1408"/>
      <c r="AB155" s="1399"/>
      <c r="AC155" s="1399"/>
      <c r="AD155" s="1399"/>
      <c r="AE155" s="1399"/>
    </row>
    <row r="156" spans="1:31">
      <c r="A156" s="1487"/>
      <c r="B156" s="1488"/>
      <c r="C156" s="1489"/>
      <c r="D156" s="1490"/>
      <c r="E156" s="1487"/>
      <c r="F156" s="1488"/>
      <c r="G156" s="1489"/>
      <c r="H156" s="1490"/>
      <c r="I156" s="1487"/>
      <c r="J156" s="1488"/>
      <c r="K156" s="1489"/>
      <c r="L156" s="1490"/>
      <c r="M156" s="1487"/>
      <c r="N156" s="1488"/>
      <c r="O156" s="1489"/>
      <c r="P156" s="1490"/>
      <c r="Q156" s="1399"/>
      <c r="X156" s="1445" t="e">
        <f ca="1"/>
        <v>#NAME?</v>
      </c>
      <c r="Y156" s="1446" t="e">
        <f ca="1"/>
        <v>#NAME?</v>
      </c>
      <c r="Z156" s="1408"/>
      <c r="AB156" s="1399"/>
      <c r="AC156" s="1399"/>
      <c r="AD156" s="1399"/>
      <c r="AE156" s="1399"/>
    </row>
    <row r="157" spans="1:31">
      <c r="A157" s="1487"/>
      <c r="B157" s="1488"/>
      <c r="C157" s="1489"/>
      <c r="D157" s="1490"/>
      <c r="E157" s="1487"/>
      <c r="F157" s="1488"/>
      <c r="G157" s="1489"/>
      <c r="H157" s="1490"/>
      <c r="I157" s="1487"/>
      <c r="J157" s="1488"/>
      <c r="K157" s="1489"/>
      <c r="L157" s="1490"/>
      <c r="M157" s="1487"/>
      <c r="N157" s="1488"/>
      <c r="O157" s="1489"/>
      <c r="P157" s="1490"/>
      <c r="Q157" s="1399"/>
      <c r="X157" s="1445" t="e">
        <f ca="1"/>
        <v>#NAME?</v>
      </c>
      <c r="Y157" s="1446" t="e">
        <f ca="1"/>
        <v>#NAME?</v>
      </c>
      <c r="Z157" s="1408"/>
      <c r="AB157" s="1399"/>
      <c r="AC157" s="1399"/>
      <c r="AD157" s="1399"/>
      <c r="AE157" s="1399"/>
    </row>
    <row r="158" spans="1:31">
      <c r="A158" s="1487"/>
      <c r="B158" s="1488"/>
      <c r="C158" s="1489"/>
      <c r="D158" s="1490"/>
      <c r="E158" s="1487"/>
      <c r="F158" s="1488"/>
      <c r="G158" s="1489"/>
      <c r="H158" s="1490"/>
      <c r="I158" s="1487"/>
      <c r="J158" s="1488"/>
      <c r="K158" s="1489"/>
      <c r="L158" s="1490"/>
      <c r="M158" s="1487"/>
      <c r="N158" s="1488"/>
      <c r="O158" s="1489"/>
      <c r="P158" s="1490"/>
      <c r="Q158" s="1399"/>
      <c r="X158" s="1445" t="e">
        <f ca="1"/>
        <v>#NAME?</v>
      </c>
      <c r="Y158" s="1446" t="e">
        <f ca="1"/>
        <v>#NAME?</v>
      </c>
      <c r="Z158" s="1408"/>
      <c r="AB158" s="1399"/>
      <c r="AC158" s="1399"/>
      <c r="AD158" s="1399"/>
      <c r="AE158" s="1399"/>
    </row>
    <row r="159" spans="1:31">
      <c r="A159" s="1487"/>
      <c r="B159" s="1488"/>
      <c r="C159" s="1489"/>
      <c r="D159" s="1490"/>
      <c r="E159" s="1487"/>
      <c r="F159" s="1488"/>
      <c r="G159" s="1489"/>
      <c r="H159" s="1490"/>
      <c r="I159" s="1487"/>
      <c r="J159" s="1488"/>
      <c r="K159" s="1489"/>
      <c r="L159" s="1490"/>
      <c r="M159" s="1487"/>
      <c r="N159" s="1488"/>
      <c r="O159" s="1489"/>
      <c r="P159" s="1490"/>
      <c r="Q159" s="1399"/>
      <c r="X159" s="1445" t="e">
        <f ca="1"/>
        <v>#NAME?</v>
      </c>
      <c r="Y159" s="1446" t="e">
        <f ca="1"/>
        <v>#NAME?</v>
      </c>
      <c r="Z159" s="1408"/>
      <c r="AB159" s="1399"/>
      <c r="AC159" s="1399"/>
      <c r="AD159" s="1399"/>
      <c r="AE159" s="1399"/>
    </row>
    <row r="160" spans="1:31">
      <c r="A160" s="1487"/>
      <c r="B160" s="1488"/>
      <c r="C160" s="1489"/>
      <c r="D160" s="1490"/>
      <c r="E160" s="1487"/>
      <c r="F160" s="1488"/>
      <c r="G160" s="1489"/>
      <c r="H160" s="1490"/>
      <c r="I160" s="1487"/>
      <c r="J160" s="1488"/>
      <c r="K160" s="1489"/>
      <c r="L160" s="1490"/>
      <c r="M160" s="1487"/>
      <c r="N160" s="1488"/>
      <c r="O160" s="1489"/>
      <c r="P160" s="1490"/>
      <c r="Q160" s="1399"/>
      <c r="X160" s="1445" t="e">
        <f ca="1"/>
        <v>#NAME?</v>
      </c>
      <c r="Y160" s="1446" t="e">
        <f ca="1"/>
        <v>#NAME?</v>
      </c>
      <c r="Z160" s="1408"/>
      <c r="AB160" s="1399"/>
      <c r="AC160" s="1399"/>
      <c r="AD160" s="1399"/>
      <c r="AE160" s="1399"/>
    </row>
    <row r="161" spans="1:31">
      <c r="A161" s="1487"/>
      <c r="B161" s="1488"/>
      <c r="C161" s="1489"/>
      <c r="D161" s="1490"/>
      <c r="E161" s="1487"/>
      <c r="F161" s="1488"/>
      <c r="G161" s="1489"/>
      <c r="H161" s="1490"/>
      <c r="I161" s="1487"/>
      <c r="J161" s="1488"/>
      <c r="K161" s="1489"/>
      <c r="L161" s="1490"/>
      <c r="M161" s="1487"/>
      <c r="N161" s="1488"/>
      <c r="O161" s="1489"/>
      <c r="P161" s="1490"/>
      <c r="Q161" s="1399"/>
      <c r="X161" s="1445" t="e">
        <f ca="1"/>
        <v>#NAME?</v>
      </c>
      <c r="Y161" s="1446" t="e">
        <f ca="1"/>
        <v>#NAME?</v>
      </c>
      <c r="Z161" s="1408"/>
      <c r="AB161" s="1399"/>
      <c r="AC161" s="1399"/>
      <c r="AD161" s="1399"/>
      <c r="AE161" s="1399"/>
    </row>
    <row r="162" spans="1:31">
      <c r="A162" s="1487"/>
      <c r="B162" s="1488"/>
      <c r="C162" s="1489"/>
      <c r="D162" s="1490"/>
      <c r="E162" s="1487"/>
      <c r="F162" s="1488"/>
      <c r="G162" s="1489"/>
      <c r="H162" s="1490"/>
      <c r="I162" s="1487"/>
      <c r="J162" s="1488"/>
      <c r="K162" s="1489"/>
      <c r="L162" s="1490"/>
      <c r="M162" s="1487"/>
      <c r="N162" s="1488"/>
      <c r="O162" s="1489"/>
      <c r="P162" s="1490"/>
      <c r="Q162" s="1399"/>
      <c r="X162" s="1445" t="e">
        <f ca="1"/>
        <v>#NAME?</v>
      </c>
      <c r="Y162" s="1446" t="e">
        <f ca="1"/>
        <v>#NAME?</v>
      </c>
      <c r="Z162" s="1408"/>
      <c r="AB162" s="1399"/>
      <c r="AC162" s="1399"/>
      <c r="AD162" s="1399"/>
      <c r="AE162" s="1399"/>
    </row>
    <row r="163" spans="1:31">
      <c r="A163" s="1487"/>
      <c r="B163" s="1488"/>
      <c r="C163" s="1489"/>
      <c r="D163" s="1490"/>
      <c r="E163" s="1487"/>
      <c r="F163" s="1488"/>
      <c r="G163" s="1489"/>
      <c r="H163" s="1490"/>
      <c r="I163" s="1487"/>
      <c r="J163" s="1488"/>
      <c r="K163" s="1489"/>
      <c r="L163" s="1490"/>
      <c r="M163" s="1487"/>
      <c r="N163" s="1488"/>
      <c r="O163" s="1489"/>
      <c r="P163" s="1490"/>
      <c r="Q163" s="1399"/>
      <c r="X163" s="1445" t="e">
        <f ca="1"/>
        <v>#NAME?</v>
      </c>
      <c r="Y163" s="1446" t="e">
        <f ca="1"/>
        <v>#NAME?</v>
      </c>
      <c r="Z163" s="1408"/>
      <c r="AB163" s="1399"/>
      <c r="AC163" s="1399"/>
      <c r="AD163" s="1399"/>
      <c r="AE163" s="1399"/>
    </row>
    <row r="164" spans="1:31">
      <c r="A164" s="1487"/>
      <c r="B164" s="1488"/>
      <c r="C164" s="1489"/>
      <c r="D164" s="1490"/>
      <c r="E164" s="1487"/>
      <c r="F164" s="1488"/>
      <c r="G164" s="1489"/>
      <c r="H164" s="1490"/>
      <c r="I164" s="1487"/>
      <c r="J164" s="1488"/>
      <c r="K164" s="1489"/>
      <c r="L164" s="1490"/>
      <c r="M164" s="1487"/>
      <c r="N164" s="1488"/>
      <c r="O164" s="1489"/>
      <c r="P164" s="1490"/>
      <c r="Q164" s="1399"/>
      <c r="X164" s="1445" t="e">
        <f ca="1"/>
        <v>#NAME?</v>
      </c>
      <c r="Y164" s="1446" t="e">
        <f ca="1"/>
        <v>#NAME?</v>
      </c>
      <c r="Z164" s="1408"/>
      <c r="AB164" s="1399"/>
      <c r="AC164" s="1399"/>
      <c r="AD164" s="1399"/>
      <c r="AE164" s="1399"/>
    </row>
    <row r="165" spans="1:31">
      <c r="A165" s="1487"/>
      <c r="B165" s="1488"/>
      <c r="C165" s="1489"/>
      <c r="D165" s="1490"/>
      <c r="E165" s="1487"/>
      <c r="F165" s="1488"/>
      <c r="G165" s="1489"/>
      <c r="H165" s="1490"/>
      <c r="I165" s="1487"/>
      <c r="J165" s="1488"/>
      <c r="K165" s="1489"/>
      <c r="L165" s="1490"/>
      <c r="M165" s="1487"/>
      <c r="N165" s="1488"/>
      <c r="O165" s="1489"/>
      <c r="P165" s="1490"/>
      <c r="Q165" s="1399"/>
      <c r="X165" s="1445" t="e">
        <f ca="1"/>
        <v>#NAME?</v>
      </c>
      <c r="Y165" s="1446" t="e">
        <f ca="1"/>
        <v>#NAME?</v>
      </c>
      <c r="Z165" s="1408"/>
      <c r="AB165" s="1399"/>
      <c r="AC165" s="1399"/>
      <c r="AD165" s="1399"/>
      <c r="AE165" s="1399"/>
    </row>
    <row r="166" spans="1:31">
      <c r="A166" s="1487"/>
      <c r="B166" s="1488"/>
      <c r="C166" s="1489"/>
      <c r="D166" s="1490"/>
      <c r="E166" s="1487"/>
      <c r="F166" s="1488"/>
      <c r="G166" s="1489"/>
      <c r="H166" s="1490"/>
      <c r="I166" s="1487"/>
      <c r="J166" s="1488"/>
      <c r="K166" s="1489"/>
      <c r="L166" s="1490"/>
      <c r="M166" s="1487"/>
      <c r="N166" s="1488"/>
      <c r="O166" s="1489"/>
      <c r="P166" s="1490"/>
      <c r="Q166" s="1399"/>
      <c r="X166" s="1445" t="e">
        <f ca="1"/>
        <v>#NAME?</v>
      </c>
      <c r="Y166" s="1446" t="e">
        <f ca="1"/>
        <v>#NAME?</v>
      </c>
      <c r="Z166" s="1408"/>
      <c r="AB166" s="1399"/>
      <c r="AC166" s="1399"/>
      <c r="AD166" s="1399"/>
      <c r="AE166" s="1399"/>
    </row>
    <row r="167" spans="1:31">
      <c r="A167" s="1487"/>
      <c r="B167" s="1488"/>
      <c r="C167" s="1489"/>
      <c r="D167" s="1490"/>
      <c r="E167" s="1487"/>
      <c r="F167" s="1488"/>
      <c r="G167" s="1489"/>
      <c r="H167" s="1490"/>
      <c r="I167" s="1487"/>
      <c r="J167" s="1488"/>
      <c r="K167" s="1489"/>
      <c r="L167" s="1490"/>
      <c r="M167" s="1487"/>
      <c r="N167" s="1488"/>
      <c r="O167" s="1489"/>
      <c r="P167" s="1490"/>
      <c r="Q167" s="1399"/>
      <c r="X167" s="1445" t="e">
        <f ca="1"/>
        <v>#NAME?</v>
      </c>
      <c r="Y167" s="1446" t="e">
        <f ca="1"/>
        <v>#NAME?</v>
      </c>
      <c r="Z167" s="1408"/>
      <c r="AB167" s="1399"/>
      <c r="AC167" s="1399"/>
      <c r="AD167" s="1399"/>
      <c r="AE167" s="1399"/>
    </row>
    <row r="168" spans="1:31">
      <c r="A168" s="1487"/>
      <c r="B168" s="1488"/>
      <c r="C168" s="1489"/>
      <c r="D168" s="1490"/>
      <c r="E168" s="1487"/>
      <c r="F168" s="1488"/>
      <c r="G168" s="1489"/>
      <c r="H168" s="1490"/>
      <c r="I168" s="1487"/>
      <c r="J168" s="1488"/>
      <c r="K168" s="1489"/>
      <c r="L168" s="1490"/>
      <c r="M168" s="1487"/>
      <c r="N168" s="1488"/>
      <c r="O168" s="1489"/>
      <c r="P168" s="1490"/>
      <c r="Q168" s="1399"/>
      <c r="X168" s="1445" t="e">
        <f ca="1"/>
        <v>#NAME?</v>
      </c>
      <c r="Y168" s="1446" t="e">
        <f ca="1"/>
        <v>#NAME?</v>
      </c>
      <c r="Z168" s="1408"/>
      <c r="AB168" s="1399"/>
      <c r="AC168" s="1399"/>
      <c r="AD168" s="1399"/>
      <c r="AE168" s="1399"/>
    </row>
    <row r="169" spans="1:31">
      <c r="A169" s="1487"/>
      <c r="B169" s="1488"/>
      <c r="C169" s="1489"/>
      <c r="D169" s="1490"/>
      <c r="E169" s="1487"/>
      <c r="F169" s="1488"/>
      <c r="G169" s="1489"/>
      <c r="H169" s="1490"/>
      <c r="I169" s="1487"/>
      <c r="J169" s="1488"/>
      <c r="K169" s="1489"/>
      <c r="L169" s="1490"/>
      <c r="M169" s="1487"/>
      <c r="N169" s="1488"/>
      <c r="O169" s="1489"/>
      <c r="P169" s="1490"/>
      <c r="Q169" s="1399"/>
      <c r="X169" s="1445" t="e">
        <f ca="1"/>
        <v>#NAME?</v>
      </c>
      <c r="Y169" s="1446" t="e">
        <f ca="1"/>
        <v>#NAME?</v>
      </c>
      <c r="Z169" s="1408"/>
      <c r="AB169" s="1399"/>
      <c r="AC169" s="1399"/>
      <c r="AD169" s="1399"/>
      <c r="AE169" s="1399"/>
    </row>
    <row r="170" spans="1:31">
      <c r="A170" s="1487"/>
      <c r="B170" s="1488"/>
      <c r="C170" s="1489"/>
      <c r="D170" s="1490"/>
      <c r="E170" s="1487"/>
      <c r="F170" s="1488"/>
      <c r="G170" s="1489"/>
      <c r="H170" s="1490"/>
      <c r="I170" s="1487"/>
      <c r="J170" s="1488"/>
      <c r="K170" s="1489"/>
      <c r="L170" s="1490"/>
      <c r="M170" s="1487"/>
      <c r="N170" s="1488"/>
      <c r="O170" s="1489"/>
      <c r="P170" s="1490"/>
      <c r="Q170" s="1399"/>
      <c r="X170" s="1445" t="e">
        <f ca="1"/>
        <v>#NAME?</v>
      </c>
      <c r="Y170" s="1446" t="e">
        <f ca="1"/>
        <v>#NAME?</v>
      </c>
      <c r="Z170" s="1408"/>
      <c r="AB170" s="1399"/>
      <c r="AC170" s="1399"/>
      <c r="AD170" s="1399"/>
      <c r="AE170" s="1399"/>
    </row>
    <row r="171" spans="1:31">
      <c r="A171" s="1487"/>
      <c r="B171" s="1488"/>
      <c r="C171" s="1489"/>
      <c r="D171" s="1490"/>
      <c r="E171" s="1487"/>
      <c r="F171" s="1488"/>
      <c r="G171" s="1489"/>
      <c r="H171" s="1490"/>
      <c r="I171" s="1487"/>
      <c r="J171" s="1488"/>
      <c r="K171" s="1489"/>
      <c r="L171" s="1490"/>
      <c r="M171" s="1487"/>
      <c r="N171" s="1488"/>
      <c r="O171" s="1489"/>
      <c r="P171" s="1490"/>
      <c r="Q171" s="1399"/>
      <c r="X171" s="1445" t="e">
        <f ca="1"/>
        <v>#NAME?</v>
      </c>
      <c r="Y171" s="1446" t="e">
        <f ca="1"/>
        <v>#NAME?</v>
      </c>
      <c r="Z171" s="1408"/>
      <c r="AB171" s="1399"/>
      <c r="AC171" s="1399"/>
      <c r="AD171" s="1399"/>
      <c r="AE171" s="1399"/>
    </row>
    <row r="172" spans="1:31">
      <c r="A172" s="1487"/>
      <c r="B172" s="1488"/>
      <c r="C172" s="1489"/>
      <c r="D172" s="1490"/>
      <c r="E172" s="1487"/>
      <c r="F172" s="1488"/>
      <c r="G172" s="1489"/>
      <c r="H172" s="1490"/>
      <c r="I172" s="1487"/>
      <c r="J172" s="1488"/>
      <c r="K172" s="1489"/>
      <c r="L172" s="1490"/>
      <c r="M172" s="1487"/>
      <c r="N172" s="1488"/>
      <c r="O172" s="1489"/>
      <c r="P172" s="1490"/>
      <c r="Q172" s="1399"/>
      <c r="X172" s="1445" t="e">
        <f ca="1"/>
        <v>#NAME?</v>
      </c>
      <c r="Y172" s="1446" t="e">
        <f ca="1"/>
        <v>#NAME?</v>
      </c>
      <c r="Z172" s="1408"/>
      <c r="AB172" s="1399"/>
      <c r="AC172" s="1399"/>
      <c r="AD172" s="1399"/>
      <c r="AE172" s="1399"/>
    </row>
    <row r="173" spans="1:31">
      <c r="A173" s="1487"/>
      <c r="B173" s="1488"/>
      <c r="C173" s="1489"/>
      <c r="D173" s="1490"/>
      <c r="E173" s="1487"/>
      <c r="F173" s="1488"/>
      <c r="G173" s="1489"/>
      <c r="H173" s="1490"/>
      <c r="I173" s="1487"/>
      <c r="J173" s="1488"/>
      <c r="K173" s="1489"/>
      <c r="L173" s="1490"/>
      <c r="M173" s="1487"/>
      <c r="N173" s="1488"/>
      <c r="O173" s="1489"/>
      <c r="P173" s="1490"/>
      <c r="Q173" s="1399"/>
      <c r="X173" s="1445" t="e">
        <f ca="1"/>
        <v>#NAME?</v>
      </c>
      <c r="Y173" s="1446" t="e">
        <f ca="1"/>
        <v>#NAME?</v>
      </c>
      <c r="Z173" s="1408"/>
      <c r="AB173" s="1399"/>
      <c r="AC173" s="1399"/>
      <c r="AD173" s="1399"/>
      <c r="AE173" s="1399"/>
    </row>
    <row r="174" spans="1:31">
      <c r="A174" s="1487"/>
      <c r="B174" s="1488"/>
      <c r="C174" s="1489"/>
      <c r="D174" s="1490"/>
      <c r="E174" s="1487"/>
      <c r="F174" s="1488"/>
      <c r="G174" s="1489"/>
      <c r="H174" s="1490"/>
      <c r="I174" s="1487"/>
      <c r="J174" s="1488"/>
      <c r="K174" s="1489"/>
      <c r="L174" s="1490"/>
      <c r="M174" s="1487"/>
      <c r="N174" s="1488"/>
      <c r="O174" s="1489"/>
      <c r="P174" s="1490"/>
      <c r="Q174" s="1399"/>
      <c r="X174" s="1445" t="e">
        <f ca="1"/>
        <v>#NAME?</v>
      </c>
      <c r="Y174" s="1446" t="e">
        <f ca="1"/>
        <v>#NAME?</v>
      </c>
      <c r="Z174" s="1408"/>
      <c r="AB174" s="1399"/>
      <c r="AC174" s="1399"/>
      <c r="AD174" s="1399"/>
      <c r="AE174" s="1399"/>
    </row>
    <row r="175" spans="1:31">
      <c r="A175" s="1487"/>
      <c r="B175" s="1488"/>
      <c r="C175" s="1489"/>
      <c r="D175" s="1490"/>
      <c r="E175" s="1487"/>
      <c r="F175" s="1488"/>
      <c r="G175" s="1489"/>
      <c r="H175" s="1490"/>
      <c r="I175" s="1487"/>
      <c r="J175" s="1488"/>
      <c r="K175" s="1489"/>
      <c r="L175" s="1490"/>
      <c r="M175" s="1487"/>
      <c r="N175" s="1488"/>
      <c r="O175" s="1489"/>
      <c r="P175" s="1490"/>
      <c r="Q175" s="1399"/>
      <c r="X175" s="1445" t="e">
        <f ca="1"/>
        <v>#NAME?</v>
      </c>
      <c r="Y175" s="1446" t="e">
        <f ca="1"/>
        <v>#NAME?</v>
      </c>
      <c r="Z175" s="1408"/>
      <c r="AB175" s="1399"/>
      <c r="AC175" s="1399"/>
      <c r="AD175" s="1399"/>
      <c r="AE175" s="1399"/>
    </row>
    <row r="176" spans="1:31">
      <c r="A176" s="1487"/>
      <c r="B176" s="1488"/>
      <c r="C176" s="1489"/>
      <c r="D176" s="1490"/>
      <c r="E176" s="1487"/>
      <c r="F176" s="1488"/>
      <c r="G176" s="1489"/>
      <c r="H176" s="1490"/>
      <c r="I176" s="1487"/>
      <c r="J176" s="1488"/>
      <c r="K176" s="1489"/>
      <c r="L176" s="1490"/>
      <c r="M176" s="1487"/>
      <c r="N176" s="1488"/>
      <c r="O176" s="1489"/>
      <c r="P176" s="1490"/>
      <c r="Q176" s="1399"/>
      <c r="X176" s="1445" t="e">
        <f ca="1"/>
        <v>#NAME?</v>
      </c>
      <c r="Y176" s="1446" t="e">
        <f ca="1"/>
        <v>#NAME?</v>
      </c>
      <c r="Z176" s="1408"/>
      <c r="AB176" s="1399"/>
      <c r="AC176" s="1399"/>
      <c r="AD176" s="1399"/>
      <c r="AE176" s="1399"/>
    </row>
    <row r="177" spans="1:31">
      <c r="A177" s="1487"/>
      <c r="B177" s="1488"/>
      <c r="C177" s="1489"/>
      <c r="D177" s="1490"/>
      <c r="E177" s="1487"/>
      <c r="F177" s="1488"/>
      <c r="G177" s="1489"/>
      <c r="H177" s="1490"/>
      <c r="I177" s="1487"/>
      <c r="J177" s="1488"/>
      <c r="K177" s="1489"/>
      <c r="L177" s="1490"/>
      <c r="M177" s="1487"/>
      <c r="N177" s="1488"/>
      <c r="O177" s="1489"/>
      <c r="P177" s="1490"/>
      <c r="Q177" s="1399"/>
      <c r="X177" s="1445" t="e">
        <f ca="1"/>
        <v>#NAME?</v>
      </c>
      <c r="Y177" s="1446" t="e">
        <f ca="1"/>
        <v>#NAME?</v>
      </c>
      <c r="Z177" s="1408"/>
      <c r="AB177" s="1399"/>
      <c r="AC177" s="1399"/>
      <c r="AD177" s="1399"/>
      <c r="AE177" s="1399"/>
    </row>
    <row r="178" spans="1:31">
      <c r="A178" s="1487"/>
      <c r="B178" s="1488"/>
      <c r="C178" s="1489"/>
      <c r="D178" s="1490"/>
      <c r="E178" s="1487"/>
      <c r="F178" s="1488"/>
      <c r="G178" s="1489"/>
      <c r="H178" s="1490"/>
      <c r="I178" s="1487"/>
      <c r="J178" s="1488"/>
      <c r="K178" s="1489"/>
      <c r="L178" s="1490"/>
      <c r="M178" s="1487"/>
      <c r="N178" s="1488"/>
      <c r="O178" s="1489"/>
      <c r="P178" s="1490"/>
      <c r="Q178" s="1399"/>
      <c r="X178" s="1445" t="e">
        <f ca="1"/>
        <v>#NAME?</v>
      </c>
      <c r="Y178" s="1446" t="e">
        <f ca="1"/>
        <v>#NAME?</v>
      </c>
      <c r="Z178" s="1408"/>
      <c r="AB178" s="1399"/>
      <c r="AC178" s="1399"/>
      <c r="AD178" s="1399"/>
      <c r="AE178" s="1399"/>
    </row>
    <row r="179" spans="1:31">
      <c r="A179" s="1487"/>
      <c r="B179" s="1488"/>
      <c r="C179" s="1489"/>
      <c r="D179" s="1490"/>
      <c r="E179" s="1487"/>
      <c r="F179" s="1488"/>
      <c r="G179" s="1489"/>
      <c r="H179" s="1490"/>
      <c r="I179" s="1487"/>
      <c r="J179" s="1488"/>
      <c r="K179" s="1489"/>
      <c r="L179" s="1490"/>
      <c r="M179" s="1487"/>
      <c r="N179" s="1488"/>
      <c r="O179" s="1489"/>
      <c r="P179" s="1490"/>
      <c r="Q179" s="1399"/>
      <c r="X179" s="1445" t="e">
        <f ca="1"/>
        <v>#NAME?</v>
      </c>
      <c r="Y179" s="1446" t="e">
        <f ca="1"/>
        <v>#NAME?</v>
      </c>
      <c r="Z179" s="1408"/>
      <c r="AB179" s="1399"/>
      <c r="AC179" s="1399"/>
      <c r="AD179" s="1399"/>
      <c r="AE179" s="1399"/>
    </row>
    <row r="180" spans="1:31">
      <c r="A180" s="1487"/>
      <c r="B180" s="1488"/>
      <c r="C180" s="1489"/>
      <c r="D180" s="1490"/>
      <c r="E180" s="1487"/>
      <c r="F180" s="1488"/>
      <c r="G180" s="1489"/>
      <c r="H180" s="1490"/>
      <c r="I180" s="1487"/>
      <c r="J180" s="1488"/>
      <c r="K180" s="1489"/>
      <c r="L180" s="1490"/>
      <c r="M180" s="1487"/>
      <c r="N180" s="1488"/>
      <c r="O180" s="1489"/>
      <c r="P180" s="1490"/>
      <c r="Q180" s="1399"/>
      <c r="X180" s="1445" t="e">
        <f ca="1"/>
        <v>#NAME?</v>
      </c>
      <c r="Y180" s="1446" t="e">
        <f ca="1"/>
        <v>#NAME?</v>
      </c>
      <c r="Z180" s="1408"/>
      <c r="AB180" s="1399"/>
      <c r="AC180" s="1399"/>
      <c r="AD180" s="1399"/>
      <c r="AE180" s="1399"/>
    </row>
    <row r="181" spans="1:31">
      <c r="A181" s="1487"/>
      <c r="B181" s="1488"/>
      <c r="C181" s="1489"/>
      <c r="D181" s="1490"/>
      <c r="E181" s="1487"/>
      <c r="F181" s="1488"/>
      <c r="G181" s="1489"/>
      <c r="H181" s="1490"/>
      <c r="I181" s="1487"/>
      <c r="J181" s="1488"/>
      <c r="K181" s="1489"/>
      <c r="L181" s="1490"/>
      <c r="M181" s="1487"/>
      <c r="N181" s="1488"/>
      <c r="O181" s="1489"/>
      <c r="P181" s="1490"/>
      <c r="Q181" s="1399"/>
      <c r="X181" s="1445" t="e">
        <f ca="1"/>
        <v>#NAME?</v>
      </c>
      <c r="Y181" s="1446" t="e">
        <f ca="1"/>
        <v>#NAME?</v>
      </c>
      <c r="Z181" s="1408"/>
      <c r="AB181" s="1399"/>
      <c r="AC181" s="1399"/>
      <c r="AD181" s="1399"/>
      <c r="AE181" s="1399"/>
    </row>
    <row r="182" spans="1:31">
      <c r="A182" s="1487"/>
      <c r="B182" s="1488"/>
      <c r="C182" s="1489"/>
      <c r="D182" s="1490"/>
      <c r="E182" s="1487"/>
      <c r="F182" s="1488"/>
      <c r="G182" s="1489"/>
      <c r="H182" s="1490"/>
      <c r="I182" s="1487"/>
      <c r="J182" s="1488"/>
      <c r="K182" s="1489"/>
      <c r="L182" s="1490"/>
      <c r="M182" s="1487"/>
      <c r="N182" s="1488"/>
      <c r="O182" s="1489"/>
      <c r="P182" s="1490"/>
      <c r="Q182" s="1399"/>
      <c r="X182" s="1445" t="e">
        <f ca="1"/>
        <v>#NAME?</v>
      </c>
      <c r="Y182" s="1446" t="e">
        <f ca="1"/>
        <v>#NAME?</v>
      </c>
      <c r="Z182" s="1408"/>
      <c r="AB182" s="1399"/>
      <c r="AC182" s="1399"/>
      <c r="AD182" s="1399"/>
      <c r="AE182" s="1399"/>
    </row>
    <row r="183" spans="1:31">
      <c r="A183" s="1487"/>
      <c r="B183" s="1488"/>
      <c r="C183" s="1489"/>
      <c r="D183" s="1490"/>
      <c r="E183" s="1487"/>
      <c r="F183" s="1488"/>
      <c r="G183" s="1489"/>
      <c r="H183" s="1490"/>
      <c r="I183" s="1487"/>
      <c r="J183" s="1488"/>
      <c r="K183" s="1489"/>
      <c r="L183" s="1490"/>
      <c r="M183" s="1487"/>
      <c r="N183" s="1488"/>
      <c r="O183" s="1489"/>
      <c r="P183" s="1490"/>
      <c r="Q183" s="1399"/>
      <c r="X183" s="1445" t="e">
        <f ca="1"/>
        <v>#NAME?</v>
      </c>
      <c r="Y183" s="1446" t="e">
        <f ca="1"/>
        <v>#NAME?</v>
      </c>
      <c r="Z183" s="1408"/>
      <c r="AB183" s="1399"/>
      <c r="AC183" s="1399"/>
      <c r="AD183" s="1399"/>
      <c r="AE183" s="1399"/>
    </row>
    <row r="184" spans="1:31">
      <c r="A184" s="1487"/>
      <c r="B184" s="1488"/>
      <c r="C184" s="1489"/>
      <c r="D184" s="1490"/>
      <c r="E184" s="1487"/>
      <c r="F184" s="1488"/>
      <c r="G184" s="1489"/>
      <c r="H184" s="1490"/>
      <c r="I184" s="1487"/>
      <c r="J184" s="1488"/>
      <c r="K184" s="1489"/>
      <c r="L184" s="1490"/>
      <c r="M184" s="1487"/>
      <c r="N184" s="1488"/>
      <c r="O184" s="1489"/>
      <c r="P184" s="1490"/>
      <c r="Q184" s="1399"/>
      <c r="X184" s="1445" t="e">
        <f ca="1"/>
        <v>#NAME?</v>
      </c>
      <c r="Y184" s="1446" t="e">
        <f ca="1"/>
        <v>#NAME?</v>
      </c>
      <c r="Z184" s="1408"/>
      <c r="AB184" s="1399"/>
      <c r="AC184" s="1399"/>
      <c r="AD184" s="1399"/>
      <c r="AE184" s="1399"/>
    </row>
    <row r="185" spans="1:31">
      <c r="A185" s="1487"/>
      <c r="B185" s="1488"/>
      <c r="C185" s="1489"/>
      <c r="D185" s="1490"/>
      <c r="E185" s="1487"/>
      <c r="F185" s="1488"/>
      <c r="G185" s="1489"/>
      <c r="H185" s="1490"/>
      <c r="I185" s="1487"/>
      <c r="J185" s="1488"/>
      <c r="K185" s="1489"/>
      <c r="L185" s="1490"/>
      <c r="M185" s="1487"/>
      <c r="N185" s="1488"/>
      <c r="O185" s="1489"/>
      <c r="P185" s="1490"/>
      <c r="Q185" s="1399"/>
      <c r="X185" s="1445" t="e">
        <f ca="1"/>
        <v>#NAME?</v>
      </c>
      <c r="Y185" s="1446" t="e">
        <f ca="1"/>
        <v>#NAME?</v>
      </c>
      <c r="Z185" s="1408"/>
      <c r="AB185" s="1399"/>
      <c r="AC185" s="1399"/>
      <c r="AD185" s="1399"/>
      <c r="AE185" s="1399"/>
    </row>
    <row r="186" spans="1:31">
      <c r="A186" s="1487"/>
      <c r="B186" s="1488"/>
      <c r="C186" s="1489"/>
      <c r="D186" s="1490"/>
      <c r="E186" s="1487"/>
      <c r="F186" s="1488"/>
      <c r="G186" s="1489"/>
      <c r="H186" s="1490"/>
      <c r="I186" s="1487"/>
      <c r="J186" s="1488"/>
      <c r="K186" s="1489"/>
      <c r="L186" s="1490"/>
      <c r="M186" s="1487"/>
      <c r="N186" s="1488"/>
      <c r="O186" s="1489"/>
      <c r="P186" s="1490"/>
      <c r="Q186" s="1399"/>
      <c r="X186" s="1445" t="e">
        <f ca="1"/>
        <v>#NAME?</v>
      </c>
      <c r="Y186" s="1446" t="e">
        <f ca="1"/>
        <v>#NAME?</v>
      </c>
      <c r="Z186" s="1408"/>
      <c r="AB186" s="1399"/>
      <c r="AC186" s="1399"/>
      <c r="AD186" s="1399"/>
      <c r="AE186" s="1399"/>
    </row>
    <row r="187" spans="1:31">
      <c r="A187" s="1487"/>
      <c r="B187" s="1488"/>
      <c r="C187" s="1489"/>
      <c r="D187" s="1490"/>
      <c r="E187" s="1487"/>
      <c r="F187" s="1488"/>
      <c r="G187" s="1489"/>
      <c r="H187" s="1490"/>
      <c r="I187" s="1487"/>
      <c r="J187" s="1488"/>
      <c r="K187" s="1489"/>
      <c r="L187" s="1490"/>
      <c r="M187" s="1487"/>
      <c r="N187" s="1488"/>
      <c r="O187" s="1489"/>
      <c r="P187" s="1490"/>
      <c r="Q187" s="1399"/>
      <c r="X187" s="1445" t="e">
        <f ca="1"/>
        <v>#NAME?</v>
      </c>
      <c r="Y187" s="1446" t="e">
        <f ca="1"/>
        <v>#NAME?</v>
      </c>
      <c r="Z187" s="1408"/>
      <c r="AB187" s="1399"/>
      <c r="AC187" s="1399"/>
      <c r="AD187" s="1399"/>
      <c r="AE187" s="1399"/>
    </row>
    <row r="188" spans="1:31">
      <c r="A188" s="1487"/>
      <c r="B188" s="1488"/>
      <c r="C188" s="1489"/>
      <c r="D188" s="1490"/>
      <c r="E188" s="1487"/>
      <c r="F188" s="1488"/>
      <c r="G188" s="1489"/>
      <c r="H188" s="1490"/>
      <c r="I188" s="1487"/>
      <c r="J188" s="1488"/>
      <c r="K188" s="1489"/>
      <c r="L188" s="1490"/>
      <c r="M188" s="1487"/>
      <c r="N188" s="1488"/>
      <c r="O188" s="1489"/>
      <c r="P188" s="1490"/>
      <c r="Q188" s="1399"/>
      <c r="X188" s="1445" t="e">
        <f ca="1"/>
        <v>#NAME?</v>
      </c>
      <c r="Y188" s="1446" t="e">
        <f ca="1"/>
        <v>#NAME?</v>
      </c>
      <c r="Z188" s="1408"/>
      <c r="AB188" s="1399"/>
      <c r="AC188" s="1399"/>
      <c r="AD188" s="1399"/>
      <c r="AE188" s="1399"/>
    </row>
    <row r="189" spans="1:31">
      <c r="A189" s="1487"/>
      <c r="B189" s="1488"/>
      <c r="C189" s="1489"/>
      <c r="D189" s="1490"/>
      <c r="E189" s="1487"/>
      <c r="F189" s="1488"/>
      <c r="G189" s="1489"/>
      <c r="H189" s="1490"/>
      <c r="I189" s="1487"/>
      <c r="J189" s="1488"/>
      <c r="K189" s="1489"/>
      <c r="L189" s="1490"/>
      <c r="M189" s="1487"/>
      <c r="N189" s="1488"/>
      <c r="O189" s="1489"/>
      <c r="P189" s="1490"/>
      <c r="Q189" s="1399"/>
      <c r="X189" s="1445" t="e">
        <f ca="1"/>
        <v>#NAME?</v>
      </c>
      <c r="Y189" s="1446" t="e">
        <f ca="1"/>
        <v>#NAME?</v>
      </c>
      <c r="Z189" s="1408"/>
      <c r="AB189" s="1399"/>
      <c r="AC189" s="1399"/>
      <c r="AD189" s="1399"/>
      <c r="AE189" s="1399"/>
    </row>
    <row r="190" spans="1:31">
      <c r="A190" s="1487"/>
      <c r="B190" s="1488"/>
      <c r="C190" s="1489"/>
      <c r="D190" s="1490"/>
      <c r="E190" s="1487"/>
      <c r="F190" s="1488"/>
      <c r="G190" s="1489"/>
      <c r="H190" s="1490"/>
      <c r="I190" s="1487"/>
      <c r="J190" s="1488"/>
      <c r="K190" s="1489"/>
      <c r="L190" s="1490"/>
      <c r="M190" s="1487"/>
      <c r="N190" s="1488"/>
      <c r="O190" s="1489"/>
      <c r="P190" s="1490"/>
      <c r="Q190" s="1399"/>
      <c r="X190" s="1445" t="e">
        <f ca="1"/>
        <v>#NAME?</v>
      </c>
      <c r="Y190" s="1446" t="e">
        <f ca="1"/>
        <v>#NAME?</v>
      </c>
      <c r="Z190" s="1408"/>
      <c r="AB190" s="1399"/>
      <c r="AC190" s="1399"/>
      <c r="AD190" s="1399"/>
      <c r="AE190" s="1399"/>
    </row>
    <row r="191" spans="1:31">
      <c r="A191" s="1487"/>
      <c r="B191" s="1488"/>
      <c r="C191" s="1489"/>
      <c r="D191" s="1490"/>
      <c r="E191" s="1487"/>
      <c r="F191" s="1488"/>
      <c r="G191" s="1489"/>
      <c r="H191" s="1490"/>
      <c r="I191" s="1487"/>
      <c r="J191" s="1488"/>
      <c r="K191" s="1489"/>
      <c r="L191" s="1490"/>
      <c r="M191" s="1487"/>
      <c r="N191" s="1488"/>
      <c r="O191" s="1489"/>
      <c r="P191" s="1490"/>
      <c r="Q191" s="1399"/>
      <c r="X191" s="1445" t="e">
        <f ca="1"/>
        <v>#NAME?</v>
      </c>
      <c r="Y191" s="1446" t="e">
        <f ca="1"/>
        <v>#NAME?</v>
      </c>
      <c r="Z191" s="1408"/>
      <c r="AB191" s="1399"/>
      <c r="AC191" s="1399"/>
      <c r="AD191" s="1399"/>
      <c r="AE191" s="1399"/>
    </row>
    <row r="192" spans="1:31">
      <c r="A192" s="1487"/>
      <c r="B192" s="1488"/>
      <c r="C192" s="1489"/>
      <c r="D192" s="1490"/>
      <c r="E192" s="1487"/>
      <c r="F192" s="1488"/>
      <c r="G192" s="1489"/>
      <c r="H192" s="1490"/>
      <c r="I192" s="1487"/>
      <c r="J192" s="1488"/>
      <c r="K192" s="1489"/>
      <c r="L192" s="1490"/>
      <c r="M192" s="1487"/>
      <c r="N192" s="1488"/>
      <c r="O192" s="1489"/>
      <c r="P192" s="1490"/>
      <c r="Q192" s="1399"/>
      <c r="X192" s="1445" t="e">
        <f ca="1"/>
        <v>#NAME?</v>
      </c>
      <c r="Y192" s="1446" t="e">
        <f ca="1"/>
        <v>#NAME?</v>
      </c>
      <c r="Z192" s="1408"/>
      <c r="AB192" s="1399"/>
      <c r="AC192" s="1399"/>
      <c r="AD192" s="1399"/>
      <c r="AE192" s="1399"/>
    </row>
    <row r="193" spans="1:31">
      <c r="A193" s="1487"/>
      <c r="B193" s="1488"/>
      <c r="C193" s="1489"/>
      <c r="D193" s="1490"/>
      <c r="E193" s="1487"/>
      <c r="F193" s="1488"/>
      <c r="G193" s="1489"/>
      <c r="H193" s="1490"/>
      <c r="I193" s="1487"/>
      <c r="J193" s="1488"/>
      <c r="K193" s="1489"/>
      <c r="L193" s="1490"/>
      <c r="M193" s="1487"/>
      <c r="N193" s="1488"/>
      <c r="O193" s="1489"/>
      <c r="P193" s="1490"/>
      <c r="Q193" s="1399"/>
      <c r="X193" s="1445" t="e">
        <f ca="1"/>
        <v>#NAME?</v>
      </c>
      <c r="Y193" s="1446" t="e">
        <f ca="1"/>
        <v>#NAME?</v>
      </c>
      <c r="Z193" s="1408"/>
      <c r="AB193" s="1399"/>
      <c r="AC193" s="1399"/>
      <c r="AD193" s="1399"/>
      <c r="AE193" s="1399"/>
    </row>
    <row r="194" spans="1:31">
      <c r="A194" s="1487"/>
      <c r="B194" s="1488"/>
      <c r="C194" s="1489"/>
      <c r="D194" s="1490"/>
      <c r="E194" s="1487"/>
      <c r="F194" s="1488"/>
      <c r="G194" s="1489"/>
      <c r="H194" s="1490"/>
      <c r="I194" s="1487"/>
      <c r="J194" s="1488"/>
      <c r="K194" s="1489"/>
      <c r="L194" s="1490"/>
      <c r="M194" s="1487"/>
      <c r="N194" s="1488"/>
      <c r="O194" s="1489"/>
      <c r="P194" s="1490"/>
      <c r="Q194" s="1399"/>
      <c r="X194" s="1445" t="e">
        <f ca="1"/>
        <v>#NAME?</v>
      </c>
      <c r="Y194" s="1446" t="e">
        <f ca="1"/>
        <v>#NAME?</v>
      </c>
      <c r="Z194" s="1408"/>
      <c r="AB194" s="1399"/>
      <c r="AC194" s="1399"/>
      <c r="AD194" s="1399"/>
      <c r="AE194" s="1399"/>
    </row>
    <row r="195" spans="1:31">
      <c r="A195" s="1487"/>
      <c r="B195" s="1488"/>
      <c r="C195" s="1489"/>
      <c r="D195" s="1490"/>
      <c r="E195" s="1487"/>
      <c r="F195" s="1488"/>
      <c r="G195" s="1489"/>
      <c r="H195" s="1490"/>
      <c r="I195" s="1487"/>
      <c r="J195" s="1488"/>
      <c r="K195" s="1489"/>
      <c r="L195" s="1490"/>
      <c r="M195" s="1487"/>
      <c r="N195" s="1488"/>
      <c r="O195" s="1489"/>
      <c r="P195" s="1490"/>
      <c r="Q195" s="1399"/>
      <c r="X195" s="1445" t="e">
        <f ca="1"/>
        <v>#NAME?</v>
      </c>
      <c r="Y195" s="1446" t="e">
        <f ca="1"/>
        <v>#NAME?</v>
      </c>
      <c r="Z195" s="1408"/>
      <c r="AB195" s="1399"/>
      <c r="AC195" s="1399"/>
      <c r="AD195" s="1399"/>
      <c r="AE195" s="1399"/>
    </row>
    <row r="196" spans="1:31">
      <c r="A196" s="1487"/>
      <c r="B196" s="1488"/>
      <c r="C196" s="1489"/>
      <c r="D196" s="1490"/>
      <c r="E196" s="1487"/>
      <c r="F196" s="1488"/>
      <c r="G196" s="1489"/>
      <c r="H196" s="1490"/>
      <c r="I196" s="1487"/>
      <c r="J196" s="1488"/>
      <c r="K196" s="1489"/>
      <c r="L196" s="1490"/>
      <c r="M196" s="1487"/>
      <c r="N196" s="1488"/>
      <c r="O196" s="1489"/>
      <c r="P196" s="1490"/>
      <c r="Q196" s="1399"/>
      <c r="X196" s="1445" t="e">
        <f ca="1"/>
        <v>#NAME?</v>
      </c>
      <c r="Y196" s="1446" t="e">
        <f ca="1"/>
        <v>#NAME?</v>
      </c>
      <c r="Z196" s="1408"/>
      <c r="AB196" s="1399"/>
      <c r="AC196" s="1399"/>
      <c r="AD196" s="1399"/>
      <c r="AE196" s="1399"/>
    </row>
    <row r="197" spans="1:31">
      <c r="A197" s="1487"/>
      <c r="B197" s="1488"/>
      <c r="C197" s="1489"/>
      <c r="D197" s="1490"/>
      <c r="E197" s="1487"/>
      <c r="F197" s="1488"/>
      <c r="G197" s="1489"/>
      <c r="H197" s="1490"/>
      <c r="I197" s="1487"/>
      <c r="J197" s="1488"/>
      <c r="K197" s="1489"/>
      <c r="L197" s="1490"/>
      <c r="M197" s="1487"/>
      <c r="N197" s="1488"/>
      <c r="O197" s="1489"/>
      <c r="P197" s="1490"/>
      <c r="Q197" s="1399"/>
      <c r="X197" s="1445" t="e">
        <f ca="1"/>
        <v>#NAME?</v>
      </c>
      <c r="Y197" s="1446" t="e">
        <f ca="1"/>
        <v>#NAME?</v>
      </c>
      <c r="Z197" s="1408"/>
      <c r="AB197" s="1399"/>
      <c r="AC197" s="1399"/>
      <c r="AD197" s="1399"/>
      <c r="AE197" s="1399"/>
    </row>
    <row r="198" spans="1:31">
      <c r="A198" s="1487"/>
      <c r="B198" s="1488"/>
      <c r="C198" s="1489"/>
      <c r="D198" s="1490"/>
      <c r="E198" s="1487"/>
      <c r="F198" s="1488"/>
      <c r="G198" s="1489"/>
      <c r="H198" s="1490"/>
      <c r="I198" s="1487"/>
      <c r="J198" s="1488"/>
      <c r="K198" s="1489"/>
      <c r="L198" s="1490"/>
      <c r="M198" s="1487"/>
      <c r="N198" s="1488"/>
      <c r="O198" s="1489"/>
      <c r="P198" s="1490"/>
      <c r="Q198" s="1399"/>
      <c r="X198" s="1445" t="e">
        <f ca="1"/>
        <v>#NAME?</v>
      </c>
      <c r="Y198" s="1446" t="e">
        <f ca="1"/>
        <v>#NAME?</v>
      </c>
      <c r="Z198" s="1408"/>
      <c r="AB198" s="1399"/>
      <c r="AC198" s="1399"/>
      <c r="AD198" s="1399"/>
      <c r="AE198" s="1399"/>
    </row>
    <row r="199" spans="1:31">
      <c r="A199" s="1487"/>
      <c r="B199" s="1488"/>
      <c r="C199" s="1489"/>
      <c r="D199" s="1490"/>
      <c r="E199" s="1487"/>
      <c r="F199" s="1488"/>
      <c r="G199" s="1489"/>
      <c r="H199" s="1490"/>
      <c r="I199" s="1487"/>
      <c r="J199" s="1488"/>
      <c r="K199" s="1489"/>
      <c r="L199" s="1490"/>
      <c r="M199" s="1487"/>
      <c r="N199" s="1488"/>
      <c r="O199" s="1489"/>
      <c r="P199" s="1490"/>
      <c r="Q199" s="1399"/>
      <c r="X199" s="1445" t="e">
        <f ca="1"/>
        <v>#NAME?</v>
      </c>
      <c r="Y199" s="1446" t="e">
        <f ca="1"/>
        <v>#NAME?</v>
      </c>
      <c r="Z199" s="1408"/>
      <c r="AB199" s="1399"/>
      <c r="AC199" s="1399"/>
      <c r="AD199" s="1399"/>
      <c r="AE199" s="1399"/>
    </row>
    <row r="200" spans="1:31">
      <c r="A200" s="1487"/>
      <c r="B200" s="1488"/>
      <c r="C200" s="1489"/>
      <c r="D200" s="1490"/>
      <c r="E200" s="1487"/>
      <c r="F200" s="1488"/>
      <c r="G200" s="1489"/>
      <c r="H200" s="1490"/>
      <c r="I200" s="1487"/>
      <c r="J200" s="1488"/>
      <c r="K200" s="1489"/>
      <c r="L200" s="1490"/>
      <c r="M200" s="1487"/>
      <c r="N200" s="1488"/>
      <c r="O200" s="1489"/>
      <c r="P200" s="1490"/>
      <c r="Q200" s="1399"/>
      <c r="X200" s="1445" t="e">
        <f ca="1"/>
        <v>#NAME?</v>
      </c>
      <c r="Y200" s="1446" t="e">
        <f ca="1"/>
        <v>#NAME?</v>
      </c>
      <c r="Z200" s="1408"/>
      <c r="AB200" s="1399"/>
      <c r="AC200" s="1399"/>
      <c r="AD200" s="1399"/>
      <c r="AE200" s="1399"/>
    </row>
    <row r="201" spans="1:31">
      <c r="A201" s="1487"/>
      <c r="B201" s="1488"/>
      <c r="C201" s="1489"/>
      <c r="D201" s="1490"/>
      <c r="E201" s="1487"/>
      <c r="F201" s="1488"/>
      <c r="G201" s="1489"/>
      <c r="H201" s="1490"/>
      <c r="I201" s="1487"/>
      <c r="J201" s="1488"/>
      <c r="K201" s="1489"/>
      <c r="L201" s="1490"/>
      <c r="M201" s="1487"/>
      <c r="N201" s="1488"/>
      <c r="O201" s="1489"/>
      <c r="P201" s="1490"/>
      <c r="Q201" s="1399"/>
      <c r="X201" s="1445" t="e">
        <f ca="1"/>
        <v>#NAME?</v>
      </c>
      <c r="Y201" s="1446" t="e">
        <f ca="1"/>
        <v>#NAME?</v>
      </c>
      <c r="Z201" s="1408"/>
      <c r="AB201" s="1399"/>
      <c r="AC201" s="1399"/>
      <c r="AD201" s="1399"/>
      <c r="AE201" s="1399"/>
    </row>
    <row r="202" spans="1:31">
      <c r="A202" s="1487"/>
      <c r="B202" s="1488"/>
      <c r="C202" s="1489"/>
      <c r="D202" s="1490"/>
      <c r="E202" s="1487"/>
      <c r="F202" s="1488"/>
      <c r="G202" s="1489"/>
      <c r="H202" s="1490"/>
      <c r="I202" s="1487"/>
      <c r="J202" s="1488"/>
      <c r="K202" s="1489"/>
      <c r="L202" s="1490"/>
      <c r="M202" s="1487"/>
      <c r="N202" s="1488"/>
      <c r="O202" s="1489"/>
      <c r="P202" s="1490"/>
      <c r="Q202" s="1399"/>
      <c r="X202" s="1445" t="e">
        <f ca="1"/>
        <v>#NAME?</v>
      </c>
      <c r="Y202" s="1446" t="e">
        <f ca="1"/>
        <v>#NAME?</v>
      </c>
      <c r="Z202" s="1408"/>
      <c r="AB202" s="1399"/>
      <c r="AC202" s="1399"/>
      <c r="AD202" s="1399"/>
      <c r="AE202" s="1399"/>
    </row>
    <row r="203" spans="1:31">
      <c r="A203" s="1487"/>
      <c r="B203" s="1488"/>
      <c r="C203" s="1489"/>
      <c r="D203" s="1490"/>
      <c r="E203" s="1487"/>
      <c r="F203" s="1488"/>
      <c r="G203" s="1489"/>
      <c r="H203" s="1490"/>
      <c r="I203" s="1487"/>
      <c r="J203" s="1488"/>
      <c r="K203" s="1489"/>
      <c r="L203" s="1490"/>
      <c r="M203" s="1487"/>
      <c r="N203" s="1488"/>
      <c r="O203" s="1489"/>
      <c r="P203" s="1490"/>
      <c r="Q203" s="1399"/>
      <c r="X203" s="1445" t="e">
        <f ca="1"/>
        <v>#NAME?</v>
      </c>
      <c r="Y203" s="1446" t="e">
        <f ca="1"/>
        <v>#NAME?</v>
      </c>
      <c r="Z203" s="1408"/>
      <c r="AB203" s="1399"/>
      <c r="AC203" s="1399"/>
      <c r="AD203" s="1399"/>
      <c r="AE203" s="1399"/>
    </row>
    <row r="204" spans="1:31">
      <c r="A204" s="1487"/>
      <c r="B204" s="1488"/>
      <c r="C204" s="1489"/>
      <c r="D204" s="1490"/>
      <c r="E204" s="1487"/>
      <c r="F204" s="1488"/>
      <c r="G204" s="1489"/>
      <c r="H204" s="1490"/>
      <c r="I204" s="1487"/>
      <c r="J204" s="1488"/>
      <c r="K204" s="1489"/>
      <c r="L204" s="1490"/>
      <c r="M204" s="1487"/>
      <c r="N204" s="1488"/>
      <c r="O204" s="1489"/>
      <c r="P204" s="1490"/>
      <c r="Q204" s="1399"/>
      <c r="X204" s="1445" t="e">
        <f ca="1"/>
        <v>#NAME?</v>
      </c>
      <c r="Y204" s="1446" t="e">
        <f ca="1"/>
        <v>#NAME?</v>
      </c>
      <c r="Z204" s="1408"/>
      <c r="AB204" s="1399"/>
      <c r="AC204" s="1399"/>
      <c r="AD204" s="1399"/>
      <c r="AE204" s="1399"/>
    </row>
    <row r="205" spans="1:31">
      <c r="A205" s="1487"/>
      <c r="B205" s="1488"/>
      <c r="C205" s="1489"/>
      <c r="D205" s="1490"/>
      <c r="E205" s="1487"/>
      <c r="F205" s="1488"/>
      <c r="G205" s="1489"/>
      <c r="H205" s="1490"/>
      <c r="I205" s="1487"/>
      <c r="J205" s="1488"/>
      <c r="K205" s="1489"/>
      <c r="L205" s="1490"/>
      <c r="M205" s="1487"/>
      <c r="N205" s="1488"/>
      <c r="O205" s="1489"/>
      <c r="P205" s="1490"/>
      <c r="Q205" s="1399"/>
      <c r="X205" s="1445" t="e">
        <f ca="1"/>
        <v>#NAME?</v>
      </c>
      <c r="Y205" s="1446" t="e">
        <f ca="1"/>
        <v>#NAME?</v>
      </c>
      <c r="Z205" s="1408"/>
      <c r="AB205" s="1399"/>
      <c r="AC205" s="1399"/>
      <c r="AD205" s="1399"/>
      <c r="AE205" s="1399"/>
    </row>
    <row r="206" spans="1:31">
      <c r="A206" s="1487"/>
      <c r="B206" s="1488"/>
      <c r="C206" s="1489"/>
      <c r="D206" s="1490"/>
      <c r="E206" s="1487"/>
      <c r="F206" s="1488"/>
      <c r="G206" s="1489"/>
      <c r="H206" s="1490"/>
      <c r="I206" s="1487"/>
      <c r="J206" s="1488"/>
      <c r="K206" s="1489"/>
      <c r="L206" s="1490"/>
      <c r="M206" s="1487"/>
      <c r="N206" s="1488"/>
      <c r="O206" s="1489"/>
      <c r="P206" s="1490"/>
      <c r="Q206" s="1399"/>
      <c r="X206" s="1445" t="e">
        <f ca="1"/>
        <v>#NAME?</v>
      </c>
      <c r="Y206" s="1446" t="e">
        <f ca="1"/>
        <v>#NAME?</v>
      </c>
      <c r="Z206" s="1408"/>
      <c r="AB206" s="1399"/>
      <c r="AC206" s="1399"/>
      <c r="AD206" s="1399"/>
      <c r="AE206" s="1399"/>
    </row>
    <row r="207" spans="1:31">
      <c r="A207" s="1487"/>
      <c r="B207" s="1488"/>
      <c r="C207" s="1489"/>
      <c r="D207" s="1490"/>
      <c r="E207" s="1487"/>
      <c r="F207" s="1488"/>
      <c r="G207" s="1489"/>
      <c r="H207" s="1490"/>
      <c r="I207" s="1487"/>
      <c r="J207" s="1488"/>
      <c r="K207" s="1489"/>
      <c r="L207" s="1490"/>
      <c r="M207" s="1487"/>
      <c r="N207" s="1488"/>
      <c r="O207" s="1489"/>
      <c r="P207" s="1490"/>
      <c r="Q207" s="1399"/>
      <c r="X207" s="1445" t="e">
        <f ca="1"/>
        <v>#NAME?</v>
      </c>
      <c r="Y207" s="1446" t="e">
        <f ca="1"/>
        <v>#NAME?</v>
      </c>
      <c r="Z207" s="1408"/>
      <c r="AB207" s="1399"/>
      <c r="AC207" s="1399"/>
      <c r="AD207" s="1399"/>
      <c r="AE207" s="1399"/>
    </row>
    <row r="208" spans="1:31">
      <c r="A208" s="1487"/>
      <c r="B208" s="1488"/>
      <c r="C208" s="1489"/>
      <c r="D208" s="1490"/>
      <c r="E208" s="1487"/>
      <c r="F208" s="1488"/>
      <c r="G208" s="1489"/>
      <c r="H208" s="1490"/>
      <c r="I208" s="1487"/>
      <c r="J208" s="1488"/>
      <c r="K208" s="1489"/>
      <c r="L208" s="1490"/>
      <c r="M208" s="1487"/>
      <c r="N208" s="1488"/>
      <c r="O208" s="1489"/>
      <c r="P208" s="1490"/>
      <c r="Q208" s="1399"/>
      <c r="X208" s="1445" t="e">
        <f ca="1"/>
        <v>#NAME?</v>
      </c>
      <c r="Y208" s="1446" t="e">
        <f ca="1"/>
        <v>#NAME?</v>
      </c>
      <c r="Z208" s="1408"/>
      <c r="AB208" s="1399"/>
      <c r="AC208" s="1399"/>
      <c r="AD208" s="1399"/>
      <c r="AE208" s="1399"/>
    </row>
    <row r="209" spans="1:31">
      <c r="A209" s="1487"/>
      <c r="B209" s="1488"/>
      <c r="C209" s="1489"/>
      <c r="D209" s="1490"/>
      <c r="E209" s="1487"/>
      <c r="F209" s="1488"/>
      <c r="G209" s="1489"/>
      <c r="H209" s="1490"/>
      <c r="I209" s="1487"/>
      <c r="J209" s="1488"/>
      <c r="K209" s="1489"/>
      <c r="L209" s="1490"/>
      <c r="M209" s="1487"/>
      <c r="N209" s="1488"/>
      <c r="O209" s="1489"/>
      <c r="P209" s="1490"/>
      <c r="Q209" s="1399"/>
      <c r="X209" s="1445" t="e">
        <f ca="1"/>
        <v>#NAME?</v>
      </c>
      <c r="Y209" s="1446" t="e">
        <f ca="1"/>
        <v>#NAME?</v>
      </c>
      <c r="Z209" s="1408"/>
      <c r="AB209" s="1399"/>
      <c r="AC209" s="1399"/>
      <c r="AD209" s="1399"/>
      <c r="AE209" s="1399"/>
    </row>
    <row r="210" spans="1:31">
      <c r="A210" s="1487"/>
      <c r="B210" s="1488"/>
      <c r="C210" s="1489"/>
      <c r="D210" s="1490"/>
      <c r="E210" s="1487"/>
      <c r="F210" s="1488"/>
      <c r="G210" s="1489"/>
      <c r="H210" s="1490"/>
      <c r="I210" s="1487"/>
      <c r="J210" s="1488"/>
      <c r="K210" s="1489"/>
      <c r="L210" s="1490"/>
      <c r="M210" s="1487"/>
      <c r="N210" s="1488"/>
      <c r="O210" s="1489"/>
      <c r="P210" s="1490"/>
      <c r="Q210" s="1399"/>
      <c r="X210" s="1445" t="e">
        <f ca="1"/>
        <v>#NAME?</v>
      </c>
      <c r="Y210" s="1446" t="e">
        <f ca="1"/>
        <v>#NAME?</v>
      </c>
      <c r="Z210" s="1408"/>
      <c r="AB210" s="1399"/>
      <c r="AC210" s="1399"/>
      <c r="AD210" s="1399"/>
      <c r="AE210" s="1399"/>
    </row>
    <row r="211" spans="1:31">
      <c r="A211" s="1487"/>
      <c r="B211" s="1488"/>
      <c r="C211" s="1489"/>
      <c r="D211" s="1490"/>
      <c r="E211" s="1487"/>
      <c r="F211" s="1488"/>
      <c r="G211" s="1489"/>
      <c r="H211" s="1490"/>
      <c r="I211" s="1487"/>
      <c r="J211" s="1488"/>
      <c r="K211" s="1489"/>
      <c r="L211" s="1490"/>
      <c r="M211" s="1487"/>
      <c r="N211" s="1488"/>
      <c r="O211" s="1489"/>
      <c r="P211" s="1490"/>
      <c r="Q211" s="1399"/>
      <c r="X211" s="1445" t="e">
        <f ca="1"/>
        <v>#NAME?</v>
      </c>
      <c r="Y211" s="1446" t="e">
        <f ca="1"/>
        <v>#NAME?</v>
      </c>
      <c r="Z211" s="1408"/>
      <c r="AB211" s="1399"/>
      <c r="AC211" s="1399"/>
      <c r="AD211" s="1399"/>
      <c r="AE211" s="1399"/>
    </row>
    <row r="212" spans="1:31">
      <c r="A212" s="1487"/>
      <c r="B212" s="1488"/>
      <c r="C212" s="1489"/>
      <c r="D212" s="1490"/>
      <c r="E212" s="1487"/>
      <c r="F212" s="1488"/>
      <c r="G212" s="1489"/>
      <c r="H212" s="1490"/>
      <c r="I212" s="1487"/>
      <c r="J212" s="1488"/>
      <c r="K212" s="1489"/>
      <c r="L212" s="1490"/>
      <c r="M212" s="1487"/>
      <c r="N212" s="1488"/>
      <c r="O212" s="1489"/>
      <c r="P212" s="1490"/>
      <c r="Q212" s="1399"/>
      <c r="X212" s="1445" t="e">
        <f ca="1"/>
        <v>#NAME?</v>
      </c>
      <c r="Y212" s="1446" t="e">
        <f ca="1"/>
        <v>#NAME?</v>
      </c>
      <c r="Z212" s="1408"/>
      <c r="AB212" s="1399"/>
      <c r="AC212" s="1399"/>
      <c r="AD212" s="1399"/>
      <c r="AE212" s="1399"/>
    </row>
    <row r="213" spans="1:31">
      <c r="A213" s="1487"/>
      <c r="B213" s="1488"/>
      <c r="C213" s="1489"/>
      <c r="D213" s="1490"/>
      <c r="E213" s="1487"/>
      <c r="F213" s="1488"/>
      <c r="G213" s="1489"/>
      <c r="H213" s="1490"/>
      <c r="I213" s="1487"/>
      <c r="J213" s="1488"/>
      <c r="K213" s="1489"/>
      <c r="L213" s="1490"/>
      <c r="M213" s="1487"/>
      <c r="N213" s="1488"/>
      <c r="O213" s="1489"/>
      <c r="P213" s="1490"/>
      <c r="Q213" s="1399"/>
      <c r="X213" s="1445" t="e">
        <f ca="1"/>
        <v>#NAME?</v>
      </c>
      <c r="Y213" s="1446" t="e">
        <f ca="1"/>
        <v>#NAME?</v>
      </c>
      <c r="Z213" s="1408"/>
      <c r="AB213" s="1399"/>
      <c r="AC213" s="1399"/>
      <c r="AD213" s="1399"/>
      <c r="AE213" s="1399"/>
    </row>
    <row r="214" spans="1:31">
      <c r="A214" s="1487"/>
      <c r="B214" s="1488"/>
      <c r="C214" s="1489"/>
      <c r="D214" s="1490"/>
      <c r="E214" s="1487"/>
      <c r="F214" s="1488"/>
      <c r="G214" s="1489"/>
      <c r="H214" s="1490"/>
      <c r="I214" s="1487"/>
      <c r="J214" s="1488"/>
      <c r="K214" s="1489"/>
      <c r="L214" s="1490"/>
      <c r="M214" s="1487"/>
      <c r="N214" s="1488"/>
      <c r="O214" s="1489"/>
      <c r="P214" s="1490"/>
      <c r="Q214" s="1399"/>
      <c r="X214" s="1445" t="e">
        <f ca="1"/>
        <v>#NAME?</v>
      </c>
      <c r="Y214" s="1446" t="e">
        <f ca="1"/>
        <v>#NAME?</v>
      </c>
      <c r="Z214" s="1408"/>
      <c r="AB214" s="1399"/>
      <c r="AC214" s="1399"/>
      <c r="AD214" s="1399"/>
      <c r="AE214" s="1399"/>
    </row>
    <row r="215" spans="1:31">
      <c r="A215" s="1487"/>
      <c r="B215" s="1488"/>
      <c r="C215" s="1489"/>
      <c r="D215" s="1490"/>
      <c r="E215" s="1487"/>
      <c r="F215" s="1488"/>
      <c r="G215" s="1489"/>
      <c r="H215" s="1490"/>
      <c r="I215" s="1487"/>
      <c r="J215" s="1488"/>
      <c r="K215" s="1489"/>
      <c r="L215" s="1490"/>
      <c r="M215" s="1487"/>
      <c r="N215" s="1488"/>
      <c r="O215" s="1489"/>
      <c r="P215" s="1490"/>
      <c r="Q215" s="1399"/>
      <c r="X215" s="1445" t="e">
        <f ca="1"/>
        <v>#NAME?</v>
      </c>
      <c r="Y215" s="1446" t="e">
        <f ca="1"/>
        <v>#NAME?</v>
      </c>
      <c r="Z215" s="1408"/>
      <c r="AB215" s="1399"/>
      <c r="AC215" s="1399"/>
      <c r="AD215" s="1399"/>
      <c r="AE215" s="1399"/>
    </row>
    <row r="216" spans="1:31">
      <c r="A216" s="1487"/>
      <c r="B216" s="1488"/>
      <c r="C216" s="1489"/>
      <c r="D216" s="1490"/>
      <c r="E216" s="1487"/>
      <c r="F216" s="1488"/>
      <c r="G216" s="1489"/>
      <c r="H216" s="1490"/>
      <c r="I216" s="1487"/>
      <c r="J216" s="1488"/>
      <c r="K216" s="1489"/>
      <c r="L216" s="1490"/>
      <c r="M216" s="1487"/>
      <c r="N216" s="1488"/>
      <c r="O216" s="1489"/>
      <c r="P216" s="1490"/>
      <c r="Q216" s="1399"/>
      <c r="X216" s="1445" t="e">
        <f ca="1"/>
        <v>#NAME?</v>
      </c>
      <c r="Y216" s="1446" t="e">
        <f ca="1"/>
        <v>#NAME?</v>
      </c>
      <c r="Z216" s="1408"/>
      <c r="AB216" s="1399"/>
      <c r="AC216" s="1399"/>
      <c r="AD216" s="1399"/>
      <c r="AE216" s="1399"/>
    </row>
    <row r="217" spans="1:31">
      <c r="A217" s="1487"/>
      <c r="B217" s="1488"/>
      <c r="C217" s="1489"/>
      <c r="D217" s="1490"/>
      <c r="E217" s="1487"/>
      <c r="F217" s="1488"/>
      <c r="G217" s="1489"/>
      <c r="H217" s="1490"/>
      <c r="I217" s="1487"/>
      <c r="J217" s="1488"/>
      <c r="K217" s="1489"/>
      <c r="L217" s="1490"/>
      <c r="M217" s="1487"/>
      <c r="N217" s="1488"/>
      <c r="O217" s="1489"/>
      <c r="P217" s="1490"/>
      <c r="Q217" s="1399"/>
      <c r="X217" s="1445" t="e">
        <f ca="1"/>
        <v>#NAME?</v>
      </c>
      <c r="Y217" s="1446" t="e">
        <f ca="1"/>
        <v>#NAME?</v>
      </c>
      <c r="Z217" s="1408"/>
      <c r="AB217" s="1399"/>
      <c r="AC217" s="1399"/>
      <c r="AD217" s="1399"/>
      <c r="AE217" s="1399"/>
    </row>
    <row r="218" spans="1:31">
      <c r="A218" s="1487"/>
      <c r="B218" s="1488"/>
      <c r="C218" s="1489"/>
      <c r="D218" s="1490"/>
      <c r="E218" s="1487"/>
      <c r="F218" s="1488"/>
      <c r="G218" s="1489"/>
      <c r="H218" s="1490"/>
      <c r="I218" s="1487"/>
      <c r="J218" s="1488"/>
      <c r="K218" s="1489"/>
      <c r="L218" s="1490"/>
      <c r="M218" s="1487"/>
      <c r="N218" s="1488"/>
      <c r="O218" s="1489"/>
      <c r="P218" s="1490"/>
      <c r="Q218" s="1399"/>
      <c r="X218" s="1445" t="e">
        <f ca="1"/>
        <v>#NAME?</v>
      </c>
      <c r="Y218" s="1446" t="e">
        <f ca="1"/>
        <v>#NAME?</v>
      </c>
      <c r="Z218" s="1408"/>
      <c r="AB218" s="1399"/>
      <c r="AC218" s="1399"/>
      <c r="AD218" s="1399"/>
      <c r="AE218" s="1399"/>
    </row>
    <row r="219" spans="1:31">
      <c r="A219" s="1487"/>
      <c r="B219" s="1488"/>
      <c r="C219" s="1489"/>
      <c r="D219" s="1490"/>
      <c r="E219" s="1487"/>
      <c r="F219" s="1488"/>
      <c r="G219" s="1489"/>
      <c r="H219" s="1490"/>
      <c r="I219" s="1487"/>
      <c r="J219" s="1488"/>
      <c r="K219" s="1489"/>
      <c r="L219" s="1490"/>
      <c r="M219" s="1487"/>
      <c r="N219" s="1488"/>
      <c r="O219" s="1489"/>
      <c r="P219" s="1490"/>
      <c r="Q219" s="1399"/>
      <c r="X219" s="1445" t="e">
        <f ca="1"/>
        <v>#NAME?</v>
      </c>
      <c r="Y219" s="1446" t="e">
        <f ca="1"/>
        <v>#NAME?</v>
      </c>
      <c r="Z219" s="1408"/>
      <c r="AB219" s="1399"/>
      <c r="AC219" s="1399"/>
      <c r="AD219" s="1399"/>
      <c r="AE219" s="1399"/>
    </row>
    <row r="220" spans="1:31">
      <c r="A220" s="1487"/>
      <c r="B220" s="1488"/>
      <c r="C220" s="1489"/>
      <c r="D220" s="1490"/>
      <c r="E220" s="1487"/>
      <c r="F220" s="1488"/>
      <c r="G220" s="1489"/>
      <c r="H220" s="1490"/>
      <c r="I220" s="1487"/>
      <c r="J220" s="1488"/>
      <c r="K220" s="1489"/>
      <c r="L220" s="1490"/>
      <c r="M220" s="1487"/>
      <c r="N220" s="1488"/>
      <c r="O220" s="1489"/>
      <c r="P220" s="1490"/>
      <c r="Q220" s="1399"/>
      <c r="X220" s="1445" t="e">
        <f ca="1"/>
        <v>#NAME?</v>
      </c>
      <c r="Y220" s="1446" t="e">
        <f ca="1"/>
        <v>#NAME?</v>
      </c>
      <c r="Z220" s="1408"/>
      <c r="AB220" s="1399"/>
      <c r="AC220" s="1399"/>
      <c r="AD220" s="1399"/>
      <c r="AE220" s="1399"/>
    </row>
    <row r="221" spans="1:31">
      <c r="A221" s="1487"/>
      <c r="B221" s="1488"/>
      <c r="C221" s="1489"/>
      <c r="D221" s="1490"/>
      <c r="E221" s="1487"/>
      <c r="F221" s="1488"/>
      <c r="G221" s="1489"/>
      <c r="H221" s="1490"/>
      <c r="I221" s="1487"/>
      <c r="J221" s="1488"/>
      <c r="K221" s="1489"/>
      <c r="L221" s="1490"/>
      <c r="M221" s="1487"/>
      <c r="N221" s="1488"/>
      <c r="O221" s="1489"/>
      <c r="P221" s="1490"/>
      <c r="Q221" s="1399"/>
      <c r="X221" s="1445" t="e">
        <f ca="1"/>
        <v>#NAME?</v>
      </c>
      <c r="Y221" s="1446" t="e">
        <f ca="1"/>
        <v>#NAME?</v>
      </c>
      <c r="Z221" s="1408"/>
      <c r="AB221" s="1399"/>
      <c r="AC221" s="1399"/>
      <c r="AD221" s="1399"/>
      <c r="AE221" s="1399"/>
    </row>
    <row r="222" spans="1:31">
      <c r="A222" s="1487"/>
      <c r="B222" s="1488"/>
      <c r="C222" s="1489"/>
      <c r="D222" s="1490"/>
      <c r="E222" s="1487"/>
      <c r="F222" s="1488"/>
      <c r="G222" s="1489"/>
      <c r="H222" s="1490"/>
      <c r="I222" s="1487"/>
      <c r="J222" s="1488"/>
      <c r="K222" s="1489"/>
      <c r="L222" s="1490"/>
      <c r="M222" s="1487"/>
      <c r="N222" s="1488"/>
      <c r="O222" s="1489"/>
      <c r="P222" s="1490"/>
      <c r="Q222" s="1399"/>
      <c r="X222" s="1445" t="e">
        <f ca="1"/>
        <v>#NAME?</v>
      </c>
      <c r="Y222" s="1446" t="e">
        <f ca="1"/>
        <v>#NAME?</v>
      </c>
      <c r="Z222" s="1408"/>
      <c r="AB222" s="1399"/>
      <c r="AC222" s="1399"/>
      <c r="AD222" s="1399"/>
      <c r="AE222" s="1399"/>
    </row>
    <row r="223" spans="1:31">
      <c r="A223" s="1487"/>
      <c r="B223" s="1488"/>
      <c r="C223" s="1489"/>
      <c r="D223" s="1490"/>
      <c r="E223" s="1487"/>
      <c r="F223" s="1488"/>
      <c r="G223" s="1489"/>
      <c r="H223" s="1490"/>
      <c r="I223" s="1487"/>
      <c r="J223" s="1488"/>
      <c r="K223" s="1489"/>
      <c r="L223" s="1490"/>
      <c r="M223" s="1487"/>
      <c r="N223" s="1488"/>
      <c r="O223" s="1489"/>
      <c r="P223" s="1490"/>
      <c r="Q223" s="1399"/>
      <c r="X223" s="1445" t="e">
        <f ca="1"/>
        <v>#NAME?</v>
      </c>
      <c r="Y223" s="1446" t="e">
        <f ca="1"/>
        <v>#NAME?</v>
      </c>
      <c r="Z223" s="1408"/>
      <c r="AB223" s="1399"/>
      <c r="AC223" s="1399"/>
      <c r="AD223" s="1399"/>
      <c r="AE223" s="1399"/>
    </row>
    <row r="224" spans="1:31">
      <c r="A224" s="1487"/>
      <c r="B224" s="1488"/>
      <c r="C224" s="1489"/>
      <c r="D224" s="1490"/>
      <c r="E224" s="1487"/>
      <c r="F224" s="1488"/>
      <c r="G224" s="1489"/>
      <c r="H224" s="1490"/>
      <c r="I224" s="1487"/>
      <c r="J224" s="1488"/>
      <c r="K224" s="1489"/>
      <c r="L224" s="1490"/>
      <c r="M224" s="1487"/>
      <c r="N224" s="1488"/>
      <c r="O224" s="1489"/>
      <c r="P224" s="1490"/>
      <c r="Q224" s="1399"/>
      <c r="X224" s="1445" t="e">
        <f ca="1"/>
        <v>#NAME?</v>
      </c>
      <c r="Y224" s="1446" t="e">
        <f ca="1"/>
        <v>#NAME?</v>
      </c>
      <c r="Z224" s="1408"/>
      <c r="AB224" s="1399"/>
      <c r="AC224" s="1399"/>
      <c r="AD224" s="1399"/>
      <c r="AE224" s="1399"/>
    </row>
    <row r="225" spans="1:31">
      <c r="A225" s="1487"/>
      <c r="B225" s="1488"/>
      <c r="C225" s="1489"/>
      <c r="D225" s="1490"/>
      <c r="E225" s="1487"/>
      <c r="F225" s="1488"/>
      <c r="G225" s="1489"/>
      <c r="H225" s="1490"/>
      <c r="I225" s="1487"/>
      <c r="J225" s="1488"/>
      <c r="K225" s="1489"/>
      <c r="L225" s="1490"/>
      <c r="M225" s="1487"/>
      <c r="N225" s="1488"/>
      <c r="O225" s="1489"/>
      <c r="P225" s="1490"/>
      <c r="Q225" s="1399"/>
      <c r="X225" s="1445" t="e">
        <f ca="1"/>
        <v>#NAME?</v>
      </c>
      <c r="Y225" s="1446" t="e">
        <f ca="1"/>
        <v>#NAME?</v>
      </c>
      <c r="Z225" s="1408"/>
      <c r="AB225" s="1399"/>
      <c r="AC225" s="1399"/>
      <c r="AD225" s="1399"/>
      <c r="AE225" s="1399"/>
    </row>
    <row r="226" spans="1:31">
      <c r="A226" s="1487"/>
      <c r="B226" s="1488"/>
      <c r="C226" s="1489"/>
      <c r="D226" s="1490"/>
      <c r="E226" s="1487"/>
      <c r="F226" s="1488"/>
      <c r="G226" s="1489"/>
      <c r="H226" s="1490"/>
      <c r="I226" s="1487"/>
      <c r="J226" s="1488"/>
      <c r="K226" s="1489"/>
      <c r="L226" s="1490"/>
      <c r="M226" s="1487"/>
      <c r="N226" s="1488"/>
      <c r="O226" s="1489"/>
      <c r="P226" s="1490"/>
      <c r="Q226" s="1399"/>
      <c r="X226" s="1445" t="e">
        <f ca="1"/>
        <v>#NAME?</v>
      </c>
      <c r="Y226" s="1446" t="e">
        <f ca="1"/>
        <v>#NAME?</v>
      </c>
      <c r="Z226" s="1408"/>
      <c r="AB226" s="1399"/>
      <c r="AC226" s="1399"/>
      <c r="AD226" s="1399"/>
      <c r="AE226" s="1399"/>
    </row>
    <row r="227" spans="1:31">
      <c r="A227" s="1487"/>
      <c r="B227" s="1488"/>
      <c r="C227" s="1489"/>
      <c r="D227" s="1490"/>
      <c r="E227" s="1487"/>
      <c r="F227" s="1488"/>
      <c r="G227" s="1489"/>
      <c r="H227" s="1490"/>
      <c r="I227" s="1487"/>
      <c r="J227" s="1488"/>
      <c r="K227" s="1489"/>
      <c r="L227" s="1490"/>
      <c r="M227" s="1487"/>
      <c r="N227" s="1488"/>
      <c r="O227" s="1489"/>
      <c r="P227" s="1490"/>
      <c r="Q227" s="1399"/>
      <c r="X227" s="1445" t="e">
        <f ca="1"/>
        <v>#NAME?</v>
      </c>
      <c r="Y227" s="1446" t="e">
        <f ca="1"/>
        <v>#NAME?</v>
      </c>
      <c r="Z227" s="1408"/>
      <c r="AB227" s="1399"/>
      <c r="AC227" s="1399"/>
      <c r="AD227" s="1399"/>
      <c r="AE227" s="1399"/>
    </row>
    <row r="228" spans="1:31">
      <c r="A228" s="1487"/>
      <c r="B228" s="1488"/>
      <c r="C228" s="1489"/>
      <c r="D228" s="1490"/>
      <c r="E228" s="1487"/>
      <c r="F228" s="1488"/>
      <c r="G228" s="1489"/>
      <c r="H228" s="1490"/>
      <c r="I228" s="1487"/>
      <c r="J228" s="1488"/>
      <c r="K228" s="1489"/>
      <c r="L228" s="1490"/>
      <c r="M228" s="1487"/>
      <c r="N228" s="1488"/>
      <c r="O228" s="1489"/>
      <c r="P228" s="1490"/>
      <c r="Q228" s="1399"/>
      <c r="X228" s="1445" t="e">
        <f ca="1"/>
        <v>#NAME?</v>
      </c>
      <c r="Y228" s="1446" t="e">
        <f ca="1"/>
        <v>#NAME?</v>
      </c>
      <c r="Z228" s="1408"/>
      <c r="AB228" s="1399"/>
      <c r="AC228" s="1399"/>
      <c r="AD228" s="1399"/>
      <c r="AE228" s="1399"/>
    </row>
    <row r="229" spans="1:31">
      <c r="A229" s="1487"/>
      <c r="B229" s="1488"/>
      <c r="C229" s="1489"/>
      <c r="D229" s="1490"/>
      <c r="E229" s="1487"/>
      <c r="F229" s="1488"/>
      <c r="G229" s="1489"/>
      <c r="H229" s="1490"/>
      <c r="I229" s="1487"/>
      <c r="J229" s="1488"/>
      <c r="K229" s="1489"/>
      <c r="L229" s="1490"/>
      <c r="M229" s="1487"/>
      <c r="N229" s="1488"/>
      <c r="O229" s="1489"/>
      <c r="P229" s="1490"/>
      <c r="Q229" s="1399"/>
      <c r="X229" s="1445" t="e">
        <f ca="1"/>
        <v>#NAME?</v>
      </c>
      <c r="Y229" s="1446" t="e">
        <f ca="1"/>
        <v>#NAME?</v>
      </c>
      <c r="Z229" s="1408"/>
      <c r="AB229" s="1399"/>
      <c r="AC229" s="1399"/>
      <c r="AD229" s="1399"/>
      <c r="AE229" s="1399"/>
    </row>
    <row r="230" spans="1:31">
      <c r="A230" s="1487"/>
      <c r="B230" s="1488"/>
      <c r="C230" s="1489"/>
      <c r="D230" s="1490"/>
      <c r="E230" s="1487"/>
      <c r="F230" s="1488"/>
      <c r="G230" s="1489"/>
      <c r="H230" s="1490"/>
      <c r="I230" s="1487"/>
      <c r="J230" s="1488"/>
      <c r="K230" s="1489"/>
      <c r="L230" s="1490"/>
      <c r="M230" s="1487"/>
      <c r="N230" s="1488"/>
      <c r="O230" s="1489"/>
      <c r="P230" s="1490"/>
      <c r="Q230" s="1399"/>
      <c r="X230" s="1445" t="e">
        <f ca="1"/>
        <v>#NAME?</v>
      </c>
      <c r="Y230" s="1446" t="e">
        <f ca="1"/>
        <v>#NAME?</v>
      </c>
      <c r="Z230" s="1408"/>
      <c r="AB230" s="1399"/>
      <c r="AC230" s="1399"/>
      <c r="AD230" s="1399"/>
      <c r="AE230" s="1399"/>
    </row>
    <row r="231" spans="1:31">
      <c r="A231" s="1487"/>
      <c r="B231" s="1488"/>
      <c r="C231" s="1489"/>
      <c r="D231" s="1490"/>
      <c r="E231" s="1487"/>
      <c r="F231" s="1488"/>
      <c r="G231" s="1489"/>
      <c r="H231" s="1490"/>
      <c r="I231" s="1487"/>
      <c r="J231" s="1488"/>
      <c r="K231" s="1489"/>
      <c r="L231" s="1490"/>
      <c r="M231" s="1487"/>
      <c r="N231" s="1488"/>
      <c r="O231" s="1489"/>
      <c r="P231" s="1490"/>
      <c r="Q231" s="1399"/>
      <c r="X231" s="1445" t="e">
        <f ca="1"/>
        <v>#NAME?</v>
      </c>
      <c r="Y231" s="1446" t="e">
        <f ca="1"/>
        <v>#NAME?</v>
      </c>
      <c r="Z231" s="1408"/>
      <c r="AB231" s="1399"/>
      <c r="AC231" s="1399"/>
      <c r="AD231" s="1399"/>
      <c r="AE231" s="1399"/>
    </row>
    <row r="232" spans="1:31">
      <c r="A232" s="1487"/>
      <c r="B232" s="1488"/>
      <c r="C232" s="1489"/>
      <c r="D232" s="1490"/>
      <c r="E232" s="1487"/>
      <c r="F232" s="1488"/>
      <c r="G232" s="1489"/>
      <c r="H232" s="1490"/>
      <c r="I232" s="1487"/>
      <c r="J232" s="1488"/>
      <c r="K232" s="1489"/>
      <c r="L232" s="1490"/>
      <c r="M232" s="1487"/>
      <c r="N232" s="1488"/>
      <c r="O232" s="1489"/>
      <c r="P232" s="1490"/>
      <c r="Q232" s="1399"/>
      <c r="X232" s="1445" t="e">
        <f ca="1"/>
        <v>#NAME?</v>
      </c>
      <c r="Y232" s="1446" t="e">
        <f ca="1"/>
        <v>#NAME?</v>
      </c>
      <c r="Z232" s="1408"/>
      <c r="AB232" s="1399"/>
      <c r="AC232" s="1399"/>
      <c r="AD232" s="1399"/>
      <c r="AE232" s="1399"/>
    </row>
    <row r="233" spans="1:31">
      <c r="A233" s="1487"/>
      <c r="B233" s="1488"/>
      <c r="C233" s="1489"/>
      <c r="D233" s="1490"/>
      <c r="E233" s="1487"/>
      <c r="F233" s="1488"/>
      <c r="G233" s="1489"/>
      <c r="H233" s="1490"/>
      <c r="I233" s="1487"/>
      <c r="J233" s="1488"/>
      <c r="K233" s="1489"/>
      <c r="L233" s="1490"/>
      <c r="M233" s="1487"/>
      <c r="N233" s="1488"/>
      <c r="O233" s="1489"/>
      <c r="P233" s="1490"/>
      <c r="Q233" s="1399"/>
      <c r="X233" s="1445" t="e">
        <f ca="1"/>
        <v>#NAME?</v>
      </c>
      <c r="Y233" s="1446" t="e">
        <f ca="1"/>
        <v>#NAME?</v>
      </c>
      <c r="Z233" s="1408"/>
      <c r="AB233" s="1399"/>
      <c r="AC233" s="1399"/>
      <c r="AD233" s="1399"/>
      <c r="AE233" s="1399"/>
    </row>
    <row r="234" spans="1:31">
      <c r="A234" s="1487"/>
      <c r="B234" s="1488"/>
      <c r="C234" s="1489"/>
      <c r="D234" s="1490"/>
      <c r="E234" s="1487"/>
      <c r="F234" s="1488"/>
      <c r="G234" s="1489"/>
      <c r="H234" s="1490"/>
      <c r="I234" s="1487"/>
      <c r="J234" s="1488"/>
      <c r="K234" s="1489"/>
      <c r="L234" s="1490"/>
      <c r="M234" s="1487"/>
      <c r="N234" s="1488"/>
      <c r="O234" s="1489"/>
      <c r="P234" s="1490"/>
      <c r="Q234" s="1399"/>
      <c r="X234" s="1445" t="e">
        <f ca="1"/>
        <v>#NAME?</v>
      </c>
      <c r="Y234" s="1446" t="e">
        <f ca="1"/>
        <v>#NAME?</v>
      </c>
      <c r="Z234" s="1408"/>
      <c r="AB234" s="1399"/>
      <c r="AC234" s="1399"/>
      <c r="AD234" s="1399"/>
      <c r="AE234" s="1399"/>
    </row>
    <row r="235" spans="1:31">
      <c r="A235" s="1487"/>
      <c r="B235" s="1488"/>
      <c r="C235" s="1489"/>
      <c r="D235" s="1490"/>
      <c r="E235" s="1487"/>
      <c r="F235" s="1488"/>
      <c r="G235" s="1489"/>
      <c r="H235" s="1490"/>
      <c r="I235" s="1487"/>
      <c r="J235" s="1488"/>
      <c r="K235" s="1489"/>
      <c r="L235" s="1490"/>
      <c r="M235" s="1487"/>
      <c r="N235" s="1488"/>
      <c r="O235" s="1489"/>
      <c r="P235" s="1490"/>
      <c r="Q235" s="1399"/>
      <c r="X235" s="1445" t="e">
        <f ca="1"/>
        <v>#NAME?</v>
      </c>
      <c r="Y235" s="1446" t="e">
        <f ca="1"/>
        <v>#NAME?</v>
      </c>
      <c r="Z235" s="1408"/>
      <c r="AB235" s="1399"/>
      <c r="AC235" s="1399"/>
      <c r="AD235" s="1399"/>
      <c r="AE235" s="1399"/>
    </row>
    <row r="236" spans="1:31">
      <c r="A236" s="1487"/>
      <c r="B236" s="1488"/>
      <c r="C236" s="1489"/>
      <c r="D236" s="1490"/>
      <c r="E236" s="1487"/>
      <c r="F236" s="1488"/>
      <c r="G236" s="1489"/>
      <c r="H236" s="1490"/>
      <c r="I236" s="1487"/>
      <c r="J236" s="1488"/>
      <c r="K236" s="1489"/>
      <c r="L236" s="1490"/>
      <c r="M236" s="1487"/>
      <c r="N236" s="1488"/>
      <c r="O236" s="1489"/>
      <c r="P236" s="1490"/>
      <c r="Q236" s="1399"/>
      <c r="X236" s="1445" t="e">
        <f ca="1"/>
        <v>#NAME?</v>
      </c>
      <c r="Y236" s="1446" t="e">
        <f ca="1"/>
        <v>#NAME?</v>
      </c>
      <c r="Z236" s="1408"/>
      <c r="AB236" s="1399"/>
      <c r="AC236" s="1399"/>
      <c r="AD236" s="1399"/>
      <c r="AE236" s="1399"/>
    </row>
    <row r="237" spans="1:31">
      <c r="A237" s="1487"/>
      <c r="B237" s="1488"/>
      <c r="C237" s="1489"/>
      <c r="D237" s="1490"/>
      <c r="E237" s="1487"/>
      <c r="F237" s="1488"/>
      <c r="G237" s="1489"/>
      <c r="H237" s="1490"/>
      <c r="I237" s="1487"/>
      <c r="J237" s="1488"/>
      <c r="K237" s="1489"/>
      <c r="L237" s="1490"/>
      <c r="M237" s="1487"/>
      <c r="N237" s="1488"/>
      <c r="O237" s="1489"/>
      <c r="P237" s="1490"/>
      <c r="Q237" s="1399"/>
      <c r="X237" s="1445" t="e">
        <f ca="1"/>
        <v>#NAME?</v>
      </c>
      <c r="Y237" s="1446" t="e">
        <f ca="1"/>
        <v>#NAME?</v>
      </c>
      <c r="Z237" s="1408"/>
      <c r="AB237" s="1399"/>
      <c r="AC237" s="1399"/>
      <c r="AD237" s="1399"/>
      <c r="AE237" s="1399"/>
    </row>
    <row r="238" spans="1:31">
      <c r="A238" s="1487"/>
      <c r="B238" s="1488"/>
      <c r="C238" s="1489"/>
      <c r="D238" s="1490"/>
      <c r="E238" s="1487"/>
      <c r="F238" s="1488"/>
      <c r="G238" s="1489"/>
      <c r="H238" s="1490"/>
      <c r="I238" s="1487"/>
      <c r="J238" s="1488"/>
      <c r="K238" s="1489"/>
      <c r="L238" s="1490"/>
      <c r="M238" s="1487"/>
      <c r="N238" s="1488"/>
      <c r="O238" s="1489"/>
      <c r="P238" s="1490"/>
      <c r="Q238" s="1399"/>
      <c r="X238" s="1445" t="e">
        <f ca="1"/>
        <v>#NAME?</v>
      </c>
      <c r="Y238" s="1446" t="e">
        <f ca="1"/>
        <v>#NAME?</v>
      </c>
      <c r="Z238" s="1408"/>
      <c r="AB238" s="1399"/>
      <c r="AC238" s="1399"/>
      <c r="AD238" s="1399"/>
      <c r="AE238" s="1399"/>
    </row>
    <row r="239" spans="1:31">
      <c r="A239" s="1487"/>
      <c r="B239" s="1488"/>
      <c r="C239" s="1489"/>
      <c r="D239" s="1490"/>
      <c r="E239" s="1487"/>
      <c r="F239" s="1488"/>
      <c r="G239" s="1489"/>
      <c r="H239" s="1490"/>
      <c r="I239" s="1487"/>
      <c r="J239" s="1488"/>
      <c r="K239" s="1489"/>
      <c r="L239" s="1490"/>
      <c r="M239" s="1487"/>
      <c r="N239" s="1488"/>
      <c r="O239" s="1489"/>
      <c r="P239" s="1490"/>
      <c r="Q239" s="1399"/>
      <c r="X239" s="1445" t="e">
        <f ca="1"/>
        <v>#NAME?</v>
      </c>
      <c r="Y239" s="1446" t="e">
        <f ca="1"/>
        <v>#NAME?</v>
      </c>
      <c r="Z239" s="1408"/>
      <c r="AB239" s="1399"/>
      <c r="AC239" s="1399"/>
      <c r="AD239" s="1399"/>
      <c r="AE239" s="1399"/>
    </row>
    <row r="240" spans="1:31">
      <c r="A240" s="1487"/>
      <c r="B240" s="1488"/>
      <c r="C240" s="1489"/>
      <c r="D240" s="1490"/>
      <c r="E240" s="1487"/>
      <c r="F240" s="1488"/>
      <c r="G240" s="1489"/>
      <c r="H240" s="1490"/>
      <c r="I240" s="1487"/>
      <c r="J240" s="1488"/>
      <c r="K240" s="1489"/>
      <c r="L240" s="1490"/>
      <c r="M240" s="1487"/>
      <c r="N240" s="1488"/>
      <c r="O240" s="1489"/>
      <c r="P240" s="1490"/>
      <c r="Q240" s="1399"/>
      <c r="X240" s="1445" t="e">
        <f ca="1"/>
        <v>#NAME?</v>
      </c>
      <c r="Y240" s="1446" t="e">
        <f ca="1"/>
        <v>#NAME?</v>
      </c>
      <c r="Z240" s="1408"/>
      <c r="AB240" s="1399"/>
      <c r="AC240" s="1399"/>
      <c r="AD240" s="1399"/>
      <c r="AE240" s="1399"/>
    </row>
    <row r="241" spans="1:31">
      <c r="A241" s="1487"/>
      <c r="B241" s="1488"/>
      <c r="C241" s="1489"/>
      <c r="D241" s="1490"/>
      <c r="E241" s="1487"/>
      <c r="F241" s="1488"/>
      <c r="G241" s="1489"/>
      <c r="H241" s="1490"/>
      <c r="I241" s="1487"/>
      <c r="J241" s="1488"/>
      <c r="K241" s="1489"/>
      <c r="L241" s="1490"/>
      <c r="M241" s="1487"/>
      <c r="N241" s="1488"/>
      <c r="O241" s="1489"/>
      <c r="P241" s="1490"/>
      <c r="Q241" s="1399"/>
      <c r="X241" s="1445" t="e">
        <f ca="1"/>
        <v>#NAME?</v>
      </c>
      <c r="Y241" s="1446" t="e">
        <f ca="1"/>
        <v>#NAME?</v>
      </c>
      <c r="Z241" s="1408"/>
      <c r="AB241" s="1399"/>
      <c r="AC241" s="1399"/>
      <c r="AD241" s="1399"/>
      <c r="AE241" s="1399"/>
    </row>
    <row r="242" spans="1:31">
      <c r="A242" s="1487"/>
      <c r="B242" s="1488"/>
      <c r="C242" s="1489"/>
      <c r="D242" s="1490"/>
      <c r="E242" s="1487"/>
      <c r="F242" s="1488"/>
      <c r="G242" s="1489"/>
      <c r="H242" s="1490"/>
      <c r="I242" s="1487"/>
      <c r="J242" s="1488"/>
      <c r="K242" s="1489"/>
      <c r="L242" s="1490"/>
      <c r="M242" s="1487"/>
      <c r="N242" s="1488"/>
      <c r="O242" s="1489"/>
      <c r="P242" s="1490"/>
      <c r="Q242" s="1399"/>
      <c r="X242" s="1445" t="e">
        <f ca="1"/>
        <v>#NAME?</v>
      </c>
      <c r="Y242" s="1446" t="e">
        <f ca="1"/>
        <v>#NAME?</v>
      </c>
      <c r="Z242" s="1408"/>
      <c r="AB242" s="1399"/>
      <c r="AC242" s="1399"/>
      <c r="AD242" s="1399"/>
      <c r="AE242" s="1399"/>
    </row>
    <row r="243" spans="1:31">
      <c r="A243" s="1487"/>
      <c r="B243" s="1488"/>
      <c r="C243" s="1489"/>
      <c r="D243" s="1490"/>
      <c r="E243" s="1487"/>
      <c r="F243" s="1488"/>
      <c r="G243" s="1489"/>
      <c r="H243" s="1490"/>
      <c r="I243" s="1487"/>
      <c r="J243" s="1488"/>
      <c r="K243" s="1489"/>
      <c r="L243" s="1490"/>
      <c r="M243" s="1487"/>
      <c r="N243" s="1488"/>
      <c r="O243" s="1489"/>
      <c r="P243" s="1490"/>
      <c r="Q243" s="1399"/>
      <c r="X243" s="1445" t="e">
        <f ca="1"/>
        <v>#NAME?</v>
      </c>
      <c r="Y243" s="1446" t="e">
        <f ca="1"/>
        <v>#NAME?</v>
      </c>
      <c r="Z243" s="1408"/>
      <c r="AB243" s="1399"/>
      <c r="AC243" s="1399"/>
      <c r="AD243" s="1399"/>
      <c r="AE243" s="1399"/>
    </row>
    <row r="244" spans="1:31">
      <c r="A244" s="1487"/>
      <c r="B244" s="1488"/>
      <c r="C244" s="1489"/>
      <c r="D244" s="1490"/>
      <c r="E244" s="1487"/>
      <c r="F244" s="1488"/>
      <c r="G244" s="1489"/>
      <c r="H244" s="1490"/>
      <c r="I244" s="1487"/>
      <c r="J244" s="1488"/>
      <c r="K244" s="1489"/>
      <c r="L244" s="1490"/>
      <c r="M244" s="1487"/>
      <c r="N244" s="1488"/>
      <c r="O244" s="1489"/>
      <c r="P244" s="1490"/>
      <c r="Q244" s="1399"/>
      <c r="X244" s="1445" t="e">
        <f ca="1"/>
        <v>#NAME?</v>
      </c>
      <c r="Y244" s="1446" t="e">
        <f ca="1"/>
        <v>#NAME?</v>
      </c>
      <c r="Z244" s="1408"/>
      <c r="AB244" s="1399"/>
      <c r="AC244" s="1399"/>
      <c r="AD244" s="1399"/>
      <c r="AE244" s="1399"/>
    </row>
    <row r="245" spans="1:31">
      <c r="A245" s="1487"/>
      <c r="B245" s="1488"/>
      <c r="C245" s="1489"/>
      <c r="D245" s="1490"/>
      <c r="E245" s="1487"/>
      <c r="F245" s="1488"/>
      <c r="G245" s="1489"/>
      <c r="H245" s="1490"/>
      <c r="I245" s="1487"/>
      <c r="J245" s="1488"/>
      <c r="K245" s="1489"/>
      <c r="L245" s="1490"/>
      <c r="M245" s="1487"/>
      <c r="N245" s="1488"/>
      <c r="O245" s="1489"/>
      <c r="P245" s="1490"/>
      <c r="Q245" s="1399"/>
      <c r="X245" s="1445" t="e">
        <f ca="1"/>
        <v>#NAME?</v>
      </c>
      <c r="Y245" s="1446" t="e">
        <f ca="1"/>
        <v>#NAME?</v>
      </c>
      <c r="Z245" s="1408"/>
      <c r="AB245" s="1399"/>
      <c r="AC245" s="1399"/>
      <c r="AD245" s="1399"/>
      <c r="AE245" s="1399"/>
    </row>
    <row r="246" spans="1:31">
      <c r="A246" s="1487"/>
      <c r="B246" s="1488"/>
      <c r="C246" s="1489"/>
      <c r="D246" s="1490"/>
      <c r="E246" s="1487"/>
      <c r="F246" s="1488"/>
      <c r="G246" s="1489"/>
      <c r="H246" s="1490"/>
      <c r="I246" s="1487"/>
      <c r="J246" s="1488"/>
      <c r="K246" s="1489"/>
      <c r="L246" s="1490"/>
      <c r="M246" s="1487"/>
      <c r="N246" s="1488"/>
      <c r="O246" s="1489"/>
      <c r="P246" s="1490"/>
      <c r="Q246" s="1399"/>
      <c r="X246" s="1445" t="e">
        <f ca="1"/>
        <v>#NAME?</v>
      </c>
      <c r="Y246" s="1446" t="e">
        <f ca="1"/>
        <v>#NAME?</v>
      </c>
      <c r="Z246" s="1408"/>
      <c r="AB246" s="1399"/>
      <c r="AC246" s="1399"/>
      <c r="AD246" s="1399"/>
      <c r="AE246" s="1399"/>
    </row>
    <row r="247" spans="1:31">
      <c r="A247" s="1487"/>
      <c r="B247" s="1488"/>
      <c r="C247" s="1489"/>
      <c r="D247" s="1490"/>
      <c r="E247" s="1487"/>
      <c r="F247" s="1488"/>
      <c r="G247" s="1489"/>
      <c r="H247" s="1490"/>
      <c r="I247" s="1487"/>
      <c r="J247" s="1488"/>
      <c r="K247" s="1489"/>
      <c r="L247" s="1490"/>
      <c r="M247" s="1487"/>
      <c r="N247" s="1488"/>
      <c r="O247" s="1489"/>
      <c r="P247" s="1490"/>
      <c r="Q247" s="1399"/>
      <c r="X247" s="1445" t="e">
        <f ca="1"/>
        <v>#NAME?</v>
      </c>
      <c r="Y247" s="1446" t="e">
        <f ca="1"/>
        <v>#NAME?</v>
      </c>
      <c r="Z247" s="1408"/>
      <c r="AB247" s="1399"/>
      <c r="AC247" s="1399"/>
      <c r="AD247" s="1399"/>
      <c r="AE247" s="1399"/>
    </row>
    <row r="248" spans="1:31">
      <c r="A248" s="1487"/>
      <c r="B248" s="1488"/>
      <c r="C248" s="1489"/>
      <c r="D248" s="1490"/>
      <c r="E248" s="1487"/>
      <c r="F248" s="1488"/>
      <c r="G248" s="1489"/>
      <c r="H248" s="1490"/>
      <c r="I248" s="1487"/>
      <c r="J248" s="1488"/>
      <c r="K248" s="1489"/>
      <c r="L248" s="1490"/>
      <c r="M248" s="1487"/>
      <c r="N248" s="1488"/>
      <c r="O248" s="1489"/>
      <c r="P248" s="1490"/>
      <c r="Q248" s="1399"/>
      <c r="X248" s="1445" t="e">
        <f ca="1"/>
        <v>#NAME?</v>
      </c>
      <c r="Y248" s="1446" t="e">
        <f ca="1"/>
        <v>#NAME?</v>
      </c>
      <c r="Z248" s="1408"/>
      <c r="AB248" s="1399"/>
      <c r="AC248" s="1399"/>
      <c r="AD248" s="1399"/>
      <c r="AE248" s="1399"/>
    </row>
    <row r="249" spans="1:31">
      <c r="A249" s="1487"/>
      <c r="B249" s="1488"/>
      <c r="C249" s="1489"/>
      <c r="D249" s="1490"/>
      <c r="E249" s="1487"/>
      <c r="F249" s="1488"/>
      <c r="G249" s="1489"/>
      <c r="H249" s="1490"/>
      <c r="I249" s="1487"/>
      <c r="J249" s="1488"/>
      <c r="K249" s="1489"/>
      <c r="L249" s="1490"/>
      <c r="M249" s="1487"/>
      <c r="N249" s="1488"/>
      <c r="O249" s="1489"/>
      <c r="P249" s="1490"/>
      <c r="Q249" s="1399"/>
      <c r="X249" s="1445" t="e">
        <f ca="1"/>
        <v>#NAME?</v>
      </c>
      <c r="Y249" s="1446" t="e">
        <f ca="1"/>
        <v>#NAME?</v>
      </c>
      <c r="Z249" s="1408"/>
      <c r="AB249" s="1399"/>
      <c r="AC249" s="1399"/>
      <c r="AD249" s="1399"/>
      <c r="AE249" s="1399"/>
    </row>
    <row r="250" spans="1:31">
      <c r="A250" s="1487"/>
      <c r="B250" s="1488"/>
      <c r="C250" s="1489"/>
      <c r="D250" s="1490"/>
      <c r="E250" s="1487"/>
      <c r="F250" s="1488"/>
      <c r="G250" s="1489"/>
      <c r="H250" s="1490"/>
      <c r="I250" s="1487"/>
      <c r="J250" s="1488"/>
      <c r="K250" s="1489"/>
      <c r="L250" s="1490"/>
      <c r="M250" s="1487"/>
      <c r="N250" s="1488"/>
      <c r="O250" s="1489"/>
      <c r="P250" s="1490"/>
      <c r="Q250" s="1399"/>
      <c r="X250" s="1445" t="e">
        <f ca="1"/>
        <v>#NAME?</v>
      </c>
      <c r="Y250" s="1446" t="e">
        <f ca="1"/>
        <v>#NAME?</v>
      </c>
      <c r="Z250" s="1408"/>
      <c r="AB250" s="1399"/>
      <c r="AC250" s="1399"/>
      <c r="AD250" s="1399"/>
      <c r="AE250" s="1399"/>
    </row>
    <row r="251" spans="1:31">
      <c r="A251" s="1487"/>
      <c r="B251" s="1488"/>
      <c r="C251" s="1489"/>
      <c r="D251" s="1490"/>
      <c r="E251" s="1487"/>
      <c r="F251" s="1488"/>
      <c r="G251" s="1489"/>
      <c r="H251" s="1490"/>
      <c r="I251" s="1487"/>
      <c r="J251" s="1488"/>
      <c r="K251" s="1489"/>
      <c r="L251" s="1490"/>
      <c r="M251" s="1487"/>
      <c r="N251" s="1488"/>
      <c r="O251" s="1489"/>
      <c r="P251" s="1490"/>
      <c r="Q251" s="1399"/>
      <c r="X251" s="1445" t="e">
        <f ca="1"/>
        <v>#NAME?</v>
      </c>
      <c r="Y251" s="1446" t="e">
        <f ca="1"/>
        <v>#NAME?</v>
      </c>
      <c r="Z251" s="1408"/>
      <c r="AB251" s="1399"/>
      <c r="AC251" s="1399"/>
      <c r="AD251" s="1399"/>
      <c r="AE251" s="1399"/>
    </row>
    <row r="252" spans="1:31">
      <c r="A252" s="1487"/>
      <c r="B252" s="1488"/>
      <c r="C252" s="1489"/>
      <c r="D252" s="1490"/>
      <c r="E252" s="1487"/>
      <c r="F252" s="1488"/>
      <c r="G252" s="1489"/>
      <c r="H252" s="1490"/>
      <c r="I252" s="1487"/>
      <c r="J252" s="1488"/>
      <c r="K252" s="1489"/>
      <c r="L252" s="1490"/>
      <c r="M252" s="1487"/>
      <c r="N252" s="1488"/>
      <c r="O252" s="1489"/>
      <c r="P252" s="1490"/>
      <c r="Q252" s="1399"/>
      <c r="X252" s="1445" t="e">
        <f ca="1"/>
        <v>#NAME?</v>
      </c>
      <c r="Y252" s="1446" t="e">
        <f ca="1"/>
        <v>#NAME?</v>
      </c>
      <c r="Z252" s="1408"/>
      <c r="AB252" s="1399"/>
      <c r="AC252" s="1399"/>
      <c r="AD252" s="1399"/>
      <c r="AE252" s="1399"/>
    </row>
    <row r="253" spans="1:31">
      <c r="A253" s="1487"/>
      <c r="B253" s="1488"/>
      <c r="C253" s="1489"/>
      <c r="D253" s="1490"/>
      <c r="E253" s="1487"/>
      <c r="F253" s="1488"/>
      <c r="G253" s="1489"/>
      <c r="H253" s="1490"/>
      <c r="I253" s="1487"/>
      <c r="J253" s="1488"/>
      <c r="K253" s="1489"/>
      <c r="L253" s="1490"/>
      <c r="M253" s="1487"/>
      <c r="N253" s="1488"/>
      <c r="O253" s="1489"/>
      <c r="P253" s="1490"/>
      <c r="Q253" s="1399"/>
      <c r="X253" s="1445" t="e">
        <f ca="1"/>
        <v>#NAME?</v>
      </c>
      <c r="Y253" s="1446" t="e">
        <f ca="1"/>
        <v>#NAME?</v>
      </c>
      <c r="Z253" s="1408"/>
      <c r="AB253" s="1399"/>
      <c r="AC253" s="1399"/>
      <c r="AD253" s="1399"/>
      <c r="AE253" s="1399"/>
    </row>
    <row r="254" spans="1:31">
      <c r="A254" s="1487"/>
      <c r="B254" s="1488"/>
      <c r="C254" s="1489"/>
      <c r="D254" s="1490"/>
      <c r="E254" s="1487"/>
      <c r="F254" s="1488"/>
      <c r="G254" s="1489"/>
      <c r="H254" s="1490"/>
      <c r="I254" s="1487"/>
      <c r="J254" s="1488"/>
      <c r="K254" s="1489"/>
      <c r="L254" s="1490"/>
      <c r="M254" s="1487"/>
      <c r="N254" s="1488"/>
      <c r="O254" s="1489"/>
      <c r="P254" s="1490"/>
      <c r="Q254" s="1399"/>
      <c r="X254" s="1445" t="e">
        <f ca="1"/>
        <v>#NAME?</v>
      </c>
      <c r="Y254" s="1446" t="e">
        <f ca="1"/>
        <v>#NAME?</v>
      </c>
      <c r="Z254" s="1408"/>
      <c r="AB254" s="1399"/>
      <c r="AC254" s="1399"/>
      <c r="AD254" s="1399"/>
      <c r="AE254" s="1399"/>
    </row>
    <row r="255" spans="1:31">
      <c r="A255" s="1487"/>
      <c r="B255" s="1488"/>
      <c r="C255" s="1489"/>
      <c r="D255" s="1490"/>
      <c r="E255" s="1487"/>
      <c r="F255" s="1488"/>
      <c r="G255" s="1489"/>
      <c r="H255" s="1490"/>
      <c r="I255" s="1487"/>
      <c r="J255" s="1488"/>
      <c r="K255" s="1489"/>
      <c r="L255" s="1490"/>
      <c r="M255" s="1487"/>
      <c r="N255" s="1488"/>
      <c r="O255" s="1489"/>
      <c r="P255" s="1490"/>
      <c r="Q255" s="1399"/>
      <c r="X255" s="1445" t="e">
        <f ca="1"/>
        <v>#NAME?</v>
      </c>
      <c r="Y255" s="1446" t="e">
        <f ca="1"/>
        <v>#NAME?</v>
      </c>
      <c r="Z255" s="1408"/>
      <c r="AB255" s="1399"/>
      <c r="AC255" s="1399"/>
      <c r="AD255" s="1399"/>
      <c r="AE255" s="1399"/>
    </row>
    <row r="256" spans="1:31">
      <c r="A256" s="1487"/>
      <c r="B256" s="1488"/>
      <c r="C256" s="1489"/>
      <c r="D256" s="1490"/>
      <c r="E256" s="1487"/>
      <c r="F256" s="1488"/>
      <c r="G256" s="1489"/>
      <c r="H256" s="1490"/>
      <c r="I256" s="1487"/>
      <c r="J256" s="1488"/>
      <c r="K256" s="1489"/>
      <c r="L256" s="1490"/>
      <c r="M256" s="1487"/>
      <c r="N256" s="1488"/>
      <c r="O256" s="1489"/>
      <c r="P256" s="1490"/>
      <c r="Q256" s="1399"/>
      <c r="X256" s="1445" t="e">
        <f ca="1"/>
        <v>#NAME?</v>
      </c>
      <c r="Y256" s="1446" t="e">
        <f ca="1"/>
        <v>#NAME?</v>
      </c>
      <c r="Z256" s="1408"/>
      <c r="AB256" s="1399"/>
      <c r="AC256" s="1399"/>
      <c r="AD256" s="1399"/>
      <c r="AE256" s="1399"/>
    </row>
    <row r="257" spans="1:31">
      <c r="A257" s="1487"/>
      <c r="B257" s="1488"/>
      <c r="C257" s="1489"/>
      <c r="D257" s="1490"/>
      <c r="E257" s="1487"/>
      <c r="F257" s="1488"/>
      <c r="G257" s="1489"/>
      <c r="H257" s="1490"/>
      <c r="I257" s="1487"/>
      <c r="J257" s="1488"/>
      <c r="K257" s="1489"/>
      <c r="L257" s="1490"/>
      <c r="M257" s="1487"/>
      <c r="N257" s="1488"/>
      <c r="O257" s="1489"/>
      <c r="P257" s="1490"/>
      <c r="Q257" s="1399"/>
      <c r="X257" s="1445" t="e">
        <f ca="1"/>
        <v>#NAME?</v>
      </c>
      <c r="Y257" s="1446" t="e">
        <f ca="1"/>
        <v>#NAME?</v>
      </c>
      <c r="Z257" s="1408"/>
      <c r="AB257" s="1399"/>
      <c r="AC257" s="1399"/>
      <c r="AD257" s="1399"/>
      <c r="AE257" s="1399"/>
    </row>
    <row r="258" spans="1:31">
      <c r="A258" s="1487"/>
      <c r="B258" s="1488"/>
      <c r="C258" s="1489"/>
      <c r="D258" s="1490"/>
      <c r="E258" s="1487"/>
      <c r="F258" s="1488"/>
      <c r="G258" s="1489"/>
      <c r="H258" s="1490"/>
      <c r="I258" s="1487"/>
      <c r="J258" s="1488"/>
      <c r="K258" s="1489"/>
      <c r="L258" s="1490"/>
      <c r="M258" s="1487"/>
      <c r="N258" s="1488"/>
      <c r="O258" s="1489"/>
      <c r="P258" s="1490"/>
      <c r="Q258" s="1399"/>
      <c r="X258" s="1445" t="e">
        <f ca="1"/>
        <v>#NAME?</v>
      </c>
      <c r="Y258" s="1446" t="e">
        <f ca="1"/>
        <v>#NAME?</v>
      </c>
      <c r="Z258" s="1408"/>
      <c r="AB258" s="1399"/>
      <c r="AC258" s="1399"/>
      <c r="AD258" s="1399"/>
      <c r="AE258" s="1399"/>
    </row>
    <row r="259" spans="1:31">
      <c r="A259" s="1487"/>
      <c r="B259" s="1488"/>
      <c r="C259" s="1489"/>
      <c r="D259" s="1490"/>
      <c r="E259" s="1487"/>
      <c r="F259" s="1488"/>
      <c r="G259" s="1489"/>
      <c r="H259" s="1490"/>
      <c r="I259" s="1487"/>
      <c r="J259" s="1488"/>
      <c r="K259" s="1489"/>
      <c r="L259" s="1490"/>
      <c r="M259" s="1487"/>
      <c r="N259" s="1488"/>
      <c r="O259" s="1489"/>
      <c r="P259" s="1490"/>
      <c r="Q259" s="1399"/>
      <c r="X259" s="1445" t="e">
        <f ca="1"/>
        <v>#NAME?</v>
      </c>
      <c r="Y259" s="1446" t="e">
        <f ca="1"/>
        <v>#NAME?</v>
      </c>
      <c r="Z259" s="1408"/>
      <c r="AB259" s="1399"/>
      <c r="AC259" s="1399"/>
      <c r="AD259" s="1399"/>
      <c r="AE259" s="1399"/>
    </row>
    <row r="260" spans="1:31">
      <c r="A260" s="1487"/>
      <c r="B260" s="1488"/>
      <c r="C260" s="1489"/>
      <c r="D260" s="1490"/>
      <c r="E260" s="1487"/>
      <c r="F260" s="1488"/>
      <c r="G260" s="1489"/>
      <c r="H260" s="1490"/>
      <c r="I260" s="1487"/>
      <c r="J260" s="1488"/>
      <c r="K260" s="1489"/>
      <c r="L260" s="1490"/>
      <c r="M260" s="1487"/>
      <c r="N260" s="1488"/>
      <c r="O260" s="1489"/>
      <c r="P260" s="1490"/>
      <c r="Q260" s="1399"/>
      <c r="X260" s="1445" t="e">
        <f ca="1"/>
        <v>#NAME?</v>
      </c>
      <c r="Y260" s="1446" t="e">
        <f ca="1"/>
        <v>#NAME?</v>
      </c>
      <c r="Z260" s="1408"/>
      <c r="AB260" s="1399"/>
      <c r="AC260" s="1399"/>
      <c r="AD260" s="1399"/>
      <c r="AE260" s="1399"/>
    </row>
    <row r="261" spans="1:31">
      <c r="A261" s="1487"/>
      <c r="B261" s="1488"/>
      <c r="C261" s="1489"/>
      <c r="D261" s="1490"/>
      <c r="E261" s="1487"/>
      <c r="F261" s="1488"/>
      <c r="G261" s="1489"/>
      <c r="H261" s="1490"/>
      <c r="I261" s="1487"/>
      <c r="J261" s="1488"/>
      <c r="K261" s="1489"/>
      <c r="L261" s="1490"/>
      <c r="M261" s="1487"/>
      <c r="N261" s="1488"/>
      <c r="O261" s="1489"/>
      <c r="P261" s="1490"/>
      <c r="Q261" s="1399"/>
      <c r="X261" s="1445" t="e">
        <f ca="1"/>
        <v>#NAME?</v>
      </c>
      <c r="Y261" s="1446" t="e">
        <f ca="1"/>
        <v>#NAME?</v>
      </c>
      <c r="Z261" s="1408"/>
      <c r="AB261" s="1399"/>
      <c r="AC261" s="1399"/>
      <c r="AD261" s="1399"/>
      <c r="AE261" s="1399"/>
    </row>
    <row r="262" spans="1:31">
      <c r="A262" s="1487"/>
      <c r="B262" s="1488"/>
      <c r="C262" s="1489"/>
      <c r="D262" s="1490"/>
      <c r="E262" s="1487"/>
      <c r="F262" s="1488"/>
      <c r="G262" s="1489"/>
      <c r="H262" s="1490"/>
      <c r="I262" s="1487"/>
      <c r="J262" s="1488"/>
      <c r="K262" s="1489"/>
      <c r="L262" s="1490"/>
      <c r="M262" s="1487"/>
      <c r="N262" s="1488"/>
      <c r="O262" s="1489"/>
      <c r="P262" s="1490"/>
      <c r="Q262" s="1399"/>
      <c r="X262" s="1445" t="e">
        <f ca="1"/>
        <v>#NAME?</v>
      </c>
      <c r="Y262" s="1446" t="e">
        <f ca="1"/>
        <v>#NAME?</v>
      </c>
      <c r="Z262" s="1408"/>
      <c r="AB262" s="1399"/>
      <c r="AC262" s="1399"/>
      <c r="AD262" s="1399"/>
      <c r="AE262" s="1399"/>
    </row>
    <row r="263" spans="1:31">
      <c r="A263" s="1487"/>
      <c r="B263" s="1488"/>
      <c r="C263" s="1489"/>
      <c r="D263" s="1490"/>
      <c r="E263" s="1487"/>
      <c r="F263" s="1488"/>
      <c r="G263" s="1489"/>
      <c r="H263" s="1490"/>
      <c r="I263" s="1487"/>
      <c r="J263" s="1488"/>
      <c r="K263" s="1489"/>
      <c r="L263" s="1490"/>
      <c r="M263" s="1487"/>
      <c r="N263" s="1488"/>
      <c r="O263" s="1489"/>
      <c r="P263" s="1490"/>
      <c r="Q263" s="1399"/>
      <c r="X263" s="1445" t="e">
        <f ca="1"/>
        <v>#NAME?</v>
      </c>
      <c r="Y263" s="1446" t="e">
        <f ca="1"/>
        <v>#NAME?</v>
      </c>
      <c r="Z263" s="1408"/>
      <c r="AB263" s="1399"/>
      <c r="AC263" s="1399"/>
      <c r="AD263" s="1399"/>
      <c r="AE263" s="1399"/>
    </row>
    <row r="264" spans="1:31">
      <c r="A264" s="1487"/>
      <c r="B264" s="1488"/>
      <c r="C264" s="1489"/>
      <c r="D264" s="1490"/>
      <c r="E264" s="1487"/>
      <c r="F264" s="1488"/>
      <c r="G264" s="1489"/>
      <c r="H264" s="1490"/>
      <c r="I264" s="1487"/>
      <c r="J264" s="1488"/>
      <c r="K264" s="1489"/>
      <c r="L264" s="1490"/>
      <c r="M264" s="1487"/>
      <c r="N264" s="1488"/>
      <c r="O264" s="1489"/>
      <c r="P264" s="1490"/>
      <c r="Q264" s="1399"/>
      <c r="X264" s="1445" t="e">
        <f ca="1"/>
        <v>#NAME?</v>
      </c>
      <c r="Y264" s="1446" t="e">
        <f ca="1"/>
        <v>#NAME?</v>
      </c>
      <c r="Z264" s="1408"/>
      <c r="AB264" s="1399"/>
      <c r="AC264" s="1399"/>
      <c r="AD264" s="1399"/>
      <c r="AE264" s="1399"/>
    </row>
    <row r="265" spans="1:31">
      <c r="A265" s="1487"/>
      <c r="B265" s="1488"/>
      <c r="C265" s="1489"/>
      <c r="D265" s="1490"/>
      <c r="E265" s="1487"/>
      <c r="F265" s="1488"/>
      <c r="G265" s="1489"/>
      <c r="H265" s="1490"/>
      <c r="I265" s="1487"/>
      <c r="J265" s="1488"/>
      <c r="K265" s="1489"/>
      <c r="L265" s="1490"/>
      <c r="M265" s="1487"/>
      <c r="N265" s="1488"/>
      <c r="O265" s="1489"/>
      <c r="P265" s="1490"/>
      <c r="Q265" s="1399"/>
      <c r="X265" s="1445" t="e">
        <f ca="1"/>
        <v>#NAME?</v>
      </c>
      <c r="Y265" s="1446" t="e">
        <f ca="1"/>
        <v>#NAME?</v>
      </c>
      <c r="Z265" s="1408"/>
      <c r="AB265" s="1399"/>
      <c r="AC265" s="1399"/>
      <c r="AD265" s="1399"/>
      <c r="AE265" s="1399"/>
    </row>
    <row r="266" spans="1:31">
      <c r="A266" s="1487"/>
      <c r="B266" s="1488"/>
      <c r="C266" s="1489"/>
      <c r="D266" s="1490"/>
      <c r="E266" s="1487"/>
      <c r="F266" s="1488"/>
      <c r="G266" s="1489"/>
      <c r="H266" s="1490"/>
      <c r="I266" s="1487"/>
      <c r="J266" s="1488"/>
      <c r="K266" s="1489"/>
      <c r="L266" s="1490"/>
      <c r="M266" s="1487"/>
      <c r="N266" s="1488"/>
      <c r="O266" s="1489"/>
      <c r="P266" s="1490"/>
      <c r="Q266" s="1399"/>
      <c r="X266" s="1445" t="e">
        <f ca="1"/>
        <v>#NAME?</v>
      </c>
      <c r="Y266" s="1446" t="e">
        <f ca="1"/>
        <v>#NAME?</v>
      </c>
      <c r="Z266" s="1408"/>
      <c r="AB266" s="1399"/>
      <c r="AC266" s="1399"/>
      <c r="AD266" s="1399"/>
      <c r="AE266" s="1399"/>
    </row>
    <row r="267" spans="1:31">
      <c r="A267" s="1487"/>
      <c r="B267" s="1488"/>
      <c r="C267" s="1489"/>
      <c r="D267" s="1490"/>
      <c r="E267" s="1487"/>
      <c r="F267" s="1488"/>
      <c r="G267" s="1489"/>
      <c r="H267" s="1490"/>
      <c r="I267" s="1487"/>
      <c r="J267" s="1488"/>
      <c r="K267" s="1489"/>
      <c r="L267" s="1490"/>
      <c r="M267" s="1487"/>
      <c r="N267" s="1488"/>
      <c r="O267" s="1489"/>
      <c r="P267" s="1490"/>
      <c r="Q267" s="1399"/>
      <c r="X267" s="1445" t="e">
        <f ca="1"/>
        <v>#NAME?</v>
      </c>
      <c r="Y267" s="1446" t="e">
        <f ca="1"/>
        <v>#NAME?</v>
      </c>
      <c r="Z267" s="1408"/>
      <c r="AB267" s="1399"/>
      <c r="AC267" s="1399"/>
      <c r="AD267" s="1399"/>
      <c r="AE267" s="1399"/>
    </row>
    <row r="268" spans="1:31">
      <c r="A268" s="1487"/>
      <c r="B268" s="1488"/>
      <c r="C268" s="1489"/>
      <c r="D268" s="1490"/>
      <c r="E268" s="1487"/>
      <c r="F268" s="1488"/>
      <c r="G268" s="1489"/>
      <c r="H268" s="1490"/>
      <c r="I268" s="1487"/>
      <c r="J268" s="1488"/>
      <c r="K268" s="1489"/>
      <c r="L268" s="1490"/>
      <c r="M268" s="1487"/>
      <c r="N268" s="1488"/>
      <c r="O268" s="1489"/>
      <c r="P268" s="1490"/>
      <c r="Q268" s="1399"/>
      <c r="X268" s="1445" t="e">
        <f ca="1"/>
        <v>#NAME?</v>
      </c>
      <c r="Y268" s="1446" t="e">
        <f ca="1"/>
        <v>#NAME?</v>
      </c>
      <c r="Z268" s="1408"/>
      <c r="AB268" s="1399"/>
      <c r="AC268" s="1399"/>
      <c r="AD268" s="1399"/>
      <c r="AE268" s="1399"/>
    </row>
    <row r="269" spans="1:31">
      <c r="A269" s="1487"/>
      <c r="B269" s="1488"/>
      <c r="C269" s="1489"/>
      <c r="D269" s="1490"/>
      <c r="E269" s="1487"/>
      <c r="F269" s="1488"/>
      <c r="G269" s="1489"/>
      <c r="H269" s="1490"/>
      <c r="I269" s="1487"/>
      <c r="J269" s="1488"/>
      <c r="K269" s="1489"/>
      <c r="L269" s="1490"/>
      <c r="M269" s="1487"/>
      <c r="N269" s="1488"/>
      <c r="O269" s="1489"/>
      <c r="P269" s="1490"/>
      <c r="Q269" s="1399"/>
      <c r="X269" s="1445" t="e">
        <f ca="1"/>
        <v>#NAME?</v>
      </c>
      <c r="Y269" s="1446" t="e">
        <f ca="1"/>
        <v>#NAME?</v>
      </c>
      <c r="Z269" s="1408"/>
      <c r="AB269" s="1399"/>
      <c r="AC269" s="1399"/>
      <c r="AD269" s="1399"/>
      <c r="AE269" s="1399"/>
    </row>
    <row r="270" spans="1:31">
      <c r="A270" s="1487"/>
      <c r="B270" s="1488"/>
      <c r="C270" s="1489"/>
      <c r="D270" s="1490"/>
      <c r="E270" s="1487"/>
      <c r="F270" s="1488"/>
      <c r="G270" s="1489"/>
      <c r="H270" s="1490"/>
      <c r="I270" s="1487"/>
      <c r="J270" s="1488"/>
      <c r="K270" s="1489"/>
      <c r="L270" s="1490"/>
      <c r="M270" s="1487"/>
      <c r="N270" s="1488"/>
      <c r="O270" s="1489"/>
      <c r="P270" s="1490"/>
      <c r="Q270" s="1399"/>
      <c r="X270" s="1445" t="e">
        <f ca="1"/>
        <v>#NAME?</v>
      </c>
      <c r="Y270" s="1446" t="e">
        <f ca="1"/>
        <v>#NAME?</v>
      </c>
      <c r="Z270" s="1408"/>
      <c r="AB270" s="1399"/>
      <c r="AC270" s="1399"/>
      <c r="AD270" s="1399"/>
      <c r="AE270" s="1399"/>
    </row>
    <row r="271" spans="1:31">
      <c r="A271" s="1487"/>
      <c r="B271" s="1488"/>
      <c r="C271" s="1489"/>
      <c r="D271" s="1490"/>
      <c r="E271" s="1487"/>
      <c r="F271" s="1488"/>
      <c r="G271" s="1489"/>
      <c r="H271" s="1490"/>
      <c r="I271" s="1487"/>
      <c r="J271" s="1488"/>
      <c r="K271" s="1489"/>
      <c r="L271" s="1490"/>
      <c r="M271" s="1487"/>
      <c r="N271" s="1488"/>
      <c r="O271" s="1489"/>
      <c r="P271" s="1490"/>
      <c r="Q271" s="1399"/>
      <c r="X271" s="1445" t="e">
        <f ca="1"/>
        <v>#NAME?</v>
      </c>
      <c r="Y271" s="1446" t="e">
        <f ca="1"/>
        <v>#NAME?</v>
      </c>
      <c r="Z271" s="1408"/>
      <c r="AB271" s="1399"/>
      <c r="AC271" s="1399"/>
      <c r="AD271" s="1399"/>
      <c r="AE271" s="1399"/>
    </row>
    <row r="272" spans="1:31">
      <c r="A272" s="1487"/>
      <c r="B272" s="1488"/>
      <c r="C272" s="1489"/>
      <c r="D272" s="1490"/>
      <c r="E272" s="1487"/>
      <c r="F272" s="1488"/>
      <c r="G272" s="1489"/>
      <c r="H272" s="1490"/>
      <c r="I272" s="1487"/>
      <c r="J272" s="1488"/>
      <c r="K272" s="1489"/>
      <c r="L272" s="1490"/>
      <c r="M272" s="1487"/>
      <c r="N272" s="1488"/>
      <c r="O272" s="1489"/>
      <c r="P272" s="1490"/>
      <c r="Q272" s="1399"/>
      <c r="X272" s="1445" t="e">
        <f ca="1"/>
        <v>#NAME?</v>
      </c>
      <c r="Y272" s="1446" t="e">
        <f ca="1"/>
        <v>#NAME?</v>
      </c>
      <c r="Z272" s="1408"/>
      <c r="AB272" s="1399"/>
      <c r="AC272" s="1399"/>
      <c r="AD272" s="1399"/>
      <c r="AE272" s="1399"/>
    </row>
    <row r="273" spans="1:31">
      <c r="A273" s="1487"/>
      <c r="B273" s="1488"/>
      <c r="C273" s="1489"/>
      <c r="D273" s="1490"/>
      <c r="E273" s="1487"/>
      <c r="F273" s="1488"/>
      <c r="G273" s="1489"/>
      <c r="H273" s="1490"/>
      <c r="I273" s="1487"/>
      <c r="J273" s="1488"/>
      <c r="K273" s="1489"/>
      <c r="L273" s="1490"/>
      <c r="M273" s="1487"/>
      <c r="N273" s="1488"/>
      <c r="O273" s="1489"/>
      <c r="P273" s="1490"/>
      <c r="Q273" s="1399"/>
      <c r="X273" s="1445" t="e">
        <f ca="1"/>
        <v>#NAME?</v>
      </c>
      <c r="Y273" s="1446" t="e">
        <f ca="1"/>
        <v>#NAME?</v>
      </c>
      <c r="Z273" s="1408"/>
      <c r="AB273" s="1399"/>
      <c r="AC273" s="1399"/>
      <c r="AD273" s="1399"/>
      <c r="AE273" s="1399"/>
    </row>
    <row r="274" spans="1:31">
      <c r="A274" s="1487"/>
      <c r="B274" s="1488"/>
      <c r="C274" s="1489"/>
      <c r="D274" s="1490"/>
      <c r="E274" s="1487"/>
      <c r="F274" s="1488"/>
      <c r="G274" s="1489"/>
      <c r="H274" s="1490"/>
      <c r="I274" s="1487"/>
      <c r="J274" s="1488"/>
      <c r="K274" s="1489"/>
      <c r="L274" s="1490"/>
      <c r="M274" s="1487"/>
      <c r="N274" s="1488"/>
      <c r="O274" s="1489"/>
      <c r="P274" s="1490"/>
      <c r="Q274" s="1399"/>
      <c r="X274" s="1445" t="e">
        <f ca="1"/>
        <v>#NAME?</v>
      </c>
      <c r="Y274" s="1446" t="e">
        <f ca="1"/>
        <v>#NAME?</v>
      </c>
      <c r="Z274" s="1408"/>
      <c r="AB274" s="1399"/>
      <c r="AC274" s="1399"/>
      <c r="AD274" s="1399"/>
      <c r="AE274" s="1399"/>
    </row>
    <row r="275" spans="1:31">
      <c r="A275" s="1487"/>
      <c r="B275" s="1488"/>
      <c r="C275" s="1489"/>
      <c r="D275" s="1490"/>
      <c r="E275" s="1487"/>
      <c r="F275" s="1488"/>
      <c r="G275" s="1489"/>
      <c r="H275" s="1490"/>
      <c r="I275" s="1487"/>
      <c r="J275" s="1488"/>
      <c r="K275" s="1489"/>
      <c r="L275" s="1490"/>
      <c r="M275" s="1487"/>
      <c r="N275" s="1488"/>
      <c r="O275" s="1489"/>
      <c r="P275" s="1490"/>
      <c r="Q275" s="1399"/>
      <c r="X275" s="1445" t="e">
        <f ca="1"/>
        <v>#NAME?</v>
      </c>
      <c r="Y275" s="1446" t="e">
        <f ca="1"/>
        <v>#NAME?</v>
      </c>
      <c r="Z275" s="1408"/>
      <c r="AB275" s="1399"/>
      <c r="AC275" s="1399"/>
      <c r="AD275" s="1399"/>
      <c r="AE275" s="1399"/>
    </row>
    <row r="276" spans="1:31">
      <c r="A276" s="1487"/>
      <c r="B276" s="1488"/>
      <c r="C276" s="1489"/>
      <c r="D276" s="1490"/>
      <c r="E276" s="1487"/>
      <c r="F276" s="1488"/>
      <c r="G276" s="1489"/>
      <c r="H276" s="1490"/>
      <c r="I276" s="1487"/>
      <c r="J276" s="1488"/>
      <c r="K276" s="1489"/>
      <c r="L276" s="1490"/>
      <c r="M276" s="1487"/>
      <c r="N276" s="1488"/>
      <c r="O276" s="1489"/>
      <c r="P276" s="1490"/>
      <c r="Q276" s="1399"/>
      <c r="X276" s="1445" t="e">
        <f ca="1"/>
        <v>#NAME?</v>
      </c>
      <c r="Y276" s="1446" t="e">
        <f ca="1"/>
        <v>#NAME?</v>
      </c>
      <c r="Z276" s="1408"/>
      <c r="AB276" s="1399"/>
      <c r="AC276" s="1399"/>
      <c r="AD276" s="1399"/>
      <c r="AE276" s="1399"/>
    </row>
    <row r="277" spans="1:31">
      <c r="A277" s="1487"/>
      <c r="B277" s="1488"/>
      <c r="C277" s="1489"/>
      <c r="D277" s="1490"/>
      <c r="E277" s="1487"/>
      <c r="F277" s="1488"/>
      <c r="G277" s="1489"/>
      <c r="H277" s="1490"/>
      <c r="I277" s="1487"/>
      <c r="J277" s="1488"/>
      <c r="K277" s="1489"/>
      <c r="L277" s="1490"/>
      <c r="M277" s="1487"/>
      <c r="N277" s="1488"/>
      <c r="O277" s="1489"/>
      <c r="P277" s="1490"/>
      <c r="Q277" s="1399"/>
      <c r="X277" s="1445" t="e">
        <f ca="1"/>
        <v>#NAME?</v>
      </c>
      <c r="Y277" s="1446" t="e">
        <f ca="1"/>
        <v>#NAME?</v>
      </c>
      <c r="Z277" s="1408"/>
      <c r="AB277" s="1399"/>
      <c r="AC277" s="1399"/>
      <c r="AD277" s="1399"/>
      <c r="AE277" s="1399"/>
    </row>
    <row r="278" spans="1:31">
      <c r="A278" s="1487"/>
      <c r="B278" s="1488"/>
      <c r="C278" s="1489"/>
      <c r="D278" s="1490"/>
      <c r="E278" s="1487"/>
      <c r="F278" s="1488"/>
      <c r="G278" s="1489"/>
      <c r="H278" s="1490"/>
      <c r="I278" s="1487"/>
      <c r="J278" s="1488"/>
      <c r="K278" s="1489"/>
      <c r="L278" s="1490"/>
      <c r="M278" s="1487"/>
      <c r="N278" s="1488"/>
      <c r="O278" s="1489"/>
      <c r="P278" s="1490"/>
      <c r="Q278" s="1399"/>
      <c r="X278" s="1445" t="e">
        <f ca="1"/>
        <v>#NAME?</v>
      </c>
      <c r="Y278" s="1446" t="e">
        <f ca="1"/>
        <v>#NAME?</v>
      </c>
      <c r="Z278" s="1408"/>
      <c r="AB278" s="1399"/>
      <c r="AC278" s="1399"/>
      <c r="AD278" s="1399"/>
      <c r="AE278" s="1399"/>
    </row>
    <row r="279" spans="1:31">
      <c r="A279" s="1487"/>
      <c r="B279" s="1488"/>
      <c r="C279" s="1489"/>
      <c r="D279" s="1490"/>
      <c r="E279" s="1487"/>
      <c r="F279" s="1488"/>
      <c r="G279" s="1489"/>
      <c r="H279" s="1490"/>
      <c r="I279" s="1487"/>
      <c r="J279" s="1488"/>
      <c r="K279" s="1489"/>
      <c r="L279" s="1490"/>
      <c r="M279" s="1487"/>
      <c r="N279" s="1488"/>
      <c r="O279" s="1489"/>
      <c r="P279" s="1490"/>
      <c r="Q279" s="1399"/>
      <c r="X279" s="1445" t="e">
        <f ca="1"/>
        <v>#NAME?</v>
      </c>
      <c r="Y279" s="1446" t="e">
        <f ca="1"/>
        <v>#NAME?</v>
      </c>
      <c r="Z279" s="1408"/>
      <c r="AB279" s="1399"/>
      <c r="AC279" s="1399"/>
      <c r="AD279" s="1399"/>
      <c r="AE279" s="1399"/>
    </row>
    <row r="280" spans="1:31">
      <c r="A280" s="1487"/>
      <c r="B280" s="1488"/>
      <c r="C280" s="1489"/>
      <c r="D280" s="1490"/>
      <c r="E280" s="1487"/>
      <c r="F280" s="1488"/>
      <c r="G280" s="1489"/>
      <c r="H280" s="1490"/>
      <c r="I280" s="1487"/>
      <c r="J280" s="1488"/>
      <c r="K280" s="1489"/>
      <c r="L280" s="1490"/>
      <c r="M280" s="1487"/>
      <c r="N280" s="1488"/>
      <c r="O280" s="1489"/>
      <c r="P280" s="1490"/>
      <c r="Q280" s="1399"/>
      <c r="X280" s="1445" t="e">
        <f ca="1"/>
        <v>#NAME?</v>
      </c>
      <c r="Y280" s="1446" t="e">
        <f ca="1"/>
        <v>#NAME?</v>
      </c>
      <c r="Z280" s="1408"/>
      <c r="AB280" s="1399"/>
      <c r="AC280" s="1399"/>
      <c r="AD280" s="1399"/>
      <c r="AE280" s="1399"/>
    </row>
    <row r="281" spans="1:31">
      <c r="A281" s="1487"/>
      <c r="B281" s="1488"/>
      <c r="C281" s="1489"/>
      <c r="D281" s="1490"/>
      <c r="E281" s="1487"/>
      <c r="F281" s="1488"/>
      <c r="G281" s="1489"/>
      <c r="H281" s="1490"/>
      <c r="I281" s="1487"/>
      <c r="J281" s="1488"/>
      <c r="K281" s="1489"/>
      <c r="L281" s="1490"/>
      <c r="M281" s="1487"/>
      <c r="N281" s="1488"/>
      <c r="O281" s="1489"/>
      <c r="P281" s="1490"/>
      <c r="Q281" s="1399"/>
      <c r="X281" s="1445" t="e">
        <f ca="1"/>
        <v>#NAME?</v>
      </c>
      <c r="Y281" s="1446" t="e">
        <f ca="1"/>
        <v>#NAME?</v>
      </c>
      <c r="Z281" s="1408"/>
      <c r="AB281" s="1399"/>
      <c r="AC281" s="1399"/>
      <c r="AD281" s="1399"/>
      <c r="AE281" s="1399"/>
    </row>
    <row r="282" spans="1:31">
      <c r="A282" s="1487"/>
      <c r="B282" s="1488"/>
      <c r="C282" s="1489"/>
      <c r="D282" s="1490"/>
      <c r="E282" s="1487"/>
      <c r="F282" s="1488"/>
      <c r="G282" s="1489"/>
      <c r="H282" s="1490"/>
      <c r="I282" s="1487"/>
      <c r="J282" s="1488"/>
      <c r="K282" s="1489"/>
      <c r="L282" s="1490"/>
      <c r="M282" s="1487"/>
      <c r="N282" s="1488"/>
      <c r="O282" s="1489"/>
      <c r="P282" s="1490"/>
      <c r="Q282" s="1399"/>
      <c r="X282" s="1445" t="e">
        <f ca="1"/>
        <v>#NAME?</v>
      </c>
      <c r="Y282" s="1446" t="e">
        <f ca="1"/>
        <v>#NAME?</v>
      </c>
      <c r="Z282" s="1408"/>
      <c r="AB282" s="1399"/>
      <c r="AC282" s="1399"/>
      <c r="AD282" s="1399"/>
      <c r="AE282" s="1399"/>
    </row>
    <row r="283" spans="1:31">
      <c r="A283" s="1487"/>
      <c r="B283" s="1488"/>
      <c r="C283" s="1489"/>
      <c r="D283" s="1490"/>
      <c r="E283" s="1487"/>
      <c r="F283" s="1488"/>
      <c r="G283" s="1489"/>
      <c r="H283" s="1490"/>
      <c r="I283" s="1487"/>
      <c r="J283" s="1488"/>
      <c r="K283" s="1489"/>
      <c r="L283" s="1490"/>
      <c r="M283" s="1487"/>
      <c r="N283" s="1488"/>
      <c r="O283" s="1489"/>
      <c r="P283" s="1490"/>
      <c r="Q283" s="1399"/>
      <c r="X283" s="1445" t="e">
        <f ca="1"/>
        <v>#NAME?</v>
      </c>
      <c r="Y283" s="1446" t="e">
        <f ca="1"/>
        <v>#NAME?</v>
      </c>
      <c r="Z283" s="1408"/>
      <c r="AB283" s="1399"/>
      <c r="AC283" s="1399"/>
      <c r="AD283" s="1399"/>
      <c r="AE283" s="1399"/>
    </row>
    <row r="284" spans="1:31">
      <c r="A284" s="1487"/>
      <c r="B284" s="1488"/>
      <c r="C284" s="1489"/>
      <c r="D284" s="1490"/>
      <c r="E284" s="1487"/>
      <c r="F284" s="1488"/>
      <c r="G284" s="1489"/>
      <c r="H284" s="1490"/>
      <c r="I284" s="1487"/>
      <c r="J284" s="1488"/>
      <c r="K284" s="1489"/>
      <c r="L284" s="1490"/>
      <c r="M284" s="1487"/>
      <c r="N284" s="1488"/>
      <c r="O284" s="1489"/>
      <c r="P284" s="1490"/>
      <c r="Q284" s="1399"/>
      <c r="X284" s="1445" t="e">
        <f ca="1"/>
        <v>#NAME?</v>
      </c>
      <c r="Y284" s="1446" t="e">
        <f ca="1"/>
        <v>#NAME?</v>
      </c>
      <c r="Z284" s="1408"/>
      <c r="AB284" s="1399"/>
      <c r="AC284" s="1399"/>
      <c r="AD284" s="1399"/>
      <c r="AE284" s="1399"/>
    </row>
    <row r="285" spans="1:31">
      <c r="A285" s="1487"/>
      <c r="B285" s="1488"/>
      <c r="C285" s="1489"/>
      <c r="D285" s="1490"/>
      <c r="E285" s="1487"/>
      <c r="F285" s="1488"/>
      <c r="G285" s="1489"/>
      <c r="H285" s="1490"/>
      <c r="I285" s="1487"/>
      <c r="J285" s="1488"/>
      <c r="K285" s="1489"/>
      <c r="L285" s="1490"/>
      <c r="M285" s="1487"/>
      <c r="N285" s="1488"/>
      <c r="O285" s="1489"/>
      <c r="P285" s="1490"/>
      <c r="Q285" s="1399"/>
      <c r="X285" s="1445" t="e">
        <f ca="1"/>
        <v>#NAME?</v>
      </c>
      <c r="Y285" s="1446" t="e">
        <f ca="1"/>
        <v>#NAME?</v>
      </c>
      <c r="Z285" s="1408"/>
      <c r="AB285" s="1399"/>
      <c r="AC285" s="1399"/>
      <c r="AD285" s="1399"/>
      <c r="AE285" s="1399"/>
    </row>
    <row r="286" spans="1:31">
      <c r="A286" s="1487"/>
      <c r="B286" s="1488"/>
      <c r="C286" s="1489"/>
      <c r="D286" s="1490"/>
      <c r="E286" s="1487"/>
      <c r="F286" s="1488"/>
      <c r="G286" s="1489"/>
      <c r="H286" s="1490"/>
      <c r="I286" s="1487"/>
      <c r="J286" s="1488"/>
      <c r="K286" s="1489"/>
      <c r="L286" s="1490"/>
      <c r="M286" s="1487"/>
      <c r="N286" s="1488"/>
      <c r="O286" s="1489"/>
      <c r="P286" s="1490"/>
      <c r="Q286" s="1399"/>
      <c r="X286" s="1445" t="e">
        <f ca="1"/>
        <v>#NAME?</v>
      </c>
      <c r="Y286" s="1446" t="e">
        <f ca="1"/>
        <v>#NAME?</v>
      </c>
      <c r="Z286" s="1408"/>
      <c r="AB286" s="1399"/>
      <c r="AC286" s="1399"/>
      <c r="AD286" s="1399"/>
      <c r="AE286" s="1399"/>
    </row>
    <row r="287" spans="1:31">
      <c r="A287" s="1487"/>
      <c r="B287" s="1488"/>
      <c r="C287" s="1489"/>
      <c r="D287" s="1490"/>
      <c r="E287" s="1487"/>
      <c r="F287" s="1488"/>
      <c r="G287" s="1489"/>
      <c r="H287" s="1490"/>
      <c r="I287" s="1487"/>
      <c r="J287" s="1488"/>
      <c r="K287" s="1489"/>
      <c r="L287" s="1490"/>
      <c r="M287" s="1487"/>
      <c r="N287" s="1488"/>
      <c r="O287" s="1489"/>
      <c r="P287" s="1490"/>
      <c r="Q287" s="1399"/>
      <c r="X287" s="1445" t="e">
        <f ca="1"/>
        <v>#NAME?</v>
      </c>
      <c r="Y287" s="1446" t="e">
        <f ca="1"/>
        <v>#NAME?</v>
      </c>
      <c r="Z287" s="1408"/>
      <c r="AB287" s="1399"/>
      <c r="AC287" s="1399"/>
      <c r="AD287" s="1399"/>
      <c r="AE287" s="1399"/>
    </row>
    <row r="288" spans="1:31">
      <c r="A288" s="1487"/>
      <c r="B288" s="1488"/>
      <c r="C288" s="1489"/>
      <c r="D288" s="1490"/>
      <c r="E288" s="1487"/>
      <c r="F288" s="1488"/>
      <c r="G288" s="1489"/>
      <c r="H288" s="1490"/>
      <c r="I288" s="1487"/>
      <c r="J288" s="1488"/>
      <c r="K288" s="1489"/>
      <c r="L288" s="1490"/>
      <c r="M288" s="1487"/>
      <c r="N288" s="1488"/>
      <c r="O288" s="1489"/>
      <c r="P288" s="1490"/>
      <c r="Q288" s="1399"/>
      <c r="X288" s="1445" t="e">
        <f ca="1"/>
        <v>#NAME?</v>
      </c>
      <c r="Y288" s="1446" t="e">
        <f ca="1"/>
        <v>#NAME?</v>
      </c>
      <c r="Z288" s="1408"/>
      <c r="AB288" s="1399"/>
      <c r="AC288" s="1399"/>
      <c r="AD288" s="1399"/>
      <c r="AE288" s="1399"/>
    </row>
    <row r="289" spans="1:31">
      <c r="A289" s="1487"/>
      <c r="B289" s="1488"/>
      <c r="C289" s="1489"/>
      <c r="D289" s="1490"/>
      <c r="E289" s="1487"/>
      <c r="F289" s="1488"/>
      <c r="G289" s="1489"/>
      <c r="H289" s="1490"/>
      <c r="I289" s="1487"/>
      <c r="J289" s="1488"/>
      <c r="K289" s="1489"/>
      <c r="L289" s="1490"/>
      <c r="M289" s="1487"/>
      <c r="N289" s="1488"/>
      <c r="O289" s="1489"/>
      <c r="P289" s="1490"/>
      <c r="Q289" s="1399"/>
      <c r="X289" s="1445" t="e">
        <f ca="1"/>
        <v>#NAME?</v>
      </c>
      <c r="Y289" s="1446" t="e">
        <f ca="1"/>
        <v>#NAME?</v>
      </c>
      <c r="Z289" s="1408"/>
      <c r="AB289" s="1399"/>
      <c r="AC289" s="1399"/>
      <c r="AD289" s="1399"/>
      <c r="AE289" s="1399"/>
    </row>
    <row r="290" spans="1:31">
      <c r="A290" s="1487"/>
      <c r="B290" s="1488"/>
      <c r="C290" s="1489"/>
      <c r="D290" s="1490"/>
      <c r="E290" s="1487"/>
      <c r="F290" s="1488"/>
      <c r="G290" s="1489"/>
      <c r="H290" s="1490"/>
      <c r="I290" s="1487"/>
      <c r="J290" s="1488"/>
      <c r="K290" s="1489"/>
      <c r="L290" s="1490"/>
      <c r="M290" s="1487"/>
      <c r="N290" s="1488"/>
      <c r="O290" s="1489"/>
      <c r="P290" s="1490"/>
      <c r="Q290" s="1399"/>
      <c r="X290" s="1445" t="e">
        <f ca="1"/>
        <v>#NAME?</v>
      </c>
      <c r="Y290" s="1446" t="e">
        <f ca="1"/>
        <v>#NAME?</v>
      </c>
      <c r="Z290" s="1408"/>
      <c r="AB290" s="1399"/>
      <c r="AC290" s="1399"/>
      <c r="AD290" s="1399"/>
      <c r="AE290" s="1399"/>
    </row>
    <row r="291" spans="1:31">
      <c r="A291" s="1487"/>
      <c r="B291" s="1488"/>
      <c r="C291" s="1489"/>
      <c r="D291" s="1490"/>
      <c r="E291" s="1487"/>
      <c r="F291" s="1488"/>
      <c r="G291" s="1489"/>
      <c r="H291" s="1490"/>
      <c r="I291" s="1487"/>
      <c r="J291" s="1488"/>
      <c r="K291" s="1489"/>
      <c r="L291" s="1490"/>
      <c r="M291" s="1487"/>
      <c r="N291" s="1488"/>
      <c r="O291" s="1489"/>
      <c r="P291" s="1490"/>
      <c r="Q291" s="1399"/>
      <c r="X291" s="1445" t="e">
        <f ca="1"/>
        <v>#NAME?</v>
      </c>
      <c r="Y291" s="1446" t="e">
        <f ca="1"/>
        <v>#NAME?</v>
      </c>
      <c r="Z291" s="1408"/>
      <c r="AB291" s="1399"/>
      <c r="AC291" s="1399"/>
      <c r="AD291" s="1399"/>
      <c r="AE291" s="1399"/>
    </row>
    <row r="292" spans="1:31">
      <c r="A292" s="1487"/>
      <c r="B292" s="1488"/>
      <c r="C292" s="1489"/>
      <c r="D292" s="1490"/>
      <c r="E292" s="1487"/>
      <c r="F292" s="1488"/>
      <c r="G292" s="1489"/>
      <c r="H292" s="1490"/>
      <c r="I292" s="1487"/>
      <c r="J292" s="1488"/>
      <c r="K292" s="1489"/>
      <c r="L292" s="1490"/>
      <c r="M292" s="1487"/>
      <c r="N292" s="1488"/>
      <c r="O292" s="1489"/>
      <c r="P292" s="1490"/>
      <c r="Q292" s="1399"/>
      <c r="X292" s="1445" t="e">
        <f ca="1"/>
        <v>#NAME?</v>
      </c>
      <c r="Y292" s="1446" t="e">
        <f ca="1"/>
        <v>#NAME?</v>
      </c>
      <c r="Z292" s="1408"/>
      <c r="AB292" s="1399"/>
      <c r="AC292" s="1399"/>
      <c r="AD292" s="1399"/>
      <c r="AE292" s="1399"/>
    </row>
    <row r="293" spans="1:31">
      <c r="A293" s="1487"/>
      <c r="B293" s="1488"/>
      <c r="C293" s="1489"/>
      <c r="D293" s="1490"/>
      <c r="E293" s="1487"/>
      <c r="F293" s="1488"/>
      <c r="G293" s="1489"/>
      <c r="H293" s="1490"/>
      <c r="I293" s="1487"/>
      <c r="J293" s="1488"/>
      <c r="K293" s="1489"/>
      <c r="L293" s="1490"/>
      <c r="M293" s="1487"/>
      <c r="N293" s="1488"/>
      <c r="O293" s="1489"/>
      <c r="P293" s="1490"/>
      <c r="Q293" s="1399"/>
      <c r="X293" s="1445" t="e">
        <f ca="1"/>
        <v>#NAME?</v>
      </c>
      <c r="Y293" s="1446" t="e">
        <f ca="1"/>
        <v>#NAME?</v>
      </c>
      <c r="Z293" s="1408"/>
      <c r="AB293" s="1399"/>
      <c r="AC293" s="1399"/>
      <c r="AD293" s="1399"/>
      <c r="AE293" s="1399"/>
    </row>
    <row r="294" spans="1:31">
      <c r="A294" s="1487"/>
      <c r="B294" s="1488"/>
      <c r="C294" s="1489"/>
      <c r="D294" s="1490"/>
      <c r="E294" s="1487"/>
      <c r="F294" s="1488"/>
      <c r="G294" s="1489"/>
      <c r="H294" s="1490"/>
      <c r="I294" s="1487"/>
      <c r="J294" s="1488"/>
      <c r="K294" s="1489"/>
      <c r="L294" s="1490"/>
      <c r="M294" s="1487"/>
      <c r="N294" s="1488"/>
      <c r="O294" s="1489"/>
      <c r="P294" s="1490"/>
      <c r="Q294" s="1399"/>
      <c r="X294" s="1445" t="e">
        <f ca="1"/>
        <v>#NAME?</v>
      </c>
      <c r="Y294" s="1446" t="e">
        <f ca="1"/>
        <v>#NAME?</v>
      </c>
      <c r="Z294" s="1408"/>
      <c r="AB294" s="1399"/>
      <c r="AC294" s="1399"/>
      <c r="AD294" s="1399"/>
      <c r="AE294" s="1399"/>
    </row>
    <row r="295" spans="1:31">
      <c r="A295" s="1487"/>
      <c r="B295" s="1488"/>
      <c r="C295" s="1489"/>
      <c r="D295" s="1490"/>
      <c r="E295" s="1487"/>
      <c r="F295" s="1488"/>
      <c r="G295" s="1489"/>
      <c r="H295" s="1490"/>
      <c r="I295" s="1487"/>
      <c r="J295" s="1488"/>
      <c r="K295" s="1489"/>
      <c r="L295" s="1490"/>
      <c r="M295" s="1487"/>
      <c r="N295" s="1488"/>
      <c r="O295" s="1489"/>
      <c r="P295" s="1490"/>
      <c r="Q295" s="1399"/>
      <c r="X295" s="1445" t="e">
        <f ca="1"/>
        <v>#NAME?</v>
      </c>
      <c r="Y295" s="1446" t="e">
        <f ca="1"/>
        <v>#NAME?</v>
      </c>
      <c r="Z295" s="1408"/>
      <c r="AB295" s="1399"/>
      <c r="AC295" s="1399"/>
      <c r="AD295" s="1399"/>
      <c r="AE295" s="1399"/>
    </row>
    <row r="296" spans="1:31">
      <c r="A296" s="1487"/>
      <c r="B296" s="1488"/>
      <c r="C296" s="1489"/>
      <c r="D296" s="1490"/>
      <c r="E296" s="1487"/>
      <c r="F296" s="1488"/>
      <c r="G296" s="1489"/>
      <c r="H296" s="1490"/>
      <c r="I296" s="1487"/>
      <c r="J296" s="1488"/>
      <c r="K296" s="1489"/>
      <c r="L296" s="1490"/>
      <c r="M296" s="1487"/>
      <c r="N296" s="1488"/>
      <c r="O296" s="1489"/>
      <c r="P296" s="1490"/>
      <c r="Q296" s="1399"/>
      <c r="X296" s="1445" t="e">
        <f ca="1"/>
        <v>#NAME?</v>
      </c>
      <c r="Y296" s="1446" t="e">
        <f ca="1"/>
        <v>#NAME?</v>
      </c>
      <c r="Z296" s="1408"/>
      <c r="AB296" s="1399"/>
      <c r="AC296" s="1399"/>
      <c r="AD296" s="1399"/>
      <c r="AE296" s="1399"/>
    </row>
    <row r="297" spans="1:31">
      <c r="A297" s="1487"/>
      <c r="B297" s="1488"/>
      <c r="C297" s="1489"/>
      <c r="D297" s="1490"/>
      <c r="E297" s="1487"/>
      <c r="F297" s="1488"/>
      <c r="G297" s="1489"/>
      <c r="H297" s="1490"/>
      <c r="I297" s="1487"/>
      <c r="J297" s="1488"/>
      <c r="K297" s="1489"/>
      <c r="L297" s="1490"/>
      <c r="M297" s="1487"/>
      <c r="N297" s="1488"/>
      <c r="O297" s="1489"/>
      <c r="P297" s="1490"/>
      <c r="Q297" s="1399"/>
      <c r="X297" s="1445" t="e">
        <f ca="1"/>
        <v>#NAME?</v>
      </c>
      <c r="Y297" s="1446" t="e">
        <f ca="1"/>
        <v>#NAME?</v>
      </c>
      <c r="Z297" s="1408"/>
      <c r="AB297" s="1399"/>
      <c r="AC297" s="1399"/>
      <c r="AD297" s="1399"/>
      <c r="AE297" s="1399"/>
    </row>
    <row r="298" spans="1:31">
      <c r="A298" s="1487"/>
      <c r="B298" s="1488"/>
      <c r="C298" s="1489"/>
      <c r="D298" s="1490"/>
      <c r="E298" s="1487"/>
      <c r="F298" s="1488"/>
      <c r="G298" s="1489"/>
      <c r="H298" s="1490"/>
      <c r="I298" s="1487"/>
      <c r="J298" s="1488"/>
      <c r="K298" s="1489"/>
      <c r="L298" s="1490"/>
      <c r="M298" s="1487"/>
      <c r="N298" s="1488"/>
      <c r="O298" s="1489"/>
      <c r="P298" s="1490"/>
      <c r="Q298" s="1399"/>
      <c r="X298" s="1445" t="e">
        <f ca="1"/>
        <v>#NAME?</v>
      </c>
      <c r="Y298" s="1446" t="e">
        <f ca="1"/>
        <v>#NAME?</v>
      </c>
      <c r="Z298" s="1408"/>
      <c r="AB298" s="1399"/>
      <c r="AC298" s="1399"/>
      <c r="AD298" s="1399"/>
      <c r="AE298" s="1399"/>
    </row>
    <row r="299" spans="1:31">
      <c r="A299" s="1487"/>
      <c r="B299" s="1488"/>
      <c r="C299" s="1489"/>
      <c r="D299" s="1490"/>
      <c r="E299" s="1487"/>
      <c r="F299" s="1488"/>
      <c r="G299" s="1489"/>
      <c r="H299" s="1490"/>
      <c r="I299" s="1487"/>
      <c r="J299" s="1488"/>
      <c r="K299" s="1489"/>
      <c r="L299" s="1490"/>
      <c r="M299" s="1487"/>
      <c r="N299" s="1488"/>
      <c r="O299" s="1489"/>
      <c r="P299" s="1490"/>
      <c r="Q299" s="1399"/>
      <c r="X299" s="1445" t="e">
        <f ca="1"/>
        <v>#NAME?</v>
      </c>
      <c r="Y299" s="1446" t="e">
        <f ca="1"/>
        <v>#NAME?</v>
      </c>
      <c r="Z299" s="1408"/>
      <c r="AB299" s="1399"/>
      <c r="AC299" s="1399"/>
      <c r="AD299" s="1399"/>
      <c r="AE299" s="1399"/>
    </row>
    <row r="300" spans="1:31">
      <c r="A300" s="1487"/>
      <c r="B300" s="1488"/>
      <c r="C300" s="1489"/>
      <c r="D300" s="1490"/>
      <c r="E300" s="1487"/>
      <c r="F300" s="1488"/>
      <c r="G300" s="1489"/>
      <c r="H300" s="1490"/>
      <c r="I300" s="1487"/>
      <c r="J300" s="1488"/>
      <c r="K300" s="1489"/>
      <c r="L300" s="1490"/>
      <c r="M300" s="1487"/>
      <c r="N300" s="1488"/>
      <c r="O300" s="1489"/>
      <c r="P300" s="1490"/>
      <c r="Q300" s="1399"/>
      <c r="X300" s="1445" t="e">
        <f ca="1"/>
        <v>#NAME?</v>
      </c>
      <c r="Y300" s="1446" t="e">
        <f ca="1"/>
        <v>#NAME?</v>
      </c>
      <c r="Z300" s="1408"/>
      <c r="AB300" s="1399"/>
      <c r="AC300" s="1399"/>
      <c r="AD300" s="1399"/>
      <c r="AE300" s="1399"/>
    </row>
    <row r="301" spans="1:31">
      <c r="A301" s="1487"/>
      <c r="B301" s="1488"/>
      <c r="C301" s="1489"/>
      <c r="D301" s="1490"/>
      <c r="E301" s="1487"/>
      <c r="F301" s="1488"/>
      <c r="G301" s="1489"/>
      <c r="H301" s="1490"/>
      <c r="I301" s="1487"/>
      <c r="J301" s="1488"/>
      <c r="K301" s="1489"/>
      <c r="L301" s="1490"/>
      <c r="M301" s="1487"/>
      <c r="N301" s="1488"/>
      <c r="O301" s="1489"/>
      <c r="P301" s="1490"/>
      <c r="Q301" s="1399"/>
      <c r="X301" s="1445" t="e">
        <f ca="1"/>
        <v>#NAME?</v>
      </c>
      <c r="Y301" s="1446" t="e">
        <f ca="1"/>
        <v>#NAME?</v>
      </c>
      <c r="Z301" s="1408"/>
      <c r="AB301" s="1399"/>
      <c r="AC301" s="1399"/>
      <c r="AD301" s="1399"/>
      <c r="AE301" s="1399"/>
    </row>
    <row r="302" spans="1:31">
      <c r="A302" s="1487"/>
      <c r="B302" s="1488"/>
      <c r="C302" s="1489"/>
      <c r="D302" s="1490"/>
      <c r="E302" s="1487"/>
      <c r="F302" s="1488"/>
      <c r="G302" s="1489"/>
      <c r="H302" s="1490"/>
      <c r="I302" s="1487"/>
      <c r="J302" s="1488"/>
      <c r="K302" s="1489"/>
      <c r="L302" s="1490"/>
      <c r="M302" s="1487"/>
      <c r="N302" s="1488"/>
      <c r="O302" s="1489"/>
      <c r="P302" s="1490"/>
      <c r="Q302" s="1399"/>
      <c r="X302" s="1445" t="e">
        <f ca="1"/>
        <v>#NAME?</v>
      </c>
      <c r="Y302" s="1446" t="e">
        <f ca="1"/>
        <v>#NAME?</v>
      </c>
      <c r="Z302" s="1408"/>
      <c r="AB302" s="1399"/>
      <c r="AC302" s="1399"/>
      <c r="AD302" s="1399"/>
      <c r="AE302" s="1399"/>
    </row>
    <row r="303" spans="1:31">
      <c r="A303" s="1487"/>
      <c r="B303" s="1488"/>
      <c r="C303" s="1489"/>
      <c r="D303" s="1490"/>
      <c r="E303" s="1487"/>
      <c r="F303" s="1488"/>
      <c r="G303" s="1489"/>
      <c r="H303" s="1490"/>
      <c r="I303" s="1487"/>
      <c r="J303" s="1488"/>
      <c r="K303" s="1489"/>
      <c r="L303" s="1490"/>
      <c r="M303" s="1487"/>
      <c r="N303" s="1488"/>
      <c r="O303" s="1489"/>
      <c r="P303" s="1490"/>
      <c r="Q303" s="1399"/>
      <c r="X303" s="1445" t="e">
        <f ca="1"/>
        <v>#NAME?</v>
      </c>
      <c r="Y303" s="1446" t="e">
        <f ca="1"/>
        <v>#NAME?</v>
      </c>
      <c r="Z303" s="1408"/>
      <c r="AB303" s="1399"/>
      <c r="AC303" s="1399"/>
      <c r="AD303" s="1399"/>
      <c r="AE303" s="1399"/>
    </row>
    <row r="304" spans="1:31">
      <c r="A304" s="1487"/>
      <c r="B304" s="1488"/>
      <c r="C304" s="1489"/>
      <c r="D304" s="1490"/>
      <c r="E304" s="1487"/>
      <c r="F304" s="1488"/>
      <c r="G304" s="1489"/>
      <c r="H304" s="1490"/>
      <c r="I304" s="1487"/>
      <c r="J304" s="1488"/>
      <c r="K304" s="1489"/>
      <c r="L304" s="1490"/>
      <c r="M304" s="1487"/>
      <c r="N304" s="1488"/>
      <c r="O304" s="1489"/>
      <c r="P304" s="1490"/>
      <c r="Q304" s="1399"/>
      <c r="X304" s="1445" t="e">
        <f ca="1"/>
        <v>#NAME?</v>
      </c>
      <c r="Y304" s="1446" t="e">
        <f ca="1"/>
        <v>#NAME?</v>
      </c>
      <c r="Z304" s="1408"/>
      <c r="AB304" s="1399"/>
      <c r="AC304" s="1399"/>
      <c r="AD304" s="1399"/>
      <c r="AE304" s="1399"/>
    </row>
    <row r="305" spans="1:31">
      <c r="A305" s="1487"/>
      <c r="B305" s="1488"/>
      <c r="C305" s="1489"/>
      <c r="D305" s="1490"/>
      <c r="E305" s="1487"/>
      <c r="F305" s="1488"/>
      <c r="G305" s="1489"/>
      <c r="H305" s="1490"/>
      <c r="I305" s="1487"/>
      <c r="J305" s="1488"/>
      <c r="K305" s="1489"/>
      <c r="L305" s="1490"/>
      <c r="M305" s="1487"/>
      <c r="N305" s="1488"/>
      <c r="O305" s="1489"/>
      <c r="P305" s="1490"/>
      <c r="Q305" s="1399"/>
      <c r="X305" s="1445" t="e">
        <f ca="1"/>
        <v>#NAME?</v>
      </c>
      <c r="Y305" s="1446" t="e">
        <f ca="1"/>
        <v>#NAME?</v>
      </c>
      <c r="Z305" s="1408"/>
      <c r="AB305" s="1399"/>
      <c r="AC305" s="1399"/>
      <c r="AD305" s="1399"/>
      <c r="AE305" s="1399"/>
    </row>
    <row r="306" spans="1:31">
      <c r="A306" s="1487"/>
      <c r="B306" s="1488"/>
      <c r="C306" s="1489"/>
      <c r="D306" s="1490"/>
      <c r="E306" s="1487"/>
      <c r="F306" s="1488"/>
      <c r="G306" s="1489"/>
      <c r="H306" s="1490"/>
      <c r="I306" s="1487"/>
      <c r="J306" s="1488"/>
      <c r="K306" s="1489"/>
      <c r="L306" s="1490"/>
      <c r="M306" s="1487"/>
      <c r="N306" s="1488"/>
      <c r="O306" s="1489"/>
      <c r="P306" s="1490"/>
      <c r="Q306" s="1399"/>
      <c r="X306" s="1445" t="e">
        <f ca="1"/>
        <v>#NAME?</v>
      </c>
      <c r="Y306" s="1446" t="e">
        <f ca="1"/>
        <v>#NAME?</v>
      </c>
      <c r="Z306" s="1408"/>
      <c r="AB306" s="1399"/>
      <c r="AC306" s="1399"/>
      <c r="AD306" s="1399"/>
      <c r="AE306" s="1399"/>
    </row>
    <row r="307" spans="1:31">
      <c r="A307" s="1487"/>
      <c r="B307" s="1488"/>
      <c r="C307" s="1489"/>
      <c r="D307" s="1490"/>
      <c r="E307" s="1487"/>
      <c r="F307" s="1488"/>
      <c r="G307" s="1489"/>
      <c r="H307" s="1490"/>
      <c r="I307" s="1487"/>
      <c r="J307" s="1488"/>
      <c r="K307" s="1489"/>
      <c r="L307" s="1490"/>
      <c r="M307" s="1487"/>
      <c r="N307" s="1488"/>
      <c r="O307" s="1489"/>
      <c r="P307" s="1490"/>
      <c r="Q307" s="1399"/>
      <c r="X307" s="1445" t="e">
        <f ca="1"/>
        <v>#NAME?</v>
      </c>
      <c r="Y307" s="1446" t="e">
        <f ca="1"/>
        <v>#NAME?</v>
      </c>
      <c r="Z307" s="1408"/>
      <c r="AB307" s="1399"/>
      <c r="AC307" s="1399"/>
      <c r="AD307" s="1399"/>
      <c r="AE307" s="1399"/>
    </row>
    <row r="308" spans="1:31">
      <c r="A308" s="1487"/>
      <c r="B308" s="1488"/>
      <c r="C308" s="1489"/>
      <c r="D308" s="1490"/>
      <c r="E308" s="1487"/>
      <c r="F308" s="1488"/>
      <c r="G308" s="1489"/>
      <c r="H308" s="1490"/>
      <c r="I308" s="1487"/>
      <c r="J308" s="1488"/>
      <c r="K308" s="1489"/>
      <c r="L308" s="1490"/>
      <c r="M308" s="1487"/>
      <c r="N308" s="1488"/>
      <c r="O308" s="1489"/>
      <c r="P308" s="1490"/>
      <c r="Q308" s="1399"/>
      <c r="X308" s="1445" t="e">
        <f ca="1"/>
        <v>#NAME?</v>
      </c>
      <c r="Y308" s="1446" t="e">
        <f ca="1"/>
        <v>#NAME?</v>
      </c>
      <c r="Z308" s="1408"/>
      <c r="AB308" s="1399"/>
      <c r="AC308" s="1399"/>
      <c r="AD308" s="1399"/>
      <c r="AE308" s="1399"/>
    </row>
    <row r="309" spans="1:31">
      <c r="A309" s="1487"/>
      <c r="B309" s="1488"/>
      <c r="C309" s="1489"/>
      <c r="D309" s="1490"/>
      <c r="E309" s="1487"/>
      <c r="F309" s="1488"/>
      <c r="G309" s="1489"/>
      <c r="H309" s="1490"/>
      <c r="I309" s="1487"/>
      <c r="J309" s="1488"/>
      <c r="K309" s="1489"/>
      <c r="L309" s="1490"/>
      <c r="M309" s="1487"/>
      <c r="N309" s="1488"/>
      <c r="O309" s="1489"/>
      <c r="P309" s="1490"/>
      <c r="Q309" s="1399"/>
      <c r="X309" s="1445" t="e">
        <f ca="1"/>
        <v>#NAME?</v>
      </c>
      <c r="Y309" s="1446" t="e">
        <f ca="1"/>
        <v>#NAME?</v>
      </c>
      <c r="Z309" s="1408"/>
      <c r="AB309" s="1399"/>
      <c r="AC309" s="1399"/>
      <c r="AD309" s="1399"/>
      <c r="AE309" s="1399"/>
    </row>
    <row r="310" spans="1:31">
      <c r="A310" s="1487"/>
      <c r="B310" s="1488"/>
      <c r="C310" s="1489"/>
      <c r="D310" s="1490"/>
      <c r="E310" s="1487"/>
      <c r="F310" s="1488"/>
      <c r="G310" s="1489"/>
      <c r="H310" s="1490"/>
      <c r="I310" s="1487"/>
      <c r="J310" s="1488"/>
      <c r="K310" s="1489"/>
      <c r="L310" s="1490"/>
      <c r="M310" s="1487"/>
      <c r="N310" s="1488"/>
      <c r="O310" s="1489"/>
      <c r="P310" s="1490"/>
      <c r="Q310" s="1399"/>
      <c r="X310" s="1445" t="e">
        <f ca="1"/>
        <v>#NAME?</v>
      </c>
      <c r="Y310" s="1446" t="e">
        <f ca="1"/>
        <v>#NAME?</v>
      </c>
      <c r="Z310" s="1408"/>
      <c r="AB310" s="1399"/>
      <c r="AC310" s="1399"/>
      <c r="AD310" s="1399"/>
      <c r="AE310" s="1399"/>
    </row>
    <row r="311" spans="1:31">
      <c r="A311" s="1487"/>
      <c r="B311" s="1488"/>
      <c r="C311" s="1489"/>
      <c r="D311" s="1490"/>
      <c r="E311" s="1487"/>
      <c r="F311" s="1488"/>
      <c r="G311" s="1489"/>
      <c r="H311" s="1490"/>
      <c r="I311" s="1487"/>
      <c r="J311" s="1488"/>
      <c r="K311" s="1489"/>
      <c r="L311" s="1490"/>
      <c r="M311" s="1487"/>
      <c r="N311" s="1488"/>
      <c r="O311" s="1489"/>
      <c r="P311" s="1490"/>
      <c r="Q311" s="1399"/>
      <c r="X311" s="1445" t="e">
        <f ca="1"/>
        <v>#NAME?</v>
      </c>
      <c r="Y311" s="1446" t="e">
        <f ca="1"/>
        <v>#NAME?</v>
      </c>
      <c r="Z311" s="1408"/>
      <c r="AB311" s="1399"/>
      <c r="AC311" s="1399"/>
      <c r="AD311" s="1399"/>
      <c r="AE311" s="1399"/>
    </row>
    <row r="312" spans="1:31">
      <c r="A312" s="1487"/>
      <c r="B312" s="1488"/>
      <c r="C312" s="1489"/>
      <c r="D312" s="1490"/>
      <c r="E312" s="1487"/>
      <c r="F312" s="1488"/>
      <c r="G312" s="1489"/>
      <c r="H312" s="1490"/>
      <c r="I312" s="1487"/>
      <c r="J312" s="1488"/>
      <c r="K312" s="1489"/>
      <c r="L312" s="1490"/>
      <c r="M312" s="1487"/>
      <c r="N312" s="1488"/>
      <c r="O312" s="1489"/>
      <c r="P312" s="1490"/>
      <c r="Q312" s="1399"/>
      <c r="X312" s="1445" t="e">
        <f ca="1"/>
        <v>#NAME?</v>
      </c>
      <c r="Y312" s="1446" t="e">
        <f ca="1"/>
        <v>#NAME?</v>
      </c>
      <c r="Z312" s="1408"/>
      <c r="AB312" s="1399"/>
      <c r="AC312" s="1399"/>
      <c r="AD312" s="1399"/>
      <c r="AE312" s="1399"/>
    </row>
    <row r="313" spans="1:31">
      <c r="A313" s="1487"/>
      <c r="B313" s="1488"/>
      <c r="C313" s="1489"/>
      <c r="D313" s="1490"/>
      <c r="E313" s="1487"/>
      <c r="F313" s="1488"/>
      <c r="G313" s="1489"/>
      <c r="H313" s="1490"/>
      <c r="I313" s="1487"/>
      <c r="J313" s="1488"/>
      <c r="K313" s="1489"/>
      <c r="L313" s="1490"/>
      <c r="M313" s="1487"/>
      <c r="N313" s="1488"/>
      <c r="O313" s="1489"/>
      <c r="P313" s="1490"/>
      <c r="Q313" s="1399"/>
      <c r="X313" s="1445" t="e">
        <f ca="1"/>
        <v>#NAME?</v>
      </c>
      <c r="Y313" s="1446" t="e">
        <f ca="1"/>
        <v>#NAME?</v>
      </c>
      <c r="Z313" s="1408"/>
      <c r="AB313" s="1399"/>
      <c r="AC313" s="1399"/>
      <c r="AD313" s="1399"/>
      <c r="AE313" s="1399"/>
    </row>
    <row r="314" spans="1:31">
      <c r="A314" s="1487"/>
      <c r="B314" s="1488"/>
      <c r="C314" s="1489"/>
      <c r="D314" s="1490"/>
      <c r="E314" s="1487"/>
      <c r="F314" s="1488"/>
      <c r="G314" s="1489"/>
      <c r="H314" s="1490"/>
      <c r="I314" s="1487"/>
      <c r="J314" s="1488"/>
      <c r="K314" s="1489"/>
      <c r="L314" s="1490"/>
      <c r="M314" s="1487"/>
      <c r="N314" s="1488"/>
      <c r="O314" s="1489"/>
      <c r="P314" s="1490"/>
      <c r="Q314" s="1399"/>
      <c r="X314" s="1445" t="e">
        <f ca="1"/>
        <v>#NAME?</v>
      </c>
      <c r="Y314" s="1446" t="e">
        <f ca="1"/>
        <v>#NAME?</v>
      </c>
      <c r="Z314" s="1408"/>
      <c r="AB314" s="1399"/>
      <c r="AC314" s="1399"/>
      <c r="AD314" s="1399"/>
      <c r="AE314" s="1399"/>
    </row>
    <row r="315" spans="1:31">
      <c r="A315" s="1487"/>
      <c r="B315" s="1488"/>
      <c r="C315" s="1489"/>
      <c r="D315" s="1490"/>
      <c r="E315" s="1487"/>
      <c r="F315" s="1488"/>
      <c r="G315" s="1489"/>
      <c r="H315" s="1490"/>
      <c r="I315" s="1487"/>
      <c r="J315" s="1488"/>
      <c r="K315" s="1489"/>
      <c r="L315" s="1490"/>
      <c r="M315" s="1487"/>
      <c r="N315" s="1488"/>
      <c r="O315" s="1489"/>
      <c r="P315" s="1490"/>
      <c r="Q315" s="1399"/>
      <c r="X315" s="1445" t="e">
        <f ca="1"/>
        <v>#NAME?</v>
      </c>
      <c r="Y315" s="1446" t="e">
        <f ca="1"/>
        <v>#NAME?</v>
      </c>
      <c r="Z315" s="1408"/>
      <c r="AB315" s="1399"/>
      <c r="AC315" s="1399"/>
      <c r="AD315" s="1399"/>
      <c r="AE315" s="1399"/>
    </row>
    <row r="316" spans="1:31">
      <c r="A316" s="1487"/>
      <c r="B316" s="1488"/>
      <c r="C316" s="1489"/>
      <c r="D316" s="1490"/>
      <c r="E316" s="1487"/>
      <c r="F316" s="1488"/>
      <c r="G316" s="1489"/>
      <c r="H316" s="1490"/>
      <c r="I316" s="1487"/>
      <c r="J316" s="1488"/>
      <c r="K316" s="1489"/>
      <c r="L316" s="1490"/>
      <c r="M316" s="1487"/>
      <c r="N316" s="1488"/>
      <c r="O316" s="1489"/>
      <c r="P316" s="1490"/>
      <c r="Q316" s="1399"/>
      <c r="X316" s="1445" t="e">
        <f ca="1"/>
        <v>#NAME?</v>
      </c>
      <c r="Y316" s="1446" t="e">
        <f ca="1"/>
        <v>#NAME?</v>
      </c>
      <c r="Z316" s="1408"/>
      <c r="AB316" s="1399"/>
      <c r="AC316" s="1399"/>
      <c r="AD316" s="1399"/>
      <c r="AE316" s="1399"/>
    </row>
    <row r="317" spans="1:31">
      <c r="A317" s="1487"/>
      <c r="B317" s="1488"/>
      <c r="C317" s="1489"/>
      <c r="D317" s="1490"/>
      <c r="E317" s="1487"/>
      <c r="F317" s="1488"/>
      <c r="G317" s="1489"/>
      <c r="H317" s="1490"/>
      <c r="I317" s="1487"/>
      <c r="J317" s="1488"/>
      <c r="K317" s="1489"/>
      <c r="L317" s="1490"/>
      <c r="M317" s="1487"/>
      <c r="N317" s="1488"/>
      <c r="O317" s="1489"/>
      <c r="P317" s="1490"/>
      <c r="Q317" s="1399"/>
      <c r="X317" s="1445" t="e">
        <f ca="1"/>
        <v>#NAME?</v>
      </c>
      <c r="Y317" s="1446" t="e">
        <f ca="1"/>
        <v>#NAME?</v>
      </c>
      <c r="Z317" s="1408"/>
      <c r="AB317" s="1399"/>
      <c r="AC317" s="1399"/>
      <c r="AD317" s="1399"/>
      <c r="AE317" s="1399"/>
    </row>
    <row r="318" spans="1:31">
      <c r="A318" s="1487"/>
      <c r="B318" s="1488"/>
      <c r="C318" s="1489"/>
      <c r="D318" s="1490"/>
      <c r="E318" s="1487"/>
      <c r="F318" s="1488"/>
      <c r="G318" s="1489"/>
      <c r="H318" s="1490"/>
      <c r="I318" s="1487"/>
      <c r="J318" s="1488"/>
      <c r="K318" s="1489"/>
      <c r="L318" s="1490"/>
      <c r="M318" s="1487"/>
      <c r="N318" s="1488"/>
      <c r="O318" s="1489"/>
      <c r="P318" s="1490"/>
      <c r="Q318" s="1399"/>
      <c r="X318" s="1445" t="e">
        <f ca="1"/>
        <v>#NAME?</v>
      </c>
      <c r="Y318" s="1446" t="e">
        <f ca="1"/>
        <v>#NAME?</v>
      </c>
      <c r="Z318" s="1408"/>
      <c r="AB318" s="1399"/>
      <c r="AC318" s="1399"/>
      <c r="AD318" s="1399"/>
      <c r="AE318" s="1399"/>
    </row>
    <row r="319" spans="1:31">
      <c r="A319" s="1487"/>
      <c r="B319" s="1488"/>
      <c r="C319" s="1489"/>
      <c r="D319" s="1490"/>
      <c r="E319" s="1487"/>
      <c r="F319" s="1488"/>
      <c r="G319" s="1489"/>
      <c r="H319" s="1490"/>
      <c r="I319" s="1487"/>
      <c r="J319" s="1488"/>
      <c r="K319" s="1489"/>
      <c r="L319" s="1490"/>
      <c r="M319" s="1487"/>
      <c r="N319" s="1488"/>
      <c r="O319" s="1489"/>
      <c r="P319" s="1490"/>
      <c r="Q319" s="1399"/>
      <c r="X319" s="1445" t="e">
        <f ca="1"/>
        <v>#NAME?</v>
      </c>
      <c r="Y319" s="1446" t="e">
        <f ca="1"/>
        <v>#NAME?</v>
      </c>
      <c r="Z319" s="1408"/>
      <c r="AB319" s="1399"/>
      <c r="AC319" s="1399"/>
      <c r="AD319" s="1399"/>
      <c r="AE319" s="1399"/>
    </row>
    <row r="320" spans="1:31">
      <c r="A320" s="1487"/>
      <c r="B320" s="1488"/>
      <c r="C320" s="1489"/>
      <c r="D320" s="1490"/>
      <c r="E320" s="1487"/>
      <c r="F320" s="1488"/>
      <c r="G320" s="1489"/>
      <c r="H320" s="1490"/>
      <c r="I320" s="1487"/>
      <c r="J320" s="1488"/>
      <c r="K320" s="1489"/>
      <c r="L320" s="1490"/>
      <c r="M320" s="1487"/>
      <c r="N320" s="1488"/>
      <c r="O320" s="1489"/>
      <c r="P320" s="1490"/>
      <c r="Q320" s="1399"/>
      <c r="X320" s="1445" t="e">
        <f ca="1"/>
        <v>#NAME?</v>
      </c>
      <c r="Y320" s="1446" t="e">
        <f ca="1"/>
        <v>#NAME?</v>
      </c>
      <c r="Z320" s="1408"/>
      <c r="AB320" s="1399"/>
      <c r="AC320" s="1399"/>
      <c r="AD320" s="1399"/>
      <c r="AE320" s="1399"/>
    </row>
    <row r="321" spans="1:31">
      <c r="A321" s="1487"/>
      <c r="B321" s="1488"/>
      <c r="C321" s="1489"/>
      <c r="D321" s="1490"/>
      <c r="E321" s="1487"/>
      <c r="F321" s="1488"/>
      <c r="G321" s="1489"/>
      <c r="H321" s="1490"/>
      <c r="I321" s="1487"/>
      <c r="J321" s="1488"/>
      <c r="K321" s="1489"/>
      <c r="L321" s="1490"/>
      <c r="M321" s="1487"/>
      <c r="N321" s="1488"/>
      <c r="O321" s="1489"/>
      <c r="P321" s="1490"/>
      <c r="Q321" s="1399"/>
      <c r="X321" s="1445" t="e">
        <f ca="1"/>
        <v>#NAME?</v>
      </c>
      <c r="Y321" s="1446" t="e">
        <f ca="1"/>
        <v>#NAME?</v>
      </c>
      <c r="Z321" s="1408"/>
      <c r="AB321" s="1399"/>
      <c r="AC321" s="1399"/>
      <c r="AD321" s="1399"/>
      <c r="AE321" s="1399"/>
    </row>
    <row r="322" spans="1:31">
      <c r="A322" s="1487"/>
      <c r="B322" s="1488"/>
      <c r="C322" s="1489"/>
      <c r="D322" s="1490"/>
      <c r="E322" s="1487"/>
      <c r="F322" s="1488"/>
      <c r="G322" s="1489"/>
      <c r="H322" s="1490"/>
      <c r="I322" s="1487"/>
      <c r="J322" s="1488"/>
      <c r="K322" s="1489"/>
      <c r="L322" s="1490"/>
      <c r="M322" s="1487"/>
      <c r="N322" s="1488"/>
      <c r="O322" s="1489"/>
      <c r="P322" s="1490"/>
      <c r="Q322" s="1399"/>
      <c r="X322" s="1445" t="e">
        <f ca="1"/>
        <v>#NAME?</v>
      </c>
      <c r="Y322" s="1446" t="e">
        <f ca="1"/>
        <v>#NAME?</v>
      </c>
      <c r="Z322" s="1408"/>
      <c r="AB322" s="1399"/>
      <c r="AC322" s="1399"/>
      <c r="AD322" s="1399"/>
      <c r="AE322" s="1399"/>
    </row>
    <row r="323" spans="1:31">
      <c r="A323" s="1487"/>
      <c r="B323" s="1488"/>
      <c r="C323" s="1489"/>
      <c r="D323" s="1490"/>
      <c r="E323" s="1487"/>
      <c r="F323" s="1488"/>
      <c r="G323" s="1489"/>
      <c r="H323" s="1490"/>
      <c r="I323" s="1487"/>
      <c r="J323" s="1488"/>
      <c r="K323" s="1489"/>
      <c r="L323" s="1490"/>
      <c r="M323" s="1487"/>
      <c r="N323" s="1488"/>
      <c r="O323" s="1489"/>
      <c r="P323" s="1490"/>
      <c r="Q323" s="1399"/>
      <c r="X323" s="1445" t="e">
        <f ca="1"/>
        <v>#NAME?</v>
      </c>
      <c r="Y323" s="1446" t="e">
        <f ca="1"/>
        <v>#NAME?</v>
      </c>
      <c r="Z323" s="1408"/>
      <c r="AB323" s="1399"/>
      <c r="AC323" s="1399"/>
      <c r="AD323" s="1399"/>
      <c r="AE323" s="1399"/>
    </row>
    <row r="324" spans="1:31">
      <c r="A324" s="1487"/>
      <c r="B324" s="1488"/>
      <c r="C324" s="1489"/>
      <c r="D324" s="1490"/>
      <c r="E324" s="1487"/>
      <c r="F324" s="1488"/>
      <c r="G324" s="1489"/>
      <c r="H324" s="1490"/>
      <c r="I324" s="1487"/>
      <c r="J324" s="1488"/>
      <c r="K324" s="1489"/>
      <c r="L324" s="1490"/>
      <c r="M324" s="1487"/>
      <c r="N324" s="1488"/>
      <c r="O324" s="1489"/>
      <c r="P324" s="1490"/>
      <c r="Q324" s="1399"/>
      <c r="X324" s="1445" t="e">
        <f ca="1"/>
        <v>#NAME?</v>
      </c>
      <c r="Y324" s="1446" t="e">
        <f ca="1"/>
        <v>#NAME?</v>
      </c>
      <c r="Z324" s="1408"/>
      <c r="AB324" s="1399"/>
      <c r="AC324" s="1399"/>
      <c r="AD324" s="1399"/>
      <c r="AE324" s="1399"/>
    </row>
    <row r="325" spans="1:31">
      <c r="A325" s="1487"/>
      <c r="B325" s="1488"/>
      <c r="C325" s="1489"/>
      <c r="D325" s="1490"/>
      <c r="E325" s="1487"/>
      <c r="F325" s="1488"/>
      <c r="G325" s="1489"/>
      <c r="H325" s="1490"/>
      <c r="I325" s="1487"/>
      <c r="J325" s="1488"/>
      <c r="K325" s="1489"/>
      <c r="L325" s="1490"/>
      <c r="M325" s="1487"/>
      <c r="N325" s="1488"/>
      <c r="O325" s="1489"/>
      <c r="P325" s="1490"/>
      <c r="Q325" s="1399"/>
      <c r="X325" s="1445" t="e">
        <f ca="1"/>
        <v>#NAME?</v>
      </c>
      <c r="Y325" s="1446" t="e">
        <f ca="1"/>
        <v>#NAME?</v>
      </c>
      <c r="Z325" s="1408"/>
      <c r="AB325" s="1399"/>
      <c r="AC325" s="1399"/>
      <c r="AD325" s="1399"/>
      <c r="AE325" s="1399"/>
    </row>
    <row r="326" spans="1:31">
      <c r="A326" s="1487"/>
      <c r="B326" s="1488"/>
      <c r="C326" s="1489"/>
      <c r="D326" s="1490"/>
      <c r="E326" s="1487"/>
      <c r="F326" s="1488"/>
      <c r="G326" s="1489"/>
      <c r="H326" s="1490"/>
      <c r="I326" s="1487"/>
      <c r="J326" s="1488"/>
      <c r="K326" s="1489"/>
      <c r="L326" s="1490"/>
      <c r="M326" s="1487"/>
      <c r="N326" s="1488"/>
      <c r="O326" s="1489"/>
      <c r="P326" s="1490"/>
      <c r="Q326" s="1399"/>
      <c r="X326" s="1445" t="e">
        <f ca="1"/>
        <v>#NAME?</v>
      </c>
      <c r="Y326" s="1446" t="e">
        <f ca="1"/>
        <v>#NAME?</v>
      </c>
      <c r="Z326" s="1408"/>
      <c r="AB326" s="1399"/>
      <c r="AC326" s="1399"/>
      <c r="AD326" s="1399"/>
      <c r="AE326" s="1399"/>
    </row>
    <row r="327" spans="1:31">
      <c r="A327" s="1487"/>
      <c r="B327" s="1488"/>
      <c r="C327" s="1489"/>
      <c r="D327" s="1490"/>
      <c r="E327" s="1487"/>
      <c r="F327" s="1488"/>
      <c r="G327" s="1489"/>
      <c r="H327" s="1490"/>
      <c r="I327" s="1487"/>
      <c r="J327" s="1488"/>
      <c r="K327" s="1489"/>
      <c r="L327" s="1490"/>
      <c r="M327" s="1487"/>
      <c r="N327" s="1488"/>
      <c r="O327" s="1489"/>
      <c r="P327" s="1490"/>
      <c r="Q327" s="1399"/>
      <c r="X327" s="1445" t="e">
        <f ca="1"/>
        <v>#NAME?</v>
      </c>
      <c r="Y327" s="1446" t="e">
        <f ca="1"/>
        <v>#NAME?</v>
      </c>
      <c r="Z327" s="1408"/>
      <c r="AB327" s="1399"/>
      <c r="AC327" s="1399"/>
      <c r="AD327" s="1399"/>
      <c r="AE327" s="1399"/>
    </row>
    <row r="328" spans="1:31">
      <c r="A328" s="1487"/>
      <c r="B328" s="1488"/>
      <c r="C328" s="1489"/>
      <c r="D328" s="1490"/>
      <c r="E328" s="1487"/>
      <c r="F328" s="1488"/>
      <c r="G328" s="1489"/>
      <c r="H328" s="1490"/>
      <c r="I328" s="1487"/>
      <c r="J328" s="1488"/>
      <c r="K328" s="1489"/>
      <c r="L328" s="1490"/>
      <c r="M328" s="1487"/>
      <c r="N328" s="1488"/>
      <c r="O328" s="1489"/>
      <c r="P328" s="1490"/>
      <c r="Q328" s="1399"/>
      <c r="X328" s="1445" t="e">
        <f ca="1"/>
        <v>#NAME?</v>
      </c>
      <c r="Y328" s="1446" t="e">
        <f ca="1"/>
        <v>#NAME?</v>
      </c>
      <c r="Z328" s="1408"/>
      <c r="AB328" s="1399"/>
      <c r="AC328" s="1399"/>
      <c r="AD328" s="1399"/>
      <c r="AE328" s="1399"/>
    </row>
    <row r="329" spans="1:31">
      <c r="A329" s="1487"/>
      <c r="B329" s="1488"/>
      <c r="C329" s="1489"/>
      <c r="D329" s="1490"/>
      <c r="E329" s="1487"/>
      <c r="F329" s="1488"/>
      <c r="G329" s="1489"/>
      <c r="H329" s="1490"/>
      <c r="I329" s="1487"/>
      <c r="J329" s="1488"/>
      <c r="K329" s="1489"/>
      <c r="L329" s="1490"/>
      <c r="M329" s="1487"/>
      <c r="N329" s="1488"/>
      <c r="O329" s="1489"/>
      <c r="P329" s="1490"/>
      <c r="Q329" s="1399"/>
      <c r="X329" s="1445" t="e">
        <f ca="1"/>
        <v>#NAME?</v>
      </c>
      <c r="Y329" s="1446" t="e">
        <f ca="1"/>
        <v>#NAME?</v>
      </c>
      <c r="Z329" s="1408"/>
      <c r="AB329" s="1399"/>
      <c r="AC329" s="1399"/>
      <c r="AD329" s="1399"/>
      <c r="AE329" s="1399"/>
    </row>
    <row r="330" spans="1:31">
      <c r="A330" s="1487"/>
      <c r="B330" s="1488"/>
      <c r="C330" s="1489"/>
      <c r="D330" s="1490"/>
      <c r="E330" s="1487"/>
      <c r="F330" s="1488"/>
      <c r="G330" s="1489"/>
      <c r="H330" s="1490"/>
      <c r="I330" s="1487"/>
      <c r="J330" s="1488"/>
      <c r="K330" s="1489"/>
      <c r="L330" s="1490"/>
      <c r="M330" s="1487"/>
      <c r="N330" s="1488"/>
      <c r="O330" s="1489"/>
      <c r="P330" s="1490"/>
      <c r="Q330" s="1399"/>
      <c r="X330" s="1445" t="e">
        <f ca="1"/>
        <v>#NAME?</v>
      </c>
      <c r="Y330" s="1446" t="e">
        <f ca="1"/>
        <v>#NAME?</v>
      </c>
      <c r="Z330" s="1408"/>
      <c r="AB330" s="1399"/>
      <c r="AC330" s="1399"/>
      <c r="AD330" s="1399"/>
      <c r="AE330" s="1399"/>
    </row>
    <row r="331" spans="1:31">
      <c r="A331" s="1487"/>
      <c r="B331" s="1488"/>
      <c r="C331" s="1489"/>
      <c r="D331" s="1490"/>
      <c r="E331" s="1487"/>
      <c r="F331" s="1488"/>
      <c r="G331" s="1489"/>
      <c r="H331" s="1490"/>
      <c r="I331" s="1487"/>
      <c r="J331" s="1488"/>
      <c r="K331" s="1489"/>
      <c r="L331" s="1490"/>
      <c r="M331" s="1487"/>
      <c r="N331" s="1488"/>
      <c r="O331" s="1489"/>
      <c r="P331" s="1490"/>
      <c r="Q331" s="1399"/>
      <c r="X331" s="1445" t="e">
        <f ca="1"/>
        <v>#NAME?</v>
      </c>
      <c r="Y331" s="1446" t="e">
        <f ca="1"/>
        <v>#NAME?</v>
      </c>
      <c r="Z331" s="1408"/>
      <c r="AB331" s="1399"/>
      <c r="AC331" s="1399"/>
      <c r="AD331" s="1399"/>
      <c r="AE331" s="1399"/>
    </row>
    <row r="332" spans="1:31">
      <c r="A332" s="1487"/>
      <c r="B332" s="1488"/>
      <c r="C332" s="1489"/>
      <c r="D332" s="1490"/>
      <c r="E332" s="1487"/>
      <c r="F332" s="1488"/>
      <c r="G332" s="1489"/>
      <c r="H332" s="1490"/>
      <c r="I332" s="1487"/>
      <c r="J332" s="1488"/>
      <c r="K332" s="1489"/>
      <c r="L332" s="1490"/>
      <c r="M332" s="1487"/>
      <c r="N332" s="1488"/>
      <c r="O332" s="1489"/>
      <c r="P332" s="1490"/>
      <c r="X332" s="1445" t="e">
        <f ca="1"/>
        <v>#NAME?</v>
      </c>
      <c r="Y332" s="1446" t="e">
        <f ca="1"/>
        <v>#NAME?</v>
      </c>
      <c r="Z332" s="1408"/>
    </row>
    <row r="333" spans="1:31">
      <c r="A333" s="1487"/>
      <c r="B333" s="1488"/>
      <c r="C333" s="1489"/>
      <c r="D333" s="1490"/>
      <c r="E333" s="1487"/>
      <c r="F333" s="1488"/>
      <c r="G333" s="1489"/>
      <c r="H333" s="1490"/>
      <c r="I333" s="1487"/>
      <c r="J333" s="1488"/>
      <c r="K333" s="1489"/>
      <c r="L333" s="1490"/>
      <c r="M333" s="1487"/>
      <c r="N333" s="1488"/>
      <c r="O333" s="1489"/>
      <c r="P333" s="1490"/>
      <c r="X333" s="1445" t="e">
        <f ca="1"/>
        <v>#NAME?</v>
      </c>
      <c r="Y333" s="1446" t="e">
        <f ca="1"/>
        <v>#NAME?</v>
      </c>
      <c r="Z333" s="1408"/>
    </row>
    <row r="334" spans="1:31">
      <c r="A334" s="1487"/>
      <c r="B334" s="1488"/>
      <c r="C334" s="1489"/>
      <c r="D334" s="1490"/>
      <c r="E334" s="1487"/>
      <c r="F334" s="1488"/>
      <c r="G334" s="1489"/>
      <c r="H334" s="1490"/>
      <c r="I334" s="1487"/>
      <c r="J334" s="1488"/>
      <c r="K334" s="1489"/>
      <c r="L334" s="1490"/>
      <c r="M334" s="1487"/>
      <c r="N334" s="1488"/>
      <c r="O334" s="1489"/>
      <c r="P334" s="1490"/>
      <c r="X334" s="1445" t="e">
        <f ca="1"/>
        <v>#NAME?</v>
      </c>
      <c r="Y334" s="1446" t="e">
        <f ca="1"/>
        <v>#NAME?</v>
      </c>
      <c r="Z334" s="1408"/>
    </row>
    <row r="335" spans="1:31">
      <c r="A335" s="1487"/>
      <c r="B335" s="1488"/>
      <c r="C335" s="1489"/>
      <c r="D335" s="1490"/>
      <c r="E335" s="1487"/>
      <c r="F335" s="1488"/>
      <c r="G335" s="1489"/>
      <c r="H335" s="1490"/>
      <c r="I335" s="1487"/>
      <c r="J335" s="1488"/>
      <c r="K335" s="1489"/>
      <c r="L335" s="1490"/>
      <c r="M335" s="1487"/>
      <c r="N335" s="1488"/>
      <c r="O335" s="1489"/>
      <c r="P335" s="1490"/>
      <c r="X335" s="1445" t="e">
        <f ca="1"/>
        <v>#NAME?</v>
      </c>
      <c r="Y335" s="1446" t="e">
        <f ca="1"/>
        <v>#NAME?</v>
      </c>
      <c r="Z335" s="1408"/>
    </row>
    <row r="336" spans="1:31">
      <c r="A336" s="1487"/>
      <c r="B336" s="1488"/>
      <c r="C336" s="1489"/>
      <c r="D336" s="1490"/>
      <c r="E336" s="1487"/>
      <c r="F336" s="1488"/>
      <c r="G336" s="1489"/>
      <c r="H336" s="1490"/>
      <c r="I336" s="1487"/>
      <c r="J336" s="1488"/>
      <c r="K336" s="1489"/>
      <c r="L336" s="1490"/>
      <c r="M336" s="1487"/>
      <c r="N336" s="1488"/>
      <c r="O336" s="1489"/>
      <c r="P336" s="1490"/>
      <c r="X336" s="1445" t="e">
        <f ca="1"/>
        <v>#NAME?</v>
      </c>
      <c r="Y336" s="1446" t="e">
        <f ca="1"/>
        <v>#NAME?</v>
      </c>
      <c r="Z336" s="1408"/>
    </row>
    <row r="337" spans="1:26">
      <c r="A337" s="1487"/>
      <c r="B337" s="1488"/>
      <c r="C337" s="1489"/>
      <c r="D337" s="1490"/>
      <c r="E337" s="1487"/>
      <c r="F337" s="1488"/>
      <c r="G337" s="1489"/>
      <c r="H337" s="1490"/>
      <c r="I337" s="1487"/>
      <c r="J337" s="1488"/>
      <c r="K337" s="1489"/>
      <c r="L337" s="1490"/>
      <c r="M337" s="1487"/>
      <c r="N337" s="1488"/>
      <c r="O337" s="1489"/>
      <c r="P337" s="1490"/>
      <c r="X337" s="1445" t="e">
        <f ca="1"/>
        <v>#NAME?</v>
      </c>
      <c r="Y337" s="1446" t="e">
        <f ca="1"/>
        <v>#NAME?</v>
      </c>
      <c r="Z337" s="1408"/>
    </row>
    <row r="338" spans="1:26">
      <c r="A338" s="1487"/>
      <c r="B338" s="1488"/>
      <c r="C338" s="1489"/>
      <c r="D338" s="1490"/>
      <c r="E338" s="1487"/>
      <c r="F338" s="1488"/>
      <c r="G338" s="1489"/>
      <c r="H338" s="1490"/>
      <c r="I338" s="1487"/>
      <c r="J338" s="1488"/>
      <c r="K338" s="1489"/>
      <c r="L338" s="1490"/>
      <c r="M338" s="1487"/>
      <c r="N338" s="1488"/>
      <c r="O338" s="1489"/>
      <c r="P338" s="1490"/>
      <c r="X338" s="1445" t="e">
        <f ca="1"/>
        <v>#NAME?</v>
      </c>
      <c r="Y338" s="1446" t="e">
        <f ca="1"/>
        <v>#NAME?</v>
      </c>
      <c r="Z338" s="1408"/>
    </row>
    <row r="339" spans="1:26">
      <c r="A339" s="1487"/>
      <c r="B339" s="1488"/>
      <c r="C339" s="1489"/>
      <c r="D339" s="1490"/>
      <c r="E339" s="1487"/>
      <c r="F339" s="1488"/>
      <c r="G339" s="1489"/>
      <c r="H339" s="1490"/>
      <c r="I339" s="1487"/>
      <c r="J339" s="1488"/>
      <c r="K339" s="1489"/>
      <c r="L339" s="1490"/>
      <c r="M339" s="1487"/>
      <c r="N339" s="1488"/>
      <c r="O339" s="1489"/>
      <c r="P339" s="1490"/>
      <c r="X339" s="1445" t="e">
        <f ca="1"/>
        <v>#NAME?</v>
      </c>
      <c r="Y339" s="1446" t="e">
        <f ca="1"/>
        <v>#NAME?</v>
      </c>
      <c r="Z339" s="1408"/>
    </row>
    <row r="340" spans="1:26">
      <c r="A340" s="1487"/>
      <c r="B340" s="1488"/>
      <c r="C340" s="1489"/>
      <c r="D340" s="1490"/>
      <c r="E340" s="1487"/>
      <c r="F340" s="1488"/>
      <c r="G340" s="1489"/>
      <c r="H340" s="1490"/>
      <c r="I340" s="1487"/>
      <c r="J340" s="1488"/>
      <c r="K340" s="1489"/>
      <c r="L340" s="1490"/>
      <c r="M340" s="1487"/>
      <c r="N340" s="1488"/>
      <c r="O340" s="1489"/>
      <c r="P340" s="1490"/>
      <c r="X340" s="1445" t="e">
        <f ca="1"/>
        <v>#NAME?</v>
      </c>
      <c r="Y340" s="1446" t="e">
        <f ca="1"/>
        <v>#NAME?</v>
      </c>
      <c r="Z340" s="1408"/>
    </row>
    <row r="341" spans="1:26">
      <c r="A341" s="1487"/>
      <c r="B341" s="1488"/>
      <c r="C341" s="1489"/>
      <c r="D341" s="1490"/>
      <c r="E341" s="1487"/>
      <c r="F341" s="1488"/>
      <c r="G341" s="1489"/>
      <c r="H341" s="1490"/>
      <c r="I341" s="1487"/>
      <c r="J341" s="1488"/>
      <c r="K341" s="1489"/>
      <c r="L341" s="1490"/>
      <c r="M341" s="1487"/>
      <c r="N341" s="1488"/>
      <c r="O341" s="1489"/>
      <c r="P341" s="1490"/>
      <c r="X341" s="1445" t="e">
        <f ca="1"/>
        <v>#NAME?</v>
      </c>
      <c r="Y341" s="1446" t="e">
        <f ca="1"/>
        <v>#NAME?</v>
      </c>
      <c r="Z341" s="1408"/>
    </row>
    <row r="342" spans="1:26">
      <c r="A342" s="1487"/>
      <c r="B342" s="1488"/>
      <c r="C342" s="1489"/>
      <c r="D342" s="1490"/>
      <c r="E342" s="1487"/>
      <c r="F342" s="1488"/>
      <c r="G342" s="1489"/>
      <c r="H342" s="1490"/>
      <c r="I342" s="1487"/>
      <c r="J342" s="1488"/>
      <c r="K342" s="1489"/>
      <c r="L342" s="1490"/>
      <c r="M342" s="1487"/>
      <c r="N342" s="1488"/>
      <c r="O342" s="1489"/>
      <c r="P342" s="1490"/>
      <c r="X342" s="1445" t="e">
        <f ca="1"/>
        <v>#NAME?</v>
      </c>
      <c r="Y342" s="1446" t="e">
        <f ca="1"/>
        <v>#NAME?</v>
      </c>
      <c r="Z342" s="1408"/>
    </row>
    <row r="343" spans="1:26">
      <c r="A343" s="1487"/>
      <c r="B343" s="1488"/>
      <c r="C343" s="1489"/>
      <c r="D343" s="1490"/>
      <c r="E343" s="1487"/>
      <c r="F343" s="1488"/>
      <c r="G343" s="1489"/>
      <c r="H343" s="1490"/>
      <c r="I343" s="1487"/>
      <c r="J343" s="1488"/>
      <c r="K343" s="1489"/>
      <c r="L343" s="1490"/>
      <c r="M343" s="1487"/>
      <c r="N343" s="1488"/>
      <c r="O343" s="1489"/>
      <c r="P343" s="1490"/>
      <c r="X343" s="1445" t="e">
        <f ca="1"/>
        <v>#NAME?</v>
      </c>
      <c r="Y343" s="1446" t="e">
        <f ca="1"/>
        <v>#NAME?</v>
      </c>
      <c r="Z343" s="1408"/>
    </row>
    <row r="344" spans="1:26">
      <c r="A344" s="1487"/>
      <c r="B344" s="1488"/>
      <c r="C344" s="1489"/>
      <c r="D344" s="1490"/>
      <c r="E344" s="1487"/>
      <c r="F344" s="1488"/>
      <c r="G344" s="1489"/>
      <c r="H344" s="1490"/>
      <c r="I344" s="1487"/>
      <c r="J344" s="1488"/>
      <c r="K344" s="1489"/>
      <c r="L344" s="1490"/>
      <c r="M344" s="1487"/>
      <c r="N344" s="1488"/>
      <c r="O344" s="1489"/>
      <c r="P344" s="1490"/>
      <c r="X344" s="1445" t="e">
        <f ca="1"/>
        <v>#NAME?</v>
      </c>
      <c r="Y344" s="1446" t="e">
        <f ca="1"/>
        <v>#NAME?</v>
      </c>
      <c r="Z344" s="1408"/>
    </row>
    <row r="345" spans="1:26">
      <c r="A345" s="1487"/>
      <c r="B345" s="1488"/>
      <c r="C345" s="1489"/>
      <c r="D345" s="1490"/>
      <c r="E345" s="1487"/>
      <c r="F345" s="1488"/>
      <c r="G345" s="1489"/>
      <c r="H345" s="1490"/>
      <c r="I345" s="1487"/>
      <c r="J345" s="1488"/>
      <c r="K345" s="1489"/>
      <c r="L345" s="1490"/>
      <c r="M345" s="1487"/>
      <c r="N345" s="1488"/>
      <c r="O345" s="1489"/>
      <c r="P345" s="1490"/>
      <c r="X345" s="1445" t="e">
        <f ca="1"/>
        <v>#NAME?</v>
      </c>
      <c r="Y345" s="1446" t="e">
        <f ca="1"/>
        <v>#NAME?</v>
      </c>
      <c r="Z345" s="1408"/>
    </row>
    <row r="346" spans="1:26">
      <c r="A346" s="1487"/>
      <c r="B346" s="1488"/>
      <c r="C346" s="1489"/>
      <c r="D346" s="1490"/>
      <c r="E346" s="1487"/>
      <c r="F346" s="1488"/>
      <c r="G346" s="1489"/>
      <c r="H346" s="1490"/>
      <c r="I346" s="1487"/>
      <c r="J346" s="1488"/>
      <c r="K346" s="1489"/>
      <c r="L346" s="1490"/>
      <c r="M346" s="1487"/>
      <c r="N346" s="1488"/>
      <c r="O346" s="1489"/>
      <c r="P346" s="1490"/>
      <c r="X346" s="1445" t="e">
        <f ca="1"/>
        <v>#NAME?</v>
      </c>
      <c r="Y346" s="1446" t="e">
        <f ca="1"/>
        <v>#NAME?</v>
      </c>
      <c r="Z346" s="1408"/>
    </row>
    <row r="347" spans="1:26">
      <c r="A347" s="1487"/>
      <c r="B347" s="1488"/>
      <c r="C347" s="1489"/>
      <c r="D347" s="1490"/>
      <c r="E347" s="1487"/>
      <c r="F347" s="1488"/>
      <c r="G347" s="1489"/>
      <c r="H347" s="1490"/>
      <c r="I347" s="1487"/>
      <c r="J347" s="1488"/>
      <c r="K347" s="1489"/>
      <c r="L347" s="1490"/>
      <c r="M347" s="1487"/>
      <c r="N347" s="1488"/>
      <c r="O347" s="1489"/>
      <c r="P347" s="1490"/>
      <c r="X347" s="1445" t="e">
        <f ca="1"/>
        <v>#NAME?</v>
      </c>
      <c r="Y347" s="1446" t="e">
        <f ca="1"/>
        <v>#NAME?</v>
      </c>
      <c r="Z347" s="1408"/>
    </row>
    <row r="348" spans="1:26">
      <c r="A348" s="1487"/>
      <c r="B348" s="1488"/>
      <c r="C348" s="1489"/>
      <c r="D348" s="1490"/>
      <c r="E348" s="1487"/>
      <c r="F348" s="1488"/>
      <c r="G348" s="1489"/>
      <c r="H348" s="1490"/>
      <c r="I348" s="1487"/>
      <c r="J348" s="1488"/>
      <c r="K348" s="1489"/>
      <c r="L348" s="1490"/>
      <c r="M348" s="1487"/>
      <c r="N348" s="1488"/>
      <c r="O348" s="1489"/>
      <c r="P348" s="1490"/>
      <c r="X348" s="1445" t="e">
        <f ca="1"/>
        <v>#NAME?</v>
      </c>
      <c r="Y348" s="1446" t="e">
        <f ca="1"/>
        <v>#NAME?</v>
      </c>
      <c r="Z348" s="1408"/>
    </row>
    <row r="349" spans="1:26">
      <c r="A349" s="1487"/>
      <c r="B349" s="1488"/>
      <c r="C349" s="1489"/>
      <c r="D349" s="1490"/>
      <c r="E349" s="1487"/>
      <c r="F349" s="1488"/>
      <c r="G349" s="1489"/>
      <c r="H349" s="1490"/>
      <c r="I349" s="1487"/>
      <c r="J349" s="1488"/>
      <c r="K349" s="1489"/>
      <c r="L349" s="1490"/>
      <c r="M349" s="1487"/>
      <c r="N349" s="1488"/>
      <c r="O349" s="1489"/>
      <c r="P349" s="1490"/>
      <c r="X349" s="1445" t="e">
        <f ca="1"/>
        <v>#NAME?</v>
      </c>
      <c r="Y349" s="1446" t="e">
        <f ca="1"/>
        <v>#NAME?</v>
      </c>
      <c r="Z349" s="1408"/>
    </row>
    <row r="350" spans="1:26">
      <c r="A350" s="1487"/>
      <c r="B350" s="1488"/>
      <c r="C350" s="1489"/>
      <c r="D350" s="1490"/>
      <c r="E350" s="1487"/>
      <c r="F350" s="1488"/>
      <c r="G350" s="1489"/>
      <c r="H350" s="1490"/>
      <c r="I350" s="1487"/>
      <c r="J350" s="1488"/>
      <c r="K350" s="1489"/>
      <c r="L350" s="1490"/>
      <c r="M350" s="1487"/>
      <c r="N350" s="1488"/>
      <c r="O350" s="1489"/>
      <c r="P350" s="1490"/>
      <c r="X350" s="1445" t="e">
        <f ca="1"/>
        <v>#NAME?</v>
      </c>
      <c r="Y350" s="1446" t="e">
        <f ca="1"/>
        <v>#NAME?</v>
      </c>
      <c r="Z350" s="1408"/>
    </row>
    <row r="351" spans="1:26">
      <c r="A351" s="1487"/>
      <c r="B351" s="1488"/>
      <c r="C351" s="1489"/>
      <c r="D351" s="1490"/>
      <c r="E351" s="1487"/>
      <c r="F351" s="1488"/>
      <c r="G351" s="1489"/>
      <c r="H351" s="1490"/>
      <c r="I351" s="1487"/>
      <c r="J351" s="1488"/>
      <c r="K351" s="1489"/>
      <c r="L351" s="1490"/>
      <c r="M351" s="1487"/>
      <c r="N351" s="1488"/>
      <c r="O351" s="1489"/>
      <c r="P351" s="1490"/>
      <c r="X351" s="1445" t="e">
        <f ca="1"/>
        <v>#NAME?</v>
      </c>
      <c r="Y351" s="1446" t="e">
        <f ca="1"/>
        <v>#NAME?</v>
      </c>
      <c r="Z351" s="1408"/>
    </row>
    <row r="352" spans="1:26">
      <c r="A352" s="1487"/>
      <c r="B352" s="1488"/>
      <c r="C352" s="1489"/>
      <c r="D352" s="1490"/>
      <c r="E352" s="1487"/>
      <c r="F352" s="1488"/>
      <c r="G352" s="1489"/>
      <c r="H352" s="1490"/>
      <c r="I352" s="1487"/>
      <c r="J352" s="1488"/>
      <c r="K352" s="1489"/>
      <c r="L352" s="1490"/>
      <c r="M352" s="1487"/>
      <c r="N352" s="1488"/>
      <c r="O352" s="1489"/>
      <c r="P352" s="1490"/>
      <c r="X352" s="1445" t="e">
        <f ca="1"/>
        <v>#NAME?</v>
      </c>
      <c r="Y352" s="1446" t="e">
        <f ca="1"/>
        <v>#NAME?</v>
      </c>
      <c r="Z352" s="1408"/>
    </row>
    <row r="353" spans="1:26">
      <c r="A353" s="1487"/>
      <c r="B353" s="1488"/>
      <c r="C353" s="1489"/>
      <c r="D353" s="1490"/>
      <c r="E353" s="1487"/>
      <c r="F353" s="1488"/>
      <c r="G353" s="1489"/>
      <c r="H353" s="1490"/>
      <c r="I353" s="1487"/>
      <c r="J353" s="1488"/>
      <c r="K353" s="1489"/>
      <c r="L353" s="1490"/>
      <c r="M353" s="1487"/>
      <c r="N353" s="1488"/>
      <c r="O353" s="1489"/>
      <c r="P353" s="1490"/>
      <c r="X353" s="1445" t="e">
        <f ca="1"/>
        <v>#NAME?</v>
      </c>
      <c r="Y353" s="1446" t="e">
        <f ca="1"/>
        <v>#NAME?</v>
      </c>
      <c r="Z353" s="1408"/>
    </row>
    <row r="354" spans="1:26">
      <c r="A354" s="1487"/>
      <c r="B354" s="1488"/>
      <c r="C354" s="1489"/>
      <c r="D354" s="1490"/>
      <c r="E354" s="1487"/>
      <c r="F354" s="1488"/>
      <c r="G354" s="1489"/>
      <c r="H354" s="1490"/>
      <c r="I354" s="1487"/>
      <c r="J354" s="1488"/>
      <c r="K354" s="1489"/>
      <c r="L354" s="1490"/>
      <c r="M354" s="1487"/>
      <c r="N354" s="1488"/>
      <c r="O354" s="1489"/>
      <c r="P354" s="1490"/>
      <c r="X354" s="1445" t="e">
        <f ca="1"/>
        <v>#NAME?</v>
      </c>
      <c r="Y354" s="1446" t="e">
        <f ca="1"/>
        <v>#NAME?</v>
      </c>
      <c r="Z354" s="1408"/>
    </row>
    <row r="355" spans="1:26">
      <c r="A355" s="1487"/>
      <c r="B355" s="1488"/>
      <c r="C355" s="1489"/>
      <c r="D355" s="1490"/>
      <c r="E355" s="1487"/>
      <c r="F355" s="1488"/>
      <c r="G355" s="1489"/>
      <c r="H355" s="1490"/>
      <c r="I355" s="1487"/>
      <c r="J355" s="1488"/>
      <c r="K355" s="1489"/>
      <c r="L355" s="1490"/>
      <c r="M355" s="1487"/>
      <c r="N355" s="1488"/>
      <c r="O355" s="1489"/>
      <c r="P355" s="1490"/>
      <c r="X355" s="1445" t="e">
        <f ca="1"/>
        <v>#NAME?</v>
      </c>
      <c r="Y355" s="1446" t="e">
        <f ca="1"/>
        <v>#NAME?</v>
      </c>
      <c r="Z355" s="1408"/>
    </row>
    <row r="356" spans="1:26">
      <c r="A356" s="1487"/>
      <c r="B356" s="1488"/>
      <c r="C356" s="1489"/>
      <c r="D356" s="1490"/>
      <c r="E356" s="1487"/>
      <c r="F356" s="1488"/>
      <c r="G356" s="1489"/>
      <c r="H356" s="1490"/>
      <c r="I356" s="1487"/>
      <c r="J356" s="1488"/>
      <c r="K356" s="1489"/>
      <c r="L356" s="1490"/>
      <c r="M356" s="1487"/>
      <c r="N356" s="1488"/>
      <c r="O356" s="1489"/>
      <c r="P356" s="1490"/>
      <c r="X356" s="1445" t="e">
        <f ca="1"/>
        <v>#NAME?</v>
      </c>
      <c r="Y356" s="1446" t="e">
        <f ca="1"/>
        <v>#NAME?</v>
      </c>
      <c r="Z356" s="1408"/>
    </row>
    <row r="357" spans="1:26">
      <c r="A357" s="1487"/>
      <c r="B357" s="1488"/>
      <c r="C357" s="1489"/>
      <c r="D357" s="1490"/>
      <c r="E357" s="1487"/>
      <c r="F357" s="1488"/>
      <c r="G357" s="1489"/>
      <c r="H357" s="1490"/>
      <c r="I357" s="1487"/>
      <c r="J357" s="1488"/>
      <c r="K357" s="1489"/>
      <c r="L357" s="1490"/>
      <c r="M357" s="1487"/>
      <c r="N357" s="1488"/>
      <c r="O357" s="1489"/>
      <c r="P357" s="1490"/>
      <c r="X357" s="1445" t="e">
        <f ca="1"/>
        <v>#NAME?</v>
      </c>
      <c r="Y357" s="1446" t="e">
        <f ca="1"/>
        <v>#NAME?</v>
      </c>
      <c r="Z357" s="1408"/>
    </row>
    <row r="358" spans="1:26">
      <c r="A358" s="1487"/>
      <c r="B358" s="1488"/>
      <c r="C358" s="1489"/>
      <c r="D358" s="1490"/>
      <c r="E358" s="1487"/>
      <c r="F358" s="1488"/>
      <c r="G358" s="1489"/>
      <c r="H358" s="1490"/>
      <c r="I358" s="1487"/>
      <c r="J358" s="1488"/>
      <c r="K358" s="1489"/>
      <c r="L358" s="1490"/>
      <c r="M358" s="1487"/>
      <c r="N358" s="1488"/>
      <c r="O358" s="1489"/>
      <c r="P358" s="1490"/>
      <c r="X358" s="1445" t="e">
        <f ca="1"/>
        <v>#NAME?</v>
      </c>
      <c r="Y358" s="1446" t="e">
        <f ca="1"/>
        <v>#NAME?</v>
      </c>
      <c r="Z358" s="1408"/>
    </row>
    <row r="359" spans="1:26">
      <c r="A359" s="1487"/>
      <c r="B359" s="1488"/>
      <c r="C359" s="1489"/>
      <c r="D359" s="1490"/>
      <c r="E359" s="1487"/>
      <c r="F359" s="1488"/>
      <c r="G359" s="1489"/>
      <c r="H359" s="1490"/>
      <c r="I359" s="1487"/>
      <c r="J359" s="1488"/>
      <c r="K359" s="1489"/>
      <c r="L359" s="1490"/>
      <c r="M359" s="1487"/>
      <c r="N359" s="1488"/>
      <c r="O359" s="1489"/>
      <c r="P359" s="1490"/>
      <c r="X359" s="1445" t="e">
        <f ca="1"/>
        <v>#NAME?</v>
      </c>
      <c r="Y359" s="1446" t="e">
        <f ca="1"/>
        <v>#NAME?</v>
      </c>
      <c r="Z359" s="1408"/>
    </row>
    <row r="360" spans="1:26">
      <c r="A360" s="1487"/>
      <c r="B360" s="1488"/>
      <c r="C360" s="1489"/>
      <c r="D360" s="1490"/>
      <c r="E360" s="1487"/>
      <c r="F360" s="1488"/>
      <c r="G360" s="1489"/>
      <c r="H360" s="1490"/>
      <c r="I360" s="1487"/>
      <c r="J360" s="1488"/>
      <c r="K360" s="1489"/>
      <c r="L360" s="1490"/>
      <c r="M360" s="1487"/>
      <c r="N360" s="1488"/>
      <c r="O360" s="1489"/>
      <c r="P360" s="1490"/>
      <c r="X360" s="1445" t="e">
        <f ca="1"/>
        <v>#NAME?</v>
      </c>
      <c r="Y360" s="1446" t="e">
        <f ca="1"/>
        <v>#NAME?</v>
      </c>
      <c r="Z360" s="1408"/>
    </row>
    <row r="361" spans="1:26">
      <c r="A361" s="1487"/>
      <c r="B361" s="1488"/>
      <c r="C361" s="1489"/>
      <c r="D361" s="1490"/>
      <c r="E361" s="1487"/>
      <c r="F361" s="1488"/>
      <c r="G361" s="1489"/>
      <c r="H361" s="1490"/>
      <c r="I361" s="1487"/>
      <c r="J361" s="1488"/>
      <c r="K361" s="1489"/>
      <c r="L361" s="1490"/>
      <c r="M361" s="1487"/>
      <c r="N361" s="1488"/>
      <c r="O361" s="1489"/>
      <c r="P361" s="1490"/>
      <c r="X361" s="1445" t="e">
        <f ca="1"/>
        <v>#NAME?</v>
      </c>
      <c r="Y361" s="1446" t="e">
        <f ca="1"/>
        <v>#NAME?</v>
      </c>
      <c r="Z361" s="1408"/>
    </row>
    <row r="362" spans="1:26">
      <c r="A362" s="1487"/>
      <c r="B362" s="1488"/>
      <c r="C362" s="1489"/>
      <c r="D362" s="1490"/>
      <c r="E362" s="1487"/>
      <c r="F362" s="1488"/>
      <c r="G362" s="1489"/>
      <c r="H362" s="1490"/>
      <c r="I362" s="1487"/>
      <c r="J362" s="1488"/>
      <c r="K362" s="1489"/>
      <c r="L362" s="1490"/>
      <c r="M362" s="1487"/>
      <c r="N362" s="1488"/>
      <c r="O362" s="1489"/>
      <c r="P362" s="1490"/>
      <c r="X362" s="1445" t="e">
        <f ca="1"/>
        <v>#NAME?</v>
      </c>
      <c r="Y362" s="1446" t="e">
        <f ca="1"/>
        <v>#NAME?</v>
      </c>
      <c r="Z362" s="1408"/>
    </row>
    <row r="363" spans="1:26">
      <c r="A363" s="1487"/>
      <c r="B363" s="1488"/>
      <c r="C363" s="1489"/>
      <c r="D363" s="1490"/>
      <c r="E363" s="1487"/>
      <c r="F363" s="1488"/>
      <c r="G363" s="1489"/>
      <c r="H363" s="1490"/>
      <c r="I363" s="1487"/>
      <c r="J363" s="1488"/>
      <c r="K363" s="1489"/>
      <c r="L363" s="1490"/>
      <c r="M363" s="1487"/>
      <c r="N363" s="1488"/>
      <c r="O363" s="1489"/>
      <c r="P363" s="1490"/>
      <c r="X363" s="1445" t="e">
        <f ca="1"/>
        <v>#NAME?</v>
      </c>
      <c r="Y363" s="1446" t="e">
        <f ca="1"/>
        <v>#NAME?</v>
      </c>
      <c r="Z363" s="1408"/>
    </row>
    <row r="364" spans="1:26">
      <c r="A364" s="1487"/>
      <c r="B364" s="1488"/>
      <c r="C364" s="1489"/>
      <c r="D364" s="1490"/>
      <c r="E364" s="1487"/>
      <c r="F364" s="1488"/>
      <c r="G364" s="1489"/>
      <c r="H364" s="1490"/>
      <c r="I364" s="1487"/>
      <c r="J364" s="1488"/>
      <c r="K364" s="1489"/>
      <c r="L364" s="1490"/>
      <c r="M364" s="1487"/>
      <c r="N364" s="1488"/>
      <c r="O364" s="1489"/>
      <c r="P364" s="1490"/>
      <c r="X364" s="1445" t="e">
        <f ca="1"/>
        <v>#NAME?</v>
      </c>
      <c r="Y364" s="1446" t="e">
        <f ca="1"/>
        <v>#NAME?</v>
      </c>
      <c r="Z364" s="1408"/>
    </row>
    <row r="365" spans="1:26">
      <c r="A365" s="1487"/>
      <c r="B365" s="1488"/>
      <c r="C365" s="1489"/>
      <c r="D365" s="1490"/>
      <c r="E365" s="1487"/>
      <c r="F365" s="1488"/>
      <c r="G365" s="1489"/>
      <c r="H365" s="1490"/>
      <c r="I365" s="1487"/>
      <c r="J365" s="1488"/>
      <c r="K365" s="1489"/>
      <c r="L365" s="1490"/>
      <c r="M365" s="1487"/>
      <c r="N365" s="1488"/>
      <c r="O365" s="1489"/>
      <c r="P365" s="1490"/>
      <c r="X365" s="1445" t="e">
        <f ca="1"/>
        <v>#NAME?</v>
      </c>
      <c r="Y365" s="1446" t="e">
        <f ca="1"/>
        <v>#NAME?</v>
      </c>
      <c r="Z365" s="1408"/>
    </row>
    <row r="366" spans="1:26">
      <c r="A366" s="1487"/>
      <c r="B366" s="1488"/>
      <c r="C366" s="1489"/>
      <c r="D366" s="1490"/>
      <c r="E366" s="1487"/>
      <c r="F366" s="1488"/>
      <c r="G366" s="1489"/>
      <c r="H366" s="1490"/>
      <c r="I366" s="1487"/>
      <c r="J366" s="1488"/>
      <c r="K366" s="1489"/>
      <c r="L366" s="1490"/>
      <c r="M366" s="1487"/>
      <c r="N366" s="1488"/>
      <c r="O366" s="1489"/>
      <c r="P366" s="1490"/>
      <c r="X366" s="1445" t="e">
        <f ca="1"/>
        <v>#NAME?</v>
      </c>
      <c r="Y366" s="1446" t="e">
        <f ca="1"/>
        <v>#NAME?</v>
      </c>
      <c r="Z366" s="1408"/>
    </row>
    <row r="367" spans="1:26">
      <c r="A367" s="1487"/>
      <c r="B367" s="1488"/>
      <c r="C367" s="1489"/>
      <c r="D367" s="1490"/>
      <c r="E367" s="1487"/>
      <c r="F367" s="1488"/>
      <c r="G367" s="1489"/>
      <c r="H367" s="1490"/>
      <c r="I367" s="1487"/>
      <c r="J367" s="1488"/>
      <c r="K367" s="1489"/>
      <c r="L367" s="1490"/>
      <c r="M367" s="1487"/>
      <c r="N367" s="1488"/>
      <c r="O367" s="1489"/>
      <c r="P367" s="1490"/>
      <c r="X367" s="1445" t="e">
        <f ca="1"/>
        <v>#NAME?</v>
      </c>
      <c r="Y367" s="1446" t="e">
        <f ca="1"/>
        <v>#NAME?</v>
      </c>
      <c r="Z367" s="1408"/>
    </row>
    <row r="368" spans="1:26">
      <c r="A368" s="1487"/>
      <c r="B368" s="1488"/>
      <c r="C368" s="1489"/>
      <c r="D368" s="1490"/>
      <c r="E368" s="1487"/>
      <c r="F368" s="1488"/>
      <c r="G368" s="1489"/>
      <c r="H368" s="1490"/>
      <c r="I368" s="1487"/>
      <c r="J368" s="1488"/>
      <c r="K368" s="1489"/>
      <c r="L368" s="1490"/>
      <c r="M368" s="1487"/>
      <c r="N368" s="1488"/>
      <c r="O368" s="1489"/>
      <c r="P368" s="1490"/>
      <c r="X368" s="1445" t="e">
        <f ca="1"/>
        <v>#NAME?</v>
      </c>
      <c r="Y368" s="1446" t="e">
        <f ca="1"/>
        <v>#NAME?</v>
      </c>
      <c r="Z368" s="1408"/>
    </row>
    <row r="369" spans="1:26">
      <c r="A369" s="1487"/>
      <c r="B369" s="1488"/>
      <c r="C369" s="1489"/>
      <c r="D369" s="1490"/>
      <c r="E369" s="1487"/>
      <c r="F369" s="1488"/>
      <c r="G369" s="1489"/>
      <c r="H369" s="1490"/>
      <c r="I369" s="1487"/>
      <c r="J369" s="1488"/>
      <c r="K369" s="1489"/>
      <c r="L369" s="1490"/>
      <c r="M369" s="1487"/>
      <c r="N369" s="1488"/>
      <c r="O369" s="1489"/>
      <c r="P369" s="1490"/>
      <c r="X369" s="1445" t="e">
        <f ca="1"/>
        <v>#NAME?</v>
      </c>
      <c r="Y369" s="1446" t="e">
        <f ca="1"/>
        <v>#NAME?</v>
      </c>
      <c r="Z369" s="1408"/>
    </row>
    <row r="370" spans="1:26">
      <c r="A370" s="1487"/>
      <c r="B370" s="1488"/>
      <c r="C370" s="1489"/>
      <c r="D370" s="1490"/>
      <c r="E370" s="1487"/>
      <c r="F370" s="1488"/>
      <c r="G370" s="1489"/>
      <c r="H370" s="1490"/>
      <c r="I370" s="1487"/>
      <c r="J370" s="1488"/>
      <c r="K370" s="1489"/>
      <c r="L370" s="1490"/>
      <c r="M370" s="1487"/>
      <c r="N370" s="1488"/>
      <c r="O370" s="1489"/>
      <c r="P370" s="1490"/>
      <c r="X370" s="1445" t="e">
        <f ca="1"/>
        <v>#NAME?</v>
      </c>
      <c r="Y370" s="1446" t="e">
        <f ca="1"/>
        <v>#NAME?</v>
      </c>
      <c r="Z370" s="1408"/>
    </row>
    <row r="371" spans="1:26">
      <c r="A371" s="1487"/>
      <c r="B371" s="1488"/>
      <c r="C371" s="1489"/>
      <c r="D371" s="1490"/>
      <c r="E371" s="1487"/>
      <c r="F371" s="1488"/>
      <c r="G371" s="1489"/>
      <c r="H371" s="1490"/>
      <c r="I371" s="1487"/>
      <c r="J371" s="1488"/>
      <c r="K371" s="1489"/>
      <c r="L371" s="1490"/>
      <c r="M371" s="1487"/>
      <c r="N371" s="1488"/>
      <c r="O371" s="1489"/>
      <c r="P371" s="1490"/>
      <c r="X371" s="1445" t="e">
        <f ca="1"/>
        <v>#NAME?</v>
      </c>
      <c r="Y371" s="1446" t="e">
        <f ca="1"/>
        <v>#NAME?</v>
      </c>
      <c r="Z371" s="1408"/>
    </row>
    <row r="372" spans="1:26">
      <c r="A372" s="1487"/>
      <c r="B372" s="1488"/>
      <c r="C372" s="1489"/>
      <c r="D372" s="1490"/>
      <c r="E372" s="1487"/>
      <c r="F372" s="1488"/>
      <c r="G372" s="1489"/>
      <c r="H372" s="1490"/>
      <c r="I372" s="1487"/>
      <c r="J372" s="1488"/>
      <c r="K372" s="1489"/>
      <c r="L372" s="1490"/>
      <c r="M372" s="1487"/>
      <c r="N372" s="1488"/>
      <c r="O372" s="1489"/>
      <c r="P372" s="1490"/>
      <c r="X372" s="1445" t="e">
        <f ca="1"/>
        <v>#NAME?</v>
      </c>
      <c r="Y372" s="1446" t="e">
        <f ca="1"/>
        <v>#NAME?</v>
      </c>
      <c r="Z372" s="1408"/>
    </row>
    <row r="373" spans="1:26">
      <c r="A373" s="1487"/>
      <c r="B373" s="1488"/>
      <c r="C373" s="1489"/>
      <c r="D373" s="1490"/>
      <c r="E373" s="1487"/>
      <c r="F373" s="1488"/>
      <c r="G373" s="1489"/>
      <c r="H373" s="1490"/>
      <c r="I373" s="1487"/>
      <c r="J373" s="1488"/>
      <c r="K373" s="1489"/>
      <c r="L373" s="1490"/>
      <c r="M373" s="1487"/>
      <c r="N373" s="1488"/>
      <c r="O373" s="1489"/>
      <c r="P373" s="1490"/>
      <c r="X373" s="1445" t="e">
        <f ca="1"/>
        <v>#NAME?</v>
      </c>
      <c r="Y373" s="1446" t="e">
        <f ca="1"/>
        <v>#NAME?</v>
      </c>
      <c r="Z373" s="1408"/>
    </row>
    <row r="374" spans="1:26">
      <c r="A374" s="1487"/>
      <c r="B374" s="1488"/>
      <c r="C374" s="1489"/>
      <c r="D374" s="1490"/>
      <c r="E374" s="1487"/>
      <c r="F374" s="1488"/>
      <c r="G374" s="1489"/>
      <c r="H374" s="1490"/>
      <c r="I374" s="1487"/>
      <c r="J374" s="1488"/>
      <c r="K374" s="1489"/>
      <c r="L374" s="1490"/>
      <c r="M374" s="1487"/>
      <c r="N374" s="1488"/>
      <c r="O374" s="1489"/>
      <c r="P374" s="1490"/>
      <c r="X374" s="1445" t="e">
        <f ca="1"/>
        <v>#NAME?</v>
      </c>
      <c r="Y374" s="1446" t="e">
        <f ca="1"/>
        <v>#NAME?</v>
      </c>
      <c r="Z374" s="1408"/>
    </row>
    <row r="375" spans="1:26">
      <c r="A375" s="1487"/>
      <c r="B375" s="1488"/>
      <c r="C375" s="1489"/>
      <c r="D375" s="1490"/>
      <c r="E375" s="1487"/>
      <c r="F375" s="1488"/>
      <c r="G375" s="1489"/>
      <c r="H375" s="1490"/>
      <c r="I375" s="1487"/>
      <c r="J375" s="1488"/>
      <c r="K375" s="1489"/>
      <c r="L375" s="1490"/>
      <c r="M375" s="1487"/>
      <c r="N375" s="1488"/>
      <c r="O375" s="1489"/>
      <c r="P375" s="1490"/>
      <c r="X375" s="1445" t="e">
        <f ca="1"/>
        <v>#NAME?</v>
      </c>
      <c r="Y375" s="1446" t="e">
        <f ca="1"/>
        <v>#NAME?</v>
      </c>
      <c r="Z375" s="1408"/>
    </row>
    <row r="376" spans="1:26">
      <c r="A376" s="1487"/>
      <c r="B376" s="1488"/>
      <c r="C376" s="1489"/>
      <c r="D376" s="1490"/>
      <c r="E376" s="1487"/>
      <c r="F376" s="1488"/>
      <c r="G376" s="1489"/>
      <c r="H376" s="1490"/>
      <c r="I376" s="1487"/>
      <c r="J376" s="1488"/>
      <c r="K376" s="1489"/>
      <c r="L376" s="1490"/>
      <c r="M376" s="1487"/>
      <c r="N376" s="1488"/>
      <c r="O376" s="1489"/>
      <c r="P376" s="1490"/>
      <c r="X376" s="1445" t="e">
        <f ca="1"/>
        <v>#NAME?</v>
      </c>
      <c r="Y376" s="1446" t="e">
        <f ca="1"/>
        <v>#NAME?</v>
      </c>
      <c r="Z376" s="1408"/>
    </row>
    <row r="377" spans="1:26">
      <c r="A377" s="1487"/>
      <c r="B377" s="1488"/>
      <c r="C377" s="1489"/>
      <c r="D377" s="1490"/>
      <c r="E377" s="1487"/>
      <c r="F377" s="1488"/>
      <c r="G377" s="1489"/>
      <c r="H377" s="1490"/>
      <c r="I377" s="1487"/>
      <c r="J377" s="1488"/>
      <c r="K377" s="1489"/>
      <c r="L377" s="1490"/>
      <c r="M377" s="1487"/>
      <c r="N377" s="1488"/>
      <c r="O377" s="1489"/>
      <c r="P377" s="1490"/>
      <c r="X377" s="1445" t="e">
        <f ca="1"/>
        <v>#NAME?</v>
      </c>
      <c r="Y377" s="1446" t="e">
        <f ca="1"/>
        <v>#NAME?</v>
      </c>
      <c r="Z377" s="1408"/>
    </row>
    <row r="378" spans="1:26">
      <c r="A378" s="1487"/>
      <c r="B378" s="1488"/>
      <c r="C378" s="1489"/>
      <c r="D378" s="1490"/>
      <c r="E378" s="1487"/>
      <c r="F378" s="1488"/>
      <c r="G378" s="1489"/>
      <c r="H378" s="1490"/>
      <c r="I378" s="1487"/>
      <c r="J378" s="1488"/>
      <c r="K378" s="1489"/>
      <c r="L378" s="1490"/>
      <c r="M378" s="1487"/>
      <c r="N378" s="1488"/>
      <c r="O378" s="1489"/>
      <c r="P378" s="1490"/>
      <c r="X378" s="1445" t="e">
        <f ca="1"/>
        <v>#NAME?</v>
      </c>
      <c r="Y378" s="1446" t="e">
        <f ca="1"/>
        <v>#NAME?</v>
      </c>
      <c r="Z378" s="1408"/>
    </row>
    <row r="379" spans="1:26">
      <c r="A379" s="1487"/>
      <c r="B379" s="1488"/>
      <c r="C379" s="1489"/>
      <c r="D379" s="1490"/>
      <c r="E379" s="1487"/>
      <c r="F379" s="1488"/>
      <c r="G379" s="1489"/>
      <c r="H379" s="1490"/>
      <c r="I379" s="1487"/>
      <c r="J379" s="1488"/>
      <c r="K379" s="1489"/>
      <c r="L379" s="1490"/>
      <c r="M379" s="1487"/>
      <c r="N379" s="1488"/>
      <c r="O379" s="1489"/>
      <c r="P379" s="1490"/>
      <c r="X379" s="1445" t="e">
        <f ca="1"/>
        <v>#NAME?</v>
      </c>
      <c r="Y379" s="1446" t="e">
        <f ca="1"/>
        <v>#NAME?</v>
      </c>
      <c r="Z379" s="1408"/>
    </row>
    <row r="380" spans="1:26">
      <c r="A380" s="1487"/>
      <c r="B380" s="1488"/>
      <c r="C380" s="1489"/>
      <c r="D380" s="1490"/>
      <c r="E380" s="1487"/>
      <c r="F380" s="1488"/>
      <c r="G380" s="1489"/>
      <c r="H380" s="1490"/>
      <c r="I380" s="1487"/>
      <c r="J380" s="1488"/>
      <c r="K380" s="1489"/>
      <c r="L380" s="1490"/>
      <c r="M380" s="1487"/>
      <c r="N380" s="1488"/>
      <c r="O380" s="1489"/>
      <c r="P380" s="1490"/>
      <c r="X380" s="1445" t="e">
        <f ca="1"/>
        <v>#NAME?</v>
      </c>
      <c r="Y380" s="1446" t="e">
        <f ca="1"/>
        <v>#NAME?</v>
      </c>
      <c r="Z380" s="1408"/>
    </row>
    <row r="381" spans="1:26">
      <c r="A381" s="1487"/>
      <c r="B381" s="1488"/>
      <c r="C381" s="1489"/>
      <c r="D381" s="1490"/>
      <c r="E381" s="1487"/>
      <c r="F381" s="1488"/>
      <c r="G381" s="1489"/>
      <c r="H381" s="1490"/>
      <c r="I381" s="1487"/>
      <c r="J381" s="1488"/>
      <c r="K381" s="1489"/>
      <c r="L381" s="1490"/>
      <c r="M381" s="1487"/>
      <c r="N381" s="1488"/>
      <c r="O381" s="1489"/>
      <c r="P381" s="1490"/>
      <c r="X381" s="1445" t="e">
        <f ca="1"/>
        <v>#NAME?</v>
      </c>
      <c r="Y381" s="1446" t="e">
        <f ca="1"/>
        <v>#NAME?</v>
      </c>
      <c r="Z381" s="1408"/>
    </row>
    <row r="382" spans="1:26">
      <c r="A382" s="1487"/>
      <c r="B382" s="1488"/>
      <c r="C382" s="1489"/>
      <c r="D382" s="1490"/>
      <c r="E382" s="1487"/>
      <c r="F382" s="1488"/>
      <c r="G382" s="1489"/>
      <c r="H382" s="1490"/>
      <c r="I382" s="1487"/>
      <c r="J382" s="1488"/>
      <c r="K382" s="1489"/>
      <c r="L382" s="1490"/>
      <c r="M382" s="1487"/>
      <c r="N382" s="1488"/>
      <c r="O382" s="1489"/>
      <c r="P382" s="1490"/>
      <c r="X382" s="1445" t="e">
        <f ca="1"/>
        <v>#NAME?</v>
      </c>
      <c r="Y382" s="1446" t="e">
        <f ca="1"/>
        <v>#NAME?</v>
      </c>
      <c r="Z382" s="1408"/>
    </row>
    <row r="383" spans="1:26">
      <c r="A383" s="1487"/>
      <c r="B383" s="1488"/>
      <c r="C383" s="1489"/>
      <c r="D383" s="1490"/>
      <c r="E383" s="1487"/>
      <c r="F383" s="1488"/>
      <c r="G383" s="1489"/>
      <c r="H383" s="1490"/>
      <c r="I383" s="1487"/>
      <c r="J383" s="1488"/>
      <c r="K383" s="1489"/>
      <c r="L383" s="1490"/>
      <c r="M383" s="1487"/>
      <c r="N383" s="1488"/>
      <c r="O383" s="1489"/>
      <c r="P383" s="1490"/>
      <c r="X383" s="1445" t="e">
        <f ca="1"/>
        <v>#NAME?</v>
      </c>
      <c r="Y383" s="1446" t="e">
        <f ca="1"/>
        <v>#NAME?</v>
      </c>
      <c r="Z383" s="1408"/>
    </row>
    <row r="384" spans="1:26">
      <c r="A384" s="1487"/>
      <c r="B384" s="1488"/>
      <c r="C384" s="1489"/>
      <c r="D384" s="1490"/>
      <c r="E384" s="1487"/>
      <c r="F384" s="1488"/>
      <c r="G384" s="1489"/>
      <c r="H384" s="1490"/>
      <c r="I384" s="1487"/>
      <c r="J384" s="1488"/>
      <c r="K384" s="1489"/>
      <c r="L384" s="1490"/>
      <c r="M384" s="1487"/>
      <c r="N384" s="1488"/>
      <c r="O384" s="1489"/>
      <c r="P384" s="1490"/>
      <c r="X384" s="1445" t="e">
        <f ca="1"/>
        <v>#NAME?</v>
      </c>
      <c r="Y384" s="1446" t="e">
        <f ca="1"/>
        <v>#NAME?</v>
      </c>
      <c r="Z384" s="1408"/>
    </row>
    <row r="385" spans="1:26">
      <c r="A385" s="1487"/>
      <c r="B385" s="1488"/>
      <c r="C385" s="1489"/>
      <c r="D385" s="1490"/>
      <c r="E385" s="1487"/>
      <c r="F385" s="1488"/>
      <c r="G385" s="1489"/>
      <c r="H385" s="1490"/>
      <c r="I385" s="1487"/>
      <c r="J385" s="1488"/>
      <c r="K385" s="1489"/>
      <c r="L385" s="1490"/>
      <c r="M385" s="1487"/>
      <c r="N385" s="1488"/>
      <c r="O385" s="1489"/>
      <c r="P385" s="1490"/>
      <c r="X385" s="1445" t="e">
        <f ca="1"/>
        <v>#NAME?</v>
      </c>
      <c r="Y385" s="1446" t="e">
        <f ca="1"/>
        <v>#NAME?</v>
      </c>
      <c r="Z385" s="1408"/>
    </row>
    <row r="386" spans="1:26">
      <c r="A386" s="1487"/>
      <c r="B386" s="1488"/>
      <c r="C386" s="1489"/>
      <c r="D386" s="1490"/>
      <c r="E386" s="1487"/>
      <c r="F386" s="1488"/>
      <c r="G386" s="1489"/>
      <c r="H386" s="1490"/>
      <c r="I386" s="1487"/>
      <c r="J386" s="1488"/>
      <c r="K386" s="1489"/>
      <c r="L386" s="1490"/>
      <c r="M386" s="1487"/>
      <c r="N386" s="1488"/>
      <c r="O386" s="1489"/>
      <c r="P386" s="1490"/>
      <c r="X386" s="1445" t="e">
        <f ca="1"/>
        <v>#NAME?</v>
      </c>
      <c r="Y386" s="1446" t="e">
        <f ca="1"/>
        <v>#NAME?</v>
      </c>
      <c r="Z386" s="1408"/>
    </row>
    <row r="387" spans="1:26">
      <c r="A387" s="1487"/>
      <c r="B387" s="1488"/>
      <c r="C387" s="1489"/>
      <c r="D387" s="1490"/>
      <c r="E387" s="1487"/>
      <c r="F387" s="1488"/>
      <c r="G387" s="1489"/>
      <c r="H387" s="1490"/>
      <c r="I387" s="1487"/>
      <c r="J387" s="1488"/>
      <c r="K387" s="1489"/>
      <c r="L387" s="1490"/>
      <c r="M387" s="1487"/>
      <c r="N387" s="1488"/>
      <c r="O387" s="1489"/>
      <c r="P387" s="1490"/>
      <c r="X387" s="1445" t="e">
        <f ca="1"/>
        <v>#NAME?</v>
      </c>
      <c r="Y387" s="1446" t="e">
        <f ca="1"/>
        <v>#NAME?</v>
      </c>
      <c r="Z387" s="1408"/>
    </row>
    <row r="388" spans="1:26">
      <c r="A388" s="1487"/>
      <c r="B388" s="1488"/>
      <c r="C388" s="1489"/>
      <c r="D388" s="1490"/>
      <c r="E388" s="1487"/>
      <c r="F388" s="1488"/>
      <c r="G388" s="1489"/>
      <c r="H388" s="1490"/>
      <c r="I388" s="1487"/>
      <c r="J388" s="1488"/>
      <c r="K388" s="1489"/>
      <c r="L388" s="1490"/>
      <c r="M388" s="1487"/>
      <c r="N388" s="1488"/>
      <c r="O388" s="1489"/>
      <c r="P388" s="1490"/>
      <c r="X388" s="1445" t="e">
        <f ca="1"/>
        <v>#NAME?</v>
      </c>
      <c r="Y388" s="1446" t="e">
        <f ca="1"/>
        <v>#NAME?</v>
      </c>
      <c r="Z388" s="1408"/>
    </row>
    <row r="389" spans="1:26">
      <c r="A389" s="1487"/>
      <c r="B389" s="1488"/>
      <c r="C389" s="1489"/>
      <c r="D389" s="1490"/>
      <c r="E389" s="1487"/>
      <c r="F389" s="1488"/>
      <c r="G389" s="1489"/>
      <c r="H389" s="1490"/>
      <c r="I389" s="1487"/>
      <c r="J389" s="1488"/>
      <c r="K389" s="1489"/>
      <c r="L389" s="1490"/>
      <c r="M389" s="1487"/>
      <c r="N389" s="1488"/>
      <c r="O389" s="1489"/>
      <c r="P389" s="1490"/>
      <c r="X389" s="1445" t="e">
        <f ca="1"/>
        <v>#NAME?</v>
      </c>
      <c r="Y389" s="1446" t="e">
        <f ca="1"/>
        <v>#NAME?</v>
      </c>
      <c r="Z389" s="1408"/>
    </row>
    <row r="390" spans="1:26">
      <c r="A390" s="1487"/>
      <c r="B390" s="1488"/>
      <c r="C390" s="1489"/>
      <c r="D390" s="1490"/>
      <c r="E390" s="1487"/>
      <c r="F390" s="1488"/>
      <c r="G390" s="1489"/>
      <c r="H390" s="1490"/>
      <c r="I390" s="1487"/>
      <c r="J390" s="1488"/>
      <c r="K390" s="1489"/>
      <c r="L390" s="1490"/>
      <c r="M390" s="1487"/>
      <c r="N390" s="1488"/>
      <c r="O390" s="1489"/>
      <c r="P390" s="1490"/>
      <c r="X390" s="1445" t="e">
        <f ca="1"/>
        <v>#NAME?</v>
      </c>
      <c r="Y390" s="1446" t="e">
        <f ca="1"/>
        <v>#NAME?</v>
      </c>
      <c r="Z390" s="1408"/>
    </row>
    <row r="391" spans="1:26">
      <c r="A391" s="1487"/>
      <c r="B391" s="1488"/>
      <c r="C391" s="1489"/>
      <c r="D391" s="1490"/>
      <c r="E391" s="1487"/>
      <c r="F391" s="1488"/>
      <c r="G391" s="1489"/>
      <c r="H391" s="1490"/>
      <c r="I391" s="1487"/>
      <c r="J391" s="1488"/>
      <c r="K391" s="1489"/>
      <c r="L391" s="1490"/>
      <c r="M391" s="1487"/>
      <c r="N391" s="1488"/>
      <c r="O391" s="1489"/>
      <c r="P391" s="1490"/>
      <c r="X391" s="1445" t="e">
        <f ca="1"/>
        <v>#NAME?</v>
      </c>
      <c r="Y391" s="1446" t="e">
        <f ca="1"/>
        <v>#NAME?</v>
      </c>
      <c r="Z391" s="1408"/>
    </row>
    <row r="392" spans="1:26">
      <c r="A392" s="1487"/>
      <c r="B392" s="1488"/>
      <c r="C392" s="1489"/>
      <c r="D392" s="1490"/>
      <c r="E392" s="1487"/>
      <c r="F392" s="1488"/>
      <c r="G392" s="1489"/>
      <c r="H392" s="1490"/>
      <c r="I392" s="1487"/>
      <c r="J392" s="1488"/>
      <c r="K392" s="1489"/>
      <c r="L392" s="1490"/>
      <c r="M392" s="1487"/>
      <c r="N392" s="1488"/>
      <c r="O392" s="1489"/>
      <c r="P392" s="1490"/>
      <c r="X392" s="1445" t="e">
        <f ca="1"/>
        <v>#NAME?</v>
      </c>
      <c r="Y392" s="1446" t="e">
        <f ca="1"/>
        <v>#NAME?</v>
      </c>
      <c r="Z392" s="1408"/>
    </row>
    <row r="393" spans="1:26">
      <c r="A393" s="1487"/>
      <c r="B393" s="1488"/>
      <c r="C393" s="1489"/>
      <c r="D393" s="1490"/>
      <c r="E393" s="1487"/>
      <c r="F393" s="1488"/>
      <c r="G393" s="1489"/>
      <c r="H393" s="1490"/>
      <c r="I393" s="1487"/>
      <c r="J393" s="1488"/>
      <c r="K393" s="1489"/>
      <c r="L393" s="1490"/>
      <c r="M393" s="1487"/>
      <c r="N393" s="1488"/>
      <c r="O393" s="1489"/>
      <c r="P393" s="1490"/>
      <c r="X393" s="1445" t="e">
        <f ca="1"/>
        <v>#NAME?</v>
      </c>
      <c r="Y393" s="1446" t="e">
        <f ca="1"/>
        <v>#NAME?</v>
      </c>
      <c r="Z393" s="1408"/>
    </row>
    <row r="394" spans="1:26">
      <c r="A394" s="1487"/>
      <c r="B394" s="1488"/>
      <c r="C394" s="1489"/>
      <c r="D394" s="1490"/>
      <c r="E394" s="1487"/>
      <c r="F394" s="1488"/>
      <c r="G394" s="1489"/>
      <c r="H394" s="1490"/>
      <c r="I394" s="1487"/>
      <c r="J394" s="1488"/>
      <c r="K394" s="1489"/>
      <c r="L394" s="1490"/>
      <c r="M394" s="1487"/>
      <c r="N394" s="1488"/>
      <c r="O394" s="1489"/>
      <c r="P394" s="1490"/>
      <c r="X394" s="1445" t="e">
        <f ca="1"/>
        <v>#NAME?</v>
      </c>
      <c r="Y394" s="1446" t="e">
        <f ca="1"/>
        <v>#NAME?</v>
      </c>
      <c r="Z394" s="1408"/>
    </row>
    <row r="395" spans="1:26">
      <c r="A395" s="1487"/>
      <c r="B395" s="1488"/>
      <c r="C395" s="1489"/>
      <c r="D395" s="1490"/>
      <c r="E395" s="1487"/>
      <c r="F395" s="1488"/>
      <c r="G395" s="1489"/>
      <c r="H395" s="1490"/>
      <c r="I395" s="1487"/>
      <c r="J395" s="1488"/>
      <c r="K395" s="1489"/>
      <c r="L395" s="1490"/>
      <c r="M395" s="1487"/>
      <c r="N395" s="1488"/>
      <c r="O395" s="1489"/>
      <c r="P395" s="1490"/>
      <c r="X395" s="1445" t="e">
        <f ca="1"/>
        <v>#NAME?</v>
      </c>
      <c r="Y395" s="1446" t="e">
        <f ca="1"/>
        <v>#NAME?</v>
      </c>
      <c r="Z395" s="1408"/>
    </row>
    <row r="396" spans="1:26">
      <c r="A396" s="1487"/>
      <c r="B396" s="1488"/>
      <c r="C396" s="1489"/>
      <c r="D396" s="1490"/>
      <c r="E396" s="1487"/>
      <c r="F396" s="1488"/>
      <c r="G396" s="1489"/>
      <c r="H396" s="1490"/>
      <c r="I396" s="1487"/>
      <c r="J396" s="1488"/>
      <c r="K396" s="1489"/>
      <c r="L396" s="1490"/>
      <c r="M396" s="1487"/>
      <c r="N396" s="1488"/>
      <c r="O396" s="1489"/>
      <c r="P396" s="1490"/>
      <c r="X396" s="1445" t="e">
        <f ca="1"/>
        <v>#NAME?</v>
      </c>
      <c r="Y396" s="1446" t="e">
        <f ca="1"/>
        <v>#NAME?</v>
      </c>
      <c r="Z396" s="1408"/>
    </row>
    <row r="397" spans="1:26">
      <c r="A397" s="1487"/>
      <c r="B397" s="1488"/>
      <c r="C397" s="1489"/>
      <c r="D397" s="1490"/>
      <c r="E397" s="1487"/>
      <c r="F397" s="1488"/>
      <c r="G397" s="1489"/>
      <c r="H397" s="1490"/>
      <c r="I397" s="1487"/>
      <c r="J397" s="1488"/>
      <c r="K397" s="1489"/>
      <c r="L397" s="1490"/>
      <c r="M397" s="1487"/>
      <c r="N397" s="1488"/>
      <c r="O397" s="1489"/>
      <c r="P397" s="1490"/>
      <c r="X397" s="1445" t="e">
        <f ca="1"/>
        <v>#NAME?</v>
      </c>
      <c r="Y397" s="1446" t="e">
        <f ca="1"/>
        <v>#NAME?</v>
      </c>
      <c r="Z397" s="1408"/>
    </row>
    <row r="398" spans="1:26">
      <c r="A398" s="1487"/>
      <c r="B398" s="1488"/>
      <c r="C398" s="1489"/>
      <c r="D398" s="1490"/>
      <c r="E398" s="1487"/>
      <c r="F398" s="1488"/>
      <c r="G398" s="1489"/>
      <c r="H398" s="1490"/>
      <c r="I398" s="1487"/>
      <c r="J398" s="1488"/>
      <c r="K398" s="1489"/>
      <c r="L398" s="1490"/>
      <c r="M398" s="1487"/>
      <c r="N398" s="1488"/>
      <c r="O398" s="1489"/>
      <c r="P398" s="1490"/>
      <c r="X398" s="1445" t="e">
        <f ca="1"/>
        <v>#NAME?</v>
      </c>
      <c r="Y398" s="1446" t="e">
        <f ca="1"/>
        <v>#NAME?</v>
      </c>
      <c r="Z398" s="1408"/>
    </row>
    <row r="399" spans="1:26">
      <c r="A399" s="1487"/>
      <c r="B399" s="1488"/>
      <c r="C399" s="1489"/>
      <c r="D399" s="1490"/>
      <c r="E399" s="1487"/>
      <c r="F399" s="1488"/>
      <c r="G399" s="1489"/>
      <c r="H399" s="1490"/>
      <c r="I399" s="1487"/>
      <c r="J399" s="1488"/>
      <c r="K399" s="1489"/>
      <c r="L399" s="1490"/>
      <c r="M399" s="1487"/>
      <c r="N399" s="1488"/>
      <c r="O399" s="1489"/>
      <c r="P399" s="1490"/>
      <c r="X399" s="1445" t="e">
        <f ca="1"/>
        <v>#NAME?</v>
      </c>
      <c r="Y399" s="1446" t="e">
        <f ca="1"/>
        <v>#NAME?</v>
      </c>
      <c r="Z399" s="1408"/>
    </row>
    <row r="400" spans="1:26">
      <c r="A400" s="1487"/>
      <c r="B400" s="1488"/>
      <c r="C400" s="1489"/>
      <c r="D400" s="1490"/>
      <c r="E400" s="1487"/>
      <c r="F400" s="1488"/>
      <c r="G400" s="1489"/>
      <c r="H400" s="1490"/>
      <c r="I400" s="1487"/>
      <c r="J400" s="1488"/>
      <c r="K400" s="1489"/>
      <c r="L400" s="1490"/>
      <c r="M400" s="1487"/>
      <c r="N400" s="1488"/>
      <c r="O400" s="1489"/>
      <c r="P400" s="1490"/>
      <c r="X400" s="1445" t="e">
        <f ca="1"/>
        <v>#NAME?</v>
      </c>
      <c r="Y400" s="1446" t="e">
        <f ca="1"/>
        <v>#NAME?</v>
      </c>
      <c r="Z400" s="1408"/>
    </row>
    <row r="401" spans="1:26">
      <c r="A401" s="1487"/>
      <c r="B401" s="1488"/>
      <c r="C401" s="1489"/>
      <c r="D401" s="1490"/>
      <c r="E401" s="1487"/>
      <c r="F401" s="1488"/>
      <c r="G401" s="1489"/>
      <c r="H401" s="1490"/>
      <c r="I401" s="1487"/>
      <c r="J401" s="1488"/>
      <c r="K401" s="1489"/>
      <c r="L401" s="1490"/>
      <c r="M401" s="1487"/>
      <c r="N401" s="1488"/>
      <c r="O401" s="1489"/>
      <c r="P401" s="1490"/>
      <c r="X401" s="1445" t="e">
        <f ca="1"/>
        <v>#NAME?</v>
      </c>
      <c r="Y401" s="1446" t="e">
        <f ca="1"/>
        <v>#NAME?</v>
      </c>
      <c r="Z401" s="1408"/>
    </row>
    <row r="402" spans="1:26">
      <c r="A402" s="1487"/>
      <c r="B402" s="1488"/>
      <c r="C402" s="1489"/>
      <c r="D402" s="1490"/>
      <c r="E402" s="1487"/>
      <c r="F402" s="1488"/>
      <c r="G402" s="1489"/>
      <c r="H402" s="1490"/>
      <c r="I402" s="1487"/>
      <c r="J402" s="1488"/>
      <c r="K402" s="1489"/>
      <c r="L402" s="1490"/>
      <c r="M402" s="1487"/>
      <c r="N402" s="1488"/>
      <c r="O402" s="1489"/>
      <c r="P402" s="1490"/>
      <c r="X402" s="1445" t="e">
        <f ca="1"/>
        <v>#NAME?</v>
      </c>
      <c r="Y402" s="1446" t="e">
        <f ca="1"/>
        <v>#NAME?</v>
      </c>
      <c r="Z402" s="1408"/>
    </row>
    <row r="403" spans="1:26">
      <c r="A403" s="1487"/>
      <c r="B403" s="1488"/>
      <c r="C403" s="1489"/>
      <c r="D403" s="1490"/>
      <c r="E403" s="1487"/>
      <c r="F403" s="1488"/>
      <c r="G403" s="1489"/>
      <c r="H403" s="1490"/>
      <c r="I403" s="1487"/>
      <c r="J403" s="1488"/>
      <c r="K403" s="1489"/>
      <c r="L403" s="1490"/>
      <c r="M403" s="1487"/>
      <c r="N403" s="1488"/>
      <c r="O403" s="1489"/>
      <c r="P403" s="1490"/>
      <c r="X403" s="1445" t="e">
        <f ca="1"/>
        <v>#NAME?</v>
      </c>
      <c r="Y403" s="1446" t="e">
        <f ca="1"/>
        <v>#NAME?</v>
      </c>
      <c r="Z403" s="1408"/>
    </row>
    <row r="404" spans="1:26">
      <c r="A404" s="1487"/>
      <c r="B404" s="1488"/>
      <c r="C404" s="1489"/>
      <c r="D404" s="1490"/>
      <c r="E404" s="1487"/>
      <c r="F404" s="1488"/>
      <c r="G404" s="1489"/>
      <c r="H404" s="1490"/>
      <c r="I404" s="1487"/>
      <c r="J404" s="1488"/>
      <c r="K404" s="1489"/>
      <c r="L404" s="1490"/>
      <c r="M404" s="1487"/>
      <c r="N404" s="1488"/>
      <c r="O404" s="1489"/>
      <c r="P404" s="1490"/>
      <c r="X404" s="1445" t="e">
        <f ca="1"/>
        <v>#NAME?</v>
      </c>
      <c r="Y404" s="1446" t="e">
        <f ca="1"/>
        <v>#NAME?</v>
      </c>
      <c r="Z404" s="1408"/>
    </row>
    <row r="405" spans="1:26">
      <c r="A405" s="1487"/>
      <c r="B405" s="1488"/>
      <c r="C405" s="1489"/>
      <c r="D405" s="1490"/>
      <c r="E405" s="1487"/>
      <c r="F405" s="1488"/>
      <c r="G405" s="1489"/>
      <c r="H405" s="1490"/>
      <c r="I405" s="1487"/>
      <c r="J405" s="1488"/>
      <c r="K405" s="1489"/>
      <c r="L405" s="1490"/>
      <c r="M405" s="1487"/>
      <c r="N405" s="1488"/>
      <c r="O405" s="1489"/>
      <c r="P405" s="1490"/>
      <c r="X405" s="1445" t="e">
        <f ca="1"/>
        <v>#NAME?</v>
      </c>
      <c r="Y405" s="1446" t="e">
        <f ca="1"/>
        <v>#NAME?</v>
      </c>
      <c r="Z405" s="1408"/>
    </row>
    <row r="406" spans="1:26">
      <c r="A406" s="1487"/>
      <c r="B406" s="1488"/>
      <c r="C406" s="1489"/>
      <c r="D406" s="1490"/>
      <c r="E406" s="1487"/>
      <c r="F406" s="1488"/>
      <c r="G406" s="1489"/>
      <c r="H406" s="1490"/>
      <c r="I406" s="1487"/>
      <c r="J406" s="1488"/>
      <c r="K406" s="1489"/>
      <c r="L406" s="1490"/>
      <c r="M406" s="1487"/>
      <c r="N406" s="1488"/>
      <c r="O406" s="1489"/>
      <c r="P406" s="1490"/>
      <c r="X406" s="1445" t="e">
        <f ca="1"/>
        <v>#NAME?</v>
      </c>
      <c r="Y406" s="1446" t="e">
        <f ca="1"/>
        <v>#NAME?</v>
      </c>
      <c r="Z406" s="1408"/>
    </row>
    <row r="407" spans="1:26">
      <c r="A407" s="1487"/>
      <c r="B407" s="1488"/>
      <c r="C407" s="1489"/>
      <c r="D407" s="1490"/>
      <c r="E407" s="1487"/>
      <c r="F407" s="1488"/>
      <c r="G407" s="1489"/>
      <c r="H407" s="1490"/>
      <c r="I407" s="1487"/>
      <c r="J407" s="1488"/>
      <c r="K407" s="1489"/>
      <c r="L407" s="1490"/>
      <c r="M407" s="1487"/>
      <c r="N407" s="1488"/>
      <c r="O407" s="1489"/>
      <c r="P407" s="1490"/>
      <c r="X407" s="1445" t="e">
        <f ca="1"/>
        <v>#NAME?</v>
      </c>
      <c r="Y407" s="1446" t="e">
        <f ca="1"/>
        <v>#NAME?</v>
      </c>
      <c r="Z407" s="1408"/>
    </row>
    <row r="408" spans="1:26">
      <c r="A408" s="1487"/>
      <c r="B408" s="1488"/>
      <c r="C408" s="1489"/>
      <c r="D408" s="1490"/>
      <c r="E408" s="1487"/>
      <c r="F408" s="1488"/>
      <c r="G408" s="1489"/>
      <c r="H408" s="1490"/>
      <c r="I408" s="1487"/>
      <c r="J408" s="1488"/>
      <c r="K408" s="1489"/>
      <c r="L408" s="1490"/>
      <c r="M408" s="1487"/>
      <c r="N408" s="1488"/>
      <c r="O408" s="1489"/>
      <c r="P408" s="1490"/>
      <c r="X408" s="1445" t="e">
        <f ca="1"/>
        <v>#NAME?</v>
      </c>
      <c r="Y408" s="1446" t="e">
        <f ca="1"/>
        <v>#NAME?</v>
      </c>
      <c r="Z408" s="1408"/>
    </row>
    <row r="409" spans="1:26">
      <c r="A409" s="1487"/>
      <c r="B409" s="1488"/>
      <c r="C409" s="1489"/>
      <c r="D409" s="1490"/>
      <c r="E409" s="1487"/>
      <c r="F409" s="1488"/>
      <c r="G409" s="1489"/>
      <c r="H409" s="1490"/>
      <c r="I409" s="1487"/>
      <c r="J409" s="1488"/>
      <c r="K409" s="1489"/>
      <c r="L409" s="1490"/>
      <c r="M409" s="1487"/>
      <c r="N409" s="1488"/>
      <c r="O409" s="1489"/>
      <c r="P409" s="1490"/>
      <c r="X409" s="1445" t="e">
        <f ca="1"/>
        <v>#NAME?</v>
      </c>
      <c r="Y409" s="1446" t="e">
        <f ca="1"/>
        <v>#NAME?</v>
      </c>
      <c r="Z409" s="1408"/>
    </row>
    <row r="410" spans="1:26">
      <c r="A410" s="1487"/>
      <c r="B410" s="1488"/>
      <c r="C410" s="1489"/>
      <c r="D410" s="1490"/>
      <c r="E410" s="1487"/>
      <c r="F410" s="1488"/>
      <c r="G410" s="1489"/>
      <c r="H410" s="1490"/>
      <c r="I410" s="1487"/>
      <c r="J410" s="1488"/>
      <c r="K410" s="1489"/>
      <c r="L410" s="1490"/>
      <c r="M410" s="1487"/>
      <c r="N410" s="1488"/>
      <c r="O410" s="1489"/>
      <c r="P410" s="1490"/>
      <c r="X410" s="1445" t="e">
        <f ca="1"/>
        <v>#NAME?</v>
      </c>
      <c r="Y410" s="1446" t="e">
        <f ca="1"/>
        <v>#NAME?</v>
      </c>
      <c r="Z410" s="1408"/>
    </row>
    <row r="411" spans="1:26">
      <c r="A411" s="1487"/>
      <c r="B411" s="1488"/>
      <c r="C411" s="1489"/>
      <c r="D411" s="1490"/>
      <c r="E411" s="1487"/>
      <c r="F411" s="1488"/>
      <c r="G411" s="1489"/>
      <c r="H411" s="1490"/>
      <c r="I411" s="1487"/>
      <c r="J411" s="1488"/>
      <c r="K411" s="1489"/>
      <c r="L411" s="1490"/>
      <c r="M411" s="1487"/>
      <c r="N411" s="1488"/>
      <c r="O411" s="1489"/>
      <c r="P411" s="1490"/>
      <c r="X411" s="1445" t="e">
        <f ca="1"/>
        <v>#NAME?</v>
      </c>
      <c r="Y411" s="1446" t="e">
        <f ca="1"/>
        <v>#NAME?</v>
      </c>
      <c r="Z411" s="1408"/>
    </row>
    <row r="412" spans="1:26">
      <c r="A412" s="1487"/>
      <c r="B412" s="1488"/>
      <c r="C412" s="1489"/>
      <c r="D412" s="1490"/>
      <c r="E412" s="1487"/>
      <c r="F412" s="1488"/>
      <c r="G412" s="1489"/>
      <c r="H412" s="1490"/>
      <c r="I412" s="1487"/>
      <c r="J412" s="1488"/>
      <c r="K412" s="1489"/>
      <c r="L412" s="1490"/>
      <c r="M412" s="1487"/>
      <c r="N412" s="1488"/>
      <c r="O412" s="1489"/>
      <c r="P412" s="1490"/>
      <c r="X412" s="1445" t="e">
        <f ca="1"/>
        <v>#NAME?</v>
      </c>
      <c r="Y412" s="1446" t="e">
        <f ca="1"/>
        <v>#NAME?</v>
      </c>
      <c r="Z412" s="1408"/>
    </row>
    <row r="413" spans="1:26">
      <c r="A413" s="1487"/>
      <c r="B413" s="1488"/>
      <c r="C413" s="1489"/>
      <c r="D413" s="1490"/>
      <c r="E413" s="1487"/>
      <c r="F413" s="1488"/>
      <c r="G413" s="1489"/>
      <c r="H413" s="1490"/>
      <c r="I413" s="1487"/>
      <c r="J413" s="1488"/>
      <c r="K413" s="1489"/>
      <c r="L413" s="1490"/>
      <c r="M413" s="1487"/>
      <c r="N413" s="1488"/>
      <c r="O413" s="1489"/>
      <c r="P413" s="1490"/>
      <c r="X413" s="1445" t="e">
        <f ca="1"/>
        <v>#NAME?</v>
      </c>
      <c r="Y413" s="1446" t="e">
        <f ca="1"/>
        <v>#NAME?</v>
      </c>
      <c r="Z413" s="1408"/>
    </row>
    <row r="414" spans="1:26">
      <c r="A414" s="1487"/>
      <c r="B414" s="1488"/>
      <c r="C414" s="1489"/>
      <c r="D414" s="1490"/>
      <c r="E414" s="1487"/>
      <c r="F414" s="1488"/>
      <c r="G414" s="1489"/>
      <c r="H414" s="1490"/>
      <c r="I414" s="1487"/>
      <c r="J414" s="1488"/>
      <c r="K414" s="1489"/>
      <c r="L414" s="1490"/>
      <c r="M414" s="1487"/>
      <c r="N414" s="1488"/>
      <c r="O414" s="1489"/>
      <c r="P414" s="1490"/>
      <c r="X414" s="1445" t="e">
        <f ca="1"/>
        <v>#NAME?</v>
      </c>
      <c r="Y414" s="1446" t="e">
        <f ca="1"/>
        <v>#NAME?</v>
      </c>
      <c r="Z414" s="1408"/>
    </row>
    <row r="415" spans="1:26">
      <c r="A415" s="1487"/>
      <c r="B415" s="1488"/>
      <c r="C415" s="1489"/>
      <c r="D415" s="1490"/>
      <c r="E415" s="1487"/>
      <c r="F415" s="1488"/>
      <c r="G415" s="1489"/>
      <c r="H415" s="1490"/>
      <c r="I415" s="1487"/>
      <c r="J415" s="1488"/>
      <c r="K415" s="1489"/>
      <c r="L415" s="1490"/>
      <c r="M415" s="1487"/>
      <c r="N415" s="1488"/>
      <c r="O415" s="1489"/>
      <c r="P415" s="1490"/>
      <c r="X415" s="1445" t="e">
        <f ca="1"/>
        <v>#NAME?</v>
      </c>
      <c r="Y415" s="1446" t="e">
        <f ca="1"/>
        <v>#NAME?</v>
      </c>
      <c r="Z415" s="1408"/>
    </row>
    <row r="416" spans="1:26">
      <c r="A416" s="1487"/>
      <c r="B416" s="1488"/>
      <c r="C416" s="1489"/>
      <c r="D416" s="1490"/>
      <c r="E416" s="1487"/>
      <c r="F416" s="1488"/>
      <c r="G416" s="1489"/>
      <c r="H416" s="1490"/>
      <c r="I416" s="1487"/>
      <c r="J416" s="1488"/>
      <c r="K416" s="1489"/>
      <c r="L416" s="1490"/>
      <c r="M416" s="1487"/>
      <c r="N416" s="1488"/>
      <c r="O416" s="1489"/>
      <c r="P416" s="1490"/>
      <c r="X416" s="1445" t="e">
        <f ca="1"/>
        <v>#NAME?</v>
      </c>
      <c r="Y416" s="1446" t="e">
        <f ca="1"/>
        <v>#NAME?</v>
      </c>
      <c r="Z416" s="1408"/>
    </row>
    <row r="417" spans="1:26">
      <c r="A417" s="1487"/>
      <c r="B417" s="1488"/>
      <c r="C417" s="1489"/>
      <c r="D417" s="1490"/>
      <c r="E417" s="1487"/>
      <c r="F417" s="1488"/>
      <c r="G417" s="1489"/>
      <c r="H417" s="1490"/>
      <c r="I417" s="1487"/>
      <c r="J417" s="1488"/>
      <c r="K417" s="1489"/>
      <c r="L417" s="1490"/>
      <c r="M417" s="1487"/>
      <c r="N417" s="1488"/>
      <c r="O417" s="1489"/>
      <c r="P417" s="1490"/>
      <c r="X417" s="1445" t="e">
        <f ca="1"/>
        <v>#NAME?</v>
      </c>
      <c r="Y417" s="1446" t="e">
        <f ca="1"/>
        <v>#NAME?</v>
      </c>
      <c r="Z417" s="1408"/>
    </row>
    <row r="418" spans="1:26">
      <c r="A418" s="1487"/>
      <c r="B418" s="1488"/>
      <c r="C418" s="1489"/>
      <c r="D418" s="1490"/>
      <c r="E418" s="1487"/>
      <c r="F418" s="1488"/>
      <c r="G418" s="1489"/>
      <c r="H418" s="1490"/>
      <c r="I418" s="1487"/>
      <c r="J418" s="1488"/>
      <c r="K418" s="1489"/>
      <c r="L418" s="1490"/>
      <c r="M418" s="1487"/>
      <c r="N418" s="1488"/>
      <c r="O418" s="1489"/>
      <c r="P418" s="1490"/>
      <c r="X418" s="1445" t="e">
        <f ca="1"/>
        <v>#NAME?</v>
      </c>
      <c r="Y418" s="1446" t="e">
        <f ca="1"/>
        <v>#NAME?</v>
      </c>
      <c r="Z418" s="1408"/>
    </row>
    <row r="419" spans="1:26">
      <c r="A419" s="1487"/>
      <c r="B419" s="1488"/>
      <c r="C419" s="1489"/>
      <c r="D419" s="1490"/>
      <c r="E419" s="1487"/>
      <c r="F419" s="1488"/>
      <c r="G419" s="1489"/>
      <c r="H419" s="1490"/>
      <c r="I419" s="1487"/>
      <c r="J419" s="1488"/>
      <c r="K419" s="1489"/>
      <c r="L419" s="1490"/>
      <c r="M419" s="1487"/>
      <c r="N419" s="1488"/>
      <c r="O419" s="1489"/>
      <c r="P419" s="1490"/>
      <c r="X419" s="1445" t="e">
        <f ca="1"/>
        <v>#NAME?</v>
      </c>
      <c r="Y419" s="1446" t="e">
        <f ca="1"/>
        <v>#NAME?</v>
      </c>
      <c r="Z419" s="1408"/>
    </row>
    <row r="420" spans="1:26">
      <c r="A420" s="1487"/>
      <c r="B420" s="1488"/>
      <c r="C420" s="1489"/>
      <c r="D420" s="1490"/>
      <c r="E420" s="1487"/>
      <c r="F420" s="1488"/>
      <c r="G420" s="1489"/>
      <c r="H420" s="1490"/>
      <c r="I420" s="1487"/>
      <c r="J420" s="1488"/>
      <c r="K420" s="1489"/>
      <c r="L420" s="1490"/>
      <c r="M420" s="1487"/>
      <c r="N420" s="1488"/>
      <c r="O420" s="1489"/>
      <c r="P420" s="1490"/>
      <c r="X420" s="1445" t="e">
        <f ca="1"/>
        <v>#NAME?</v>
      </c>
      <c r="Y420" s="1446" t="e">
        <f ca="1"/>
        <v>#NAME?</v>
      </c>
      <c r="Z420" s="1408"/>
    </row>
    <row r="421" spans="1:26">
      <c r="A421" s="1487"/>
      <c r="B421" s="1488"/>
      <c r="C421" s="1489"/>
      <c r="D421" s="1490"/>
      <c r="E421" s="1487"/>
      <c r="F421" s="1488"/>
      <c r="G421" s="1489"/>
      <c r="H421" s="1490"/>
      <c r="I421" s="1487"/>
      <c r="J421" s="1488"/>
      <c r="K421" s="1489"/>
      <c r="L421" s="1490"/>
      <c r="M421" s="1487"/>
      <c r="N421" s="1488"/>
      <c r="O421" s="1489"/>
      <c r="P421" s="1490"/>
      <c r="X421" s="1445" t="e">
        <f ca="1"/>
        <v>#NAME?</v>
      </c>
      <c r="Y421" s="1446" t="e">
        <f ca="1"/>
        <v>#NAME?</v>
      </c>
      <c r="Z421" s="1408"/>
    </row>
    <row r="422" spans="1:26">
      <c r="A422" s="1487"/>
      <c r="B422" s="1488"/>
      <c r="C422" s="1489"/>
      <c r="D422" s="1490"/>
      <c r="E422" s="1487"/>
      <c r="F422" s="1488"/>
      <c r="G422" s="1489"/>
      <c r="H422" s="1490"/>
      <c r="I422" s="1487"/>
      <c r="J422" s="1488"/>
      <c r="K422" s="1489"/>
      <c r="L422" s="1490"/>
      <c r="M422" s="1487"/>
      <c r="N422" s="1488"/>
      <c r="O422" s="1489"/>
      <c r="P422" s="1490"/>
      <c r="X422" s="1445" t="e">
        <f ca="1"/>
        <v>#NAME?</v>
      </c>
      <c r="Y422" s="1446" t="e">
        <f ca="1"/>
        <v>#NAME?</v>
      </c>
      <c r="Z422" s="1408"/>
    </row>
    <row r="423" spans="1:26">
      <c r="A423" s="1487"/>
      <c r="B423" s="1488"/>
      <c r="C423" s="1489"/>
      <c r="D423" s="1490"/>
      <c r="E423" s="1487"/>
      <c r="F423" s="1488"/>
      <c r="G423" s="1489"/>
      <c r="H423" s="1490"/>
      <c r="I423" s="1487"/>
      <c r="J423" s="1488"/>
      <c r="K423" s="1489"/>
      <c r="L423" s="1490"/>
      <c r="M423" s="1487"/>
      <c r="N423" s="1488"/>
      <c r="O423" s="1489"/>
      <c r="P423" s="1490"/>
      <c r="X423" s="1445" t="e">
        <f ca="1"/>
        <v>#NAME?</v>
      </c>
      <c r="Y423" s="1446" t="e">
        <f ca="1"/>
        <v>#NAME?</v>
      </c>
      <c r="Z423" s="1408"/>
    </row>
    <row r="424" spans="1:26">
      <c r="A424" s="1487"/>
      <c r="B424" s="1488"/>
      <c r="C424" s="1489"/>
      <c r="D424" s="1490"/>
      <c r="E424" s="1487"/>
      <c r="F424" s="1488"/>
      <c r="G424" s="1489"/>
      <c r="H424" s="1490"/>
      <c r="I424" s="1487"/>
      <c r="J424" s="1488"/>
      <c r="K424" s="1489"/>
      <c r="L424" s="1490"/>
      <c r="M424" s="1487"/>
      <c r="N424" s="1488"/>
      <c r="O424" s="1489"/>
      <c r="P424" s="1490"/>
      <c r="X424" s="1445" t="e">
        <f ca="1"/>
        <v>#NAME?</v>
      </c>
      <c r="Y424" s="1446" t="e">
        <f ca="1"/>
        <v>#NAME?</v>
      </c>
      <c r="Z424" s="1408"/>
    </row>
    <row r="425" spans="1:26">
      <c r="A425" s="1487"/>
      <c r="B425" s="1488"/>
      <c r="C425" s="1489"/>
      <c r="D425" s="1490"/>
      <c r="E425" s="1487"/>
      <c r="F425" s="1488"/>
      <c r="G425" s="1489"/>
      <c r="H425" s="1490"/>
      <c r="I425" s="1487"/>
      <c r="J425" s="1488"/>
      <c r="K425" s="1489"/>
      <c r="L425" s="1490"/>
      <c r="M425" s="1487"/>
      <c r="N425" s="1488"/>
      <c r="O425" s="1489"/>
      <c r="P425" s="1490"/>
      <c r="X425" s="1445" t="e">
        <f ca="1"/>
        <v>#NAME?</v>
      </c>
      <c r="Y425" s="1446" t="e">
        <f ca="1"/>
        <v>#NAME?</v>
      </c>
      <c r="Z425" s="1408"/>
    </row>
    <row r="426" spans="1:26">
      <c r="A426" s="1487"/>
      <c r="B426" s="1488"/>
      <c r="C426" s="1489"/>
      <c r="D426" s="1490"/>
      <c r="E426" s="1487"/>
      <c r="F426" s="1488"/>
      <c r="G426" s="1489"/>
      <c r="H426" s="1490"/>
      <c r="I426" s="1487"/>
      <c r="J426" s="1488"/>
      <c r="K426" s="1489"/>
      <c r="L426" s="1490"/>
      <c r="M426" s="1487"/>
      <c r="N426" s="1488"/>
      <c r="O426" s="1489"/>
      <c r="P426" s="1490"/>
      <c r="X426" s="1445" t="e">
        <f ca="1"/>
        <v>#NAME?</v>
      </c>
      <c r="Y426" s="1446" t="e">
        <f ca="1"/>
        <v>#NAME?</v>
      </c>
      <c r="Z426" s="1408"/>
    </row>
    <row r="427" spans="1:26">
      <c r="A427" s="1487"/>
      <c r="B427" s="1488"/>
      <c r="C427" s="1489"/>
      <c r="D427" s="1490"/>
      <c r="E427" s="1487"/>
      <c r="F427" s="1488"/>
      <c r="G427" s="1489"/>
      <c r="H427" s="1490"/>
      <c r="I427" s="1487"/>
      <c r="J427" s="1488"/>
      <c r="K427" s="1489"/>
      <c r="L427" s="1490"/>
      <c r="M427" s="1487"/>
      <c r="N427" s="1488"/>
      <c r="O427" s="1489"/>
      <c r="P427" s="1490"/>
      <c r="X427" s="1445" t="e">
        <f ca="1"/>
        <v>#NAME?</v>
      </c>
      <c r="Y427" s="1446" t="e">
        <f ca="1"/>
        <v>#NAME?</v>
      </c>
      <c r="Z427" s="1408"/>
    </row>
    <row r="428" spans="1:26">
      <c r="A428" s="1487"/>
      <c r="B428" s="1488"/>
      <c r="C428" s="1489"/>
      <c r="D428" s="1490"/>
      <c r="E428" s="1487"/>
      <c r="F428" s="1488"/>
      <c r="G428" s="1489"/>
      <c r="H428" s="1490"/>
      <c r="I428" s="1487"/>
      <c r="J428" s="1488"/>
      <c r="K428" s="1489"/>
      <c r="L428" s="1490"/>
      <c r="M428" s="1487"/>
      <c r="N428" s="1488"/>
      <c r="O428" s="1489"/>
      <c r="P428" s="1490"/>
      <c r="X428" s="1445" t="e">
        <f ca="1"/>
        <v>#NAME?</v>
      </c>
      <c r="Y428" s="1446" t="e">
        <f ca="1"/>
        <v>#NAME?</v>
      </c>
      <c r="Z428" s="1408"/>
    </row>
    <row r="429" spans="1:26">
      <c r="A429" s="1487"/>
      <c r="B429" s="1488"/>
      <c r="C429" s="1489"/>
      <c r="D429" s="1490"/>
      <c r="E429" s="1487"/>
      <c r="F429" s="1488"/>
      <c r="G429" s="1489"/>
      <c r="H429" s="1490"/>
      <c r="I429" s="1487"/>
      <c r="J429" s="1488"/>
      <c r="K429" s="1489"/>
      <c r="L429" s="1490"/>
      <c r="M429" s="1487"/>
      <c r="N429" s="1488"/>
      <c r="O429" s="1489"/>
      <c r="P429" s="1490"/>
      <c r="X429" s="1445" t="e">
        <f ca="1"/>
        <v>#NAME?</v>
      </c>
      <c r="Y429" s="1446" t="e">
        <f ca="1"/>
        <v>#NAME?</v>
      </c>
      <c r="Z429" s="1408"/>
    </row>
    <row r="430" spans="1:26">
      <c r="A430" s="1487"/>
      <c r="B430" s="1488"/>
      <c r="C430" s="1489"/>
      <c r="D430" s="1490"/>
      <c r="E430" s="1487"/>
      <c r="F430" s="1488"/>
      <c r="G430" s="1489"/>
      <c r="H430" s="1490"/>
      <c r="I430" s="1487"/>
      <c r="J430" s="1488"/>
      <c r="K430" s="1489"/>
      <c r="L430" s="1490"/>
      <c r="M430" s="1487"/>
      <c r="N430" s="1488"/>
      <c r="O430" s="1489"/>
      <c r="P430" s="1490"/>
      <c r="X430" s="1445" t="e">
        <f ca="1"/>
        <v>#NAME?</v>
      </c>
      <c r="Y430" s="1446" t="e">
        <f ca="1"/>
        <v>#NAME?</v>
      </c>
      <c r="Z430" s="1408"/>
    </row>
    <row r="431" spans="1:26">
      <c r="A431" s="1487"/>
      <c r="B431" s="1488"/>
      <c r="C431" s="1489"/>
      <c r="D431" s="1490"/>
      <c r="E431" s="1487"/>
      <c r="F431" s="1488"/>
      <c r="G431" s="1489"/>
      <c r="H431" s="1490"/>
      <c r="I431" s="1487"/>
      <c r="J431" s="1488"/>
      <c r="K431" s="1489"/>
      <c r="L431" s="1490"/>
      <c r="M431" s="1487"/>
      <c r="N431" s="1488"/>
      <c r="O431" s="1489"/>
      <c r="P431" s="1490"/>
      <c r="X431" s="1445" t="e">
        <f ca="1"/>
        <v>#NAME?</v>
      </c>
      <c r="Y431" s="1446" t="e">
        <f ca="1"/>
        <v>#NAME?</v>
      </c>
      <c r="Z431" s="1408"/>
    </row>
    <row r="432" spans="1:26">
      <c r="A432" s="1487"/>
      <c r="B432" s="1488"/>
      <c r="C432" s="1489"/>
      <c r="D432" s="1490"/>
      <c r="E432" s="1487"/>
      <c r="F432" s="1488"/>
      <c r="G432" s="1489"/>
      <c r="H432" s="1490"/>
      <c r="I432" s="1487"/>
      <c r="J432" s="1488"/>
      <c r="K432" s="1489"/>
      <c r="L432" s="1490"/>
      <c r="M432" s="1487"/>
      <c r="N432" s="1488"/>
      <c r="O432" s="1489"/>
      <c r="P432" s="1490"/>
      <c r="X432" s="1445" t="e">
        <f ca="1"/>
        <v>#NAME?</v>
      </c>
      <c r="Y432" s="1446" t="e">
        <f ca="1"/>
        <v>#NAME?</v>
      </c>
      <c r="Z432" s="1408"/>
    </row>
    <row r="433" spans="1:26">
      <c r="A433" s="1487"/>
      <c r="B433" s="1488"/>
      <c r="C433" s="1489"/>
      <c r="D433" s="1490"/>
      <c r="E433" s="1487"/>
      <c r="F433" s="1488"/>
      <c r="G433" s="1489"/>
      <c r="H433" s="1490"/>
      <c r="I433" s="1487"/>
      <c r="J433" s="1488"/>
      <c r="K433" s="1489"/>
      <c r="L433" s="1490"/>
      <c r="M433" s="1487"/>
      <c r="N433" s="1488"/>
      <c r="O433" s="1489"/>
      <c r="P433" s="1490"/>
      <c r="X433" s="1445" t="e">
        <f ca="1"/>
        <v>#NAME?</v>
      </c>
      <c r="Y433" s="1446" t="e">
        <f ca="1"/>
        <v>#NAME?</v>
      </c>
      <c r="Z433" s="1408"/>
    </row>
    <row r="434" spans="1:26">
      <c r="A434" s="1487"/>
      <c r="B434" s="1488"/>
      <c r="C434" s="1489"/>
      <c r="D434" s="1490"/>
      <c r="E434" s="1487"/>
      <c r="F434" s="1488"/>
      <c r="G434" s="1489"/>
      <c r="H434" s="1490"/>
      <c r="I434" s="1487"/>
      <c r="J434" s="1488"/>
      <c r="K434" s="1489"/>
      <c r="L434" s="1490"/>
      <c r="M434" s="1487"/>
      <c r="N434" s="1488"/>
      <c r="O434" s="1489"/>
      <c r="P434" s="1490"/>
      <c r="X434" s="1445" t="e">
        <f ca="1"/>
        <v>#NAME?</v>
      </c>
      <c r="Y434" s="1446" t="e">
        <f ca="1"/>
        <v>#NAME?</v>
      </c>
      <c r="Z434" s="1408"/>
    </row>
    <row r="435" spans="1:26">
      <c r="A435" s="1487"/>
      <c r="B435" s="1488"/>
      <c r="C435" s="1489"/>
      <c r="D435" s="1490"/>
      <c r="E435" s="1487"/>
      <c r="F435" s="1488"/>
      <c r="G435" s="1489"/>
      <c r="H435" s="1490"/>
      <c r="I435" s="1487"/>
      <c r="J435" s="1488"/>
      <c r="K435" s="1489"/>
      <c r="L435" s="1490"/>
      <c r="M435" s="1487"/>
      <c r="N435" s="1488"/>
      <c r="O435" s="1489"/>
      <c r="P435" s="1490"/>
      <c r="X435" s="1445" t="e">
        <f ca="1"/>
        <v>#NAME?</v>
      </c>
      <c r="Y435" s="1446" t="e">
        <f ca="1"/>
        <v>#NAME?</v>
      </c>
      <c r="Z435" s="1408"/>
    </row>
    <row r="436" spans="1:26">
      <c r="A436" s="1487"/>
      <c r="B436" s="1488"/>
      <c r="C436" s="1489"/>
      <c r="D436" s="1490"/>
      <c r="E436" s="1487"/>
      <c r="F436" s="1488"/>
      <c r="G436" s="1489"/>
      <c r="H436" s="1490"/>
      <c r="I436" s="1487"/>
      <c r="J436" s="1488"/>
      <c r="K436" s="1489"/>
      <c r="L436" s="1490"/>
      <c r="M436" s="1487"/>
      <c r="N436" s="1488"/>
      <c r="O436" s="1489"/>
      <c r="P436" s="1490"/>
      <c r="X436" s="1445" t="e">
        <f ca="1"/>
        <v>#NAME?</v>
      </c>
      <c r="Y436" s="1446" t="e">
        <f ca="1"/>
        <v>#NAME?</v>
      </c>
      <c r="Z436" s="1408"/>
    </row>
    <row r="437" spans="1:26">
      <c r="A437" s="1487"/>
      <c r="B437" s="1488"/>
      <c r="C437" s="1489"/>
      <c r="D437" s="1490"/>
      <c r="E437" s="1487"/>
      <c r="F437" s="1488"/>
      <c r="G437" s="1489"/>
      <c r="H437" s="1490"/>
      <c r="I437" s="1487"/>
      <c r="J437" s="1488"/>
      <c r="K437" s="1489"/>
      <c r="L437" s="1490"/>
      <c r="M437" s="1487"/>
      <c r="N437" s="1488"/>
      <c r="O437" s="1489"/>
      <c r="P437" s="1490"/>
      <c r="X437" s="1445" t="e">
        <f ca="1"/>
        <v>#NAME?</v>
      </c>
      <c r="Y437" s="1446" t="e">
        <f ca="1"/>
        <v>#NAME?</v>
      </c>
      <c r="Z437" s="1408"/>
    </row>
    <row r="438" spans="1:26">
      <c r="A438" s="1487"/>
      <c r="B438" s="1488"/>
      <c r="C438" s="1489"/>
      <c r="D438" s="1490"/>
      <c r="E438" s="1487"/>
      <c r="F438" s="1488"/>
      <c r="G438" s="1489"/>
      <c r="H438" s="1490"/>
      <c r="I438" s="1487"/>
      <c r="J438" s="1488"/>
      <c r="K438" s="1489"/>
      <c r="L438" s="1490"/>
      <c r="M438" s="1487"/>
      <c r="N438" s="1488"/>
      <c r="O438" s="1489"/>
      <c r="P438" s="1490"/>
      <c r="X438" s="1445" t="e">
        <f ca="1"/>
        <v>#NAME?</v>
      </c>
      <c r="Y438" s="1446" t="e">
        <f ca="1"/>
        <v>#NAME?</v>
      </c>
      <c r="Z438" s="1408"/>
    </row>
    <row r="439" spans="1:26">
      <c r="A439" s="1487"/>
      <c r="B439" s="1488"/>
      <c r="C439" s="1489"/>
      <c r="D439" s="1490"/>
      <c r="E439" s="1487"/>
      <c r="F439" s="1488"/>
      <c r="G439" s="1489"/>
      <c r="H439" s="1490"/>
      <c r="I439" s="1487"/>
      <c r="J439" s="1488"/>
      <c r="K439" s="1489"/>
      <c r="L439" s="1490"/>
      <c r="M439" s="1487"/>
      <c r="N439" s="1488"/>
      <c r="O439" s="1489"/>
      <c r="P439" s="1490"/>
      <c r="X439" s="1445" t="e">
        <f ca="1"/>
        <v>#NAME?</v>
      </c>
      <c r="Y439" s="1446" t="e">
        <f ca="1"/>
        <v>#NAME?</v>
      </c>
      <c r="Z439" s="1408"/>
    </row>
    <row r="440" spans="1:26">
      <c r="A440" s="1487"/>
      <c r="B440" s="1488"/>
      <c r="C440" s="1489"/>
      <c r="D440" s="1490"/>
      <c r="E440" s="1487"/>
      <c r="F440" s="1488"/>
      <c r="G440" s="1489"/>
      <c r="H440" s="1490"/>
      <c r="I440" s="1487"/>
      <c r="J440" s="1488"/>
      <c r="K440" s="1489"/>
      <c r="L440" s="1490"/>
      <c r="M440" s="1487"/>
      <c r="N440" s="1488"/>
      <c r="O440" s="1489"/>
      <c r="P440" s="1490"/>
      <c r="X440" s="1445" t="e">
        <f ca="1"/>
        <v>#NAME?</v>
      </c>
      <c r="Y440" s="1446" t="e">
        <f ca="1"/>
        <v>#NAME?</v>
      </c>
      <c r="Z440" s="1408"/>
    </row>
    <row r="441" spans="1:26">
      <c r="A441" s="1487"/>
      <c r="B441" s="1488"/>
      <c r="C441" s="1489"/>
      <c r="D441" s="1490"/>
      <c r="E441" s="1487"/>
      <c r="F441" s="1488"/>
      <c r="G441" s="1489"/>
      <c r="H441" s="1490"/>
      <c r="I441" s="1487"/>
      <c r="J441" s="1488"/>
      <c r="K441" s="1489"/>
      <c r="L441" s="1490"/>
      <c r="M441" s="1487"/>
      <c r="N441" s="1488"/>
      <c r="O441" s="1489"/>
      <c r="P441" s="1490"/>
      <c r="X441" s="1445" t="e">
        <f ca="1"/>
        <v>#NAME?</v>
      </c>
      <c r="Y441" s="1446" t="e">
        <f ca="1"/>
        <v>#NAME?</v>
      </c>
      <c r="Z441" s="1408"/>
    </row>
    <row r="442" spans="1:26">
      <c r="A442" s="1487"/>
      <c r="B442" s="1488"/>
      <c r="C442" s="1489"/>
      <c r="D442" s="1490"/>
      <c r="E442" s="1487"/>
      <c r="F442" s="1488"/>
      <c r="G442" s="1489"/>
      <c r="H442" s="1490"/>
      <c r="I442" s="1487"/>
      <c r="J442" s="1488"/>
      <c r="K442" s="1489"/>
      <c r="L442" s="1490"/>
      <c r="M442" s="1487"/>
      <c r="N442" s="1488"/>
      <c r="O442" s="1489"/>
      <c r="P442" s="1490"/>
      <c r="X442" s="1445" t="e">
        <f ca="1"/>
        <v>#NAME?</v>
      </c>
      <c r="Y442" s="1446" t="e">
        <f ca="1"/>
        <v>#NAME?</v>
      </c>
      <c r="Z442" s="1408"/>
    </row>
    <row r="443" spans="1:26">
      <c r="A443" s="1487"/>
      <c r="B443" s="1488"/>
      <c r="C443" s="1489"/>
      <c r="D443" s="1490"/>
      <c r="E443" s="1487"/>
      <c r="F443" s="1488"/>
      <c r="G443" s="1489"/>
      <c r="H443" s="1490"/>
      <c r="I443" s="1487"/>
      <c r="J443" s="1488"/>
      <c r="K443" s="1489"/>
      <c r="L443" s="1490"/>
      <c r="M443" s="1487"/>
      <c r="N443" s="1488"/>
      <c r="O443" s="1489"/>
      <c r="P443" s="1490"/>
      <c r="X443" s="1445" t="e">
        <f ca="1"/>
        <v>#NAME?</v>
      </c>
      <c r="Y443" s="1446" t="e">
        <f ca="1"/>
        <v>#NAME?</v>
      </c>
      <c r="Z443" s="1408"/>
    </row>
    <row r="444" spans="1:26">
      <c r="A444" s="1487"/>
      <c r="B444" s="1488"/>
      <c r="C444" s="1489"/>
      <c r="D444" s="1490"/>
      <c r="E444" s="1487"/>
      <c r="F444" s="1488"/>
      <c r="G444" s="1489"/>
      <c r="H444" s="1490"/>
      <c r="I444" s="1487"/>
      <c r="J444" s="1488"/>
      <c r="K444" s="1489"/>
      <c r="L444" s="1490"/>
      <c r="M444" s="1487"/>
      <c r="N444" s="1488"/>
      <c r="O444" s="1489"/>
      <c r="P444" s="1490"/>
      <c r="X444" s="1445" t="e">
        <f ca="1"/>
        <v>#NAME?</v>
      </c>
      <c r="Y444" s="1446" t="e">
        <f ca="1"/>
        <v>#NAME?</v>
      </c>
      <c r="Z444" s="1408"/>
    </row>
    <row r="445" spans="1:26">
      <c r="A445" s="1487"/>
      <c r="B445" s="1488"/>
      <c r="C445" s="1489"/>
      <c r="D445" s="1490"/>
      <c r="E445" s="1487"/>
      <c r="F445" s="1488"/>
      <c r="G445" s="1489"/>
      <c r="H445" s="1490"/>
      <c r="I445" s="1487"/>
      <c r="J445" s="1488"/>
      <c r="K445" s="1489"/>
      <c r="L445" s="1490"/>
      <c r="M445" s="1487"/>
      <c r="N445" s="1488"/>
      <c r="O445" s="1489"/>
      <c r="P445" s="1490"/>
      <c r="X445" s="1445" t="e">
        <f ca="1"/>
        <v>#NAME?</v>
      </c>
      <c r="Y445" s="1446" t="e">
        <f ca="1"/>
        <v>#NAME?</v>
      </c>
      <c r="Z445" s="1408"/>
    </row>
    <row r="446" spans="1:26">
      <c r="A446" s="1487"/>
      <c r="B446" s="1488"/>
      <c r="C446" s="1489"/>
      <c r="D446" s="1490"/>
      <c r="E446" s="1487"/>
      <c r="F446" s="1488"/>
      <c r="G446" s="1489"/>
      <c r="H446" s="1490"/>
      <c r="I446" s="1487"/>
      <c r="J446" s="1488"/>
      <c r="K446" s="1489"/>
      <c r="L446" s="1490"/>
      <c r="M446" s="1487"/>
      <c r="N446" s="1488"/>
      <c r="O446" s="1489"/>
      <c r="P446" s="1490"/>
      <c r="X446" s="1445" t="e">
        <f ca="1"/>
        <v>#NAME?</v>
      </c>
      <c r="Y446" s="1446" t="e">
        <f ca="1"/>
        <v>#NAME?</v>
      </c>
      <c r="Z446" s="1408"/>
    </row>
    <row r="447" spans="1:26">
      <c r="A447" s="1487"/>
      <c r="B447" s="1488"/>
      <c r="C447" s="1489"/>
      <c r="D447" s="1490"/>
      <c r="E447" s="1487"/>
      <c r="F447" s="1488"/>
      <c r="G447" s="1489"/>
      <c r="H447" s="1490"/>
      <c r="I447" s="1487"/>
      <c r="J447" s="1488"/>
      <c r="K447" s="1489"/>
      <c r="L447" s="1490"/>
      <c r="M447" s="1487"/>
      <c r="N447" s="1488"/>
      <c r="O447" s="1489"/>
      <c r="P447" s="1490"/>
      <c r="X447" s="1445" t="e">
        <f ca="1"/>
        <v>#NAME?</v>
      </c>
      <c r="Y447" s="1446" t="e">
        <f ca="1"/>
        <v>#NAME?</v>
      </c>
      <c r="Z447" s="1408"/>
    </row>
    <row r="448" spans="1:26">
      <c r="A448" s="1487"/>
      <c r="B448" s="1488"/>
      <c r="C448" s="1489"/>
      <c r="D448" s="1490"/>
      <c r="E448" s="1487"/>
      <c r="F448" s="1488"/>
      <c r="G448" s="1489"/>
      <c r="H448" s="1490"/>
      <c r="I448" s="1487"/>
      <c r="J448" s="1488"/>
      <c r="K448" s="1489"/>
      <c r="L448" s="1490"/>
      <c r="M448" s="1487"/>
      <c r="N448" s="1488"/>
      <c r="O448" s="1489"/>
      <c r="P448" s="1490"/>
      <c r="X448" s="1445" t="e">
        <f ca="1"/>
        <v>#NAME?</v>
      </c>
      <c r="Y448" s="1446" t="e">
        <f ca="1"/>
        <v>#NAME?</v>
      </c>
      <c r="Z448" s="1408"/>
    </row>
    <row r="449" spans="1:26">
      <c r="A449" s="1487"/>
      <c r="B449" s="1488"/>
      <c r="C449" s="1489"/>
      <c r="D449" s="1490"/>
      <c r="E449" s="1487"/>
      <c r="F449" s="1488"/>
      <c r="G449" s="1489"/>
      <c r="H449" s="1490"/>
      <c r="I449" s="1487"/>
      <c r="J449" s="1488"/>
      <c r="K449" s="1489"/>
      <c r="L449" s="1490"/>
      <c r="M449" s="1487"/>
      <c r="N449" s="1488"/>
      <c r="O449" s="1489"/>
      <c r="P449" s="1490"/>
      <c r="X449" s="1445" t="e">
        <f ca="1"/>
        <v>#NAME?</v>
      </c>
      <c r="Y449" s="1446" t="e">
        <f ca="1"/>
        <v>#NAME?</v>
      </c>
      <c r="Z449" s="1408"/>
    </row>
    <row r="450" spans="1:26">
      <c r="A450" s="1487"/>
      <c r="B450" s="1488"/>
      <c r="C450" s="1489"/>
      <c r="D450" s="1490"/>
      <c r="E450" s="1487"/>
      <c r="F450" s="1488"/>
      <c r="G450" s="1489"/>
      <c r="H450" s="1490"/>
      <c r="I450" s="1487"/>
      <c r="J450" s="1488"/>
      <c r="K450" s="1489"/>
      <c r="L450" s="1490"/>
      <c r="M450" s="1487"/>
      <c r="N450" s="1488"/>
      <c r="O450" s="1489"/>
      <c r="P450" s="1490"/>
      <c r="X450" s="1445" t="e">
        <f ca="1"/>
        <v>#NAME?</v>
      </c>
      <c r="Y450" s="1446" t="e">
        <f ca="1"/>
        <v>#NAME?</v>
      </c>
      <c r="Z450" s="1408"/>
    </row>
    <row r="451" spans="1:26">
      <c r="A451" s="1487"/>
      <c r="B451" s="1488"/>
      <c r="C451" s="1489"/>
      <c r="D451" s="1490"/>
      <c r="E451" s="1487"/>
      <c r="F451" s="1488"/>
      <c r="G451" s="1489"/>
      <c r="H451" s="1490"/>
      <c r="I451" s="1487"/>
      <c r="J451" s="1488"/>
      <c r="K451" s="1489"/>
      <c r="L451" s="1490"/>
      <c r="M451" s="1487"/>
      <c r="N451" s="1488"/>
      <c r="O451" s="1489"/>
      <c r="P451" s="1490"/>
      <c r="X451" s="1445" t="e">
        <f ca="1"/>
        <v>#NAME?</v>
      </c>
      <c r="Y451" s="1446" t="e">
        <f ca="1"/>
        <v>#NAME?</v>
      </c>
      <c r="Z451" s="1408"/>
    </row>
    <row r="452" spans="1:26">
      <c r="A452" s="1487"/>
      <c r="B452" s="1488"/>
      <c r="C452" s="1489"/>
      <c r="D452" s="1490"/>
      <c r="E452" s="1487"/>
      <c r="F452" s="1488"/>
      <c r="G452" s="1489"/>
      <c r="H452" s="1490"/>
      <c r="I452" s="1487"/>
      <c r="J452" s="1488"/>
      <c r="K452" s="1489"/>
      <c r="L452" s="1490"/>
      <c r="M452" s="1487"/>
      <c r="N452" s="1488"/>
      <c r="O452" s="1489"/>
      <c r="P452" s="1490"/>
      <c r="X452" s="1445" t="e">
        <f ca="1"/>
        <v>#NAME?</v>
      </c>
      <c r="Y452" s="1446" t="e">
        <f ca="1"/>
        <v>#NAME?</v>
      </c>
      <c r="Z452" s="1408"/>
    </row>
    <row r="453" spans="1:26">
      <c r="A453" s="1487"/>
      <c r="B453" s="1488"/>
      <c r="C453" s="1489"/>
      <c r="D453" s="1490"/>
      <c r="E453" s="1487"/>
      <c r="F453" s="1488"/>
      <c r="G453" s="1489"/>
      <c r="H453" s="1490"/>
      <c r="I453" s="1487"/>
      <c r="J453" s="1488"/>
      <c r="K453" s="1489"/>
      <c r="L453" s="1490"/>
      <c r="M453" s="1487"/>
      <c r="N453" s="1488"/>
      <c r="O453" s="1489"/>
      <c r="P453" s="1490"/>
      <c r="X453" s="1445" t="e">
        <f ca="1"/>
        <v>#NAME?</v>
      </c>
      <c r="Y453" s="1446" t="e">
        <f ca="1"/>
        <v>#NAME?</v>
      </c>
      <c r="Z453" s="1408"/>
    </row>
    <row r="454" spans="1:26">
      <c r="A454" s="1487"/>
      <c r="B454" s="1488"/>
      <c r="C454" s="1489"/>
      <c r="D454" s="1490"/>
      <c r="E454" s="1487"/>
      <c r="F454" s="1488"/>
      <c r="G454" s="1489"/>
      <c r="H454" s="1490"/>
      <c r="I454" s="1487"/>
      <c r="J454" s="1488"/>
      <c r="K454" s="1489"/>
      <c r="L454" s="1490"/>
      <c r="M454" s="1487"/>
      <c r="N454" s="1488"/>
      <c r="O454" s="1489"/>
      <c r="P454" s="1490"/>
      <c r="X454" s="1445" t="e">
        <f ca="1"/>
        <v>#NAME?</v>
      </c>
      <c r="Y454" s="1446" t="e">
        <f ca="1"/>
        <v>#NAME?</v>
      </c>
      <c r="Z454" s="1408"/>
    </row>
    <row r="455" spans="1:26">
      <c r="A455" s="1487"/>
      <c r="B455" s="1488"/>
      <c r="C455" s="1489"/>
      <c r="D455" s="1490"/>
      <c r="E455" s="1487"/>
      <c r="F455" s="1488"/>
      <c r="G455" s="1489"/>
      <c r="H455" s="1490"/>
      <c r="I455" s="1487"/>
      <c r="J455" s="1488"/>
      <c r="K455" s="1489"/>
      <c r="L455" s="1490"/>
      <c r="M455" s="1487"/>
      <c r="N455" s="1488"/>
      <c r="O455" s="1489"/>
      <c r="P455" s="1490"/>
      <c r="X455" s="1445" t="e">
        <f ca="1"/>
        <v>#NAME?</v>
      </c>
      <c r="Y455" s="1446" t="e">
        <f ca="1"/>
        <v>#NAME?</v>
      </c>
      <c r="Z455" s="1408"/>
    </row>
    <row r="456" spans="1:26">
      <c r="A456" s="1487"/>
      <c r="B456" s="1488"/>
      <c r="C456" s="1489"/>
      <c r="D456" s="1490"/>
      <c r="E456" s="1487"/>
      <c r="F456" s="1488"/>
      <c r="G456" s="1489"/>
      <c r="H456" s="1490"/>
      <c r="I456" s="1487"/>
      <c r="J456" s="1488"/>
      <c r="K456" s="1489"/>
      <c r="L456" s="1490"/>
      <c r="M456" s="1487"/>
      <c r="N456" s="1488"/>
      <c r="O456" s="1489"/>
      <c r="P456" s="1490"/>
      <c r="X456" s="1445" t="e">
        <f ca="1"/>
        <v>#NAME?</v>
      </c>
      <c r="Y456" s="1446" t="e">
        <f ca="1"/>
        <v>#NAME?</v>
      </c>
      <c r="Z456" s="1408"/>
    </row>
    <row r="457" spans="1:26">
      <c r="A457" s="1487"/>
      <c r="B457" s="1488"/>
      <c r="C457" s="1489"/>
      <c r="D457" s="1490"/>
      <c r="E457" s="1487"/>
      <c r="F457" s="1488"/>
      <c r="G457" s="1489"/>
      <c r="H457" s="1490"/>
      <c r="I457" s="1487"/>
      <c r="J457" s="1488"/>
      <c r="K457" s="1489"/>
      <c r="L457" s="1490"/>
      <c r="M457" s="1487"/>
      <c r="N457" s="1488"/>
      <c r="O457" s="1489"/>
      <c r="P457" s="1490"/>
      <c r="X457" s="1445" t="e">
        <f ca="1"/>
        <v>#NAME?</v>
      </c>
      <c r="Y457" s="1446" t="e">
        <f ca="1"/>
        <v>#NAME?</v>
      </c>
      <c r="Z457" s="1408"/>
    </row>
    <row r="458" spans="1:26">
      <c r="A458" s="1487"/>
      <c r="B458" s="1488"/>
      <c r="C458" s="1489"/>
      <c r="D458" s="1490"/>
      <c r="E458" s="1487"/>
      <c r="F458" s="1488"/>
      <c r="G458" s="1489"/>
      <c r="H458" s="1490"/>
      <c r="I458" s="1487"/>
      <c r="J458" s="1488"/>
      <c r="K458" s="1489"/>
      <c r="L458" s="1490"/>
      <c r="M458" s="1487"/>
      <c r="N458" s="1488"/>
      <c r="O458" s="1489"/>
      <c r="P458" s="1490"/>
      <c r="X458" s="1445" t="e">
        <f ca="1"/>
        <v>#NAME?</v>
      </c>
      <c r="Y458" s="1446" t="e">
        <f ca="1"/>
        <v>#NAME?</v>
      </c>
      <c r="Z458" s="1408"/>
    </row>
    <row r="459" spans="1:26">
      <c r="A459" s="1487"/>
      <c r="B459" s="1488"/>
      <c r="C459" s="1489"/>
      <c r="D459" s="1490"/>
      <c r="E459" s="1487"/>
      <c r="F459" s="1488"/>
      <c r="G459" s="1489"/>
      <c r="H459" s="1490"/>
      <c r="I459" s="1487"/>
      <c r="J459" s="1488"/>
      <c r="K459" s="1489"/>
      <c r="L459" s="1490"/>
      <c r="M459" s="1487"/>
      <c r="N459" s="1488"/>
      <c r="O459" s="1489"/>
      <c r="P459" s="1490"/>
      <c r="X459" s="1445" t="e">
        <f ca="1"/>
        <v>#NAME?</v>
      </c>
      <c r="Y459" s="1446" t="e">
        <f ca="1"/>
        <v>#NAME?</v>
      </c>
      <c r="Z459" s="1408"/>
    </row>
    <row r="460" spans="1:26">
      <c r="A460" s="1487"/>
      <c r="B460" s="1488"/>
      <c r="C460" s="1489"/>
      <c r="D460" s="1490"/>
      <c r="E460" s="1487"/>
      <c r="F460" s="1488"/>
      <c r="G460" s="1489"/>
      <c r="H460" s="1490"/>
      <c r="I460" s="1487"/>
      <c r="J460" s="1488"/>
      <c r="K460" s="1489"/>
      <c r="L460" s="1490"/>
      <c r="M460" s="1487"/>
      <c r="N460" s="1488"/>
      <c r="O460" s="1489"/>
      <c r="P460" s="1490"/>
      <c r="X460" s="1445" t="e">
        <f ca="1"/>
        <v>#NAME?</v>
      </c>
      <c r="Y460" s="1446" t="e">
        <f ca="1"/>
        <v>#NAME?</v>
      </c>
      <c r="Z460" s="1408"/>
    </row>
    <row r="461" spans="1:26">
      <c r="A461" s="1487"/>
      <c r="B461" s="1488"/>
      <c r="C461" s="1489"/>
      <c r="D461" s="1490"/>
      <c r="E461" s="1487"/>
      <c r="F461" s="1488"/>
      <c r="G461" s="1489"/>
      <c r="H461" s="1490"/>
      <c r="I461" s="1487"/>
      <c r="J461" s="1488"/>
      <c r="K461" s="1489"/>
      <c r="L461" s="1490"/>
      <c r="M461" s="1487"/>
      <c r="N461" s="1488"/>
      <c r="O461" s="1489"/>
      <c r="P461" s="1490"/>
      <c r="X461" s="1445" t="e">
        <f ca="1"/>
        <v>#NAME?</v>
      </c>
      <c r="Y461" s="1446" t="e">
        <f ca="1"/>
        <v>#NAME?</v>
      </c>
      <c r="Z461" s="1408"/>
    </row>
    <row r="462" spans="1:26">
      <c r="A462" s="1487"/>
      <c r="B462" s="1488"/>
      <c r="C462" s="1489"/>
      <c r="D462" s="1490"/>
      <c r="E462" s="1487"/>
      <c r="F462" s="1488"/>
      <c r="G462" s="1489"/>
      <c r="H462" s="1490"/>
      <c r="I462" s="1487"/>
      <c r="J462" s="1488"/>
      <c r="K462" s="1489"/>
      <c r="L462" s="1490"/>
      <c r="M462" s="1487"/>
      <c r="N462" s="1488"/>
      <c r="O462" s="1489"/>
      <c r="P462" s="1490"/>
      <c r="X462" s="1445" t="e">
        <f ca="1"/>
        <v>#NAME?</v>
      </c>
      <c r="Y462" s="1446" t="e">
        <f ca="1"/>
        <v>#NAME?</v>
      </c>
      <c r="Z462" s="1408"/>
    </row>
    <row r="463" spans="1:26">
      <c r="A463" s="1487"/>
      <c r="B463" s="1488"/>
      <c r="C463" s="1489"/>
      <c r="D463" s="1490"/>
      <c r="E463" s="1487"/>
      <c r="F463" s="1488"/>
      <c r="G463" s="1489"/>
      <c r="H463" s="1490"/>
      <c r="I463" s="1487"/>
      <c r="J463" s="1488"/>
      <c r="K463" s="1489"/>
      <c r="L463" s="1490"/>
      <c r="M463" s="1487"/>
      <c r="N463" s="1488"/>
      <c r="O463" s="1489"/>
      <c r="P463" s="1490"/>
      <c r="X463" s="1445" t="e">
        <f ca="1"/>
        <v>#NAME?</v>
      </c>
      <c r="Y463" s="1446" t="e">
        <f ca="1"/>
        <v>#NAME?</v>
      </c>
      <c r="Z463" s="1408"/>
    </row>
    <row r="464" spans="1:26">
      <c r="A464" s="1487"/>
      <c r="B464" s="1488"/>
      <c r="C464" s="1489"/>
      <c r="D464" s="1490"/>
      <c r="E464" s="1487"/>
      <c r="F464" s="1488"/>
      <c r="G464" s="1489"/>
      <c r="H464" s="1490"/>
      <c r="I464" s="1487"/>
      <c r="J464" s="1488"/>
      <c r="K464" s="1489"/>
      <c r="L464" s="1490"/>
      <c r="M464" s="1487"/>
      <c r="N464" s="1488"/>
      <c r="O464" s="1489"/>
      <c r="P464" s="1490"/>
      <c r="X464" s="1445" t="e">
        <f ca="1"/>
        <v>#NAME?</v>
      </c>
      <c r="Y464" s="1446" t="e">
        <f ca="1"/>
        <v>#NAME?</v>
      </c>
      <c r="Z464" s="1408"/>
    </row>
    <row r="465" spans="1:26">
      <c r="A465" s="1487"/>
      <c r="B465" s="1488"/>
      <c r="C465" s="1489"/>
      <c r="D465" s="1490"/>
      <c r="E465" s="1487"/>
      <c r="F465" s="1488"/>
      <c r="G465" s="1489"/>
      <c r="H465" s="1490"/>
      <c r="I465" s="1487"/>
      <c r="J465" s="1488"/>
      <c r="K465" s="1489"/>
      <c r="L465" s="1490"/>
      <c r="M465" s="1487"/>
      <c r="N465" s="1488"/>
      <c r="O465" s="1489"/>
      <c r="P465" s="1490"/>
      <c r="X465" s="1445" t="e">
        <f ca="1"/>
        <v>#NAME?</v>
      </c>
      <c r="Y465" s="1446" t="e">
        <f ca="1"/>
        <v>#NAME?</v>
      </c>
      <c r="Z465" s="1408"/>
    </row>
    <row r="466" spans="1:26">
      <c r="A466" s="1487"/>
      <c r="B466" s="1488"/>
      <c r="C466" s="1489"/>
      <c r="D466" s="1490"/>
      <c r="E466" s="1487"/>
      <c r="F466" s="1488"/>
      <c r="G466" s="1489"/>
      <c r="H466" s="1490"/>
      <c r="I466" s="1487"/>
      <c r="J466" s="1488"/>
      <c r="K466" s="1489"/>
      <c r="L466" s="1490"/>
      <c r="M466" s="1487"/>
      <c r="N466" s="1488"/>
      <c r="O466" s="1489"/>
      <c r="P466" s="1490"/>
      <c r="X466" s="1445" t="e">
        <f ca="1"/>
        <v>#NAME?</v>
      </c>
      <c r="Y466" s="1446" t="e">
        <f ca="1"/>
        <v>#NAME?</v>
      </c>
      <c r="Z466" s="1408"/>
    </row>
    <row r="467" spans="1:26">
      <c r="A467" s="1487"/>
      <c r="B467" s="1488"/>
      <c r="C467" s="1489"/>
      <c r="D467" s="1490"/>
      <c r="E467" s="1487"/>
      <c r="F467" s="1488"/>
      <c r="G467" s="1489"/>
      <c r="H467" s="1490"/>
      <c r="I467" s="1487"/>
      <c r="J467" s="1488"/>
      <c r="K467" s="1489"/>
      <c r="L467" s="1490"/>
      <c r="M467" s="1487"/>
      <c r="N467" s="1488"/>
      <c r="O467" s="1489"/>
      <c r="P467" s="1490"/>
      <c r="X467" s="1445" t="e">
        <f ca="1"/>
        <v>#NAME?</v>
      </c>
      <c r="Y467" s="1446" t="e">
        <f ca="1"/>
        <v>#NAME?</v>
      </c>
      <c r="Z467" s="1408"/>
    </row>
    <row r="468" spans="1:26">
      <c r="A468" s="1487"/>
      <c r="B468" s="1488"/>
      <c r="C468" s="1489"/>
      <c r="D468" s="1490"/>
      <c r="E468" s="1487"/>
      <c r="F468" s="1488"/>
      <c r="G468" s="1489"/>
      <c r="H468" s="1490"/>
      <c r="I468" s="1487"/>
      <c r="J468" s="1488"/>
      <c r="K468" s="1489"/>
      <c r="L468" s="1490"/>
      <c r="M468" s="1487"/>
      <c r="N468" s="1488"/>
      <c r="O468" s="1489"/>
      <c r="P468" s="1490"/>
      <c r="X468" s="1445" t="e">
        <f ca="1"/>
        <v>#NAME?</v>
      </c>
      <c r="Y468" s="1446" t="e">
        <f ca="1"/>
        <v>#NAME?</v>
      </c>
      <c r="Z468" s="1408"/>
    </row>
    <row r="469" spans="1:26">
      <c r="A469" s="1487"/>
      <c r="B469" s="1488"/>
      <c r="C469" s="1489"/>
      <c r="D469" s="1490"/>
      <c r="E469" s="1487"/>
      <c r="F469" s="1488"/>
      <c r="G469" s="1489"/>
      <c r="H469" s="1490"/>
      <c r="I469" s="1487"/>
      <c r="J469" s="1488"/>
      <c r="K469" s="1489"/>
      <c r="L469" s="1490"/>
      <c r="M469" s="1487"/>
      <c r="N469" s="1488"/>
      <c r="O469" s="1489"/>
      <c r="P469" s="1490"/>
      <c r="X469" s="1445" t="e">
        <f ca="1"/>
        <v>#NAME?</v>
      </c>
      <c r="Y469" s="1446" t="e">
        <f ca="1"/>
        <v>#NAME?</v>
      </c>
      <c r="Z469" s="1408"/>
    </row>
    <row r="470" spans="1:26">
      <c r="A470" s="1487"/>
      <c r="B470" s="1488"/>
      <c r="C470" s="1489"/>
      <c r="D470" s="1490"/>
      <c r="E470" s="1487"/>
      <c r="F470" s="1488"/>
      <c r="G470" s="1489"/>
      <c r="H470" s="1490"/>
      <c r="I470" s="1487"/>
      <c r="J470" s="1488"/>
      <c r="K470" s="1489"/>
      <c r="L470" s="1490"/>
      <c r="M470" s="1487"/>
      <c r="N470" s="1488"/>
      <c r="O470" s="1489"/>
      <c r="P470" s="1490"/>
      <c r="X470" s="1445" t="e">
        <f ca="1"/>
        <v>#NAME?</v>
      </c>
      <c r="Y470" s="1446" t="e">
        <f ca="1"/>
        <v>#NAME?</v>
      </c>
      <c r="Z470" s="1408"/>
    </row>
    <row r="471" spans="1:26">
      <c r="A471" s="1487"/>
      <c r="B471" s="1488"/>
      <c r="C471" s="1489"/>
      <c r="D471" s="1490"/>
      <c r="E471" s="1487"/>
      <c r="F471" s="1488"/>
      <c r="G471" s="1489"/>
      <c r="H471" s="1490"/>
      <c r="I471" s="1487"/>
      <c r="J471" s="1488"/>
      <c r="K471" s="1489"/>
      <c r="L471" s="1490"/>
      <c r="M471" s="1487"/>
      <c r="N471" s="1488"/>
      <c r="O471" s="1489"/>
      <c r="P471" s="1490"/>
      <c r="X471" s="1445" t="e">
        <f ca="1"/>
        <v>#NAME?</v>
      </c>
      <c r="Y471" s="1446" t="e">
        <f ca="1"/>
        <v>#NAME?</v>
      </c>
      <c r="Z471" s="1408"/>
    </row>
    <row r="472" spans="1:26">
      <c r="A472" s="1487"/>
      <c r="B472" s="1488"/>
      <c r="C472" s="1489"/>
      <c r="D472" s="1490"/>
      <c r="E472" s="1487"/>
      <c r="F472" s="1488"/>
      <c r="G472" s="1489"/>
      <c r="H472" s="1490"/>
      <c r="I472" s="1487"/>
      <c r="J472" s="1488"/>
      <c r="K472" s="1489"/>
      <c r="L472" s="1490"/>
      <c r="M472" s="1487"/>
      <c r="N472" s="1488"/>
      <c r="O472" s="1489"/>
      <c r="P472" s="1490"/>
      <c r="X472" s="1445" t="e">
        <f ca="1"/>
        <v>#NAME?</v>
      </c>
      <c r="Y472" s="1446" t="e">
        <f ca="1"/>
        <v>#NAME?</v>
      </c>
      <c r="Z472" s="1408"/>
    </row>
    <row r="473" spans="1:26">
      <c r="A473" s="1487"/>
      <c r="B473" s="1488"/>
      <c r="C473" s="1489"/>
      <c r="D473" s="1490"/>
      <c r="E473" s="1487"/>
      <c r="F473" s="1488"/>
      <c r="G473" s="1489"/>
      <c r="H473" s="1490"/>
      <c r="I473" s="1487"/>
      <c r="J473" s="1488"/>
      <c r="K473" s="1489"/>
      <c r="L473" s="1490"/>
      <c r="M473" s="1487"/>
      <c r="N473" s="1488"/>
      <c r="O473" s="1489"/>
      <c r="P473" s="1490"/>
      <c r="X473" s="1445" t="e">
        <f ca="1"/>
        <v>#NAME?</v>
      </c>
      <c r="Y473" s="1446" t="e">
        <f ca="1"/>
        <v>#NAME?</v>
      </c>
      <c r="Z473" s="1408"/>
    </row>
    <row r="474" spans="1:26">
      <c r="A474" s="1487"/>
      <c r="B474" s="1488"/>
      <c r="C474" s="1489"/>
      <c r="D474" s="1490"/>
      <c r="E474" s="1487"/>
      <c r="F474" s="1488"/>
      <c r="G474" s="1489"/>
      <c r="H474" s="1490"/>
      <c r="I474" s="1487"/>
      <c r="J474" s="1488"/>
      <c r="K474" s="1489"/>
      <c r="L474" s="1490"/>
      <c r="M474" s="1487"/>
      <c r="N474" s="1488"/>
      <c r="O474" s="1489"/>
      <c r="P474" s="1490"/>
      <c r="X474" s="1445" t="e">
        <f ca="1"/>
        <v>#NAME?</v>
      </c>
      <c r="Y474" s="1446" t="e">
        <f ca="1"/>
        <v>#NAME?</v>
      </c>
      <c r="Z474" s="1408"/>
    </row>
    <row r="475" spans="1:26">
      <c r="A475" s="1487"/>
      <c r="B475" s="1488"/>
      <c r="C475" s="1489"/>
      <c r="D475" s="1490"/>
      <c r="E475" s="1487"/>
      <c r="F475" s="1488"/>
      <c r="G475" s="1489"/>
      <c r="H475" s="1490"/>
      <c r="I475" s="1487"/>
      <c r="J475" s="1488"/>
      <c r="K475" s="1489"/>
      <c r="L475" s="1490"/>
      <c r="M475" s="1487"/>
      <c r="N475" s="1488"/>
      <c r="O475" s="1489"/>
      <c r="P475" s="1490"/>
      <c r="X475" s="1445" t="e">
        <f ca="1"/>
        <v>#NAME?</v>
      </c>
      <c r="Y475" s="1446" t="e">
        <f ca="1"/>
        <v>#NAME?</v>
      </c>
      <c r="Z475" s="1408"/>
    </row>
    <row r="476" spans="1:26">
      <c r="A476" s="1487"/>
      <c r="B476" s="1488"/>
      <c r="C476" s="1489"/>
      <c r="D476" s="1490"/>
      <c r="E476" s="1487"/>
      <c r="F476" s="1488"/>
      <c r="G476" s="1489"/>
      <c r="H476" s="1490"/>
      <c r="I476" s="1487"/>
      <c r="J476" s="1488"/>
      <c r="K476" s="1489"/>
      <c r="L476" s="1490"/>
      <c r="M476" s="1487"/>
      <c r="N476" s="1488"/>
      <c r="O476" s="1489"/>
      <c r="P476" s="1490"/>
      <c r="X476" s="1445" t="e">
        <f ca="1"/>
        <v>#NAME?</v>
      </c>
      <c r="Y476" s="1446" t="e">
        <f ca="1"/>
        <v>#NAME?</v>
      </c>
      <c r="Z476" s="1408"/>
    </row>
    <row r="477" spans="1:26">
      <c r="A477" s="1487"/>
      <c r="B477" s="1488"/>
      <c r="C477" s="1489"/>
      <c r="D477" s="1490"/>
      <c r="E477" s="1487"/>
      <c r="F477" s="1488"/>
      <c r="G477" s="1489"/>
      <c r="H477" s="1490"/>
      <c r="I477" s="1487"/>
      <c r="J477" s="1488"/>
      <c r="K477" s="1489"/>
      <c r="L477" s="1490"/>
      <c r="M477" s="1487"/>
      <c r="N477" s="1488"/>
      <c r="O477" s="1489"/>
      <c r="P477" s="1490"/>
      <c r="X477" s="1445" t="e">
        <f ca="1"/>
        <v>#NAME?</v>
      </c>
      <c r="Y477" s="1446" t="e">
        <f ca="1"/>
        <v>#NAME?</v>
      </c>
      <c r="Z477" s="1408"/>
    </row>
    <row r="478" spans="1:26">
      <c r="A478" s="1487"/>
      <c r="B478" s="1488"/>
      <c r="C478" s="1489"/>
      <c r="D478" s="1490"/>
      <c r="E478" s="1487"/>
      <c r="F478" s="1488"/>
      <c r="G478" s="1489"/>
      <c r="H478" s="1490"/>
      <c r="I478" s="1487"/>
      <c r="J478" s="1488"/>
      <c r="K478" s="1489"/>
      <c r="L478" s="1490"/>
      <c r="M478" s="1487"/>
      <c r="N478" s="1488"/>
      <c r="O478" s="1489"/>
      <c r="P478" s="1490"/>
      <c r="X478" s="1445" t="e">
        <f ca="1"/>
        <v>#NAME?</v>
      </c>
      <c r="Y478" s="1446" t="e">
        <f ca="1"/>
        <v>#NAME?</v>
      </c>
      <c r="Z478" s="1408"/>
    </row>
    <row r="479" spans="1:26">
      <c r="A479" s="1487"/>
      <c r="B479" s="1488"/>
      <c r="C479" s="1489"/>
      <c r="D479" s="1490"/>
      <c r="E479" s="1487"/>
      <c r="F479" s="1488"/>
      <c r="G479" s="1489"/>
      <c r="H479" s="1490"/>
      <c r="I479" s="1487"/>
      <c r="J479" s="1488"/>
      <c r="K479" s="1489"/>
      <c r="L479" s="1490"/>
      <c r="M479" s="1487"/>
      <c r="N479" s="1488"/>
      <c r="O479" s="1489"/>
      <c r="P479" s="1490"/>
      <c r="X479" s="1445" t="e">
        <f ca="1"/>
        <v>#NAME?</v>
      </c>
      <c r="Y479" s="1446" t="e">
        <f ca="1"/>
        <v>#NAME?</v>
      </c>
      <c r="Z479" s="1408"/>
    </row>
    <row r="480" spans="1:26">
      <c r="A480" s="1487"/>
      <c r="B480" s="1488"/>
      <c r="C480" s="1489"/>
      <c r="D480" s="1490"/>
      <c r="E480" s="1487"/>
      <c r="F480" s="1488"/>
      <c r="G480" s="1489"/>
      <c r="H480" s="1490"/>
      <c r="I480" s="1487"/>
      <c r="J480" s="1488"/>
      <c r="K480" s="1489"/>
      <c r="L480" s="1490"/>
      <c r="M480" s="1487"/>
      <c r="N480" s="1488"/>
      <c r="O480" s="1489"/>
      <c r="P480" s="1490"/>
      <c r="X480" s="1445" t="e">
        <f ca="1"/>
        <v>#NAME?</v>
      </c>
      <c r="Y480" s="1446" t="e">
        <f ca="1"/>
        <v>#NAME?</v>
      </c>
      <c r="Z480" s="1408"/>
    </row>
    <row r="481" spans="1:26">
      <c r="A481" s="1487"/>
      <c r="B481" s="1488"/>
      <c r="C481" s="1489"/>
      <c r="D481" s="1490"/>
      <c r="E481" s="1487"/>
      <c r="F481" s="1488"/>
      <c r="G481" s="1489"/>
      <c r="H481" s="1490"/>
      <c r="I481" s="1487"/>
      <c r="J481" s="1488"/>
      <c r="K481" s="1489"/>
      <c r="L481" s="1490"/>
      <c r="M481" s="1487"/>
      <c r="N481" s="1488"/>
      <c r="O481" s="1489"/>
      <c r="P481" s="1490"/>
      <c r="X481" s="1445" t="e">
        <f ca="1"/>
        <v>#NAME?</v>
      </c>
      <c r="Y481" s="1446" t="e">
        <f ca="1"/>
        <v>#NAME?</v>
      </c>
      <c r="Z481" s="1408"/>
    </row>
    <row r="482" spans="1:26">
      <c r="A482" s="1487"/>
      <c r="B482" s="1488"/>
      <c r="C482" s="1489"/>
      <c r="D482" s="1490"/>
      <c r="E482" s="1487"/>
      <c r="F482" s="1488"/>
      <c r="G482" s="1489"/>
      <c r="H482" s="1490"/>
      <c r="I482" s="1487"/>
      <c r="J482" s="1488"/>
      <c r="K482" s="1489"/>
      <c r="L482" s="1490"/>
      <c r="M482" s="1487"/>
      <c r="N482" s="1488"/>
      <c r="O482" s="1489"/>
      <c r="P482" s="1490"/>
      <c r="X482" s="1445" t="e">
        <f ca="1"/>
        <v>#NAME?</v>
      </c>
      <c r="Y482" s="1446" t="e">
        <f ca="1"/>
        <v>#NAME?</v>
      </c>
      <c r="Z482" s="1408"/>
    </row>
    <row r="483" spans="1:26">
      <c r="A483" s="1487"/>
      <c r="B483" s="1488"/>
      <c r="C483" s="1489"/>
      <c r="D483" s="1490"/>
      <c r="E483" s="1487"/>
      <c r="F483" s="1488"/>
      <c r="G483" s="1489"/>
      <c r="H483" s="1490"/>
      <c r="I483" s="1487"/>
      <c r="J483" s="1488"/>
      <c r="K483" s="1489"/>
      <c r="L483" s="1490"/>
      <c r="M483" s="1487"/>
      <c r="N483" s="1488"/>
      <c r="O483" s="1489"/>
      <c r="P483" s="1490"/>
      <c r="X483" s="1445" t="e">
        <f ca="1"/>
        <v>#NAME?</v>
      </c>
      <c r="Y483" s="1446" t="e">
        <f ca="1"/>
        <v>#NAME?</v>
      </c>
      <c r="Z483" s="1408"/>
    </row>
    <row r="484" spans="1:26">
      <c r="A484" s="1487"/>
      <c r="B484" s="1488"/>
      <c r="C484" s="1489"/>
      <c r="D484" s="1490"/>
      <c r="E484" s="1487"/>
      <c r="F484" s="1488"/>
      <c r="G484" s="1489"/>
      <c r="H484" s="1490"/>
      <c r="I484" s="1487"/>
      <c r="J484" s="1488"/>
      <c r="K484" s="1489"/>
      <c r="L484" s="1490"/>
      <c r="M484" s="1487"/>
      <c r="N484" s="1488"/>
      <c r="O484" s="1489"/>
      <c r="P484" s="1490"/>
      <c r="X484" s="1445" t="e">
        <f ca="1"/>
        <v>#NAME?</v>
      </c>
      <c r="Y484" s="1446" t="e">
        <f ca="1"/>
        <v>#NAME?</v>
      </c>
      <c r="Z484" s="1408"/>
    </row>
    <row r="485" spans="1:26">
      <c r="A485" s="1487"/>
      <c r="B485" s="1488"/>
      <c r="C485" s="1489"/>
      <c r="D485" s="1490"/>
      <c r="E485" s="1487"/>
      <c r="F485" s="1488"/>
      <c r="G485" s="1489"/>
      <c r="H485" s="1490"/>
      <c r="I485" s="1487"/>
      <c r="J485" s="1488"/>
      <c r="K485" s="1489"/>
      <c r="L485" s="1490"/>
      <c r="M485" s="1487"/>
      <c r="N485" s="1488"/>
      <c r="O485" s="1489"/>
      <c r="P485" s="1490"/>
      <c r="X485" s="1445" t="e">
        <f ca="1"/>
        <v>#NAME?</v>
      </c>
      <c r="Y485" s="1446" t="e">
        <f ca="1"/>
        <v>#NAME?</v>
      </c>
      <c r="Z485" s="1408"/>
    </row>
    <row r="486" spans="1:26">
      <c r="A486" s="1487"/>
      <c r="B486" s="1488"/>
      <c r="C486" s="1489"/>
      <c r="D486" s="1490"/>
      <c r="E486" s="1487"/>
      <c r="F486" s="1488"/>
      <c r="G486" s="1489"/>
      <c r="H486" s="1490"/>
      <c r="I486" s="1487"/>
      <c r="J486" s="1488"/>
      <c r="K486" s="1489"/>
      <c r="L486" s="1490"/>
      <c r="M486" s="1487"/>
      <c r="N486" s="1488"/>
      <c r="O486" s="1489"/>
      <c r="P486" s="1490"/>
      <c r="X486" s="1445" t="e">
        <f ca="1"/>
        <v>#NAME?</v>
      </c>
      <c r="Y486" s="1446" t="e">
        <f ca="1"/>
        <v>#NAME?</v>
      </c>
      <c r="Z486" s="1408"/>
    </row>
    <row r="487" spans="1:26">
      <c r="A487" s="1487"/>
      <c r="B487" s="1488"/>
      <c r="C487" s="1489"/>
      <c r="D487" s="1490"/>
      <c r="E487" s="1487"/>
      <c r="F487" s="1488"/>
      <c r="G487" s="1489"/>
      <c r="H487" s="1490"/>
      <c r="I487" s="1487"/>
      <c r="J487" s="1488"/>
      <c r="K487" s="1489"/>
      <c r="L487" s="1490"/>
      <c r="M487" s="1487"/>
      <c r="N487" s="1488"/>
      <c r="O487" s="1489"/>
      <c r="P487" s="1490"/>
      <c r="X487" s="1445" t="e">
        <f ca="1"/>
        <v>#NAME?</v>
      </c>
      <c r="Y487" s="1446" t="e">
        <f ca="1"/>
        <v>#NAME?</v>
      </c>
      <c r="Z487" s="1408"/>
    </row>
    <row r="488" spans="1:26">
      <c r="A488" s="1487"/>
      <c r="B488" s="1488"/>
      <c r="C488" s="1489"/>
      <c r="D488" s="1490"/>
      <c r="E488" s="1487"/>
      <c r="F488" s="1488"/>
      <c r="G488" s="1489"/>
      <c r="H488" s="1490"/>
      <c r="I488" s="1487"/>
      <c r="J488" s="1488"/>
      <c r="K488" s="1489"/>
      <c r="L488" s="1490"/>
      <c r="M488" s="1487"/>
      <c r="N488" s="1488"/>
      <c r="O488" s="1489"/>
      <c r="P488" s="1490"/>
      <c r="X488" s="1445" t="e">
        <f ca="1"/>
        <v>#NAME?</v>
      </c>
      <c r="Y488" s="1446" t="e">
        <f ca="1"/>
        <v>#NAME?</v>
      </c>
      <c r="Z488" s="1408"/>
    </row>
    <row r="489" spans="1:26">
      <c r="A489" s="1487"/>
      <c r="B489" s="1488"/>
      <c r="C489" s="1489"/>
      <c r="D489" s="1490"/>
      <c r="E489" s="1487"/>
      <c r="F489" s="1488"/>
      <c r="G489" s="1489"/>
      <c r="H489" s="1490"/>
      <c r="I489" s="1487"/>
      <c r="J489" s="1488"/>
      <c r="K489" s="1489"/>
      <c r="L489" s="1490"/>
      <c r="M489" s="1487"/>
      <c r="N489" s="1488"/>
      <c r="O489" s="1489"/>
      <c r="P489" s="1490"/>
      <c r="X489" s="1445" t="e">
        <f ca="1"/>
        <v>#NAME?</v>
      </c>
      <c r="Y489" s="1446" t="e">
        <f ca="1"/>
        <v>#NAME?</v>
      </c>
      <c r="Z489" s="1408"/>
    </row>
    <row r="490" spans="1:26">
      <c r="A490" s="1487"/>
      <c r="B490" s="1488"/>
      <c r="C490" s="1489"/>
      <c r="D490" s="1490"/>
      <c r="E490" s="1487"/>
      <c r="F490" s="1488"/>
      <c r="G490" s="1489"/>
      <c r="H490" s="1490"/>
      <c r="I490" s="1487"/>
      <c r="J490" s="1488"/>
      <c r="K490" s="1489"/>
      <c r="L490" s="1490"/>
      <c r="M490" s="1487"/>
      <c r="N490" s="1488"/>
      <c r="O490" s="1489"/>
      <c r="P490" s="1490"/>
      <c r="X490" s="1445" t="e">
        <f ca="1"/>
        <v>#NAME?</v>
      </c>
      <c r="Y490" s="1446" t="e">
        <f ca="1"/>
        <v>#NAME?</v>
      </c>
      <c r="Z490" s="1408"/>
    </row>
    <row r="491" spans="1:26">
      <c r="A491" s="1487"/>
      <c r="B491" s="1488"/>
      <c r="C491" s="1489"/>
      <c r="D491" s="1490"/>
      <c r="E491" s="1487"/>
      <c r="F491" s="1488"/>
      <c r="G491" s="1489"/>
      <c r="H491" s="1490"/>
      <c r="I491" s="1487"/>
      <c r="J491" s="1488"/>
      <c r="K491" s="1489"/>
      <c r="L491" s="1490"/>
      <c r="M491" s="1487"/>
      <c r="N491" s="1488"/>
      <c r="O491" s="1489"/>
      <c r="P491" s="1490"/>
      <c r="X491" s="1445" t="e">
        <f ca="1"/>
        <v>#NAME?</v>
      </c>
      <c r="Y491" s="1446" t="e">
        <f ca="1"/>
        <v>#NAME?</v>
      </c>
      <c r="Z491" s="1408"/>
    </row>
    <row r="492" spans="1:26">
      <c r="A492" s="1487"/>
      <c r="B492" s="1488"/>
      <c r="C492" s="1489"/>
      <c r="D492" s="1490"/>
      <c r="E492" s="1487"/>
      <c r="F492" s="1488"/>
      <c r="G492" s="1489"/>
      <c r="H492" s="1490"/>
      <c r="I492" s="1487"/>
      <c r="J492" s="1488"/>
      <c r="K492" s="1489"/>
      <c r="L492" s="1490"/>
      <c r="M492" s="1487"/>
      <c r="N492" s="1488"/>
      <c r="O492" s="1489"/>
      <c r="P492" s="1490"/>
      <c r="X492" s="1445" t="e">
        <f ca="1"/>
        <v>#NAME?</v>
      </c>
      <c r="Y492" s="1446" t="e">
        <f ca="1"/>
        <v>#NAME?</v>
      </c>
      <c r="Z492" s="1408"/>
    </row>
    <row r="493" spans="1:26">
      <c r="A493" s="1487"/>
      <c r="B493" s="1488"/>
      <c r="C493" s="1489"/>
      <c r="D493" s="1490"/>
      <c r="E493" s="1487"/>
      <c r="F493" s="1488"/>
      <c r="G493" s="1489"/>
      <c r="H493" s="1490"/>
      <c r="I493" s="1487"/>
      <c r="J493" s="1488"/>
      <c r="K493" s="1489"/>
      <c r="L493" s="1490"/>
      <c r="M493" s="1487"/>
      <c r="N493" s="1488"/>
      <c r="O493" s="1489"/>
      <c r="P493" s="1490"/>
      <c r="X493" s="1445" t="e">
        <f ca="1"/>
        <v>#NAME?</v>
      </c>
      <c r="Y493" s="1446" t="e">
        <f ca="1"/>
        <v>#NAME?</v>
      </c>
      <c r="Z493" s="1408"/>
    </row>
    <row r="494" spans="1:26">
      <c r="A494" s="1487"/>
      <c r="B494" s="1488"/>
      <c r="C494" s="1489"/>
      <c r="D494" s="1490"/>
      <c r="E494" s="1487"/>
      <c r="F494" s="1488"/>
      <c r="G494" s="1489"/>
      <c r="H494" s="1490"/>
      <c r="I494" s="1487"/>
      <c r="J494" s="1488"/>
      <c r="K494" s="1489"/>
      <c r="L494" s="1490"/>
      <c r="M494" s="1487"/>
      <c r="N494" s="1488"/>
      <c r="O494" s="1489"/>
      <c r="P494" s="1490"/>
      <c r="X494" s="1445" t="e">
        <f ca="1"/>
        <v>#NAME?</v>
      </c>
      <c r="Y494" s="1446" t="e">
        <f ca="1"/>
        <v>#NAME?</v>
      </c>
      <c r="Z494" s="1408"/>
    </row>
    <row r="495" spans="1:26">
      <c r="A495" s="1487"/>
      <c r="B495" s="1488"/>
      <c r="C495" s="1489"/>
      <c r="D495" s="1490"/>
      <c r="E495" s="1487"/>
      <c r="F495" s="1488"/>
      <c r="G495" s="1489"/>
      <c r="H495" s="1490"/>
      <c r="I495" s="1487"/>
      <c r="J495" s="1488"/>
      <c r="K495" s="1489"/>
      <c r="L495" s="1490"/>
      <c r="M495" s="1487"/>
      <c r="N495" s="1488"/>
      <c r="O495" s="1489"/>
      <c r="P495" s="1490"/>
      <c r="X495" s="1445" t="e">
        <f ca="1"/>
        <v>#NAME?</v>
      </c>
      <c r="Y495" s="1446" t="e">
        <f ca="1"/>
        <v>#NAME?</v>
      </c>
      <c r="Z495" s="1408"/>
    </row>
    <row r="496" spans="1:26">
      <c r="A496" s="1487"/>
      <c r="B496" s="1488"/>
      <c r="C496" s="1489"/>
      <c r="D496" s="1490"/>
      <c r="E496" s="1487"/>
      <c r="F496" s="1488"/>
      <c r="G496" s="1489"/>
      <c r="H496" s="1490"/>
      <c r="I496" s="1487"/>
      <c r="J496" s="1488"/>
      <c r="K496" s="1489"/>
      <c r="L496" s="1490"/>
      <c r="M496" s="1487"/>
      <c r="N496" s="1488"/>
      <c r="O496" s="1489"/>
      <c r="P496" s="1490"/>
      <c r="X496" s="1445" t="e">
        <f ca="1"/>
        <v>#NAME?</v>
      </c>
      <c r="Y496" s="1446" t="e">
        <f ca="1"/>
        <v>#NAME?</v>
      </c>
      <c r="Z496" s="1408"/>
    </row>
    <row r="497" spans="1:26">
      <c r="A497" s="1487"/>
      <c r="B497" s="1488"/>
      <c r="C497" s="1489"/>
      <c r="D497" s="1490"/>
      <c r="E497" s="1487"/>
      <c r="F497" s="1488"/>
      <c r="G497" s="1489"/>
      <c r="H497" s="1490"/>
      <c r="I497" s="1487"/>
      <c r="J497" s="1488"/>
      <c r="K497" s="1489"/>
      <c r="L497" s="1490"/>
      <c r="M497" s="1487"/>
      <c r="N497" s="1488"/>
      <c r="O497" s="1489"/>
      <c r="P497" s="1490"/>
      <c r="X497" s="1445" t="e">
        <f ca="1"/>
        <v>#NAME?</v>
      </c>
      <c r="Y497" s="1446" t="e">
        <f ca="1"/>
        <v>#NAME?</v>
      </c>
      <c r="Z497" s="1408"/>
    </row>
    <row r="498" spans="1:26">
      <c r="A498" s="1487"/>
      <c r="B498" s="1488"/>
      <c r="C498" s="1489"/>
      <c r="D498" s="1490"/>
      <c r="E498" s="1487"/>
      <c r="F498" s="1488"/>
      <c r="G498" s="1489"/>
      <c r="H498" s="1490"/>
      <c r="I498" s="1487"/>
      <c r="J498" s="1488"/>
      <c r="K498" s="1489"/>
      <c r="L498" s="1490"/>
      <c r="M498" s="1487"/>
      <c r="N498" s="1488"/>
      <c r="O498" s="1489"/>
      <c r="P498" s="1490"/>
      <c r="X498" s="1445" t="e">
        <f ca="1"/>
        <v>#NAME?</v>
      </c>
      <c r="Y498" s="1446" t="e">
        <f ca="1"/>
        <v>#NAME?</v>
      </c>
      <c r="Z498" s="1408"/>
    </row>
    <row r="499" spans="1:26">
      <c r="A499" s="1487"/>
      <c r="B499" s="1488"/>
      <c r="C499" s="1489"/>
      <c r="D499" s="1490"/>
      <c r="E499" s="1487"/>
      <c r="F499" s="1488"/>
      <c r="G499" s="1489"/>
      <c r="H499" s="1490"/>
      <c r="I499" s="1487"/>
      <c r="J499" s="1488"/>
      <c r="K499" s="1489"/>
      <c r="L499" s="1490"/>
      <c r="M499" s="1487"/>
      <c r="N499" s="1488"/>
      <c r="O499" s="1489"/>
      <c r="P499" s="1490"/>
      <c r="X499" s="1445" t="e">
        <f ca="1"/>
        <v>#NAME?</v>
      </c>
      <c r="Y499" s="1446" t="e">
        <f ca="1"/>
        <v>#NAME?</v>
      </c>
      <c r="Z499" s="1408"/>
    </row>
    <row r="500" spans="1:26">
      <c r="A500" s="1487"/>
      <c r="B500" s="1488"/>
      <c r="C500" s="1489"/>
      <c r="D500" s="1490"/>
      <c r="E500" s="1487"/>
      <c r="F500" s="1488"/>
      <c r="G500" s="1489"/>
      <c r="H500" s="1490"/>
      <c r="I500" s="1487"/>
      <c r="J500" s="1488"/>
      <c r="K500" s="1489"/>
      <c r="L500" s="1490"/>
      <c r="M500" s="1487"/>
      <c r="N500" s="1488"/>
      <c r="O500" s="1489"/>
      <c r="P500" s="1490"/>
      <c r="X500" s="1445" t="e">
        <f ca="1"/>
        <v>#NAME?</v>
      </c>
      <c r="Y500" s="1446" t="e">
        <f ca="1"/>
        <v>#NAME?</v>
      </c>
      <c r="Z500" s="1408"/>
    </row>
    <row r="501" spans="1:26">
      <c r="A501" s="1487"/>
      <c r="B501" s="1488"/>
      <c r="C501" s="1489"/>
      <c r="D501" s="1490"/>
      <c r="E501" s="1487"/>
      <c r="F501" s="1488"/>
      <c r="G501" s="1489"/>
      <c r="H501" s="1490"/>
      <c r="I501" s="1487"/>
      <c r="J501" s="1488"/>
      <c r="K501" s="1489"/>
      <c r="L501" s="1490"/>
      <c r="M501" s="1487"/>
      <c r="N501" s="1488"/>
      <c r="O501" s="1489"/>
      <c r="P501" s="1490"/>
      <c r="X501" s="1445" t="e">
        <f ca="1"/>
        <v>#NAME?</v>
      </c>
      <c r="Y501" s="1446" t="e">
        <f ca="1"/>
        <v>#NAME?</v>
      </c>
      <c r="Z501" s="1408"/>
    </row>
    <row r="502" spans="1:26">
      <c r="A502" s="1487"/>
      <c r="B502" s="1488"/>
      <c r="C502" s="1489"/>
      <c r="D502" s="1490"/>
      <c r="E502" s="1487"/>
      <c r="F502" s="1488"/>
      <c r="G502" s="1489"/>
      <c r="H502" s="1490"/>
      <c r="I502" s="1487"/>
      <c r="J502" s="1488"/>
      <c r="K502" s="1489"/>
      <c r="L502" s="1490"/>
      <c r="M502" s="1487"/>
      <c r="N502" s="1488"/>
      <c r="O502" s="1489"/>
      <c r="P502" s="1490"/>
      <c r="X502" s="1445" t="e">
        <f ca="1"/>
        <v>#NAME?</v>
      </c>
      <c r="Y502" s="1446" t="e">
        <f ca="1"/>
        <v>#NAME?</v>
      </c>
      <c r="Z502" s="1408"/>
    </row>
    <row r="503" spans="1:26">
      <c r="A503" s="1487"/>
      <c r="B503" s="1488"/>
      <c r="C503" s="1489"/>
      <c r="D503" s="1490"/>
      <c r="E503" s="1487"/>
      <c r="F503" s="1488"/>
      <c r="G503" s="1489"/>
      <c r="H503" s="1490"/>
      <c r="I503" s="1487"/>
      <c r="J503" s="1488"/>
      <c r="K503" s="1489"/>
      <c r="L503" s="1490"/>
      <c r="M503" s="1487"/>
      <c r="N503" s="1488"/>
      <c r="O503" s="1489"/>
      <c r="P503" s="1490"/>
      <c r="X503" s="1445" t="e">
        <f ca="1"/>
        <v>#NAME?</v>
      </c>
      <c r="Y503" s="1446" t="e">
        <f ca="1"/>
        <v>#NAME?</v>
      </c>
      <c r="Z503" s="1408"/>
    </row>
    <row r="504" spans="1:26">
      <c r="A504" s="1487"/>
      <c r="B504" s="1488"/>
      <c r="C504" s="1489"/>
      <c r="D504" s="1490"/>
      <c r="E504" s="1487"/>
      <c r="F504" s="1488"/>
      <c r="G504" s="1489"/>
      <c r="H504" s="1490"/>
      <c r="I504" s="1487"/>
      <c r="J504" s="1488"/>
      <c r="K504" s="1489"/>
      <c r="L504" s="1490"/>
      <c r="M504" s="1487"/>
      <c r="N504" s="1488"/>
      <c r="O504" s="1489"/>
      <c r="P504" s="1490"/>
      <c r="X504" s="1445" t="e">
        <f ca="1"/>
        <v>#NAME?</v>
      </c>
      <c r="Y504" s="1446" t="e">
        <f ca="1"/>
        <v>#NAME?</v>
      </c>
      <c r="Z504" s="1408"/>
    </row>
    <row r="505" spans="1:26">
      <c r="A505" s="1487"/>
      <c r="B505" s="1488"/>
      <c r="C505" s="1489"/>
      <c r="D505" s="1490"/>
      <c r="E505" s="1487"/>
      <c r="F505" s="1488"/>
      <c r="G505" s="1489"/>
      <c r="H505" s="1490"/>
      <c r="I505" s="1487"/>
      <c r="J505" s="1488"/>
      <c r="K505" s="1489"/>
      <c r="L505" s="1490"/>
      <c r="M505" s="1487"/>
      <c r="N505" s="1488"/>
      <c r="O505" s="1489"/>
      <c r="P505" s="1490"/>
      <c r="X505" s="1445" t="e">
        <f ca="1"/>
        <v>#NAME?</v>
      </c>
      <c r="Y505" s="1446" t="e">
        <f ca="1"/>
        <v>#NAME?</v>
      </c>
      <c r="Z505" s="1408"/>
    </row>
    <row r="506" spans="1:26">
      <c r="A506" s="1487"/>
      <c r="B506" s="1488"/>
      <c r="C506" s="1489"/>
      <c r="D506" s="1490"/>
      <c r="E506" s="1487"/>
      <c r="F506" s="1488"/>
      <c r="G506" s="1489"/>
      <c r="H506" s="1490"/>
      <c r="I506" s="1487"/>
      <c r="J506" s="1488"/>
      <c r="K506" s="1489"/>
      <c r="L506" s="1490"/>
      <c r="M506" s="1487"/>
      <c r="N506" s="1488"/>
      <c r="O506" s="1489"/>
      <c r="P506" s="1490"/>
      <c r="X506" s="1445" t="e">
        <f ca="1"/>
        <v>#NAME?</v>
      </c>
      <c r="Y506" s="1446" t="e">
        <f ca="1"/>
        <v>#NAME?</v>
      </c>
      <c r="Z506" s="1408"/>
    </row>
    <row r="507" spans="1:26">
      <c r="A507" s="1487"/>
      <c r="B507" s="1488"/>
      <c r="C507" s="1489"/>
      <c r="D507" s="1490"/>
      <c r="E507" s="1487"/>
      <c r="F507" s="1488"/>
      <c r="G507" s="1489"/>
      <c r="H507" s="1490"/>
      <c r="I507" s="1487"/>
      <c r="J507" s="1488"/>
      <c r="K507" s="1489"/>
      <c r="L507" s="1490"/>
      <c r="M507" s="1487"/>
      <c r="N507" s="1488"/>
      <c r="O507" s="1489"/>
      <c r="P507" s="1490"/>
      <c r="X507" s="1445" t="e">
        <f ca="1"/>
        <v>#NAME?</v>
      </c>
      <c r="Y507" s="1446" t="e">
        <f ca="1"/>
        <v>#NAME?</v>
      </c>
      <c r="Z507" s="1408"/>
    </row>
    <row r="508" spans="1:26">
      <c r="A508" s="1487"/>
      <c r="B508" s="1488"/>
      <c r="C508" s="1489"/>
      <c r="D508" s="1490"/>
      <c r="E508" s="1487"/>
      <c r="F508" s="1488"/>
      <c r="G508" s="1489"/>
      <c r="H508" s="1490"/>
      <c r="I508" s="1487"/>
      <c r="J508" s="1488"/>
      <c r="K508" s="1489"/>
      <c r="L508" s="1490"/>
      <c r="M508" s="1487"/>
      <c r="N508" s="1488"/>
      <c r="O508" s="1489"/>
      <c r="P508" s="1490"/>
      <c r="X508" s="1445" t="e">
        <f ca="1"/>
        <v>#NAME?</v>
      </c>
      <c r="Y508" s="1446" t="e">
        <f ca="1"/>
        <v>#NAME?</v>
      </c>
      <c r="Z508" s="1408"/>
    </row>
    <row r="509" spans="1:26">
      <c r="A509" s="1487"/>
      <c r="B509" s="1488"/>
      <c r="C509" s="1489"/>
      <c r="D509" s="1490"/>
      <c r="E509" s="1487"/>
      <c r="F509" s="1488"/>
      <c r="G509" s="1489"/>
      <c r="H509" s="1490"/>
      <c r="I509" s="1487"/>
      <c r="J509" s="1488"/>
      <c r="K509" s="1489"/>
      <c r="L509" s="1490"/>
      <c r="M509" s="1487"/>
      <c r="N509" s="1488"/>
      <c r="O509" s="1489"/>
      <c r="P509" s="1490"/>
      <c r="X509" s="1445" t="e">
        <f ca="1"/>
        <v>#NAME?</v>
      </c>
      <c r="Y509" s="1446" t="e">
        <f ca="1"/>
        <v>#NAME?</v>
      </c>
      <c r="Z509" s="1408"/>
    </row>
    <row r="510" spans="1:26">
      <c r="A510" s="1487"/>
      <c r="B510" s="1488"/>
      <c r="C510" s="1489"/>
      <c r="D510" s="1490"/>
      <c r="E510" s="1487"/>
      <c r="F510" s="1488"/>
      <c r="G510" s="1489"/>
      <c r="H510" s="1490"/>
      <c r="I510" s="1487"/>
      <c r="J510" s="1488"/>
      <c r="K510" s="1489"/>
      <c r="L510" s="1490"/>
      <c r="M510" s="1487"/>
      <c r="N510" s="1488"/>
      <c r="O510" s="1489"/>
      <c r="P510" s="1490"/>
      <c r="X510" s="1445" t="e">
        <f ca="1"/>
        <v>#NAME?</v>
      </c>
      <c r="Y510" s="1446" t="e">
        <f ca="1"/>
        <v>#NAME?</v>
      </c>
      <c r="Z510" s="1408"/>
    </row>
    <row r="511" spans="1:26">
      <c r="A511" s="1487"/>
      <c r="B511" s="1488"/>
      <c r="C511" s="1489"/>
      <c r="D511" s="1490"/>
      <c r="E511" s="1487"/>
      <c r="F511" s="1488"/>
      <c r="G511" s="1489"/>
      <c r="H511" s="1490"/>
      <c r="I511" s="1487"/>
      <c r="J511" s="1488"/>
      <c r="K511" s="1489"/>
      <c r="L511" s="1490"/>
      <c r="M511" s="1487"/>
      <c r="N511" s="1488"/>
      <c r="O511" s="1489"/>
      <c r="P511" s="1490"/>
      <c r="X511" s="1445" t="e">
        <f ca="1"/>
        <v>#NAME?</v>
      </c>
      <c r="Y511" s="1446" t="e">
        <f ca="1"/>
        <v>#NAME?</v>
      </c>
      <c r="Z511" s="1408"/>
    </row>
    <row r="512" spans="1:26">
      <c r="A512" s="1487"/>
      <c r="B512" s="1488"/>
      <c r="C512" s="1489"/>
      <c r="D512" s="1490"/>
      <c r="E512" s="1487"/>
      <c r="F512" s="1488"/>
      <c r="G512" s="1489"/>
      <c r="H512" s="1490"/>
      <c r="I512" s="1487"/>
      <c r="J512" s="1488"/>
      <c r="K512" s="1489"/>
      <c r="L512" s="1490"/>
      <c r="M512" s="1487"/>
      <c r="N512" s="1488"/>
      <c r="O512" s="1489"/>
      <c r="P512" s="1490"/>
      <c r="X512" s="1445" t="e">
        <f ca="1"/>
        <v>#NAME?</v>
      </c>
      <c r="Y512" s="1446" t="e">
        <f ca="1"/>
        <v>#NAME?</v>
      </c>
      <c r="Z512" s="1408"/>
    </row>
    <row r="513" spans="1:26">
      <c r="A513" s="1487"/>
      <c r="B513" s="1488"/>
      <c r="C513" s="1489"/>
      <c r="D513" s="1490"/>
      <c r="E513" s="1487"/>
      <c r="F513" s="1488"/>
      <c r="G513" s="1489"/>
      <c r="H513" s="1490"/>
      <c r="I513" s="1487"/>
      <c r="J513" s="1488"/>
      <c r="K513" s="1489"/>
      <c r="L513" s="1490"/>
      <c r="M513" s="1487"/>
      <c r="N513" s="1488"/>
      <c r="O513" s="1489"/>
      <c r="P513" s="1490"/>
      <c r="X513" s="1445" t="e">
        <f ca="1"/>
        <v>#NAME?</v>
      </c>
      <c r="Y513" s="1446" t="e">
        <f ca="1"/>
        <v>#NAME?</v>
      </c>
      <c r="Z513" s="1408"/>
    </row>
    <row r="514" spans="1:26">
      <c r="A514" s="1487"/>
      <c r="B514" s="1488"/>
      <c r="C514" s="1489"/>
      <c r="D514" s="1490"/>
      <c r="E514" s="1487"/>
      <c r="F514" s="1488"/>
      <c r="G514" s="1489"/>
      <c r="H514" s="1490"/>
      <c r="I514" s="1487"/>
      <c r="J514" s="1488"/>
      <c r="K514" s="1489"/>
      <c r="L514" s="1490"/>
      <c r="M514" s="1487"/>
      <c r="N514" s="1488"/>
      <c r="O514" s="1489"/>
      <c r="P514" s="1490"/>
      <c r="X514" s="1445" t="e">
        <f ca="1"/>
        <v>#NAME?</v>
      </c>
      <c r="Y514" s="1446" t="e">
        <f ca="1"/>
        <v>#NAME?</v>
      </c>
      <c r="Z514" s="1408"/>
    </row>
    <row r="515" spans="1:26">
      <c r="A515" s="1487"/>
      <c r="B515" s="1488"/>
      <c r="C515" s="1489"/>
      <c r="D515" s="1490"/>
      <c r="E515" s="1487"/>
      <c r="F515" s="1488"/>
      <c r="G515" s="1489"/>
      <c r="H515" s="1490"/>
      <c r="I515" s="1487"/>
      <c r="J515" s="1488"/>
      <c r="K515" s="1489"/>
      <c r="L515" s="1490"/>
      <c r="M515" s="1487"/>
      <c r="N515" s="1488"/>
      <c r="O515" s="1489"/>
      <c r="P515" s="1490"/>
      <c r="X515" s="1445" t="e">
        <f ca="1"/>
        <v>#NAME?</v>
      </c>
      <c r="Y515" s="1446" t="e">
        <f ca="1"/>
        <v>#NAME?</v>
      </c>
      <c r="Z515" s="1408"/>
    </row>
    <row r="516" spans="1:26">
      <c r="A516" s="1487"/>
      <c r="B516" s="1488"/>
      <c r="C516" s="1489"/>
      <c r="D516" s="1490"/>
      <c r="E516" s="1487"/>
      <c r="F516" s="1488"/>
      <c r="G516" s="1489"/>
      <c r="H516" s="1490"/>
      <c r="I516" s="1487"/>
      <c r="J516" s="1488"/>
      <c r="K516" s="1489"/>
      <c r="L516" s="1490"/>
      <c r="M516" s="1487"/>
      <c r="N516" s="1488"/>
      <c r="O516" s="1489"/>
      <c r="P516" s="1490"/>
      <c r="X516" s="1445" t="e">
        <f ca="1"/>
        <v>#NAME?</v>
      </c>
      <c r="Y516" s="1446" t="e">
        <f ca="1"/>
        <v>#NAME?</v>
      </c>
      <c r="Z516" s="1408"/>
    </row>
    <row r="517" spans="1:26">
      <c r="A517" s="1487"/>
      <c r="B517" s="1488"/>
      <c r="C517" s="1489"/>
      <c r="D517" s="1490"/>
      <c r="E517" s="1487"/>
      <c r="F517" s="1488"/>
      <c r="G517" s="1489"/>
      <c r="H517" s="1490"/>
      <c r="I517" s="1487"/>
      <c r="J517" s="1488"/>
      <c r="K517" s="1489"/>
      <c r="L517" s="1490"/>
      <c r="M517" s="1487"/>
      <c r="N517" s="1488"/>
      <c r="O517" s="1489"/>
      <c r="P517" s="1490"/>
      <c r="X517" s="1445" t="e">
        <f ca="1"/>
        <v>#NAME?</v>
      </c>
      <c r="Y517" s="1446" t="e">
        <f ca="1"/>
        <v>#NAME?</v>
      </c>
      <c r="Z517" s="1408"/>
    </row>
    <row r="518" spans="1:26">
      <c r="A518" s="1487"/>
      <c r="B518" s="1488"/>
      <c r="C518" s="1489"/>
      <c r="D518" s="1490"/>
      <c r="E518" s="1487"/>
      <c r="F518" s="1488"/>
      <c r="G518" s="1489"/>
      <c r="H518" s="1490"/>
      <c r="I518" s="1487"/>
      <c r="J518" s="1488"/>
      <c r="K518" s="1489"/>
      <c r="L518" s="1490"/>
      <c r="M518" s="1487"/>
      <c r="N518" s="1488"/>
      <c r="O518" s="1489"/>
      <c r="P518" s="1490"/>
      <c r="X518" s="1445" t="e">
        <f ca="1"/>
        <v>#NAME?</v>
      </c>
      <c r="Y518" s="1446" t="e">
        <f ca="1"/>
        <v>#NAME?</v>
      </c>
      <c r="Z518" s="1408"/>
    </row>
    <row r="519" spans="1:26">
      <c r="A519" s="1487"/>
      <c r="B519" s="1488"/>
      <c r="C519" s="1489"/>
      <c r="D519" s="1490"/>
      <c r="E519" s="1487"/>
      <c r="F519" s="1488"/>
      <c r="G519" s="1489"/>
      <c r="H519" s="1490"/>
      <c r="I519" s="1487"/>
      <c r="J519" s="1488"/>
      <c r="K519" s="1489"/>
      <c r="L519" s="1490"/>
      <c r="M519" s="1487"/>
      <c r="N519" s="1488"/>
      <c r="O519" s="1489"/>
      <c r="P519" s="1490"/>
      <c r="X519" s="1445" t="e">
        <f ca="1"/>
        <v>#NAME?</v>
      </c>
      <c r="Y519" s="1446" t="e">
        <f ca="1"/>
        <v>#NAME?</v>
      </c>
      <c r="Z519" s="1408"/>
    </row>
    <row r="520" spans="1:26">
      <c r="A520" s="1487"/>
      <c r="B520" s="1488"/>
      <c r="C520" s="1489"/>
      <c r="D520" s="1490"/>
      <c r="E520" s="1487"/>
      <c r="F520" s="1488"/>
      <c r="G520" s="1489"/>
      <c r="H520" s="1490"/>
      <c r="I520" s="1487"/>
      <c r="J520" s="1488"/>
      <c r="K520" s="1489"/>
      <c r="L520" s="1490"/>
      <c r="M520" s="1487"/>
      <c r="N520" s="1488"/>
      <c r="O520" s="1489"/>
      <c r="P520" s="1490"/>
      <c r="X520" s="1445" t="e">
        <f ca="1"/>
        <v>#NAME?</v>
      </c>
      <c r="Y520" s="1446" t="e">
        <f ca="1"/>
        <v>#NAME?</v>
      </c>
      <c r="Z520" s="1408"/>
    </row>
    <row r="521" spans="1:26">
      <c r="A521" s="1487"/>
      <c r="B521" s="1488"/>
      <c r="C521" s="1489"/>
      <c r="D521" s="1490"/>
      <c r="E521" s="1487"/>
      <c r="F521" s="1488"/>
      <c r="G521" s="1489"/>
      <c r="H521" s="1490"/>
      <c r="I521" s="1487"/>
      <c r="J521" s="1488"/>
      <c r="K521" s="1489"/>
      <c r="L521" s="1490"/>
      <c r="M521" s="1487"/>
      <c r="N521" s="1488"/>
      <c r="O521" s="1489"/>
      <c r="P521" s="1490"/>
      <c r="X521" s="1445" t="e">
        <f ca="1"/>
        <v>#NAME?</v>
      </c>
      <c r="Y521" s="1446" t="e">
        <f ca="1"/>
        <v>#NAME?</v>
      </c>
      <c r="Z521" s="1408"/>
    </row>
    <row r="522" spans="1:26">
      <c r="A522" s="1487"/>
      <c r="B522" s="1488"/>
      <c r="C522" s="1489"/>
      <c r="D522" s="1490"/>
      <c r="E522" s="1487"/>
      <c r="F522" s="1488"/>
      <c r="G522" s="1489"/>
      <c r="H522" s="1490"/>
      <c r="I522" s="1487"/>
      <c r="J522" s="1488"/>
      <c r="K522" s="1489"/>
      <c r="L522" s="1490"/>
      <c r="M522" s="1487"/>
      <c r="N522" s="1488"/>
      <c r="O522" s="1489"/>
      <c r="P522" s="1490"/>
      <c r="X522" s="1445" t="e">
        <f ca="1"/>
        <v>#NAME?</v>
      </c>
      <c r="Y522" s="1446" t="e">
        <f ca="1"/>
        <v>#NAME?</v>
      </c>
      <c r="Z522" s="1408"/>
    </row>
    <row r="523" spans="1:26">
      <c r="A523" s="1487"/>
      <c r="B523" s="1488"/>
      <c r="C523" s="1489"/>
      <c r="D523" s="1490"/>
      <c r="E523" s="1487"/>
      <c r="F523" s="1488"/>
      <c r="G523" s="1489"/>
      <c r="H523" s="1490"/>
      <c r="I523" s="1487"/>
      <c r="J523" s="1488"/>
      <c r="K523" s="1489"/>
      <c r="L523" s="1490"/>
      <c r="M523" s="1487"/>
      <c r="N523" s="1488"/>
      <c r="O523" s="1489"/>
      <c r="P523" s="1490"/>
      <c r="X523" s="1445" t="e">
        <f ca="1"/>
        <v>#NAME?</v>
      </c>
      <c r="Y523" s="1446" t="e">
        <f ca="1"/>
        <v>#NAME?</v>
      </c>
      <c r="Z523" s="1408"/>
    </row>
    <row r="524" spans="1:26">
      <c r="A524" s="1487"/>
      <c r="B524" s="1488"/>
      <c r="C524" s="1489"/>
      <c r="D524" s="1490"/>
      <c r="E524" s="1487"/>
      <c r="F524" s="1488"/>
      <c r="G524" s="1489"/>
      <c r="H524" s="1490"/>
      <c r="I524" s="1487"/>
      <c r="J524" s="1488"/>
      <c r="K524" s="1489"/>
      <c r="L524" s="1490"/>
      <c r="M524" s="1487"/>
      <c r="N524" s="1488"/>
      <c r="O524" s="1489"/>
      <c r="P524" s="1490"/>
      <c r="X524" s="1445" t="e">
        <f ca="1"/>
        <v>#NAME?</v>
      </c>
      <c r="Y524" s="1446" t="e">
        <f ca="1"/>
        <v>#NAME?</v>
      </c>
      <c r="Z524" s="1408"/>
    </row>
    <row r="525" spans="1:26">
      <c r="A525" s="1487"/>
      <c r="B525" s="1488"/>
      <c r="C525" s="1489"/>
      <c r="D525" s="1490"/>
      <c r="E525" s="1487"/>
      <c r="F525" s="1488"/>
      <c r="G525" s="1489"/>
      <c r="H525" s="1490"/>
      <c r="I525" s="1487"/>
      <c r="J525" s="1488"/>
      <c r="K525" s="1489"/>
      <c r="L525" s="1490"/>
      <c r="M525" s="1487"/>
      <c r="N525" s="1488"/>
      <c r="O525" s="1489"/>
      <c r="P525" s="1490"/>
      <c r="X525" s="1445" t="e">
        <f ca="1"/>
        <v>#NAME?</v>
      </c>
      <c r="Y525" s="1446" t="e">
        <f ca="1"/>
        <v>#NAME?</v>
      </c>
      <c r="Z525" s="1408"/>
    </row>
    <row r="526" spans="1:26">
      <c r="A526" s="1487"/>
      <c r="B526" s="1488"/>
      <c r="C526" s="1489"/>
      <c r="D526" s="1490"/>
      <c r="E526" s="1487"/>
      <c r="F526" s="1488"/>
      <c r="G526" s="1489"/>
      <c r="H526" s="1490"/>
      <c r="I526" s="1487"/>
      <c r="J526" s="1488"/>
      <c r="K526" s="1489"/>
      <c r="L526" s="1490"/>
      <c r="M526" s="1487"/>
      <c r="N526" s="1488"/>
      <c r="O526" s="1489"/>
      <c r="P526" s="1490"/>
      <c r="X526" s="1445" t="e">
        <f ca="1"/>
        <v>#NAME?</v>
      </c>
      <c r="Y526" s="1446" t="e">
        <f ca="1"/>
        <v>#NAME?</v>
      </c>
      <c r="Z526" s="1408"/>
    </row>
    <row r="527" spans="1:26">
      <c r="A527" s="1487"/>
      <c r="B527" s="1488"/>
      <c r="C527" s="1489"/>
      <c r="D527" s="1490"/>
      <c r="E527" s="1487"/>
      <c r="F527" s="1488"/>
      <c r="G527" s="1489"/>
      <c r="H527" s="1490"/>
      <c r="I527" s="1487"/>
      <c r="J527" s="1488"/>
      <c r="K527" s="1489"/>
      <c r="L527" s="1490"/>
      <c r="M527" s="1487"/>
      <c r="N527" s="1488"/>
      <c r="O527" s="1489"/>
      <c r="P527" s="1490"/>
      <c r="X527" s="1445" t="e">
        <f ca="1"/>
        <v>#NAME?</v>
      </c>
      <c r="Y527" s="1446" t="e">
        <f ca="1"/>
        <v>#NAME?</v>
      </c>
      <c r="Z527" s="1408"/>
    </row>
    <row r="528" spans="1:26">
      <c r="A528" s="1487"/>
      <c r="B528" s="1488"/>
      <c r="C528" s="1489"/>
      <c r="D528" s="1490"/>
      <c r="E528" s="1487"/>
      <c r="F528" s="1488"/>
      <c r="G528" s="1489"/>
      <c r="H528" s="1490"/>
      <c r="I528" s="1487"/>
      <c r="J528" s="1488"/>
      <c r="K528" s="1489"/>
      <c r="L528" s="1490"/>
      <c r="M528" s="1487"/>
      <c r="N528" s="1488"/>
      <c r="O528" s="1489"/>
      <c r="P528" s="1490"/>
      <c r="X528" s="1445" t="e">
        <f ca="1"/>
        <v>#NAME?</v>
      </c>
      <c r="Y528" s="1446" t="e">
        <f ca="1"/>
        <v>#NAME?</v>
      </c>
      <c r="Z528" s="1408"/>
    </row>
    <row r="529" spans="1:26">
      <c r="A529" s="1487"/>
      <c r="B529" s="1488"/>
      <c r="C529" s="1489"/>
      <c r="D529" s="1490"/>
      <c r="E529" s="1487"/>
      <c r="F529" s="1488"/>
      <c r="G529" s="1489"/>
      <c r="H529" s="1490"/>
      <c r="I529" s="1487"/>
      <c r="J529" s="1488"/>
      <c r="K529" s="1489"/>
      <c r="L529" s="1490"/>
      <c r="M529" s="1487"/>
      <c r="N529" s="1488"/>
      <c r="O529" s="1489"/>
      <c r="P529" s="1490"/>
      <c r="X529" s="1445" t="e">
        <f ca="1"/>
        <v>#NAME?</v>
      </c>
      <c r="Y529" s="1446" t="e">
        <f ca="1"/>
        <v>#NAME?</v>
      </c>
      <c r="Z529" s="1408"/>
    </row>
    <row r="530" spans="1:26">
      <c r="A530" s="1487"/>
      <c r="B530" s="1488"/>
      <c r="C530" s="1489"/>
      <c r="D530" s="1490"/>
      <c r="E530" s="1487"/>
      <c r="F530" s="1488"/>
      <c r="G530" s="1489"/>
      <c r="H530" s="1490"/>
      <c r="I530" s="1487"/>
      <c r="J530" s="1488"/>
      <c r="K530" s="1489"/>
      <c r="L530" s="1490"/>
      <c r="M530" s="1487"/>
      <c r="N530" s="1488"/>
      <c r="O530" s="1489"/>
      <c r="P530" s="1490"/>
      <c r="X530" s="1445" t="e">
        <f ca="1"/>
        <v>#NAME?</v>
      </c>
      <c r="Y530" s="1446" t="e">
        <f ca="1"/>
        <v>#NAME?</v>
      </c>
      <c r="Z530" s="1408"/>
    </row>
    <row r="531" spans="1:26">
      <c r="A531" s="1487"/>
      <c r="B531" s="1488"/>
      <c r="C531" s="1489"/>
      <c r="D531" s="1490"/>
      <c r="E531" s="1487"/>
      <c r="F531" s="1488"/>
      <c r="G531" s="1489"/>
      <c r="H531" s="1490"/>
      <c r="I531" s="1487"/>
      <c r="J531" s="1488"/>
      <c r="K531" s="1489"/>
      <c r="L531" s="1490"/>
      <c r="M531" s="1487"/>
      <c r="N531" s="1488"/>
      <c r="O531" s="1489"/>
      <c r="P531" s="1490"/>
      <c r="X531" s="1445" t="e">
        <f ca="1"/>
        <v>#NAME?</v>
      </c>
      <c r="Y531" s="1446" t="e">
        <f ca="1"/>
        <v>#NAME?</v>
      </c>
      <c r="Z531" s="1408"/>
    </row>
    <row r="532" spans="1:26">
      <c r="A532" s="1487"/>
      <c r="B532" s="1488"/>
      <c r="C532" s="1489"/>
      <c r="D532" s="1490"/>
      <c r="E532" s="1487"/>
      <c r="F532" s="1488"/>
      <c r="G532" s="1489"/>
      <c r="H532" s="1490"/>
      <c r="I532" s="1487"/>
      <c r="J532" s="1488"/>
      <c r="K532" s="1489"/>
      <c r="L532" s="1490"/>
      <c r="M532" s="1487"/>
      <c r="N532" s="1488"/>
      <c r="O532" s="1489"/>
      <c r="P532" s="1490"/>
      <c r="X532" s="1445" t="e">
        <f ca="1"/>
        <v>#NAME?</v>
      </c>
      <c r="Y532" s="1446" t="e">
        <f ca="1"/>
        <v>#NAME?</v>
      </c>
      <c r="Z532" s="1408"/>
    </row>
    <row r="533" spans="1:26">
      <c r="A533" s="1487"/>
      <c r="B533" s="1488"/>
      <c r="C533" s="1489"/>
      <c r="D533" s="1490"/>
      <c r="E533" s="1487"/>
      <c r="F533" s="1488"/>
      <c r="G533" s="1489"/>
      <c r="H533" s="1490"/>
      <c r="I533" s="1487"/>
      <c r="J533" s="1488"/>
      <c r="K533" s="1489"/>
      <c r="L533" s="1490"/>
      <c r="M533" s="1487"/>
      <c r="N533" s="1488"/>
      <c r="O533" s="1489"/>
      <c r="P533" s="1490"/>
      <c r="X533" s="1445" t="e">
        <f ca="1"/>
        <v>#NAME?</v>
      </c>
      <c r="Y533" s="1446" t="e">
        <f ca="1"/>
        <v>#NAME?</v>
      </c>
      <c r="Z533" s="1408"/>
    </row>
    <row r="534" spans="1:26">
      <c r="A534" s="1487"/>
      <c r="B534" s="1488"/>
      <c r="C534" s="1489"/>
      <c r="D534" s="1490"/>
      <c r="E534" s="1487"/>
      <c r="F534" s="1488"/>
      <c r="G534" s="1489"/>
      <c r="H534" s="1490"/>
      <c r="I534" s="1487"/>
      <c r="J534" s="1488"/>
      <c r="K534" s="1489"/>
      <c r="L534" s="1490"/>
      <c r="M534" s="1487"/>
      <c r="N534" s="1488"/>
      <c r="O534" s="1489"/>
      <c r="P534" s="1490"/>
      <c r="X534" s="1445" t="e">
        <f ca="1"/>
        <v>#NAME?</v>
      </c>
      <c r="Y534" s="1446" t="e">
        <f ca="1"/>
        <v>#NAME?</v>
      </c>
      <c r="Z534" s="1408"/>
    </row>
    <row r="535" spans="1:26">
      <c r="A535" s="1487"/>
      <c r="B535" s="1488"/>
      <c r="C535" s="1489"/>
      <c r="D535" s="1490"/>
      <c r="E535" s="1487"/>
      <c r="F535" s="1488"/>
      <c r="G535" s="1489"/>
      <c r="H535" s="1490"/>
      <c r="I535" s="1487"/>
      <c r="J535" s="1488"/>
      <c r="K535" s="1489"/>
      <c r="L535" s="1490"/>
      <c r="M535" s="1487"/>
      <c r="N535" s="1488"/>
      <c r="O535" s="1489"/>
      <c r="P535" s="1490"/>
      <c r="X535" s="1445" t="e">
        <f ca="1"/>
        <v>#NAME?</v>
      </c>
      <c r="Y535" s="1446" t="e">
        <f ca="1"/>
        <v>#NAME?</v>
      </c>
      <c r="Z535" s="1408"/>
    </row>
    <row r="536" spans="1:26">
      <c r="A536" s="1487"/>
      <c r="B536" s="1488"/>
      <c r="C536" s="1489"/>
      <c r="D536" s="1490"/>
      <c r="E536" s="1487"/>
      <c r="F536" s="1488"/>
      <c r="G536" s="1489"/>
      <c r="H536" s="1490"/>
      <c r="I536" s="1487"/>
      <c r="J536" s="1488"/>
      <c r="K536" s="1489"/>
      <c r="L536" s="1490"/>
      <c r="M536" s="1487"/>
      <c r="N536" s="1488"/>
      <c r="O536" s="1489"/>
      <c r="P536" s="1490"/>
      <c r="X536" s="1445" t="e">
        <f ca="1"/>
        <v>#NAME?</v>
      </c>
      <c r="Y536" s="1446" t="e">
        <f ca="1"/>
        <v>#NAME?</v>
      </c>
      <c r="Z536" s="1408"/>
    </row>
    <row r="537" spans="1:26">
      <c r="A537" s="1487"/>
      <c r="B537" s="1488"/>
      <c r="C537" s="1489"/>
      <c r="D537" s="1490"/>
      <c r="E537" s="1487"/>
      <c r="F537" s="1488"/>
      <c r="G537" s="1489"/>
      <c r="H537" s="1490"/>
      <c r="I537" s="1487"/>
      <c r="J537" s="1488"/>
      <c r="K537" s="1489"/>
      <c r="L537" s="1490"/>
      <c r="M537" s="1487"/>
      <c r="N537" s="1488"/>
      <c r="O537" s="1489"/>
      <c r="P537" s="1490"/>
      <c r="X537" s="1445" t="e">
        <f ca="1"/>
        <v>#NAME?</v>
      </c>
      <c r="Y537" s="1446" t="e">
        <f ca="1"/>
        <v>#NAME?</v>
      </c>
      <c r="Z537" s="1408"/>
    </row>
    <row r="538" spans="1:26">
      <c r="A538" s="1487"/>
      <c r="B538" s="1488"/>
      <c r="C538" s="1489"/>
      <c r="D538" s="1490"/>
      <c r="E538" s="1487"/>
      <c r="F538" s="1488"/>
      <c r="G538" s="1489"/>
      <c r="H538" s="1490"/>
      <c r="I538" s="1487"/>
      <c r="J538" s="1488"/>
      <c r="K538" s="1489"/>
      <c r="L538" s="1490"/>
      <c r="M538" s="1487"/>
      <c r="N538" s="1488"/>
      <c r="O538" s="1489"/>
      <c r="P538" s="1490"/>
      <c r="X538" s="1445" t="e">
        <f ca="1"/>
        <v>#NAME?</v>
      </c>
      <c r="Y538" s="1446" t="e">
        <f ca="1"/>
        <v>#NAME?</v>
      </c>
      <c r="Z538" s="1408"/>
    </row>
    <row r="539" spans="1:26">
      <c r="A539" s="1487"/>
      <c r="B539" s="1488"/>
      <c r="C539" s="1489"/>
      <c r="D539" s="1490"/>
      <c r="E539" s="1487"/>
      <c r="F539" s="1488"/>
      <c r="G539" s="1489"/>
      <c r="H539" s="1490"/>
      <c r="I539" s="1487"/>
      <c r="J539" s="1488"/>
      <c r="K539" s="1489"/>
      <c r="L539" s="1490"/>
      <c r="M539" s="1487"/>
      <c r="N539" s="1488"/>
      <c r="O539" s="1489"/>
      <c r="P539" s="1490"/>
      <c r="X539" s="1445" t="e">
        <f ca="1"/>
        <v>#NAME?</v>
      </c>
      <c r="Y539" s="1446" t="e">
        <f ca="1"/>
        <v>#NAME?</v>
      </c>
      <c r="Z539" s="1408"/>
    </row>
    <row r="540" spans="1:26">
      <c r="A540" s="1487"/>
      <c r="B540" s="1488"/>
      <c r="C540" s="1489"/>
      <c r="D540" s="1490"/>
      <c r="E540" s="1487"/>
      <c r="F540" s="1488"/>
      <c r="G540" s="1489"/>
      <c r="H540" s="1490"/>
      <c r="I540" s="1487"/>
      <c r="J540" s="1488"/>
      <c r="K540" s="1489"/>
      <c r="L540" s="1490"/>
      <c r="M540" s="1487"/>
      <c r="N540" s="1488"/>
      <c r="O540" s="1489"/>
      <c r="P540" s="1490"/>
      <c r="X540" s="1445" t="e">
        <f ca="1"/>
        <v>#NAME?</v>
      </c>
      <c r="Y540" s="1446" t="e">
        <f ca="1"/>
        <v>#NAME?</v>
      </c>
      <c r="Z540" s="1408"/>
    </row>
    <row r="541" spans="1:26">
      <c r="A541" s="1487"/>
      <c r="B541" s="1488"/>
      <c r="C541" s="1489"/>
      <c r="D541" s="1490"/>
      <c r="E541" s="1487"/>
      <c r="F541" s="1488"/>
      <c r="G541" s="1489"/>
      <c r="H541" s="1490"/>
      <c r="I541" s="1487"/>
      <c r="J541" s="1488"/>
      <c r="K541" s="1489"/>
      <c r="L541" s="1490"/>
      <c r="M541" s="1487"/>
      <c r="N541" s="1488"/>
      <c r="O541" s="1489"/>
      <c r="P541" s="1490"/>
      <c r="X541" s="1445" t="e">
        <f ca="1"/>
        <v>#NAME?</v>
      </c>
      <c r="Y541" s="1446" t="e">
        <f ca="1"/>
        <v>#NAME?</v>
      </c>
      <c r="Z541" s="1408"/>
    </row>
    <row r="542" spans="1:26">
      <c r="A542" s="1487"/>
      <c r="B542" s="1488"/>
      <c r="C542" s="1489"/>
      <c r="D542" s="1490"/>
      <c r="E542" s="1487"/>
      <c r="F542" s="1488"/>
      <c r="G542" s="1489"/>
      <c r="H542" s="1490"/>
      <c r="I542" s="1487"/>
      <c r="J542" s="1488"/>
      <c r="K542" s="1489"/>
      <c r="L542" s="1490"/>
      <c r="M542" s="1487"/>
      <c r="N542" s="1488"/>
      <c r="O542" s="1489"/>
      <c r="P542" s="1490"/>
      <c r="X542" s="1445" t="e">
        <f ca="1"/>
        <v>#NAME?</v>
      </c>
      <c r="Y542" s="1446" t="e">
        <f ca="1"/>
        <v>#NAME?</v>
      </c>
      <c r="Z542" s="1408"/>
    </row>
    <row r="543" spans="1:26">
      <c r="A543" s="1487"/>
      <c r="B543" s="1488"/>
      <c r="C543" s="1489"/>
      <c r="D543" s="1490"/>
      <c r="E543" s="1487"/>
      <c r="F543" s="1488"/>
      <c r="G543" s="1489"/>
      <c r="H543" s="1490"/>
      <c r="I543" s="1487"/>
      <c r="J543" s="1488"/>
      <c r="K543" s="1489"/>
      <c r="L543" s="1490"/>
      <c r="M543" s="1487"/>
      <c r="N543" s="1488"/>
      <c r="O543" s="1489"/>
      <c r="P543" s="1490"/>
      <c r="X543" s="1445" t="e">
        <f ca="1"/>
        <v>#NAME?</v>
      </c>
      <c r="Y543" s="1446" t="e">
        <f ca="1"/>
        <v>#NAME?</v>
      </c>
      <c r="Z543" s="1408"/>
    </row>
    <row r="544" spans="1:26">
      <c r="A544" s="1487"/>
      <c r="B544" s="1488"/>
      <c r="C544" s="1489"/>
      <c r="D544" s="1490"/>
      <c r="E544" s="1487"/>
      <c r="F544" s="1488"/>
      <c r="G544" s="1489"/>
      <c r="H544" s="1490"/>
      <c r="I544" s="1487"/>
      <c r="J544" s="1488"/>
      <c r="K544" s="1489"/>
      <c r="L544" s="1490"/>
      <c r="M544" s="1487"/>
      <c r="N544" s="1488"/>
      <c r="O544" s="1489"/>
      <c r="P544" s="1490"/>
      <c r="X544" s="1445" t="e">
        <f ca="1"/>
        <v>#NAME?</v>
      </c>
      <c r="Y544" s="1446" t="e">
        <f ca="1"/>
        <v>#NAME?</v>
      </c>
      <c r="Z544" s="1408"/>
    </row>
    <row r="545" spans="1:26">
      <c r="A545" s="1487"/>
      <c r="B545" s="1488"/>
      <c r="C545" s="1489"/>
      <c r="D545" s="1490"/>
      <c r="E545" s="1487"/>
      <c r="F545" s="1488"/>
      <c r="G545" s="1489"/>
      <c r="H545" s="1490"/>
      <c r="I545" s="1487"/>
      <c r="J545" s="1488"/>
      <c r="K545" s="1489"/>
      <c r="L545" s="1490"/>
      <c r="M545" s="1487"/>
      <c r="N545" s="1488"/>
      <c r="O545" s="1489"/>
      <c r="P545" s="1490"/>
      <c r="X545" s="1445" t="e">
        <f ca="1"/>
        <v>#NAME?</v>
      </c>
      <c r="Y545" s="1446" t="e">
        <f ca="1"/>
        <v>#NAME?</v>
      </c>
      <c r="Z545" s="1408"/>
    </row>
    <row r="546" spans="1:26">
      <c r="A546" s="1487"/>
      <c r="B546" s="1488"/>
      <c r="C546" s="1489"/>
      <c r="D546" s="1490"/>
      <c r="E546" s="1487"/>
      <c r="F546" s="1488"/>
      <c r="G546" s="1489"/>
      <c r="H546" s="1490"/>
      <c r="I546" s="1487"/>
      <c r="J546" s="1488"/>
      <c r="K546" s="1489"/>
      <c r="L546" s="1490"/>
      <c r="M546" s="1487"/>
      <c r="N546" s="1488"/>
      <c r="O546" s="1489"/>
      <c r="P546" s="1490"/>
      <c r="X546" s="1445" t="e">
        <f ca="1"/>
        <v>#NAME?</v>
      </c>
      <c r="Y546" s="1446" t="e">
        <f ca="1"/>
        <v>#NAME?</v>
      </c>
      <c r="Z546" s="1408"/>
    </row>
    <row r="547" spans="1:26">
      <c r="A547" s="1487"/>
      <c r="B547" s="1488"/>
      <c r="C547" s="1489"/>
      <c r="D547" s="1490"/>
      <c r="E547" s="1487"/>
      <c r="F547" s="1488"/>
      <c r="G547" s="1489"/>
      <c r="H547" s="1490"/>
      <c r="I547" s="1487"/>
      <c r="J547" s="1488"/>
      <c r="K547" s="1489"/>
      <c r="L547" s="1490"/>
      <c r="M547" s="1487"/>
      <c r="N547" s="1488"/>
      <c r="O547" s="1489"/>
      <c r="P547" s="1490"/>
      <c r="X547" s="1445" t="e">
        <f ca="1"/>
        <v>#NAME?</v>
      </c>
      <c r="Y547" s="1446" t="e">
        <f ca="1"/>
        <v>#NAME?</v>
      </c>
      <c r="Z547" s="1408"/>
    </row>
    <row r="548" spans="1:26">
      <c r="A548" s="1487"/>
      <c r="B548" s="1488"/>
      <c r="C548" s="1489"/>
      <c r="D548" s="1490"/>
      <c r="E548" s="1487"/>
      <c r="F548" s="1488"/>
      <c r="G548" s="1489"/>
      <c r="H548" s="1490"/>
      <c r="I548" s="1487"/>
      <c r="J548" s="1488"/>
      <c r="K548" s="1489"/>
      <c r="L548" s="1490"/>
      <c r="M548" s="1487"/>
      <c r="N548" s="1488"/>
      <c r="O548" s="1489"/>
      <c r="P548" s="1490"/>
      <c r="X548" s="1445" t="e">
        <f ca="1"/>
        <v>#NAME?</v>
      </c>
      <c r="Y548" s="1446" t="e">
        <f ca="1"/>
        <v>#NAME?</v>
      </c>
      <c r="Z548" s="1408"/>
    </row>
    <row r="549" spans="1:26">
      <c r="A549" s="1487"/>
      <c r="B549" s="1488"/>
      <c r="C549" s="1489"/>
      <c r="D549" s="1490"/>
      <c r="E549" s="1487"/>
      <c r="F549" s="1488"/>
      <c r="G549" s="1489"/>
      <c r="H549" s="1490"/>
      <c r="I549" s="1487"/>
      <c r="J549" s="1488"/>
      <c r="K549" s="1489"/>
      <c r="L549" s="1490"/>
      <c r="M549" s="1487"/>
      <c r="N549" s="1488"/>
      <c r="O549" s="1489"/>
      <c r="P549" s="1490"/>
      <c r="X549" s="1445" t="e">
        <f ca="1"/>
        <v>#NAME?</v>
      </c>
      <c r="Y549" s="1446" t="e">
        <f ca="1"/>
        <v>#NAME?</v>
      </c>
      <c r="Z549" s="1408"/>
    </row>
    <row r="550" spans="1:26">
      <c r="A550" s="1487"/>
      <c r="B550" s="1488"/>
      <c r="C550" s="1489"/>
      <c r="D550" s="1490"/>
      <c r="E550" s="1487"/>
      <c r="F550" s="1488"/>
      <c r="G550" s="1489"/>
      <c r="H550" s="1490"/>
      <c r="I550" s="1487"/>
      <c r="J550" s="1488"/>
      <c r="K550" s="1489"/>
      <c r="L550" s="1490"/>
      <c r="M550" s="1487"/>
      <c r="N550" s="1488"/>
      <c r="O550" s="1489"/>
      <c r="P550" s="1490"/>
      <c r="X550" s="1445" t="e">
        <f ca="1"/>
        <v>#NAME?</v>
      </c>
      <c r="Y550" s="1446" t="e">
        <f ca="1"/>
        <v>#NAME?</v>
      </c>
      <c r="Z550" s="1408"/>
    </row>
    <row r="551" spans="1:26">
      <c r="A551" s="1487"/>
      <c r="B551" s="1488"/>
      <c r="C551" s="1489"/>
      <c r="D551" s="1490"/>
      <c r="E551" s="1487"/>
      <c r="F551" s="1488"/>
      <c r="G551" s="1489"/>
      <c r="H551" s="1490"/>
      <c r="I551" s="1487"/>
      <c r="J551" s="1488"/>
      <c r="K551" s="1489"/>
      <c r="L551" s="1490"/>
      <c r="M551" s="1487"/>
      <c r="N551" s="1488"/>
      <c r="O551" s="1489"/>
      <c r="P551" s="1490"/>
      <c r="X551" s="1445" t="e">
        <f ca="1"/>
        <v>#NAME?</v>
      </c>
      <c r="Y551" s="1446" t="e">
        <f ca="1"/>
        <v>#NAME?</v>
      </c>
      <c r="Z551" s="1408"/>
    </row>
    <row r="552" spans="1:26">
      <c r="A552" s="1487"/>
      <c r="B552" s="1488"/>
      <c r="C552" s="1489"/>
      <c r="D552" s="1490"/>
      <c r="E552" s="1487"/>
      <c r="F552" s="1488"/>
      <c r="G552" s="1489"/>
      <c r="H552" s="1490"/>
      <c r="I552" s="1487"/>
      <c r="J552" s="1488"/>
      <c r="K552" s="1489"/>
      <c r="L552" s="1490"/>
      <c r="M552" s="1487"/>
      <c r="N552" s="1488"/>
      <c r="O552" s="1489"/>
      <c r="P552" s="1490"/>
      <c r="X552" s="1445" t="e">
        <f ca="1"/>
        <v>#NAME?</v>
      </c>
      <c r="Y552" s="1446" t="e">
        <f ca="1"/>
        <v>#NAME?</v>
      </c>
      <c r="Z552" s="1408"/>
    </row>
    <row r="553" spans="1:26">
      <c r="A553" s="1487"/>
      <c r="B553" s="1488"/>
      <c r="C553" s="1489"/>
      <c r="D553" s="1490"/>
      <c r="E553" s="1487"/>
      <c r="F553" s="1488"/>
      <c r="G553" s="1489"/>
      <c r="H553" s="1490"/>
      <c r="I553" s="1487"/>
      <c r="J553" s="1488"/>
      <c r="K553" s="1489"/>
      <c r="L553" s="1490"/>
      <c r="M553" s="1487"/>
      <c r="N553" s="1488"/>
      <c r="O553" s="1489"/>
      <c r="P553" s="1490"/>
      <c r="X553" s="1445" t="e">
        <f ca="1"/>
        <v>#NAME?</v>
      </c>
      <c r="Y553" s="1446" t="e">
        <f ca="1"/>
        <v>#NAME?</v>
      </c>
      <c r="Z553" s="1408"/>
    </row>
    <row r="554" spans="1:26">
      <c r="A554" s="1487"/>
      <c r="B554" s="1488"/>
      <c r="C554" s="1489"/>
      <c r="D554" s="1490"/>
      <c r="E554" s="1487"/>
      <c r="F554" s="1488"/>
      <c r="G554" s="1489"/>
      <c r="H554" s="1490"/>
      <c r="I554" s="1487"/>
      <c r="J554" s="1488"/>
      <c r="K554" s="1489"/>
      <c r="L554" s="1490"/>
      <c r="M554" s="1487"/>
      <c r="N554" s="1488"/>
      <c r="O554" s="1489"/>
      <c r="P554" s="1490"/>
      <c r="X554" s="1445" t="e">
        <f ca="1"/>
        <v>#NAME?</v>
      </c>
      <c r="Y554" s="1446" t="e">
        <f ca="1"/>
        <v>#NAME?</v>
      </c>
      <c r="Z554" s="1408"/>
    </row>
    <row r="555" spans="1:26">
      <c r="A555" s="1487"/>
      <c r="B555" s="1488"/>
      <c r="C555" s="1489"/>
      <c r="D555" s="1490"/>
      <c r="E555" s="1487"/>
      <c r="F555" s="1488"/>
      <c r="G555" s="1489"/>
      <c r="H555" s="1490"/>
      <c r="I555" s="1487"/>
      <c r="J555" s="1488"/>
      <c r="K555" s="1489"/>
      <c r="L555" s="1490"/>
      <c r="M555" s="1487"/>
      <c r="N555" s="1488"/>
      <c r="O555" s="1489"/>
      <c r="P555" s="1490"/>
      <c r="X555" s="1445" t="e">
        <f ca="1"/>
        <v>#NAME?</v>
      </c>
      <c r="Y555" s="1446" t="e">
        <f ca="1"/>
        <v>#NAME?</v>
      </c>
      <c r="Z555" s="1408"/>
    </row>
    <row r="556" spans="1:26">
      <c r="A556" s="1487"/>
      <c r="B556" s="1488"/>
      <c r="C556" s="1489"/>
      <c r="D556" s="1490"/>
      <c r="E556" s="1487"/>
      <c r="F556" s="1488"/>
      <c r="G556" s="1489"/>
      <c r="H556" s="1490"/>
      <c r="I556" s="1487"/>
      <c r="J556" s="1488"/>
      <c r="K556" s="1489"/>
      <c r="L556" s="1490"/>
      <c r="M556" s="1487"/>
      <c r="N556" s="1488"/>
      <c r="O556" s="1489"/>
      <c r="P556" s="1490"/>
      <c r="X556" s="1445" t="e">
        <f ca="1"/>
        <v>#NAME?</v>
      </c>
      <c r="Y556" s="1446" t="e">
        <f ca="1"/>
        <v>#NAME?</v>
      </c>
      <c r="Z556" s="1408"/>
    </row>
    <row r="557" spans="1:26">
      <c r="A557" s="1487"/>
      <c r="B557" s="1488"/>
      <c r="C557" s="1489"/>
      <c r="D557" s="1490"/>
      <c r="E557" s="1487"/>
      <c r="F557" s="1488"/>
      <c r="G557" s="1489"/>
      <c r="H557" s="1490"/>
      <c r="I557" s="1487"/>
      <c r="J557" s="1488"/>
      <c r="K557" s="1489"/>
      <c r="L557" s="1490"/>
      <c r="M557" s="1487"/>
      <c r="N557" s="1488"/>
      <c r="O557" s="1489"/>
      <c r="P557" s="1490"/>
      <c r="X557" s="1445" t="e">
        <f ca="1"/>
        <v>#NAME?</v>
      </c>
      <c r="Y557" s="1446" t="e">
        <f ca="1"/>
        <v>#NAME?</v>
      </c>
      <c r="Z557" s="1408"/>
    </row>
    <row r="558" spans="1:26">
      <c r="A558" s="1487"/>
      <c r="B558" s="1488"/>
      <c r="C558" s="1489"/>
      <c r="D558" s="1490"/>
      <c r="E558" s="1487"/>
      <c r="F558" s="1488"/>
      <c r="G558" s="1489"/>
      <c r="H558" s="1490"/>
      <c r="I558" s="1487"/>
      <c r="J558" s="1488"/>
      <c r="K558" s="1489"/>
      <c r="L558" s="1490"/>
      <c r="M558" s="1487"/>
      <c r="N558" s="1488"/>
      <c r="O558" s="1489"/>
      <c r="P558" s="1490"/>
      <c r="X558" s="1445" t="e">
        <f ca="1"/>
        <v>#NAME?</v>
      </c>
      <c r="Y558" s="1446" t="e">
        <f ca="1"/>
        <v>#NAME?</v>
      </c>
      <c r="Z558" s="1408"/>
    </row>
    <row r="559" spans="1:26">
      <c r="A559" s="1487"/>
      <c r="B559" s="1488"/>
      <c r="C559" s="1489"/>
      <c r="D559" s="1490"/>
      <c r="E559" s="1487"/>
      <c r="F559" s="1488"/>
      <c r="G559" s="1489"/>
      <c r="H559" s="1490"/>
      <c r="I559" s="1487"/>
      <c r="J559" s="1488"/>
      <c r="K559" s="1489"/>
      <c r="L559" s="1490"/>
      <c r="M559" s="1487"/>
      <c r="N559" s="1488"/>
      <c r="O559" s="1489"/>
      <c r="P559" s="1490"/>
      <c r="X559" s="1445" t="e">
        <f ca="1"/>
        <v>#NAME?</v>
      </c>
      <c r="Y559" s="1446" t="e">
        <f ca="1"/>
        <v>#NAME?</v>
      </c>
      <c r="Z559" s="1408"/>
    </row>
    <row r="560" spans="1:26">
      <c r="A560" s="1487"/>
      <c r="B560" s="1488"/>
      <c r="C560" s="1489"/>
      <c r="D560" s="1490"/>
      <c r="E560" s="1487"/>
      <c r="F560" s="1488"/>
      <c r="G560" s="1489"/>
      <c r="H560" s="1490"/>
      <c r="I560" s="1487"/>
      <c r="J560" s="1488"/>
      <c r="K560" s="1489"/>
      <c r="L560" s="1490"/>
      <c r="M560" s="1487"/>
      <c r="N560" s="1488"/>
      <c r="O560" s="1489"/>
      <c r="P560" s="1490"/>
      <c r="X560" s="1445" t="e">
        <f ca="1"/>
        <v>#NAME?</v>
      </c>
      <c r="Y560" s="1446" t="e">
        <f ca="1"/>
        <v>#NAME?</v>
      </c>
      <c r="Z560" s="1408"/>
    </row>
    <row r="561" spans="1:26">
      <c r="A561" s="1487"/>
      <c r="B561" s="1488"/>
      <c r="C561" s="1489"/>
      <c r="D561" s="1490"/>
      <c r="E561" s="1487"/>
      <c r="F561" s="1488"/>
      <c r="G561" s="1489"/>
      <c r="H561" s="1490"/>
      <c r="I561" s="1487"/>
      <c r="J561" s="1488"/>
      <c r="K561" s="1489"/>
      <c r="L561" s="1490"/>
      <c r="M561" s="1487"/>
      <c r="N561" s="1488"/>
      <c r="O561" s="1489"/>
      <c r="P561" s="1490"/>
      <c r="X561" s="1445" t="e">
        <f ca="1"/>
        <v>#NAME?</v>
      </c>
      <c r="Y561" s="1446" t="e">
        <f ca="1"/>
        <v>#NAME?</v>
      </c>
      <c r="Z561" s="1408"/>
    </row>
    <row r="562" spans="1:26">
      <c r="A562" s="1487"/>
      <c r="B562" s="1488"/>
      <c r="C562" s="1489"/>
      <c r="D562" s="1490"/>
      <c r="E562" s="1487"/>
      <c r="F562" s="1488"/>
      <c r="G562" s="1489"/>
      <c r="H562" s="1490"/>
      <c r="I562" s="1487"/>
      <c r="J562" s="1488"/>
      <c r="K562" s="1489"/>
      <c r="L562" s="1490"/>
      <c r="M562" s="1487"/>
      <c r="N562" s="1488"/>
      <c r="O562" s="1489"/>
      <c r="P562" s="1490"/>
      <c r="X562" s="1445" t="e">
        <f ca="1"/>
        <v>#NAME?</v>
      </c>
      <c r="Y562" s="1446" t="e">
        <f ca="1"/>
        <v>#NAME?</v>
      </c>
      <c r="Z562" s="1408"/>
    </row>
    <row r="563" spans="1:26">
      <c r="A563" s="1487"/>
      <c r="B563" s="1488"/>
      <c r="C563" s="1489"/>
      <c r="D563" s="1490"/>
      <c r="E563" s="1487"/>
      <c r="F563" s="1488"/>
      <c r="G563" s="1489"/>
      <c r="H563" s="1490"/>
      <c r="I563" s="1487"/>
      <c r="J563" s="1488"/>
      <c r="K563" s="1489"/>
      <c r="L563" s="1490"/>
      <c r="M563" s="1487"/>
      <c r="N563" s="1488"/>
      <c r="O563" s="1489"/>
      <c r="P563" s="1490"/>
      <c r="X563" s="1445" t="e">
        <f ca="1"/>
        <v>#NAME?</v>
      </c>
      <c r="Y563" s="1446" t="e">
        <f ca="1"/>
        <v>#NAME?</v>
      </c>
      <c r="Z563" s="1408"/>
    </row>
    <row r="564" spans="1:26">
      <c r="A564" s="1487"/>
      <c r="B564" s="1488"/>
      <c r="C564" s="1489"/>
      <c r="D564" s="1490"/>
      <c r="E564" s="1487"/>
      <c r="F564" s="1488"/>
      <c r="G564" s="1489"/>
      <c r="H564" s="1490"/>
      <c r="I564" s="1487"/>
      <c r="J564" s="1488"/>
      <c r="K564" s="1489"/>
      <c r="L564" s="1490"/>
      <c r="M564" s="1487"/>
      <c r="N564" s="1488"/>
      <c r="O564" s="1489"/>
      <c r="P564" s="1490"/>
      <c r="X564" s="1445" t="e">
        <f ca="1"/>
        <v>#NAME?</v>
      </c>
      <c r="Y564" s="1446" t="e">
        <f ca="1"/>
        <v>#NAME?</v>
      </c>
      <c r="Z564" s="1408"/>
    </row>
    <row r="565" spans="1:26">
      <c r="A565" s="1487"/>
      <c r="B565" s="1488"/>
      <c r="C565" s="1489"/>
      <c r="D565" s="1490"/>
      <c r="E565" s="1487"/>
      <c r="F565" s="1488"/>
      <c r="G565" s="1489"/>
      <c r="H565" s="1490"/>
      <c r="I565" s="1487"/>
      <c r="J565" s="1488"/>
      <c r="K565" s="1489"/>
      <c r="L565" s="1490"/>
      <c r="M565" s="1487"/>
      <c r="N565" s="1488"/>
      <c r="O565" s="1489"/>
      <c r="P565" s="1490"/>
      <c r="X565" s="1445" t="e">
        <f ca="1"/>
        <v>#NAME?</v>
      </c>
      <c r="Y565" s="1446" t="e">
        <f ca="1"/>
        <v>#NAME?</v>
      </c>
      <c r="Z565" s="1408"/>
    </row>
    <row r="566" spans="1:26">
      <c r="A566" s="1487"/>
      <c r="B566" s="1488"/>
      <c r="C566" s="1489"/>
      <c r="D566" s="1490"/>
      <c r="E566" s="1487"/>
      <c r="F566" s="1488"/>
      <c r="G566" s="1489"/>
      <c r="H566" s="1490"/>
      <c r="I566" s="1487"/>
      <c r="J566" s="1488"/>
      <c r="K566" s="1489"/>
      <c r="L566" s="1490"/>
      <c r="M566" s="1487"/>
      <c r="N566" s="1488"/>
      <c r="O566" s="1489"/>
      <c r="P566" s="1490"/>
      <c r="X566" s="1445" t="e">
        <f ca="1"/>
        <v>#NAME?</v>
      </c>
      <c r="Y566" s="1446" t="e">
        <f ca="1"/>
        <v>#NAME?</v>
      </c>
      <c r="Z566" s="1408"/>
    </row>
    <row r="567" spans="1:26">
      <c r="A567" s="1487"/>
      <c r="B567" s="1488"/>
      <c r="C567" s="1489"/>
      <c r="D567" s="1490"/>
      <c r="E567" s="1487"/>
      <c r="F567" s="1488"/>
      <c r="G567" s="1489"/>
      <c r="H567" s="1490"/>
      <c r="I567" s="1487"/>
      <c r="J567" s="1488"/>
      <c r="K567" s="1489"/>
      <c r="L567" s="1490"/>
      <c r="M567" s="1487"/>
      <c r="N567" s="1488"/>
      <c r="O567" s="1489"/>
      <c r="P567" s="1490"/>
      <c r="X567" s="1445" t="e">
        <f ca="1"/>
        <v>#NAME?</v>
      </c>
      <c r="Y567" s="1446" t="e">
        <f ca="1"/>
        <v>#NAME?</v>
      </c>
      <c r="Z567" s="1408"/>
    </row>
    <row r="568" spans="1:26">
      <c r="A568" s="1487"/>
      <c r="B568" s="1488"/>
      <c r="C568" s="1489"/>
      <c r="D568" s="1490"/>
      <c r="E568" s="1487"/>
      <c r="F568" s="1488"/>
      <c r="G568" s="1489"/>
      <c r="H568" s="1490"/>
      <c r="I568" s="1487"/>
      <c r="J568" s="1488"/>
      <c r="K568" s="1489"/>
      <c r="L568" s="1490"/>
      <c r="M568" s="1487"/>
      <c r="N568" s="1488"/>
      <c r="O568" s="1489"/>
      <c r="P568" s="1490"/>
      <c r="X568" s="1445" t="e">
        <f ca="1"/>
        <v>#NAME?</v>
      </c>
      <c r="Y568" s="1446" t="e">
        <f ca="1"/>
        <v>#NAME?</v>
      </c>
      <c r="Z568" s="1408"/>
    </row>
    <row r="569" spans="1:26">
      <c r="A569" s="1487"/>
      <c r="B569" s="1488"/>
      <c r="C569" s="1489"/>
      <c r="D569" s="1490"/>
      <c r="E569" s="1487"/>
      <c r="F569" s="1488"/>
      <c r="G569" s="1489"/>
      <c r="H569" s="1490"/>
      <c r="I569" s="1487"/>
      <c r="J569" s="1488"/>
      <c r="K569" s="1489"/>
      <c r="L569" s="1490"/>
      <c r="M569" s="1487"/>
      <c r="N569" s="1488"/>
      <c r="O569" s="1489"/>
      <c r="P569" s="1490"/>
      <c r="X569" s="1445" t="e">
        <f ca="1"/>
        <v>#NAME?</v>
      </c>
      <c r="Y569" s="1446" t="e">
        <f ca="1"/>
        <v>#NAME?</v>
      </c>
      <c r="Z569" s="1408"/>
    </row>
    <row r="570" spans="1:26">
      <c r="A570" s="1487"/>
      <c r="B570" s="1488"/>
      <c r="C570" s="1489"/>
      <c r="D570" s="1490"/>
      <c r="E570" s="1487"/>
      <c r="F570" s="1488"/>
      <c r="G570" s="1489"/>
      <c r="H570" s="1490"/>
      <c r="I570" s="1487"/>
      <c r="J570" s="1488"/>
      <c r="K570" s="1489"/>
      <c r="L570" s="1490"/>
      <c r="M570" s="1487"/>
      <c r="N570" s="1488"/>
      <c r="O570" s="1489"/>
      <c r="P570" s="1490"/>
      <c r="X570" s="1445" t="e">
        <f ca="1"/>
        <v>#NAME?</v>
      </c>
      <c r="Y570" s="1446" t="e">
        <f ca="1"/>
        <v>#NAME?</v>
      </c>
      <c r="Z570" s="1408"/>
    </row>
    <row r="571" spans="1:26">
      <c r="A571" s="1487"/>
      <c r="B571" s="1488"/>
      <c r="C571" s="1489"/>
      <c r="D571" s="1490"/>
      <c r="E571" s="1487"/>
      <c r="F571" s="1488"/>
      <c r="G571" s="1489"/>
      <c r="H571" s="1490"/>
      <c r="I571" s="1487"/>
      <c r="J571" s="1488"/>
      <c r="K571" s="1489"/>
      <c r="L571" s="1490"/>
      <c r="M571" s="1487"/>
      <c r="N571" s="1488"/>
      <c r="O571" s="1489"/>
      <c r="P571" s="1490"/>
      <c r="X571" s="1445" t="e">
        <f ca="1"/>
        <v>#NAME?</v>
      </c>
      <c r="Y571" s="1446" t="e">
        <f ca="1"/>
        <v>#NAME?</v>
      </c>
      <c r="Z571" s="1408"/>
    </row>
    <row r="572" spans="1:26">
      <c r="A572" s="1487"/>
      <c r="B572" s="1488"/>
      <c r="C572" s="1489"/>
      <c r="D572" s="1490"/>
      <c r="E572" s="1487"/>
      <c r="F572" s="1488"/>
      <c r="G572" s="1489"/>
      <c r="H572" s="1490"/>
      <c r="I572" s="1487"/>
      <c r="J572" s="1488"/>
      <c r="K572" s="1489"/>
      <c r="L572" s="1490"/>
      <c r="M572" s="1487"/>
      <c r="N572" s="1488"/>
      <c r="O572" s="1489"/>
      <c r="P572" s="1490"/>
      <c r="X572" s="1445" t="e">
        <f ca="1"/>
        <v>#NAME?</v>
      </c>
      <c r="Y572" s="1446" t="e">
        <f ca="1"/>
        <v>#NAME?</v>
      </c>
      <c r="Z572" s="1408"/>
    </row>
    <row r="573" spans="1:26">
      <c r="A573" s="1487"/>
      <c r="B573" s="1488"/>
      <c r="C573" s="1489"/>
      <c r="D573" s="1490"/>
      <c r="E573" s="1487"/>
      <c r="F573" s="1488"/>
      <c r="G573" s="1489"/>
      <c r="H573" s="1490"/>
      <c r="I573" s="1487"/>
      <c r="J573" s="1488"/>
      <c r="K573" s="1489"/>
      <c r="L573" s="1490"/>
      <c r="M573" s="1487"/>
      <c r="N573" s="1488"/>
      <c r="O573" s="1489"/>
      <c r="P573" s="1490"/>
      <c r="X573" s="1445" t="e">
        <f ca="1"/>
        <v>#NAME?</v>
      </c>
      <c r="Y573" s="1446" t="e">
        <f ca="1"/>
        <v>#NAME?</v>
      </c>
      <c r="Z573" s="1408"/>
    </row>
    <row r="574" spans="1:26">
      <c r="A574" s="1487"/>
      <c r="B574" s="1488"/>
      <c r="C574" s="1489"/>
      <c r="D574" s="1490"/>
      <c r="E574" s="1487"/>
      <c r="F574" s="1488"/>
      <c r="G574" s="1489"/>
      <c r="H574" s="1490"/>
      <c r="I574" s="1487"/>
      <c r="J574" s="1488"/>
      <c r="K574" s="1489"/>
      <c r="L574" s="1490"/>
      <c r="M574" s="1487"/>
      <c r="N574" s="1488"/>
      <c r="O574" s="1489"/>
      <c r="P574" s="1490"/>
      <c r="X574" s="1445" t="e">
        <f ca="1"/>
        <v>#NAME?</v>
      </c>
      <c r="Y574" s="1446" t="e">
        <f ca="1"/>
        <v>#NAME?</v>
      </c>
      <c r="Z574" s="1408"/>
    </row>
    <row r="575" spans="1:26">
      <c r="A575" s="1487"/>
      <c r="B575" s="1488"/>
      <c r="C575" s="1489"/>
      <c r="D575" s="1490"/>
      <c r="E575" s="1487"/>
      <c r="F575" s="1488"/>
      <c r="G575" s="1489"/>
      <c r="H575" s="1490"/>
      <c r="I575" s="1487"/>
      <c r="J575" s="1488"/>
      <c r="K575" s="1489"/>
      <c r="L575" s="1490"/>
      <c r="M575" s="1487"/>
      <c r="N575" s="1488"/>
      <c r="O575" s="1489"/>
      <c r="P575" s="1490"/>
      <c r="X575" s="1445" t="e">
        <f ca="1"/>
        <v>#NAME?</v>
      </c>
      <c r="Y575" s="1446" t="e">
        <f ca="1"/>
        <v>#NAME?</v>
      </c>
      <c r="Z575" s="1408"/>
    </row>
    <row r="576" spans="1:26">
      <c r="A576" s="1487"/>
      <c r="B576" s="1488"/>
      <c r="C576" s="1489"/>
      <c r="D576" s="1490"/>
      <c r="E576" s="1487"/>
      <c r="F576" s="1488"/>
      <c r="G576" s="1489"/>
      <c r="H576" s="1490"/>
      <c r="I576" s="1487"/>
      <c r="J576" s="1488"/>
      <c r="K576" s="1489"/>
      <c r="L576" s="1490"/>
      <c r="M576" s="1487"/>
      <c r="N576" s="1488"/>
      <c r="O576" s="1489"/>
      <c r="P576" s="1490"/>
      <c r="X576" s="1445" t="e">
        <f ca="1"/>
        <v>#NAME?</v>
      </c>
      <c r="Y576" s="1446" t="e">
        <f ca="1"/>
        <v>#NAME?</v>
      </c>
      <c r="Z576" s="1408"/>
    </row>
    <row r="577" spans="1:26">
      <c r="A577" s="1487"/>
      <c r="B577" s="1488"/>
      <c r="C577" s="1489"/>
      <c r="D577" s="1490"/>
      <c r="E577" s="1487"/>
      <c r="F577" s="1488"/>
      <c r="G577" s="1489"/>
      <c r="H577" s="1490"/>
      <c r="I577" s="1487"/>
      <c r="J577" s="1488"/>
      <c r="K577" s="1489"/>
      <c r="L577" s="1490"/>
      <c r="M577" s="1487"/>
      <c r="N577" s="1488"/>
      <c r="O577" s="1489"/>
      <c r="P577" s="1490"/>
      <c r="X577" s="1445" t="e">
        <f ca="1"/>
        <v>#NAME?</v>
      </c>
      <c r="Y577" s="1446" t="e">
        <f ca="1"/>
        <v>#NAME?</v>
      </c>
      <c r="Z577" s="1408"/>
    </row>
    <row r="578" spans="1:26">
      <c r="A578" s="1487"/>
      <c r="B578" s="1488"/>
      <c r="C578" s="1489"/>
      <c r="D578" s="1490"/>
      <c r="E578" s="1487"/>
      <c r="F578" s="1488"/>
      <c r="G578" s="1489"/>
      <c r="H578" s="1490"/>
      <c r="I578" s="1487"/>
      <c r="J578" s="1488"/>
      <c r="K578" s="1489"/>
      <c r="L578" s="1490"/>
      <c r="M578" s="1487"/>
      <c r="N578" s="1488"/>
      <c r="O578" s="1489"/>
      <c r="P578" s="1490"/>
      <c r="X578" s="1445" t="e">
        <f ca="1"/>
        <v>#NAME?</v>
      </c>
      <c r="Y578" s="1446" t="e">
        <f ca="1"/>
        <v>#NAME?</v>
      </c>
      <c r="Z578" s="1408"/>
    </row>
    <row r="579" spans="1:26">
      <c r="A579" s="1487"/>
      <c r="B579" s="1488"/>
      <c r="C579" s="1489"/>
      <c r="D579" s="1490"/>
      <c r="E579" s="1487"/>
      <c r="F579" s="1488"/>
      <c r="G579" s="1489"/>
      <c r="H579" s="1490"/>
      <c r="I579" s="1487"/>
      <c r="J579" s="1488"/>
      <c r="K579" s="1489"/>
      <c r="L579" s="1490"/>
      <c r="M579" s="1487"/>
      <c r="N579" s="1488"/>
      <c r="O579" s="1489"/>
      <c r="P579" s="1490"/>
      <c r="X579" s="1445" t="e">
        <f ca="1"/>
        <v>#NAME?</v>
      </c>
      <c r="Y579" s="1446" t="e">
        <f ca="1"/>
        <v>#NAME?</v>
      </c>
      <c r="Z579" s="1408"/>
    </row>
    <row r="580" spans="1:26">
      <c r="A580" s="1487"/>
      <c r="B580" s="1488"/>
      <c r="C580" s="1489"/>
      <c r="D580" s="1490"/>
      <c r="E580" s="1487"/>
      <c r="F580" s="1488"/>
      <c r="G580" s="1489"/>
      <c r="H580" s="1490"/>
      <c r="I580" s="1487"/>
      <c r="J580" s="1488"/>
      <c r="K580" s="1489"/>
      <c r="L580" s="1490"/>
      <c r="M580" s="1487"/>
      <c r="N580" s="1488"/>
      <c r="O580" s="1489"/>
      <c r="P580" s="1490"/>
      <c r="X580" s="1445" t="e">
        <f ca="1"/>
        <v>#NAME?</v>
      </c>
      <c r="Y580" s="1446" t="e">
        <f ca="1"/>
        <v>#NAME?</v>
      </c>
      <c r="Z580" s="1408"/>
    </row>
    <row r="581" spans="1:26">
      <c r="A581" s="1487"/>
      <c r="B581" s="1488"/>
      <c r="C581" s="1489"/>
      <c r="D581" s="1490"/>
      <c r="E581" s="1487"/>
      <c r="F581" s="1488"/>
      <c r="G581" s="1489"/>
      <c r="H581" s="1490"/>
      <c r="I581" s="1487"/>
      <c r="J581" s="1488"/>
      <c r="K581" s="1489"/>
      <c r="L581" s="1490"/>
      <c r="M581" s="1487"/>
      <c r="N581" s="1488"/>
      <c r="O581" s="1489"/>
      <c r="P581" s="1490"/>
      <c r="X581" s="1445" t="e">
        <f ca="1"/>
        <v>#NAME?</v>
      </c>
      <c r="Y581" s="1446" t="e">
        <f ca="1"/>
        <v>#NAME?</v>
      </c>
      <c r="Z581" s="1408"/>
    </row>
    <row r="582" spans="1:26">
      <c r="A582" s="1487"/>
      <c r="B582" s="1488"/>
      <c r="C582" s="1489"/>
      <c r="D582" s="1490"/>
      <c r="E582" s="1487"/>
      <c r="F582" s="1488"/>
      <c r="G582" s="1489"/>
      <c r="H582" s="1490"/>
      <c r="I582" s="1487"/>
      <c r="J582" s="1488"/>
      <c r="K582" s="1489"/>
      <c r="L582" s="1490"/>
      <c r="M582" s="1487"/>
      <c r="N582" s="1488"/>
      <c r="O582" s="1489"/>
      <c r="P582" s="1490"/>
      <c r="X582" s="1445" t="e">
        <f ca="1"/>
        <v>#NAME?</v>
      </c>
      <c r="Y582" s="1446" t="e">
        <f ca="1"/>
        <v>#NAME?</v>
      </c>
      <c r="Z582" s="1408"/>
    </row>
    <row r="583" spans="1:26">
      <c r="A583" s="1487"/>
      <c r="B583" s="1488"/>
      <c r="C583" s="1489"/>
      <c r="D583" s="1490"/>
      <c r="E583" s="1487"/>
      <c r="F583" s="1488"/>
      <c r="G583" s="1489"/>
      <c r="H583" s="1490"/>
      <c r="I583" s="1487"/>
      <c r="J583" s="1488"/>
      <c r="K583" s="1489"/>
      <c r="L583" s="1490"/>
      <c r="M583" s="1487"/>
      <c r="N583" s="1488"/>
      <c r="O583" s="1489"/>
      <c r="P583" s="1490"/>
      <c r="X583" s="1445" t="e">
        <f ca="1"/>
        <v>#NAME?</v>
      </c>
      <c r="Y583" s="1446" t="e">
        <f ca="1"/>
        <v>#NAME?</v>
      </c>
      <c r="Z583" s="1408"/>
    </row>
    <row r="584" spans="1:26">
      <c r="A584" s="1487"/>
      <c r="B584" s="1488"/>
      <c r="C584" s="1489"/>
      <c r="D584" s="1490"/>
      <c r="E584" s="1487"/>
      <c r="F584" s="1488"/>
      <c r="G584" s="1489"/>
      <c r="H584" s="1490"/>
      <c r="I584" s="1487"/>
      <c r="J584" s="1488"/>
      <c r="K584" s="1489"/>
      <c r="L584" s="1490"/>
      <c r="M584" s="1487"/>
      <c r="N584" s="1488"/>
      <c r="O584" s="1489"/>
      <c r="P584" s="1490"/>
      <c r="X584" s="1445" t="e">
        <f ca="1"/>
        <v>#NAME?</v>
      </c>
      <c r="Y584" s="1446" t="e">
        <f ca="1"/>
        <v>#NAME?</v>
      </c>
      <c r="Z584" s="1408"/>
    </row>
    <row r="585" spans="1:26">
      <c r="A585" s="1487"/>
      <c r="B585" s="1488"/>
      <c r="C585" s="1489"/>
      <c r="D585" s="1490"/>
      <c r="E585" s="1487"/>
      <c r="F585" s="1488"/>
      <c r="G585" s="1489"/>
      <c r="H585" s="1490"/>
      <c r="I585" s="1487"/>
      <c r="J585" s="1488"/>
      <c r="K585" s="1489"/>
      <c r="L585" s="1490"/>
      <c r="M585" s="1487"/>
      <c r="N585" s="1488"/>
      <c r="O585" s="1489"/>
      <c r="P585" s="1490"/>
      <c r="X585" s="1445" t="e">
        <f ca="1"/>
        <v>#NAME?</v>
      </c>
      <c r="Y585" s="1446" t="e">
        <f ca="1"/>
        <v>#NAME?</v>
      </c>
      <c r="Z585" s="1408"/>
    </row>
    <row r="586" spans="1:26">
      <c r="A586" s="1487"/>
      <c r="B586" s="1488"/>
      <c r="C586" s="1489"/>
      <c r="D586" s="1490"/>
      <c r="E586" s="1487"/>
      <c r="F586" s="1488"/>
      <c r="G586" s="1489"/>
      <c r="H586" s="1490"/>
      <c r="I586" s="1487"/>
      <c r="J586" s="1488"/>
      <c r="K586" s="1489"/>
      <c r="L586" s="1490"/>
      <c r="M586" s="1487"/>
      <c r="N586" s="1488"/>
      <c r="O586" s="1489"/>
      <c r="P586" s="1490"/>
      <c r="X586" s="1445" t="e">
        <f ca="1"/>
        <v>#NAME?</v>
      </c>
      <c r="Y586" s="1446" t="e">
        <f ca="1"/>
        <v>#NAME?</v>
      </c>
      <c r="Z586" s="1408"/>
    </row>
    <row r="587" spans="1:26">
      <c r="A587" s="1487"/>
      <c r="B587" s="1488"/>
      <c r="C587" s="1489"/>
      <c r="D587" s="1490"/>
      <c r="E587" s="1487"/>
      <c r="F587" s="1488"/>
      <c r="G587" s="1489"/>
      <c r="H587" s="1490"/>
      <c r="I587" s="1487"/>
      <c r="J587" s="1488"/>
      <c r="K587" s="1489"/>
      <c r="L587" s="1490"/>
      <c r="M587" s="1487"/>
      <c r="N587" s="1488"/>
      <c r="O587" s="1489"/>
      <c r="P587" s="1490"/>
      <c r="X587" s="1445" t="e">
        <f ca="1"/>
        <v>#NAME?</v>
      </c>
      <c r="Y587" s="1446" t="e">
        <f ca="1"/>
        <v>#NAME?</v>
      </c>
      <c r="Z587" s="1408"/>
    </row>
    <row r="588" spans="1:26">
      <c r="A588" s="1487"/>
      <c r="B588" s="1488"/>
      <c r="C588" s="1489"/>
      <c r="D588" s="1490"/>
      <c r="E588" s="1487"/>
      <c r="F588" s="1488"/>
      <c r="G588" s="1489"/>
      <c r="H588" s="1490"/>
      <c r="I588" s="1487"/>
      <c r="J588" s="1488"/>
      <c r="K588" s="1489"/>
      <c r="L588" s="1490"/>
      <c r="M588" s="1487"/>
      <c r="N588" s="1488"/>
      <c r="O588" s="1489"/>
      <c r="P588" s="1490"/>
      <c r="X588" s="1445" t="e">
        <f ca="1"/>
        <v>#NAME?</v>
      </c>
      <c r="Y588" s="1446" t="e">
        <f ca="1"/>
        <v>#NAME?</v>
      </c>
      <c r="Z588" s="1408"/>
    </row>
    <row r="589" spans="1:26">
      <c r="A589" s="1487"/>
      <c r="B589" s="1488"/>
      <c r="C589" s="1489"/>
      <c r="D589" s="1490"/>
      <c r="E589" s="1487"/>
      <c r="F589" s="1488"/>
      <c r="G589" s="1489"/>
      <c r="H589" s="1490"/>
      <c r="I589" s="1487"/>
      <c r="J589" s="1488"/>
      <c r="K589" s="1489"/>
      <c r="L589" s="1490"/>
      <c r="M589" s="1487"/>
      <c r="N589" s="1488"/>
      <c r="O589" s="1489"/>
      <c r="P589" s="1490"/>
      <c r="X589" s="1445" t="e">
        <f ca="1"/>
        <v>#NAME?</v>
      </c>
      <c r="Y589" s="1446" t="e">
        <f ca="1"/>
        <v>#NAME?</v>
      </c>
      <c r="Z589" s="1408"/>
    </row>
    <row r="590" spans="1:26">
      <c r="A590" s="1487"/>
      <c r="B590" s="1488"/>
      <c r="C590" s="1489"/>
      <c r="D590" s="1490"/>
      <c r="E590" s="1487"/>
      <c r="F590" s="1488"/>
      <c r="G590" s="1489"/>
      <c r="H590" s="1490"/>
      <c r="I590" s="1487"/>
      <c r="J590" s="1488"/>
      <c r="K590" s="1489"/>
      <c r="L590" s="1490"/>
      <c r="M590" s="1487"/>
      <c r="N590" s="1488"/>
      <c r="O590" s="1489"/>
      <c r="P590" s="1490"/>
      <c r="X590" s="1445" t="e">
        <f ca="1"/>
        <v>#NAME?</v>
      </c>
      <c r="Y590" s="1446" t="e">
        <f ca="1"/>
        <v>#NAME?</v>
      </c>
      <c r="Z590" s="1408"/>
    </row>
    <row r="591" spans="1:26">
      <c r="A591" s="1487"/>
      <c r="B591" s="1488"/>
      <c r="C591" s="1489"/>
      <c r="D591" s="1490"/>
      <c r="E591" s="1487"/>
      <c r="F591" s="1488"/>
      <c r="G591" s="1489"/>
      <c r="H591" s="1490"/>
      <c r="I591" s="1487"/>
      <c r="J591" s="1488"/>
      <c r="K591" s="1489"/>
      <c r="L591" s="1490"/>
      <c r="M591" s="1487"/>
      <c r="N591" s="1488"/>
      <c r="O591" s="1489"/>
      <c r="P591" s="1490"/>
      <c r="X591" s="1445" t="e">
        <f ca="1"/>
        <v>#NAME?</v>
      </c>
      <c r="Y591" s="1446" t="e">
        <f ca="1"/>
        <v>#NAME?</v>
      </c>
      <c r="Z591" s="1408"/>
    </row>
    <row r="592" spans="1:26">
      <c r="A592" s="1487"/>
      <c r="B592" s="1488"/>
      <c r="C592" s="1489"/>
      <c r="D592" s="1490"/>
      <c r="E592" s="1487"/>
      <c r="F592" s="1488"/>
      <c r="G592" s="1489"/>
      <c r="H592" s="1490"/>
      <c r="I592" s="1487"/>
      <c r="J592" s="1488"/>
      <c r="K592" s="1489"/>
      <c r="L592" s="1490"/>
      <c r="M592" s="1487"/>
      <c r="N592" s="1488"/>
      <c r="O592" s="1489"/>
      <c r="P592" s="1490"/>
      <c r="X592" s="1445" t="e">
        <f ca="1"/>
        <v>#NAME?</v>
      </c>
      <c r="Y592" s="1446" t="e">
        <f ca="1"/>
        <v>#NAME?</v>
      </c>
      <c r="Z592" s="1408"/>
    </row>
    <row r="593" spans="1:26">
      <c r="A593" s="1487"/>
      <c r="B593" s="1488"/>
      <c r="C593" s="1489"/>
      <c r="D593" s="1490"/>
      <c r="E593" s="1487"/>
      <c r="F593" s="1488"/>
      <c r="G593" s="1489"/>
      <c r="H593" s="1490"/>
      <c r="I593" s="1487"/>
      <c r="J593" s="1488"/>
      <c r="K593" s="1489"/>
      <c r="L593" s="1490"/>
      <c r="M593" s="1487"/>
      <c r="N593" s="1488"/>
      <c r="O593" s="1489"/>
      <c r="P593" s="1490"/>
      <c r="X593" s="1445" t="e">
        <f ca="1"/>
        <v>#NAME?</v>
      </c>
      <c r="Y593" s="1446" t="e">
        <f ca="1"/>
        <v>#NAME?</v>
      </c>
      <c r="Z593" s="1408"/>
    </row>
    <row r="594" spans="1:26">
      <c r="A594" s="1487"/>
      <c r="B594" s="1488"/>
      <c r="C594" s="1489"/>
      <c r="D594" s="1490"/>
      <c r="E594" s="1487"/>
      <c r="F594" s="1488"/>
      <c r="G594" s="1489"/>
      <c r="H594" s="1490"/>
      <c r="I594" s="1487"/>
      <c r="J594" s="1488"/>
      <c r="K594" s="1489"/>
      <c r="L594" s="1490"/>
      <c r="M594" s="1487"/>
      <c r="N594" s="1488"/>
      <c r="O594" s="1489"/>
      <c r="P594" s="1490"/>
      <c r="X594" s="1445" t="e">
        <f ca="1"/>
        <v>#NAME?</v>
      </c>
      <c r="Y594" s="1446" t="e">
        <f ca="1"/>
        <v>#NAME?</v>
      </c>
      <c r="Z594" s="1408"/>
    </row>
    <row r="595" spans="1:26">
      <c r="A595" s="1487"/>
      <c r="B595" s="1488"/>
      <c r="C595" s="1489"/>
      <c r="D595" s="1490"/>
      <c r="E595" s="1487"/>
      <c r="F595" s="1488"/>
      <c r="G595" s="1489"/>
      <c r="H595" s="1490"/>
      <c r="I595" s="1487"/>
      <c r="J595" s="1488"/>
      <c r="K595" s="1489"/>
      <c r="L595" s="1490"/>
      <c r="M595" s="1487"/>
      <c r="N595" s="1488"/>
      <c r="O595" s="1489"/>
      <c r="P595" s="1490"/>
      <c r="X595" s="1445" t="e">
        <f ca="1"/>
        <v>#NAME?</v>
      </c>
      <c r="Y595" s="1446" t="e">
        <f ca="1"/>
        <v>#NAME?</v>
      </c>
      <c r="Z595" s="1408"/>
    </row>
    <row r="596" spans="1:26">
      <c r="A596" s="1487"/>
      <c r="B596" s="1488"/>
      <c r="C596" s="1489"/>
      <c r="D596" s="1490"/>
      <c r="E596" s="1487"/>
      <c r="F596" s="1488"/>
      <c r="G596" s="1489"/>
      <c r="H596" s="1490"/>
      <c r="I596" s="1487"/>
      <c r="J596" s="1488"/>
      <c r="K596" s="1489"/>
      <c r="L596" s="1490"/>
      <c r="M596" s="1487"/>
      <c r="N596" s="1488"/>
      <c r="O596" s="1489"/>
      <c r="P596" s="1490"/>
      <c r="X596" s="1445" t="e">
        <f ca="1"/>
        <v>#NAME?</v>
      </c>
      <c r="Y596" s="1446" t="e">
        <f ca="1"/>
        <v>#NAME?</v>
      </c>
      <c r="Z596" s="1408"/>
    </row>
    <row r="597" spans="1:26">
      <c r="A597" s="1487"/>
      <c r="B597" s="1488"/>
      <c r="C597" s="1489"/>
      <c r="D597" s="1490"/>
      <c r="E597" s="1487"/>
      <c r="F597" s="1488"/>
      <c r="G597" s="1489"/>
      <c r="H597" s="1490"/>
      <c r="I597" s="1487"/>
      <c r="J597" s="1488"/>
      <c r="K597" s="1489"/>
      <c r="L597" s="1490"/>
      <c r="M597" s="1487"/>
      <c r="N597" s="1488"/>
      <c r="O597" s="1489"/>
      <c r="P597" s="1490"/>
      <c r="X597" s="1445" t="e">
        <f ca="1"/>
        <v>#NAME?</v>
      </c>
      <c r="Y597" s="1446" t="e">
        <f ca="1"/>
        <v>#NAME?</v>
      </c>
      <c r="Z597" s="1408"/>
    </row>
    <row r="598" spans="1:26">
      <c r="A598" s="1487"/>
      <c r="B598" s="1488"/>
      <c r="C598" s="1489"/>
      <c r="D598" s="1490"/>
      <c r="E598" s="1487"/>
      <c r="F598" s="1488"/>
      <c r="G598" s="1489"/>
      <c r="H598" s="1490"/>
      <c r="I598" s="1487"/>
      <c r="J598" s="1488"/>
      <c r="K598" s="1489"/>
      <c r="L598" s="1490"/>
      <c r="M598" s="1487"/>
      <c r="N598" s="1488"/>
      <c r="O598" s="1489"/>
      <c r="P598" s="1490"/>
      <c r="X598" s="1445" t="e">
        <f ca="1"/>
        <v>#NAME?</v>
      </c>
      <c r="Y598" s="1446" t="e">
        <f ca="1"/>
        <v>#NAME?</v>
      </c>
      <c r="Z598" s="1408"/>
    </row>
    <row r="599" spans="1:26">
      <c r="A599" s="1487"/>
      <c r="B599" s="1488"/>
      <c r="C599" s="1489"/>
      <c r="D599" s="1490"/>
      <c r="E599" s="1487"/>
      <c r="F599" s="1488"/>
      <c r="G599" s="1489"/>
      <c r="H599" s="1490"/>
      <c r="I599" s="1487"/>
      <c r="J599" s="1488"/>
      <c r="K599" s="1489"/>
      <c r="L599" s="1490"/>
      <c r="M599" s="1487"/>
      <c r="N599" s="1488"/>
      <c r="O599" s="1489"/>
      <c r="P599" s="1490"/>
      <c r="X599" s="1445" t="e">
        <f ca="1"/>
        <v>#NAME?</v>
      </c>
      <c r="Y599" s="1446" t="e">
        <f ca="1"/>
        <v>#NAME?</v>
      </c>
      <c r="Z599" s="1408"/>
    </row>
    <row r="600" spans="1:26">
      <c r="A600" s="1487"/>
      <c r="B600" s="1488"/>
      <c r="C600" s="1489"/>
      <c r="D600" s="1490"/>
      <c r="E600" s="1487"/>
      <c r="F600" s="1488"/>
      <c r="G600" s="1489"/>
      <c r="H600" s="1490"/>
      <c r="I600" s="1487"/>
      <c r="J600" s="1488"/>
      <c r="K600" s="1489"/>
      <c r="L600" s="1490"/>
      <c r="M600" s="1487"/>
      <c r="N600" s="1488"/>
      <c r="O600" s="1489"/>
      <c r="P600" s="1490"/>
      <c r="X600" s="1445" t="e">
        <f ca="1"/>
        <v>#NAME?</v>
      </c>
      <c r="Y600" s="1446" t="e">
        <f ca="1"/>
        <v>#NAME?</v>
      </c>
      <c r="Z600" s="1408"/>
    </row>
    <row r="601" spans="1:26">
      <c r="A601" s="1487"/>
      <c r="B601" s="1488"/>
      <c r="C601" s="1489"/>
      <c r="D601" s="1490"/>
      <c r="E601" s="1487"/>
      <c r="F601" s="1488"/>
      <c r="G601" s="1489"/>
      <c r="H601" s="1490"/>
      <c r="I601" s="1487"/>
      <c r="J601" s="1488"/>
      <c r="K601" s="1489"/>
      <c r="L601" s="1490"/>
      <c r="M601" s="1487"/>
      <c r="N601" s="1488"/>
      <c r="O601" s="1489"/>
      <c r="P601" s="1490"/>
      <c r="X601" s="1445" t="e">
        <f ca="1"/>
        <v>#NAME?</v>
      </c>
      <c r="Y601" s="1446" t="e">
        <f ca="1"/>
        <v>#NAME?</v>
      </c>
      <c r="Z601" s="1408"/>
    </row>
    <row r="602" spans="1:26">
      <c r="A602" s="1487"/>
      <c r="B602" s="1488"/>
      <c r="C602" s="1489"/>
      <c r="D602" s="1490"/>
      <c r="E602" s="1487"/>
      <c r="F602" s="1488"/>
      <c r="G602" s="1489"/>
      <c r="H602" s="1490"/>
      <c r="I602" s="1487"/>
      <c r="J602" s="1488"/>
      <c r="K602" s="1489"/>
      <c r="L602" s="1490"/>
      <c r="M602" s="1487"/>
      <c r="N602" s="1488"/>
      <c r="O602" s="1489"/>
      <c r="P602" s="1490"/>
      <c r="X602" s="1445" t="e">
        <f ca="1"/>
        <v>#NAME?</v>
      </c>
      <c r="Y602" s="1446" t="e">
        <f ca="1"/>
        <v>#NAME?</v>
      </c>
      <c r="Z602" s="1408"/>
    </row>
    <row r="603" spans="1:26">
      <c r="A603" s="1487"/>
      <c r="B603" s="1488"/>
      <c r="C603" s="1489"/>
      <c r="D603" s="1490"/>
      <c r="E603" s="1487"/>
      <c r="F603" s="1488"/>
      <c r="G603" s="1489"/>
      <c r="H603" s="1490"/>
      <c r="I603" s="1487"/>
      <c r="J603" s="1488"/>
      <c r="K603" s="1489"/>
      <c r="L603" s="1490"/>
      <c r="M603" s="1487"/>
      <c r="N603" s="1488"/>
      <c r="O603" s="1489"/>
      <c r="P603" s="1490"/>
      <c r="X603" s="1445" t="e">
        <f ca="1"/>
        <v>#NAME?</v>
      </c>
      <c r="Y603" s="1446" t="e">
        <f ca="1"/>
        <v>#NAME?</v>
      </c>
      <c r="Z603" s="1408"/>
    </row>
    <row r="604" spans="1:26">
      <c r="A604" s="1487"/>
      <c r="B604" s="1488"/>
      <c r="C604" s="1489"/>
      <c r="D604" s="1490"/>
      <c r="E604" s="1487"/>
      <c r="F604" s="1488"/>
      <c r="G604" s="1489"/>
      <c r="H604" s="1490"/>
      <c r="I604" s="1487"/>
      <c r="J604" s="1488"/>
      <c r="K604" s="1489"/>
      <c r="L604" s="1490"/>
      <c r="M604" s="1487"/>
      <c r="N604" s="1488"/>
      <c r="O604" s="1489"/>
      <c r="P604" s="1490"/>
      <c r="X604" s="1445" t="e">
        <f ca="1"/>
        <v>#NAME?</v>
      </c>
      <c r="Y604" s="1446" t="e">
        <f ca="1"/>
        <v>#NAME?</v>
      </c>
      <c r="Z604" s="1408"/>
    </row>
    <row r="605" spans="1:26">
      <c r="A605" s="1487"/>
      <c r="B605" s="1488"/>
      <c r="C605" s="1489"/>
      <c r="D605" s="1490"/>
      <c r="E605" s="1487"/>
      <c r="F605" s="1488"/>
      <c r="G605" s="1489"/>
      <c r="H605" s="1490"/>
      <c r="I605" s="1487"/>
      <c r="J605" s="1488"/>
      <c r="K605" s="1489"/>
      <c r="L605" s="1490"/>
      <c r="M605" s="1487"/>
      <c r="N605" s="1488"/>
      <c r="O605" s="1489"/>
      <c r="P605" s="1490"/>
      <c r="X605" s="1445" t="e">
        <f ca="1"/>
        <v>#NAME?</v>
      </c>
      <c r="Y605" s="1446" t="e">
        <f ca="1"/>
        <v>#NAME?</v>
      </c>
      <c r="Z605" s="1408"/>
    </row>
    <row r="606" spans="1:26">
      <c r="A606" s="1487"/>
      <c r="B606" s="1488"/>
      <c r="C606" s="1489"/>
      <c r="D606" s="1490"/>
      <c r="E606" s="1487"/>
      <c r="F606" s="1488"/>
      <c r="G606" s="1489"/>
      <c r="H606" s="1490"/>
      <c r="I606" s="1487"/>
      <c r="J606" s="1488"/>
      <c r="K606" s="1489"/>
      <c r="L606" s="1490"/>
      <c r="M606" s="1487"/>
      <c r="N606" s="1488"/>
      <c r="O606" s="1489"/>
      <c r="P606" s="1490"/>
      <c r="X606" s="1445" t="e">
        <f ca="1"/>
        <v>#NAME?</v>
      </c>
      <c r="Y606" s="1446" t="e">
        <f ca="1"/>
        <v>#NAME?</v>
      </c>
      <c r="Z606" s="1408"/>
    </row>
    <row r="607" spans="1:26">
      <c r="A607" s="1487"/>
      <c r="B607" s="1488"/>
      <c r="C607" s="1489"/>
      <c r="D607" s="1490"/>
      <c r="E607" s="1487"/>
      <c r="F607" s="1488"/>
      <c r="G607" s="1489"/>
      <c r="H607" s="1490"/>
      <c r="I607" s="1487"/>
      <c r="J607" s="1488"/>
      <c r="K607" s="1489"/>
      <c r="L607" s="1490"/>
      <c r="M607" s="1487"/>
      <c r="N607" s="1488"/>
      <c r="O607" s="1489"/>
      <c r="P607" s="1490"/>
      <c r="X607" s="1445" t="e">
        <f ca="1"/>
        <v>#NAME?</v>
      </c>
      <c r="Y607" s="1446" t="e">
        <f ca="1"/>
        <v>#NAME?</v>
      </c>
      <c r="Z607" s="1408"/>
    </row>
    <row r="608" spans="1:26">
      <c r="A608" s="1487"/>
      <c r="B608" s="1488"/>
      <c r="C608" s="1489"/>
      <c r="D608" s="1490"/>
      <c r="E608" s="1487"/>
      <c r="F608" s="1488"/>
      <c r="G608" s="1489"/>
      <c r="H608" s="1490"/>
      <c r="I608" s="1487"/>
      <c r="J608" s="1488"/>
      <c r="K608" s="1489"/>
      <c r="L608" s="1490"/>
      <c r="M608" s="1487"/>
      <c r="N608" s="1488"/>
      <c r="O608" s="1489"/>
      <c r="P608" s="1490"/>
      <c r="X608" s="1445" t="e">
        <f ca="1"/>
        <v>#NAME?</v>
      </c>
      <c r="Y608" s="1446" t="e">
        <f ca="1"/>
        <v>#NAME?</v>
      </c>
      <c r="Z608" s="1408"/>
    </row>
    <row r="609" spans="1:26">
      <c r="A609" s="1487"/>
      <c r="B609" s="1488"/>
      <c r="C609" s="1489"/>
      <c r="D609" s="1490"/>
      <c r="E609" s="1487"/>
      <c r="F609" s="1488"/>
      <c r="G609" s="1489"/>
      <c r="H609" s="1490"/>
      <c r="I609" s="1487"/>
      <c r="J609" s="1488"/>
      <c r="K609" s="1489"/>
      <c r="L609" s="1490"/>
      <c r="M609" s="1487"/>
      <c r="N609" s="1488"/>
      <c r="O609" s="1489"/>
      <c r="P609" s="1490"/>
      <c r="X609" s="1445" t="e">
        <f ca="1"/>
        <v>#NAME?</v>
      </c>
      <c r="Y609" s="1446" t="e">
        <f ca="1"/>
        <v>#NAME?</v>
      </c>
      <c r="Z609" s="1408"/>
    </row>
    <row r="610" spans="1:26">
      <c r="A610" s="1487"/>
      <c r="B610" s="1488"/>
      <c r="C610" s="1489"/>
      <c r="D610" s="1490"/>
      <c r="E610" s="1487"/>
      <c r="F610" s="1488"/>
      <c r="G610" s="1489"/>
      <c r="H610" s="1490"/>
      <c r="I610" s="1487"/>
      <c r="J610" s="1488"/>
      <c r="K610" s="1489"/>
      <c r="L610" s="1490"/>
      <c r="M610" s="1487"/>
      <c r="N610" s="1488"/>
      <c r="O610" s="1489"/>
      <c r="P610" s="1490"/>
      <c r="X610" s="1445" t="e">
        <f ca="1"/>
        <v>#NAME?</v>
      </c>
      <c r="Y610" s="1446" t="e">
        <f ca="1"/>
        <v>#NAME?</v>
      </c>
      <c r="Z610" s="1408"/>
    </row>
    <row r="611" spans="1:26">
      <c r="A611" s="1487"/>
      <c r="B611" s="1488"/>
      <c r="C611" s="1489"/>
      <c r="D611" s="1490"/>
      <c r="E611" s="1487"/>
      <c r="F611" s="1488"/>
      <c r="G611" s="1489"/>
      <c r="H611" s="1490"/>
      <c r="I611" s="1487"/>
      <c r="J611" s="1488"/>
      <c r="K611" s="1489"/>
      <c r="L611" s="1490"/>
      <c r="M611" s="1487"/>
      <c r="N611" s="1488"/>
      <c r="O611" s="1489"/>
      <c r="P611" s="1490"/>
      <c r="X611" s="1445" t="e">
        <f ca="1"/>
        <v>#NAME?</v>
      </c>
      <c r="Y611" s="1446" t="e">
        <f ca="1"/>
        <v>#NAME?</v>
      </c>
      <c r="Z611" s="1408"/>
    </row>
    <row r="612" spans="1:26">
      <c r="A612" s="1487"/>
      <c r="B612" s="1488"/>
      <c r="C612" s="1489"/>
      <c r="D612" s="1490"/>
      <c r="E612" s="1487"/>
      <c r="F612" s="1488"/>
      <c r="G612" s="1489"/>
      <c r="H612" s="1490"/>
      <c r="I612" s="1487"/>
      <c r="J612" s="1488"/>
      <c r="K612" s="1489"/>
      <c r="L612" s="1490"/>
      <c r="M612" s="1487"/>
      <c r="N612" s="1488"/>
      <c r="O612" s="1489"/>
      <c r="P612" s="1490"/>
      <c r="X612" s="1445" t="e">
        <f ca="1"/>
        <v>#NAME?</v>
      </c>
      <c r="Y612" s="1446" t="e">
        <f ca="1"/>
        <v>#NAME?</v>
      </c>
      <c r="Z612" s="1408"/>
    </row>
    <row r="613" spans="1:26">
      <c r="A613" s="1487"/>
      <c r="B613" s="1488"/>
      <c r="C613" s="1489"/>
      <c r="D613" s="1490"/>
      <c r="E613" s="1487"/>
      <c r="F613" s="1488"/>
      <c r="G613" s="1489"/>
      <c r="H613" s="1490"/>
      <c r="I613" s="1487"/>
      <c r="J613" s="1488"/>
      <c r="K613" s="1489"/>
      <c r="L613" s="1490"/>
      <c r="M613" s="1487"/>
      <c r="N613" s="1488"/>
      <c r="O613" s="1489"/>
      <c r="P613" s="1490"/>
      <c r="X613" s="1445" t="e">
        <f ca="1"/>
        <v>#NAME?</v>
      </c>
      <c r="Y613" s="1446" t="e">
        <f ca="1"/>
        <v>#NAME?</v>
      </c>
      <c r="Z613" s="1408"/>
    </row>
    <row r="614" spans="1:26">
      <c r="A614" s="1487"/>
      <c r="B614" s="1488"/>
      <c r="C614" s="1489"/>
      <c r="D614" s="1490"/>
      <c r="E614" s="1487"/>
      <c r="F614" s="1488"/>
      <c r="G614" s="1489"/>
      <c r="H614" s="1490"/>
      <c r="I614" s="1487"/>
      <c r="J614" s="1488"/>
      <c r="K614" s="1489"/>
      <c r="L614" s="1490"/>
      <c r="M614" s="1487"/>
      <c r="N614" s="1488"/>
      <c r="O614" s="1489"/>
      <c r="P614" s="1490"/>
      <c r="X614" s="1445" t="e">
        <f ca="1"/>
        <v>#NAME?</v>
      </c>
      <c r="Y614" s="1446" t="e">
        <f ca="1"/>
        <v>#NAME?</v>
      </c>
      <c r="Z614" s="1408"/>
    </row>
    <row r="615" spans="1:26">
      <c r="A615" s="1487"/>
      <c r="B615" s="1488"/>
      <c r="C615" s="1489"/>
      <c r="D615" s="1490"/>
      <c r="E615" s="1487"/>
      <c r="F615" s="1488"/>
      <c r="G615" s="1489"/>
      <c r="H615" s="1490"/>
      <c r="I615" s="1487"/>
      <c r="J615" s="1488"/>
      <c r="K615" s="1489"/>
      <c r="L615" s="1490"/>
      <c r="M615" s="1487"/>
      <c r="N615" s="1488"/>
      <c r="O615" s="1489"/>
      <c r="P615" s="1490"/>
      <c r="X615" s="1445" t="e">
        <f ca="1"/>
        <v>#NAME?</v>
      </c>
      <c r="Y615" s="1446" t="e">
        <f ca="1"/>
        <v>#NAME?</v>
      </c>
      <c r="Z615" s="1408"/>
    </row>
    <row r="616" spans="1:26">
      <c r="A616" s="1487"/>
      <c r="B616" s="1488"/>
      <c r="C616" s="1489"/>
      <c r="D616" s="1490"/>
      <c r="E616" s="1487"/>
      <c r="F616" s="1488"/>
      <c r="G616" s="1489"/>
      <c r="H616" s="1490"/>
      <c r="I616" s="1487"/>
      <c r="J616" s="1488"/>
      <c r="K616" s="1489"/>
      <c r="L616" s="1490"/>
      <c r="M616" s="1487"/>
      <c r="N616" s="1488"/>
      <c r="O616" s="1489"/>
      <c r="P616" s="1490"/>
      <c r="X616" s="1445" t="e">
        <f ca="1"/>
        <v>#NAME?</v>
      </c>
      <c r="Y616" s="1446" t="e">
        <f ca="1"/>
        <v>#NAME?</v>
      </c>
      <c r="Z616" s="1408"/>
    </row>
    <row r="617" spans="1:26">
      <c r="A617" s="1487"/>
      <c r="B617" s="1488"/>
      <c r="C617" s="1489"/>
      <c r="D617" s="1490"/>
      <c r="E617" s="1487"/>
      <c r="F617" s="1488"/>
      <c r="G617" s="1489"/>
      <c r="H617" s="1490"/>
      <c r="I617" s="1487"/>
      <c r="J617" s="1488"/>
      <c r="K617" s="1489"/>
      <c r="L617" s="1490"/>
      <c r="M617" s="1487"/>
      <c r="N617" s="1488"/>
      <c r="O617" s="1489"/>
      <c r="P617" s="1490"/>
      <c r="X617" s="1445" t="e">
        <f ca="1"/>
        <v>#NAME?</v>
      </c>
      <c r="Y617" s="1446" t="e">
        <f ca="1"/>
        <v>#NAME?</v>
      </c>
      <c r="Z617" s="1408"/>
    </row>
    <row r="618" spans="1:26">
      <c r="A618" s="1487"/>
      <c r="B618" s="1488"/>
      <c r="C618" s="1489"/>
      <c r="D618" s="1490"/>
      <c r="E618" s="1487"/>
      <c r="F618" s="1488"/>
      <c r="G618" s="1489"/>
      <c r="H618" s="1490"/>
      <c r="I618" s="1487"/>
      <c r="J618" s="1488"/>
      <c r="K618" s="1489"/>
      <c r="L618" s="1490"/>
      <c r="M618" s="1487"/>
      <c r="N618" s="1488"/>
      <c r="O618" s="1489"/>
      <c r="P618" s="1490"/>
      <c r="X618" s="1445" t="e">
        <f ca="1"/>
        <v>#NAME?</v>
      </c>
      <c r="Y618" s="1446" t="e">
        <f ca="1"/>
        <v>#NAME?</v>
      </c>
      <c r="Z618" s="1408"/>
    </row>
    <row r="619" spans="1:26">
      <c r="A619" s="1487"/>
      <c r="B619" s="1488"/>
      <c r="C619" s="1489"/>
      <c r="D619" s="1490"/>
      <c r="E619" s="1487"/>
      <c r="F619" s="1488"/>
      <c r="G619" s="1489"/>
      <c r="H619" s="1490"/>
      <c r="I619" s="1487"/>
      <c r="J619" s="1488"/>
      <c r="K619" s="1489"/>
      <c r="L619" s="1490"/>
      <c r="M619" s="1487"/>
      <c r="N619" s="1488"/>
      <c r="O619" s="1489"/>
      <c r="P619" s="1490"/>
      <c r="X619" s="1445" t="e">
        <f ca="1"/>
        <v>#NAME?</v>
      </c>
      <c r="Y619" s="1446" t="e">
        <f ca="1"/>
        <v>#NAME?</v>
      </c>
      <c r="Z619" s="1408"/>
    </row>
    <row r="620" spans="1:26">
      <c r="A620" s="1487"/>
      <c r="B620" s="1488"/>
      <c r="C620" s="1489"/>
      <c r="D620" s="1490"/>
      <c r="E620" s="1487"/>
      <c r="F620" s="1488"/>
      <c r="G620" s="1489"/>
      <c r="H620" s="1490"/>
      <c r="I620" s="1487"/>
      <c r="J620" s="1488"/>
      <c r="K620" s="1489"/>
      <c r="L620" s="1490"/>
      <c r="M620" s="1487"/>
      <c r="N620" s="1488"/>
      <c r="O620" s="1489"/>
      <c r="P620" s="1490"/>
      <c r="X620" s="1445" t="e">
        <f ca="1"/>
        <v>#NAME?</v>
      </c>
      <c r="Y620" s="1446" t="e">
        <f ca="1"/>
        <v>#NAME?</v>
      </c>
      <c r="Z620" s="1408"/>
    </row>
    <row r="621" spans="1:26">
      <c r="A621" s="1487"/>
      <c r="B621" s="1488"/>
      <c r="C621" s="1489"/>
      <c r="D621" s="1490"/>
      <c r="E621" s="1487"/>
      <c r="F621" s="1488"/>
      <c r="G621" s="1489"/>
      <c r="H621" s="1490"/>
      <c r="I621" s="1487"/>
      <c r="J621" s="1488"/>
      <c r="K621" s="1489"/>
      <c r="L621" s="1490"/>
      <c r="M621" s="1487"/>
      <c r="N621" s="1488"/>
      <c r="O621" s="1489"/>
      <c r="P621" s="1490"/>
      <c r="X621" s="1445" t="e">
        <f ca="1"/>
        <v>#NAME?</v>
      </c>
      <c r="Y621" s="1446" t="e">
        <f ca="1"/>
        <v>#NAME?</v>
      </c>
      <c r="Z621" s="1408"/>
    </row>
    <row r="622" spans="1:26">
      <c r="A622" s="1487"/>
      <c r="B622" s="1488"/>
      <c r="C622" s="1489"/>
      <c r="D622" s="1490"/>
      <c r="E622" s="1487"/>
      <c r="F622" s="1488"/>
      <c r="G622" s="1489"/>
      <c r="H622" s="1490"/>
      <c r="I622" s="1487"/>
      <c r="J622" s="1488"/>
      <c r="K622" s="1489"/>
      <c r="L622" s="1490"/>
      <c r="M622" s="1487"/>
      <c r="N622" s="1488"/>
      <c r="O622" s="1489"/>
      <c r="P622" s="1490"/>
      <c r="X622" s="1445" t="e">
        <f ca="1"/>
        <v>#NAME?</v>
      </c>
      <c r="Y622" s="1446" t="e">
        <f ca="1"/>
        <v>#NAME?</v>
      </c>
      <c r="Z622" s="1408"/>
    </row>
    <row r="623" spans="1:26">
      <c r="A623" s="1487"/>
      <c r="B623" s="1488"/>
      <c r="C623" s="1489"/>
      <c r="D623" s="1490"/>
      <c r="E623" s="1487"/>
      <c r="F623" s="1488"/>
      <c r="G623" s="1489"/>
      <c r="H623" s="1490"/>
      <c r="I623" s="1487"/>
      <c r="J623" s="1488"/>
      <c r="K623" s="1489"/>
      <c r="L623" s="1490"/>
      <c r="M623" s="1487"/>
      <c r="N623" s="1488"/>
      <c r="O623" s="1489"/>
      <c r="P623" s="1490"/>
      <c r="X623" s="1445" t="e">
        <f ca="1"/>
        <v>#NAME?</v>
      </c>
      <c r="Y623" s="1446" t="e">
        <f ca="1"/>
        <v>#NAME?</v>
      </c>
      <c r="Z623" s="1408"/>
    </row>
    <row r="624" spans="1:26">
      <c r="A624" s="1487"/>
      <c r="B624" s="1488"/>
      <c r="C624" s="1489"/>
      <c r="D624" s="1490"/>
      <c r="E624" s="1487"/>
      <c r="F624" s="1488"/>
      <c r="G624" s="1489"/>
      <c r="H624" s="1490"/>
      <c r="I624" s="1487"/>
      <c r="J624" s="1488"/>
      <c r="K624" s="1489"/>
      <c r="L624" s="1490"/>
      <c r="M624" s="1487"/>
      <c r="N624" s="1488"/>
      <c r="O624" s="1489"/>
      <c r="P624" s="1490"/>
      <c r="X624" s="1445" t="e">
        <f ca="1"/>
        <v>#NAME?</v>
      </c>
      <c r="Y624" s="1446" t="e">
        <f ca="1"/>
        <v>#NAME?</v>
      </c>
      <c r="Z624" s="1408"/>
    </row>
    <row r="625" spans="1:26">
      <c r="A625" s="1487"/>
      <c r="B625" s="1488"/>
      <c r="C625" s="1489"/>
      <c r="D625" s="1490"/>
      <c r="E625" s="1487"/>
      <c r="F625" s="1488"/>
      <c r="G625" s="1489"/>
      <c r="H625" s="1490"/>
      <c r="I625" s="1487"/>
      <c r="J625" s="1488"/>
      <c r="K625" s="1489"/>
      <c r="L625" s="1490"/>
      <c r="M625" s="1487"/>
      <c r="N625" s="1488"/>
      <c r="O625" s="1489"/>
      <c r="P625" s="1490"/>
      <c r="X625" s="1445" t="e">
        <f ca="1"/>
        <v>#NAME?</v>
      </c>
      <c r="Y625" s="1446" t="e">
        <f ca="1"/>
        <v>#NAME?</v>
      </c>
      <c r="Z625" s="1408"/>
    </row>
    <row r="626" spans="1:26">
      <c r="A626" s="1487"/>
      <c r="B626" s="1488"/>
      <c r="C626" s="1489"/>
      <c r="D626" s="1490"/>
      <c r="E626" s="1487"/>
      <c r="F626" s="1488"/>
      <c r="G626" s="1489"/>
      <c r="H626" s="1490"/>
      <c r="I626" s="1487"/>
      <c r="J626" s="1488"/>
      <c r="K626" s="1489"/>
      <c r="L626" s="1490"/>
      <c r="M626" s="1487"/>
      <c r="N626" s="1488"/>
      <c r="O626" s="1489"/>
      <c r="P626" s="1490"/>
      <c r="X626" s="1445" t="e">
        <f ca="1"/>
        <v>#NAME?</v>
      </c>
      <c r="Y626" s="1446" t="e">
        <f ca="1"/>
        <v>#NAME?</v>
      </c>
      <c r="Z626" s="1408"/>
    </row>
    <row r="627" spans="1:26">
      <c r="A627" s="1487"/>
      <c r="B627" s="1488"/>
      <c r="C627" s="1489"/>
      <c r="D627" s="1490"/>
      <c r="E627" s="1487"/>
      <c r="F627" s="1488"/>
      <c r="G627" s="1489"/>
      <c r="H627" s="1490"/>
      <c r="I627" s="1487"/>
      <c r="J627" s="1488"/>
      <c r="K627" s="1489"/>
      <c r="L627" s="1490"/>
      <c r="M627" s="1487"/>
      <c r="N627" s="1488"/>
      <c r="O627" s="1489"/>
      <c r="P627" s="1490"/>
      <c r="X627" s="1445" t="e">
        <f ca="1"/>
        <v>#NAME?</v>
      </c>
      <c r="Y627" s="1446" t="e">
        <f ca="1"/>
        <v>#NAME?</v>
      </c>
      <c r="Z627" s="1408"/>
    </row>
    <row r="628" spans="1:26">
      <c r="A628" s="1487"/>
      <c r="B628" s="1488"/>
      <c r="C628" s="1489"/>
      <c r="D628" s="1490"/>
      <c r="E628" s="1487"/>
      <c r="F628" s="1488"/>
      <c r="G628" s="1489"/>
      <c r="H628" s="1490"/>
      <c r="I628" s="1487"/>
      <c r="J628" s="1488"/>
      <c r="K628" s="1489"/>
      <c r="L628" s="1490"/>
      <c r="M628" s="1487"/>
      <c r="N628" s="1488"/>
      <c r="O628" s="1489"/>
      <c r="P628" s="1490"/>
      <c r="X628" s="1445" t="e">
        <f ca="1"/>
        <v>#NAME?</v>
      </c>
      <c r="Y628" s="1446" t="e">
        <f ca="1"/>
        <v>#NAME?</v>
      </c>
      <c r="Z628" s="1408"/>
    </row>
    <row r="629" spans="1:26">
      <c r="A629" s="1487"/>
      <c r="B629" s="1488"/>
      <c r="C629" s="1489"/>
      <c r="D629" s="1490"/>
      <c r="E629" s="1487"/>
      <c r="F629" s="1488"/>
      <c r="G629" s="1489"/>
      <c r="H629" s="1490"/>
      <c r="I629" s="1487"/>
      <c r="J629" s="1488"/>
      <c r="K629" s="1489"/>
      <c r="L629" s="1490"/>
      <c r="M629" s="1487"/>
      <c r="N629" s="1488"/>
      <c r="O629" s="1489"/>
      <c r="P629" s="1490"/>
      <c r="X629" s="1445" t="e">
        <f ca="1"/>
        <v>#NAME?</v>
      </c>
      <c r="Y629" s="1446" t="e">
        <f ca="1"/>
        <v>#NAME?</v>
      </c>
      <c r="Z629" s="1408"/>
    </row>
    <row r="630" spans="1:26">
      <c r="A630" s="1487"/>
      <c r="B630" s="1488"/>
      <c r="C630" s="1489"/>
      <c r="D630" s="1490"/>
      <c r="E630" s="1487"/>
      <c r="F630" s="1488"/>
      <c r="G630" s="1489"/>
      <c r="H630" s="1490"/>
      <c r="I630" s="1487"/>
      <c r="J630" s="1488"/>
      <c r="K630" s="1489"/>
      <c r="L630" s="1490"/>
      <c r="M630" s="1487"/>
      <c r="N630" s="1488"/>
      <c r="O630" s="1489"/>
      <c r="P630" s="1490"/>
      <c r="X630" s="1445" t="e">
        <f ca="1"/>
        <v>#NAME?</v>
      </c>
      <c r="Y630" s="1446" t="e">
        <f ca="1"/>
        <v>#NAME?</v>
      </c>
      <c r="Z630" s="1408"/>
    </row>
    <row r="631" spans="1:26">
      <c r="A631" s="1487"/>
      <c r="B631" s="1488"/>
      <c r="C631" s="1489"/>
      <c r="D631" s="1490"/>
      <c r="E631" s="1487"/>
      <c r="F631" s="1488"/>
      <c r="G631" s="1489"/>
      <c r="H631" s="1490"/>
      <c r="I631" s="1487"/>
      <c r="J631" s="1488"/>
      <c r="K631" s="1489"/>
      <c r="L631" s="1490"/>
      <c r="M631" s="1487"/>
      <c r="N631" s="1488"/>
      <c r="O631" s="1489"/>
      <c r="P631" s="1490"/>
      <c r="X631" s="1445" t="e">
        <f ca="1"/>
        <v>#NAME?</v>
      </c>
      <c r="Y631" s="1446" t="e">
        <f ca="1"/>
        <v>#NAME?</v>
      </c>
      <c r="Z631" s="1408"/>
    </row>
    <row r="632" spans="1:26">
      <c r="A632" s="1487"/>
      <c r="B632" s="1488"/>
      <c r="C632" s="1489"/>
      <c r="D632" s="1490"/>
      <c r="E632" s="1487"/>
      <c r="F632" s="1488"/>
      <c r="G632" s="1489"/>
      <c r="H632" s="1490"/>
      <c r="I632" s="1487"/>
      <c r="J632" s="1488"/>
      <c r="K632" s="1489"/>
      <c r="L632" s="1490"/>
      <c r="M632" s="1487"/>
      <c r="N632" s="1488"/>
      <c r="O632" s="1489"/>
      <c r="P632" s="1490"/>
      <c r="X632" s="1445" t="e">
        <f ca="1"/>
        <v>#NAME?</v>
      </c>
      <c r="Y632" s="1446" t="e">
        <f ca="1"/>
        <v>#NAME?</v>
      </c>
      <c r="Z632" s="1408"/>
    </row>
    <row r="633" spans="1:26">
      <c r="A633" s="1487"/>
      <c r="B633" s="1488"/>
      <c r="C633" s="1489"/>
      <c r="D633" s="1490"/>
      <c r="E633" s="1487"/>
      <c r="F633" s="1488"/>
      <c r="G633" s="1489"/>
      <c r="H633" s="1490"/>
      <c r="I633" s="1487"/>
      <c r="J633" s="1488"/>
      <c r="K633" s="1489"/>
      <c r="L633" s="1490"/>
      <c r="M633" s="1487"/>
      <c r="N633" s="1488"/>
      <c r="O633" s="1489"/>
      <c r="P633" s="1490"/>
      <c r="X633" s="1445" t="e">
        <f ca="1"/>
        <v>#NAME?</v>
      </c>
      <c r="Y633" s="1446" t="e">
        <f ca="1"/>
        <v>#NAME?</v>
      </c>
      <c r="Z633" s="1408"/>
    </row>
    <row r="634" spans="1:26">
      <c r="A634" s="1487"/>
      <c r="B634" s="1488"/>
      <c r="C634" s="1489"/>
      <c r="D634" s="1490"/>
      <c r="E634" s="1487"/>
      <c r="F634" s="1488"/>
      <c r="G634" s="1489"/>
      <c r="H634" s="1490"/>
      <c r="I634" s="1487"/>
      <c r="J634" s="1488"/>
      <c r="K634" s="1489"/>
      <c r="L634" s="1490"/>
      <c r="M634" s="1487"/>
      <c r="N634" s="1488"/>
      <c r="O634" s="1489"/>
      <c r="P634" s="1490"/>
      <c r="X634" s="1445" t="e">
        <f ca="1"/>
        <v>#NAME?</v>
      </c>
      <c r="Y634" s="1446" t="e">
        <f ca="1"/>
        <v>#NAME?</v>
      </c>
      <c r="Z634" s="1408"/>
    </row>
    <row r="635" spans="1:26">
      <c r="A635" s="1487"/>
      <c r="B635" s="1488"/>
      <c r="C635" s="1489"/>
      <c r="D635" s="1490"/>
      <c r="E635" s="1487"/>
      <c r="F635" s="1488"/>
      <c r="G635" s="1489"/>
      <c r="H635" s="1490"/>
      <c r="I635" s="1487"/>
      <c r="J635" s="1488"/>
      <c r="K635" s="1489"/>
      <c r="L635" s="1490"/>
      <c r="M635" s="1487"/>
      <c r="N635" s="1488"/>
      <c r="O635" s="1489"/>
      <c r="P635" s="1490"/>
      <c r="X635" s="1445" t="e">
        <f ca="1"/>
        <v>#NAME?</v>
      </c>
      <c r="Y635" s="1446" t="e">
        <f ca="1"/>
        <v>#NAME?</v>
      </c>
      <c r="Z635" s="1408"/>
    </row>
    <row r="636" spans="1:26">
      <c r="A636" s="1487"/>
      <c r="B636" s="1488"/>
      <c r="C636" s="1489"/>
      <c r="D636" s="1490"/>
      <c r="E636" s="1487"/>
      <c r="F636" s="1488"/>
      <c r="G636" s="1489"/>
      <c r="H636" s="1490"/>
      <c r="I636" s="1487"/>
      <c r="J636" s="1488"/>
      <c r="K636" s="1489"/>
      <c r="L636" s="1490"/>
      <c r="M636" s="1487"/>
      <c r="N636" s="1488"/>
      <c r="O636" s="1489"/>
      <c r="P636" s="1490"/>
      <c r="X636" s="1445" t="e">
        <f ca="1"/>
        <v>#NAME?</v>
      </c>
      <c r="Y636" s="1446" t="e">
        <f ca="1"/>
        <v>#NAME?</v>
      </c>
      <c r="Z636" s="1408"/>
    </row>
    <row r="637" spans="1:26">
      <c r="A637" s="1487"/>
      <c r="B637" s="1488"/>
      <c r="C637" s="1489"/>
      <c r="D637" s="1490"/>
      <c r="E637" s="1487"/>
      <c r="F637" s="1488"/>
      <c r="G637" s="1489"/>
      <c r="H637" s="1490"/>
      <c r="I637" s="1487"/>
      <c r="J637" s="1488"/>
      <c r="K637" s="1489"/>
      <c r="L637" s="1490"/>
      <c r="M637" s="1487"/>
      <c r="N637" s="1488"/>
      <c r="O637" s="1489"/>
      <c r="P637" s="1490"/>
      <c r="X637" s="1445" t="e">
        <f ca="1"/>
        <v>#NAME?</v>
      </c>
      <c r="Y637" s="1446" t="e">
        <f ca="1"/>
        <v>#NAME?</v>
      </c>
      <c r="Z637" s="1408"/>
    </row>
    <row r="638" spans="1:26">
      <c r="A638" s="1487"/>
      <c r="B638" s="1488"/>
      <c r="C638" s="1489"/>
      <c r="D638" s="1490"/>
      <c r="E638" s="1487"/>
      <c r="F638" s="1488"/>
      <c r="G638" s="1489"/>
      <c r="H638" s="1490"/>
      <c r="I638" s="1487"/>
      <c r="J638" s="1488"/>
      <c r="K638" s="1489"/>
      <c r="L638" s="1490"/>
      <c r="M638" s="1487"/>
      <c r="N638" s="1488"/>
      <c r="O638" s="1489"/>
      <c r="P638" s="1490"/>
      <c r="X638" s="1445" t="e">
        <f ca="1"/>
        <v>#NAME?</v>
      </c>
      <c r="Y638" s="1446" t="e">
        <f ca="1"/>
        <v>#NAME?</v>
      </c>
      <c r="Z638" s="1408"/>
    </row>
    <row r="639" spans="1:26">
      <c r="A639" s="1487"/>
      <c r="B639" s="1488"/>
      <c r="C639" s="1489"/>
      <c r="D639" s="1490"/>
      <c r="E639" s="1487"/>
      <c r="F639" s="1488"/>
      <c r="G639" s="1489"/>
      <c r="H639" s="1490"/>
      <c r="I639" s="1487"/>
      <c r="J639" s="1488"/>
      <c r="K639" s="1489"/>
      <c r="L639" s="1490"/>
      <c r="M639" s="1487"/>
      <c r="N639" s="1488"/>
      <c r="O639" s="1489"/>
      <c r="P639" s="1490"/>
      <c r="X639" s="1445" t="e">
        <f ca="1"/>
        <v>#NAME?</v>
      </c>
      <c r="Y639" s="1446" t="e">
        <f ca="1"/>
        <v>#NAME?</v>
      </c>
      <c r="Z639" s="1408"/>
    </row>
    <row r="640" spans="1:26">
      <c r="A640" s="1487"/>
      <c r="B640" s="1488"/>
      <c r="C640" s="1489"/>
      <c r="D640" s="1490"/>
      <c r="E640" s="1487"/>
      <c r="F640" s="1488"/>
      <c r="G640" s="1489"/>
      <c r="H640" s="1490"/>
      <c r="I640" s="1487"/>
      <c r="J640" s="1488"/>
      <c r="K640" s="1489"/>
      <c r="L640" s="1490"/>
      <c r="M640" s="1487"/>
      <c r="N640" s="1488"/>
      <c r="O640" s="1489"/>
      <c r="P640" s="1490"/>
      <c r="X640" s="1445" t="e">
        <f ca="1"/>
        <v>#NAME?</v>
      </c>
      <c r="Y640" s="1446" t="e">
        <f ca="1"/>
        <v>#NAME?</v>
      </c>
      <c r="Z640" s="1408"/>
    </row>
    <row r="641" spans="1:26">
      <c r="A641" s="1487"/>
      <c r="B641" s="1488"/>
      <c r="C641" s="1489"/>
      <c r="D641" s="1490"/>
      <c r="E641" s="1487"/>
      <c r="F641" s="1488"/>
      <c r="G641" s="1489"/>
      <c r="H641" s="1490"/>
      <c r="I641" s="1487"/>
      <c r="J641" s="1488"/>
      <c r="K641" s="1489"/>
      <c r="L641" s="1490"/>
      <c r="M641" s="1487"/>
      <c r="N641" s="1488"/>
      <c r="O641" s="1489"/>
      <c r="P641" s="1490"/>
      <c r="X641" s="1445" t="e">
        <f ca="1"/>
        <v>#NAME?</v>
      </c>
      <c r="Y641" s="1446" t="e">
        <f ca="1"/>
        <v>#NAME?</v>
      </c>
      <c r="Z641" s="1408"/>
    </row>
    <row r="642" spans="1:26">
      <c r="A642" s="1487"/>
      <c r="B642" s="1488"/>
      <c r="C642" s="1489"/>
      <c r="D642" s="1490"/>
      <c r="E642" s="1487"/>
      <c r="F642" s="1488"/>
      <c r="G642" s="1489"/>
      <c r="H642" s="1490"/>
      <c r="I642" s="1487"/>
      <c r="J642" s="1488"/>
      <c r="K642" s="1489"/>
      <c r="L642" s="1490"/>
      <c r="M642" s="1487"/>
      <c r="N642" s="1488"/>
      <c r="O642" s="1489"/>
      <c r="P642" s="1490"/>
      <c r="X642" s="1445" t="e">
        <f ca="1"/>
        <v>#NAME?</v>
      </c>
      <c r="Y642" s="1446" t="e">
        <f ca="1"/>
        <v>#NAME?</v>
      </c>
      <c r="Z642" s="1408"/>
    </row>
    <row r="643" spans="1:26">
      <c r="A643" s="1487"/>
      <c r="B643" s="1488"/>
      <c r="C643" s="1489"/>
      <c r="D643" s="1490"/>
      <c r="E643" s="1487"/>
      <c r="F643" s="1488"/>
      <c r="G643" s="1489"/>
      <c r="H643" s="1490"/>
      <c r="I643" s="1487"/>
      <c r="J643" s="1488"/>
      <c r="K643" s="1489"/>
      <c r="L643" s="1490"/>
      <c r="M643" s="1487"/>
      <c r="N643" s="1488"/>
      <c r="O643" s="1489"/>
      <c r="P643" s="1490"/>
      <c r="X643" s="1445" t="e">
        <f ca="1"/>
        <v>#NAME?</v>
      </c>
      <c r="Y643" s="1446" t="e">
        <f ca="1"/>
        <v>#NAME?</v>
      </c>
      <c r="Z643" s="1408"/>
    </row>
    <row r="644" spans="1:26">
      <c r="A644" s="1487"/>
      <c r="B644" s="1488"/>
      <c r="C644" s="1489"/>
      <c r="D644" s="1490"/>
      <c r="E644" s="1487"/>
      <c r="F644" s="1488"/>
      <c r="G644" s="1489"/>
      <c r="H644" s="1490"/>
      <c r="I644" s="1487"/>
      <c r="J644" s="1488"/>
      <c r="K644" s="1489"/>
      <c r="L644" s="1490"/>
      <c r="M644" s="1487"/>
      <c r="N644" s="1488"/>
      <c r="O644" s="1489"/>
      <c r="P644" s="1490"/>
      <c r="X644" s="1445" t="e">
        <f ca="1"/>
        <v>#NAME?</v>
      </c>
      <c r="Y644" s="1446" t="e">
        <f ca="1"/>
        <v>#NAME?</v>
      </c>
      <c r="Z644" s="1408"/>
    </row>
    <row r="645" spans="1:26">
      <c r="A645" s="1487"/>
      <c r="B645" s="1488"/>
      <c r="C645" s="1489"/>
      <c r="D645" s="1490"/>
      <c r="E645" s="1487"/>
      <c r="F645" s="1488"/>
      <c r="G645" s="1489"/>
      <c r="H645" s="1490"/>
      <c r="I645" s="1487"/>
      <c r="J645" s="1488"/>
      <c r="K645" s="1489"/>
      <c r="L645" s="1490"/>
      <c r="M645" s="1487"/>
      <c r="N645" s="1488"/>
      <c r="O645" s="1489"/>
      <c r="P645" s="1490"/>
      <c r="X645" s="1445" t="e">
        <f ca="1"/>
        <v>#NAME?</v>
      </c>
      <c r="Y645" s="1446" t="e">
        <f ca="1"/>
        <v>#NAME?</v>
      </c>
      <c r="Z645" s="1408"/>
    </row>
    <row r="646" spans="1:26">
      <c r="A646" s="1487"/>
      <c r="B646" s="1488"/>
      <c r="C646" s="1489"/>
      <c r="D646" s="1490"/>
      <c r="E646" s="1487"/>
      <c r="F646" s="1488"/>
      <c r="G646" s="1489"/>
      <c r="H646" s="1490"/>
      <c r="I646" s="1487"/>
      <c r="J646" s="1488"/>
      <c r="K646" s="1489"/>
      <c r="L646" s="1490"/>
      <c r="M646" s="1487"/>
      <c r="N646" s="1488"/>
      <c r="O646" s="1489"/>
      <c r="P646" s="1490"/>
      <c r="X646" s="1445" t="e">
        <f ca="1"/>
        <v>#NAME?</v>
      </c>
      <c r="Y646" s="1446" t="e">
        <f ca="1"/>
        <v>#NAME?</v>
      </c>
      <c r="Z646" s="1408"/>
    </row>
    <row r="647" spans="1:26">
      <c r="A647" s="1487"/>
      <c r="B647" s="1488"/>
      <c r="C647" s="1489"/>
      <c r="D647" s="1490"/>
      <c r="E647" s="1487"/>
      <c r="F647" s="1488"/>
      <c r="G647" s="1489"/>
      <c r="H647" s="1490"/>
      <c r="I647" s="1487"/>
      <c r="J647" s="1488"/>
      <c r="K647" s="1489"/>
      <c r="L647" s="1490"/>
      <c r="M647" s="1487"/>
      <c r="N647" s="1488"/>
      <c r="O647" s="1489"/>
      <c r="P647" s="1490"/>
      <c r="X647" s="1445" t="e">
        <f ca="1"/>
        <v>#NAME?</v>
      </c>
      <c r="Y647" s="1446" t="e">
        <f ca="1"/>
        <v>#NAME?</v>
      </c>
      <c r="Z647" s="1408"/>
    </row>
    <row r="648" spans="1:26">
      <c r="A648" s="1487"/>
      <c r="B648" s="1488"/>
      <c r="C648" s="1489"/>
      <c r="D648" s="1490"/>
      <c r="E648" s="1487"/>
      <c r="F648" s="1488"/>
      <c r="G648" s="1489"/>
      <c r="H648" s="1490"/>
      <c r="I648" s="1487"/>
      <c r="J648" s="1488"/>
      <c r="K648" s="1489"/>
      <c r="L648" s="1490"/>
      <c r="M648" s="1487"/>
      <c r="N648" s="1488"/>
      <c r="O648" s="1489"/>
      <c r="P648" s="1490"/>
      <c r="X648" s="1445" t="e">
        <f ca="1"/>
        <v>#NAME?</v>
      </c>
      <c r="Y648" s="1446" t="e">
        <f ca="1"/>
        <v>#NAME?</v>
      </c>
      <c r="Z648" s="1408"/>
    </row>
    <row r="649" spans="1:26">
      <c r="A649" s="1487"/>
      <c r="B649" s="1488"/>
      <c r="C649" s="1489"/>
      <c r="D649" s="1490"/>
      <c r="E649" s="1487"/>
      <c r="F649" s="1488"/>
      <c r="G649" s="1489"/>
      <c r="H649" s="1490"/>
      <c r="I649" s="1487"/>
      <c r="J649" s="1488"/>
      <c r="K649" s="1489"/>
      <c r="L649" s="1490"/>
      <c r="M649" s="1487"/>
      <c r="N649" s="1488"/>
      <c r="O649" s="1489"/>
      <c r="P649" s="1490"/>
      <c r="X649" s="1445" t="e">
        <f ca="1"/>
        <v>#NAME?</v>
      </c>
      <c r="Y649" s="1446" t="e">
        <f ca="1"/>
        <v>#NAME?</v>
      </c>
      <c r="Z649" s="1408"/>
    </row>
    <row r="650" spans="1:26">
      <c r="A650" s="1487"/>
      <c r="B650" s="1488"/>
      <c r="C650" s="1489"/>
      <c r="D650" s="1490"/>
      <c r="E650" s="1487"/>
      <c r="F650" s="1488"/>
      <c r="G650" s="1489"/>
      <c r="H650" s="1490"/>
      <c r="I650" s="1487"/>
      <c r="J650" s="1488"/>
      <c r="K650" s="1489"/>
      <c r="L650" s="1490"/>
      <c r="M650" s="1487"/>
      <c r="N650" s="1488"/>
      <c r="O650" s="1489"/>
      <c r="P650" s="1490"/>
      <c r="X650" s="1445" t="e">
        <f ca="1"/>
        <v>#NAME?</v>
      </c>
      <c r="Y650" s="1446" t="e">
        <f ca="1"/>
        <v>#NAME?</v>
      </c>
      <c r="Z650" s="1408"/>
    </row>
    <row r="651" spans="1:26">
      <c r="A651" s="1487"/>
      <c r="B651" s="1488"/>
      <c r="C651" s="1489"/>
      <c r="D651" s="1490"/>
      <c r="E651" s="1487"/>
      <c r="F651" s="1488"/>
      <c r="G651" s="1489"/>
      <c r="H651" s="1490"/>
      <c r="I651" s="1487"/>
      <c r="J651" s="1488"/>
      <c r="K651" s="1489"/>
      <c r="L651" s="1490"/>
      <c r="M651" s="1487"/>
      <c r="N651" s="1488"/>
      <c r="O651" s="1489"/>
      <c r="P651" s="1490"/>
      <c r="X651" s="1445" t="e">
        <f ca="1"/>
        <v>#NAME?</v>
      </c>
      <c r="Y651" s="1446" t="e">
        <f ca="1"/>
        <v>#NAME?</v>
      </c>
      <c r="Z651" s="1408"/>
    </row>
    <row r="652" spans="1:26">
      <c r="A652" s="1487"/>
      <c r="B652" s="1488"/>
      <c r="C652" s="1489"/>
      <c r="D652" s="1490"/>
      <c r="E652" s="1487"/>
      <c r="F652" s="1488"/>
      <c r="G652" s="1489"/>
      <c r="H652" s="1490"/>
      <c r="I652" s="1487"/>
      <c r="J652" s="1488"/>
      <c r="K652" s="1489"/>
      <c r="L652" s="1490"/>
      <c r="M652" s="1487"/>
      <c r="N652" s="1488"/>
      <c r="O652" s="1489"/>
      <c r="P652" s="1490"/>
      <c r="X652" s="1445" t="e">
        <f ca="1"/>
        <v>#NAME?</v>
      </c>
      <c r="Y652" s="1446" t="e">
        <f ca="1"/>
        <v>#NAME?</v>
      </c>
      <c r="Z652" s="1408"/>
    </row>
    <row r="653" spans="1:26">
      <c r="A653" s="1487"/>
      <c r="B653" s="1488"/>
      <c r="C653" s="1489"/>
      <c r="D653" s="1490"/>
      <c r="E653" s="1487"/>
      <c r="F653" s="1488"/>
      <c r="G653" s="1489"/>
      <c r="H653" s="1490"/>
      <c r="I653" s="1487"/>
      <c r="J653" s="1488"/>
      <c r="K653" s="1489"/>
      <c r="L653" s="1490"/>
      <c r="M653" s="1487"/>
      <c r="N653" s="1488"/>
      <c r="O653" s="1489"/>
      <c r="P653" s="1490"/>
      <c r="X653" s="1445" t="e">
        <f ca="1"/>
        <v>#NAME?</v>
      </c>
      <c r="Y653" s="1446" t="e">
        <f ca="1"/>
        <v>#NAME?</v>
      </c>
      <c r="Z653" s="1408"/>
    </row>
    <row r="654" spans="1:26">
      <c r="A654" s="1487"/>
      <c r="B654" s="1488"/>
      <c r="C654" s="1489"/>
      <c r="D654" s="1490"/>
      <c r="E654" s="1487"/>
      <c r="F654" s="1488"/>
      <c r="G654" s="1489"/>
      <c r="H654" s="1490"/>
      <c r="I654" s="1487"/>
      <c r="J654" s="1488"/>
      <c r="K654" s="1489"/>
      <c r="L654" s="1490"/>
      <c r="M654" s="1487"/>
      <c r="N654" s="1488"/>
      <c r="O654" s="1489"/>
      <c r="P654" s="1490"/>
      <c r="X654" s="1445" t="e">
        <f ca="1"/>
        <v>#NAME?</v>
      </c>
      <c r="Y654" s="1446" t="e">
        <f ca="1"/>
        <v>#NAME?</v>
      </c>
      <c r="Z654" s="1408"/>
    </row>
    <row r="655" spans="1:26">
      <c r="A655" s="1487"/>
      <c r="B655" s="1488"/>
      <c r="C655" s="1489"/>
      <c r="D655" s="1490"/>
      <c r="E655" s="1487"/>
      <c r="F655" s="1488"/>
      <c r="G655" s="1489"/>
      <c r="H655" s="1490"/>
      <c r="I655" s="1487"/>
      <c r="J655" s="1488"/>
      <c r="K655" s="1489"/>
      <c r="L655" s="1490"/>
      <c r="M655" s="1487"/>
      <c r="N655" s="1488"/>
      <c r="O655" s="1489"/>
      <c r="P655" s="1490"/>
      <c r="X655" s="1445" t="e">
        <f ca="1"/>
        <v>#NAME?</v>
      </c>
      <c r="Y655" s="1446" t="e">
        <f ca="1"/>
        <v>#NAME?</v>
      </c>
      <c r="Z655" s="1408"/>
    </row>
    <row r="656" spans="1:26">
      <c r="A656" s="1487"/>
      <c r="B656" s="1488"/>
      <c r="C656" s="1489"/>
      <c r="D656" s="1490"/>
      <c r="E656" s="1487"/>
      <c r="F656" s="1488"/>
      <c r="G656" s="1489"/>
      <c r="H656" s="1490"/>
      <c r="I656" s="1487"/>
      <c r="J656" s="1488"/>
      <c r="K656" s="1489"/>
      <c r="L656" s="1490"/>
      <c r="M656" s="1487"/>
      <c r="N656" s="1488"/>
      <c r="O656" s="1489"/>
      <c r="P656" s="1490"/>
      <c r="X656" s="1445" t="e">
        <f ca="1"/>
        <v>#NAME?</v>
      </c>
      <c r="Y656" s="1446" t="e">
        <f ca="1"/>
        <v>#NAME?</v>
      </c>
      <c r="Z656" s="1408"/>
    </row>
    <row r="657" spans="1:26">
      <c r="A657" s="1487"/>
      <c r="B657" s="1488"/>
      <c r="C657" s="1489"/>
      <c r="D657" s="1490"/>
      <c r="E657" s="1487"/>
      <c r="F657" s="1488"/>
      <c r="G657" s="1489"/>
      <c r="H657" s="1490"/>
      <c r="I657" s="1487"/>
      <c r="J657" s="1488"/>
      <c r="K657" s="1489"/>
      <c r="L657" s="1490"/>
      <c r="M657" s="1487"/>
      <c r="N657" s="1488"/>
      <c r="O657" s="1489"/>
      <c r="P657" s="1490"/>
      <c r="X657" s="1445" t="e">
        <f ca="1"/>
        <v>#NAME?</v>
      </c>
      <c r="Y657" s="1446" t="e">
        <f ca="1"/>
        <v>#NAME?</v>
      </c>
      <c r="Z657" s="1408"/>
    </row>
    <row r="658" spans="1:26">
      <c r="A658" s="1487"/>
      <c r="B658" s="1488"/>
      <c r="C658" s="1489"/>
      <c r="D658" s="1490"/>
      <c r="E658" s="1487"/>
      <c r="F658" s="1488"/>
      <c r="G658" s="1489"/>
      <c r="H658" s="1490"/>
      <c r="I658" s="1487"/>
      <c r="J658" s="1488"/>
      <c r="K658" s="1489"/>
      <c r="L658" s="1490"/>
      <c r="M658" s="1487"/>
      <c r="N658" s="1488"/>
      <c r="O658" s="1489"/>
      <c r="P658" s="1490"/>
      <c r="X658" s="1445" t="e">
        <f ca="1"/>
        <v>#NAME?</v>
      </c>
      <c r="Y658" s="1446" t="e">
        <f ca="1"/>
        <v>#NAME?</v>
      </c>
      <c r="Z658" s="1408"/>
    </row>
    <row r="659" spans="1:26">
      <c r="A659" s="1487"/>
      <c r="B659" s="1488"/>
      <c r="C659" s="1489"/>
      <c r="D659" s="1490"/>
      <c r="E659" s="1487"/>
      <c r="F659" s="1488"/>
      <c r="G659" s="1489"/>
      <c r="H659" s="1490"/>
      <c r="I659" s="1487"/>
      <c r="J659" s="1488"/>
      <c r="K659" s="1489"/>
      <c r="L659" s="1490"/>
      <c r="M659" s="1487"/>
      <c r="N659" s="1488"/>
      <c r="O659" s="1489"/>
      <c r="P659" s="1490"/>
      <c r="X659" s="1445" t="e">
        <f ca="1"/>
        <v>#NAME?</v>
      </c>
      <c r="Y659" s="1446" t="e">
        <f ca="1"/>
        <v>#NAME?</v>
      </c>
      <c r="Z659" s="1408"/>
    </row>
    <row r="660" spans="1:26">
      <c r="A660" s="1487"/>
      <c r="B660" s="1488"/>
      <c r="C660" s="1489"/>
      <c r="D660" s="1490"/>
      <c r="E660" s="1487"/>
      <c r="F660" s="1488"/>
      <c r="G660" s="1489"/>
      <c r="H660" s="1490"/>
      <c r="I660" s="1487"/>
      <c r="J660" s="1488"/>
      <c r="K660" s="1489"/>
      <c r="L660" s="1490"/>
      <c r="M660" s="1487"/>
      <c r="N660" s="1488"/>
      <c r="O660" s="1489"/>
      <c r="P660" s="1490"/>
      <c r="X660" s="1445" t="e">
        <f ca="1"/>
        <v>#NAME?</v>
      </c>
      <c r="Y660" s="1446" t="e">
        <f ca="1"/>
        <v>#NAME?</v>
      </c>
      <c r="Z660" s="1408"/>
    </row>
    <row r="661" spans="1:26">
      <c r="A661" s="1487"/>
      <c r="B661" s="1488"/>
      <c r="C661" s="1489"/>
      <c r="D661" s="1490"/>
      <c r="E661" s="1487"/>
      <c r="F661" s="1488"/>
      <c r="G661" s="1489"/>
      <c r="H661" s="1490"/>
      <c r="I661" s="1487"/>
      <c r="J661" s="1488"/>
      <c r="K661" s="1489"/>
      <c r="L661" s="1490"/>
      <c r="M661" s="1487"/>
      <c r="N661" s="1488"/>
      <c r="O661" s="1489"/>
      <c r="P661" s="1490"/>
      <c r="X661" s="1445" t="e">
        <f ca="1"/>
        <v>#NAME?</v>
      </c>
      <c r="Y661" s="1446" t="e">
        <f ca="1"/>
        <v>#NAME?</v>
      </c>
      <c r="Z661" s="1408"/>
    </row>
    <row r="662" spans="1:26">
      <c r="A662" s="1487"/>
      <c r="B662" s="1488"/>
      <c r="C662" s="1489"/>
      <c r="D662" s="1490"/>
      <c r="E662" s="1487"/>
      <c r="F662" s="1488"/>
      <c r="G662" s="1489"/>
      <c r="H662" s="1490"/>
      <c r="I662" s="1487"/>
      <c r="J662" s="1488"/>
      <c r="K662" s="1489"/>
      <c r="L662" s="1490"/>
      <c r="M662" s="1487"/>
      <c r="N662" s="1488"/>
      <c r="O662" s="1489"/>
      <c r="P662" s="1490"/>
      <c r="X662" s="1445" t="e">
        <f ca="1"/>
        <v>#NAME?</v>
      </c>
      <c r="Y662" s="1446" t="e">
        <f ca="1"/>
        <v>#NAME?</v>
      </c>
      <c r="Z662" s="1408"/>
    </row>
    <row r="663" spans="1:26">
      <c r="A663" s="1487"/>
      <c r="B663" s="1488"/>
      <c r="C663" s="1489"/>
      <c r="D663" s="1490"/>
      <c r="E663" s="1487"/>
      <c r="F663" s="1488"/>
      <c r="G663" s="1489"/>
      <c r="H663" s="1490"/>
      <c r="I663" s="1487"/>
      <c r="J663" s="1488"/>
      <c r="K663" s="1489"/>
      <c r="L663" s="1490"/>
      <c r="M663" s="1487"/>
      <c r="N663" s="1488"/>
      <c r="O663" s="1489"/>
      <c r="P663" s="1490"/>
      <c r="X663" s="1445" t="e">
        <f ca="1"/>
        <v>#NAME?</v>
      </c>
      <c r="Y663" s="1446" t="e">
        <f ca="1"/>
        <v>#NAME?</v>
      </c>
      <c r="Z663" s="1408"/>
    </row>
    <row r="664" spans="1:26">
      <c r="A664" s="1487"/>
      <c r="B664" s="1488"/>
      <c r="C664" s="1489"/>
      <c r="D664" s="1490"/>
      <c r="E664" s="1487"/>
      <c r="F664" s="1488"/>
      <c r="G664" s="1489"/>
      <c r="H664" s="1490"/>
      <c r="I664" s="1487"/>
      <c r="J664" s="1488"/>
      <c r="K664" s="1489"/>
      <c r="L664" s="1490"/>
      <c r="M664" s="1487"/>
      <c r="N664" s="1488"/>
      <c r="O664" s="1489"/>
      <c r="P664" s="1490"/>
      <c r="X664" s="1445" t="e">
        <f ca="1"/>
        <v>#NAME?</v>
      </c>
      <c r="Y664" s="1446" t="e">
        <f ca="1"/>
        <v>#NAME?</v>
      </c>
      <c r="Z664" s="1408"/>
    </row>
    <row r="665" spans="1:26">
      <c r="A665" s="1487"/>
      <c r="B665" s="1488"/>
      <c r="C665" s="1489"/>
      <c r="D665" s="1490"/>
      <c r="E665" s="1487"/>
      <c r="F665" s="1488"/>
      <c r="G665" s="1489"/>
      <c r="H665" s="1490"/>
      <c r="I665" s="1487"/>
      <c r="J665" s="1488"/>
      <c r="K665" s="1489"/>
      <c r="L665" s="1490"/>
      <c r="M665" s="1487"/>
      <c r="N665" s="1488"/>
      <c r="O665" s="1489"/>
      <c r="P665" s="1490"/>
      <c r="X665" s="1445" t="e">
        <f ca="1"/>
        <v>#NAME?</v>
      </c>
      <c r="Y665" s="1446" t="e">
        <f ca="1"/>
        <v>#NAME?</v>
      </c>
      <c r="Z665" s="1408"/>
    </row>
    <row r="666" spans="1:26">
      <c r="A666" s="1487"/>
      <c r="B666" s="1488"/>
      <c r="C666" s="1489"/>
      <c r="D666" s="1490"/>
      <c r="E666" s="1487"/>
      <c r="F666" s="1488"/>
      <c r="G666" s="1489"/>
      <c r="H666" s="1490"/>
      <c r="I666" s="1487"/>
      <c r="J666" s="1488"/>
      <c r="K666" s="1489"/>
      <c r="L666" s="1490"/>
      <c r="M666" s="1487"/>
      <c r="N666" s="1488"/>
      <c r="O666" s="1489"/>
      <c r="P666" s="1490"/>
      <c r="X666" s="1445" t="e">
        <f ca="1"/>
        <v>#NAME?</v>
      </c>
      <c r="Y666" s="1446" t="e">
        <f ca="1"/>
        <v>#NAME?</v>
      </c>
      <c r="Z666" s="1408"/>
    </row>
    <row r="667" spans="1:26">
      <c r="A667" s="1487"/>
      <c r="B667" s="1488"/>
      <c r="C667" s="1489"/>
      <c r="D667" s="1490"/>
      <c r="E667" s="1487"/>
      <c r="F667" s="1488"/>
      <c r="G667" s="1489"/>
      <c r="H667" s="1490"/>
      <c r="I667" s="1487"/>
      <c r="J667" s="1488"/>
      <c r="K667" s="1489"/>
      <c r="L667" s="1490"/>
      <c r="M667" s="1487"/>
      <c r="N667" s="1488"/>
      <c r="O667" s="1489"/>
      <c r="P667" s="1490"/>
      <c r="X667" s="1445" t="e">
        <f ca="1"/>
        <v>#NAME?</v>
      </c>
      <c r="Y667" s="1446" t="e">
        <f ca="1"/>
        <v>#NAME?</v>
      </c>
      <c r="Z667" s="1408"/>
    </row>
    <row r="668" spans="1:26">
      <c r="A668" s="1487"/>
      <c r="B668" s="1488"/>
      <c r="C668" s="1489"/>
      <c r="D668" s="1490"/>
      <c r="E668" s="1487"/>
      <c r="F668" s="1488"/>
      <c r="G668" s="1489"/>
      <c r="H668" s="1490"/>
      <c r="I668" s="1487"/>
      <c r="J668" s="1488"/>
      <c r="K668" s="1489"/>
      <c r="L668" s="1490"/>
      <c r="M668" s="1487"/>
      <c r="N668" s="1488"/>
      <c r="O668" s="1489"/>
      <c r="P668" s="1490"/>
      <c r="X668" s="1445" t="e">
        <f ca="1"/>
        <v>#NAME?</v>
      </c>
      <c r="Y668" s="1446" t="e">
        <f ca="1"/>
        <v>#NAME?</v>
      </c>
      <c r="Z668" s="1408"/>
    </row>
    <row r="669" spans="1:26">
      <c r="A669" s="1487"/>
      <c r="B669" s="1488"/>
      <c r="C669" s="1489"/>
      <c r="D669" s="1490"/>
      <c r="E669" s="1487"/>
      <c r="F669" s="1488"/>
      <c r="G669" s="1489"/>
      <c r="H669" s="1490"/>
      <c r="I669" s="1487"/>
      <c r="J669" s="1488"/>
      <c r="K669" s="1489"/>
      <c r="L669" s="1490"/>
      <c r="M669" s="1487"/>
      <c r="N669" s="1488"/>
      <c r="O669" s="1489"/>
      <c r="P669" s="1490"/>
      <c r="X669" s="1445" t="e">
        <f ca="1"/>
        <v>#NAME?</v>
      </c>
      <c r="Y669" s="1446" t="e">
        <f ca="1"/>
        <v>#NAME?</v>
      </c>
      <c r="Z669" s="1408"/>
    </row>
    <row r="670" spans="1:26">
      <c r="A670" s="1487"/>
      <c r="B670" s="1488"/>
      <c r="C670" s="1489"/>
      <c r="D670" s="1490"/>
      <c r="E670" s="1487"/>
      <c r="F670" s="1488"/>
      <c r="G670" s="1489"/>
      <c r="H670" s="1490"/>
      <c r="I670" s="1487"/>
      <c r="J670" s="1488"/>
      <c r="K670" s="1489"/>
      <c r="L670" s="1490"/>
      <c r="M670" s="1487"/>
      <c r="N670" s="1488"/>
      <c r="O670" s="1489"/>
      <c r="P670" s="1490"/>
      <c r="X670" s="1445" t="e">
        <f ca="1"/>
        <v>#NAME?</v>
      </c>
      <c r="Y670" s="1446" t="e">
        <f ca="1"/>
        <v>#NAME?</v>
      </c>
      <c r="Z670" s="1408"/>
    </row>
    <row r="671" spans="1:26">
      <c r="A671" s="1487"/>
      <c r="B671" s="1488"/>
      <c r="C671" s="1489"/>
      <c r="D671" s="1490"/>
      <c r="E671" s="1487"/>
      <c r="F671" s="1488"/>
      <c r="G671" s="1489"/>
      <c r="H671" s="1490"/>
      <c r="I671" s="1487"/>
      <c r="J671" s="1488"/>
      <c r="K671" s="1489"/>
      <c r="L671" s="1490"/>
      <c r="M671" s="1487"/>
      <c r="N671" s="1488"/>
      <c r="O671" s="1489"/>
      <c r="P671" s="1490"/>
      <c r="X671" s="1445" t="e">
        <f ca="1"/>
        <v>#NAME?</v>
      </c>
      <c r="Y671" s="1446" t="e">
        <f ca="1"/>
        <v>#NAME?</v>
      </c>
      <c r="Z671" s="1408"/>
    </row>
    <row r="672" spans="1:26">
      <c r="A672" s="1487"/>
      <c r="B672" s="1488"/>
      <c r="C672" s="1489"/>
      <c r="D672" s="1490"/>
      <c r="E672" s="1487"/>
      <c r="F672" s="1488"/>
      <c r="G672" s="1489"/>
      <c r="H672" s="1490"/>
      <c r="I672" s="1487"/>
      <c r="J672" s="1488"/>
      <c r="K672" s="1489"/>
      <c r="L672" s="1490"/>
      <c r="M672" s="1487"/>
      <c r="N672" s="1488"/>
      <c r="O672" s="1489"/>
      <c r="P672" s="1490"/>
      <c r="X672" s="1445" t="e">
        <f ca="1"/>
        <v>#NAME?</v>
      </c>
      <c r="Y672" s="1446" t="e">
        <f ca="1"/>
        <v>#NAME?</v>
      </c>
      <c r="Z672" s="1408"/>
    </row>
    <row r="673" spans="1:26">
      <c r="A673" s="1487"/>
      <c r="B673" s="1488"/>
      <c r="C673" s="1489"/>
      <c r="D673" s="1490"/>
      <c r="E673" s="1487"/>
      <c r="F673" s="1488"/>
      <c r="G673" s="1489"/>
      <c r="H673" s="1490"/>
      <c r="I673" s="1487"/>
      <c r="J673" s="1488"/>
      <c r="K673" s="1489"/>
      <c r="L673" s="1490"/>
      <c r="M673" s="1487"/>
      <c r="N673" s="1488"/>
      <c r="O673" s="1489"/>
      <c r="P673" s="1490"/>
      <c r="X673" s="1445" t="e">
        <f ca="1"/>
        <v>#NAME?</v>
      </c>
      <c r="Y673" s="1446" t="e">
        <f ca="1"/>
        <v>#NAME?</v>
      </c>
      <c r="Z673" s="1408"/>
    </row>
    <row r="674" spans="1:26">
      <c r="A674" s="1487"/>
      <c r="B674" s="1488"/>
      <c r="C674" s="1489"/>
      <c r="D674" s="1490"/>
      <c r="E674" s="1487"/>
      <c r="F674" s="1488"/>
      <c r="G674" s="1489"/>
      <c r="H674" s="1490"/>
      <c r="I674" s="1487"/>
      <c r="J674" s="1488"/>
      <c r="K674" s="1489"/>
      <c r="L674" s="1490"/>
      <c r="M674" s="1487"/>
      <c r="N674" s="1488"/>
      <c r="O674" s="1489"/>
      <c r="P674" s="1490"/>
      <c r="X674" s="1445" t="e">
        <f ca="1"/>
        <v>#NAME?</v>
      </c>
      <c r="Y674" s="1446" t="e">
        <f ca="1"/>
        <v>#NAME?</v>
      </c>
      <c r="Z674" s="1408"/>
    </row>
    <row r="675" spans="1:26">
      <c r="A675" s="1487"/>
      <c r="B675" s="1488"/>
      <c r="C675" s="1489"/>
      <c r="D675" s="1490"/>
      <c r="E675" s="1487"/>
      <c r="F675" s="1488"/>
      <c r="G675" s="1489"/>
      <c r="H675" s="1490"/>
      <c r="I675" s="1487"/>
      <c r="J675" s="1488"/>
      <c r="K675" s="1489"/>
      <c r="L675" s="1490"/>
      <c r="M675" s="1487"/>
      <c r="N675" s="1488"/>
      <c r="O675" s="1489"/>
      <c r="P675" s="1490"/>
      <c r="X675" s="1445" t="e">
        <f ca="1"/>
        <v>#NAME?</v>
      </c>
      <c r="Y675" s="1446" t="e">
        <f ca="1"/>
        <v>#NAME?</v>
      </c>
      <c r="Z675" s="1408"/>
    </row>
    <row r="676" spans="1:26">
      <c r="A676" s="1487"/>
      <c r="B676" s="1488"/>
      <c r="C676" s="1489"/>
      <c r="D676" s="1490"/>
      <c r="E676" s="1487"/>
      <c r="F676" s="1488"/>
      <c r="G676" s="1489"/>
      <c r="H676" s="1490"/>
      <c r="I676" s="1487"/>
      <c r="J676" s="1488"/>
      <c r="K676" s="1489"/>
      <c r="L676" s="1490"/>
      <c r="M676" s="1487"/>
      <c r="N676" s="1488"/>
      <c r="O676" s="1489"/>
      <c r="P676" s="1490"/>
      <c r="X676" s="1445" t="e">
        <f ca="1"/>
        <v>#NAME?</v>
      </c>
      <c r="Y676" s="1446" t="e">
        <f ca="1"/>
        <v>#NAME?</v>
      </c>
      <c r="Z676" s="1408"/>
    </row>
    <row r="677" spans="1:26">
      <c r="A677" s="1487"/>
      <c r="B677" s="1488"/>
      <c r="C677" s="1489"/>
      <c r="D677" s="1490"/>
      <c r="E677" s="1487"/>
      <c r="F677" s="1488"/>
      <c r="G677" s="1489"/>
      <c r="H677" s="1490"/>
      <c r="I677" s="1487"/>
      <c r="J677" s="1488"/>
      <c r="K677" s="1489"/>
      <c r="L677" s="1490"/>
      <c r="M677" s="1487"/>
      <c r="N677" s="1488"/>
      <c r="O677" s="1489"/>
      <c r="P677" s="1490"/>
      <c r="X677" s="1445" t="e">
        <f ca="1"/>
        <v>#NAME?</v>
      </c>
      <c r="Y677" s="1446" t="e">
        <f ca="1"/>
        <v>#NAME?</v>
      </c>
      <c r="Z677" s="1408"/>
    </row>
    <row r="678" spans="1:26">
      <c r="A678" s="1487"/>
      <c r="B678" s="1488"/>
      <c r="C678" s="1489"/>
      <c r="D678" s="1490"/>
      <c r="E678" s="1487"/>
      <c r="F678" s="1488"/>
      <c r="G678" s="1489"/>
      <c r="H678" s="1490"/>
      <c r="I678" s="1487"/>
      <c r="J678" s="1488"/>
      <c r="K678" s="1489"/>
      <c r="L678" s="1490"/>
      <c r="M678" s="1487"/>
      <c r="N678" s="1488"/>
      <c r="O678" s="1489"/>
      <c r="P678" s="1490"/>
      <c r="X678" s="1445" t="e">
        <f ca="1"/>
        <v>#NAME?</v>
      </c>
      <c r="Y678" s="1446" t="e">
        <f ca="1"/>
        <v>#NAME?</v>
      </c>
      <c r="Z678" s="1408"/>
    </row>
    <row r="679" spans="1:26">
      <c r="A679" s="1487"/>
      <c r="B679" s="1488"/>
      <c r="C679" s="1489"/>
      <c r="D679" s="1490"/>
      <c r="E679" s="1487"/>
      <c r="F679" s="1488"/>
      <c r="G679" s="1489"/>
      <c r="H679" s="1490"/>
      <c r="I679" s="1487"/>
      <c r="J679" s="1488"/>
      <c r="K679" s="1489"/>
      <c r="L679" s="1490"/>
      <c r="M679" s="1487"/>
      <c r="N679" s="1488"/>
      <c r="O679" s="1489"/>
      <c r="P679" s="1490"/>
      <c r="X679" s="1445" t="e">
        <f ca="1"/>
        <v>#NAME?</v>
      </c>
      <c r="Y679" s="1446" t="e">
        <f ca="1"/>
        <v>#NAME?</v>
      </c>
      <c r="Z679" s="1408"/>
    </row>
    <row r="680" spans="1:26">
      <c r="A680" s="1487"/>
      <c r="B680" s="1488"/>
      <c r="C680" s="1489"/>
      <c r="D680" s="1490"/>
      <c r="E680" s="1487"/>
      <c r="F680" s="1488"/>
      <c r="G680" s="1489"/>
      <c r="H680" s="1490"/>
      <c r="I680" s="1487"/>
      <c r="J680" s="1488"/>
      <c r="K680" s="1489"/>
      <c r="L680" s="1490"/>
      <c r="M680" s="1487"/>
      <c r="N680" s="1488"/>
      <c r="O680" s="1489"/>
      <c r="P680" s="1490"/>
      <c r="X680" s="1445" t="e">
        <f ca="1"/>
        <v>#NAME?</v>
      </c>
      <c r="Y680" s="1446" t="e">
        <f ca="1"/>
        <v>#NAME?</v>
      </c>
      <c r="Z680" s="1408"/>
    </row>
    <row r="681" spans="1:26">
      <c r="A681" s="1487"/>
      <c r="B681" s="1488"/>
      <c r="C681" s="1489"/>
      <c r="D681" s="1490"/>
      <c r="E681" s="1487"/>
      <c r="F681" s="1488"/>
      <c r="G681" s="1489"/>
      <c r="H681" s="1490"/>
      <c r="I681" s="1487"/>
      <c r="J681" s="1488"/>
      <c r="K681" s="1489"/>
      <c r="L681" s="1490"/>
      <c r="M681" s="1487"/>
      <c r="N681" s="1488"/>
      <c r="O681" s="1489"/>
      <c r="P681" s="1490"/>
      <c r="X681" s="1445" t="e">
        <f ca="1"/>
        <v>#NAME?</v>
      </c>
      <c r="Y681" s="1446" t="e">
        <f ca="1"/>
        <v>#NAME?</v>
      </c>
      <c r="Z681" s="1408"/>
    </row>
    <row r="682" spans="1:26">
      <c r="A682" s="1487"/>
      <c r="B682" s="1488"/>
      <c r="C682" s="1489"/>
      <c r="D682" s="1490"/>
      <c r="E682" s="1487"/>
      <c r="F682" s="1488"/>
      <c r="G682" s="1489"/>
      <c r="H682" s="1490"/>
      <c r="I682" s="1487"/>
      <c r="J682" s="1488"/>
      <c r="K682" s="1489"/>
      <c r="L682" s="1490"/>
      <c r="M682" s="1487"/>
      <c r="N682" s="1488"/>
      <c r="O682" s="1489"/>
      <c r="P682" s="1490"/>
      <c r="X682" s="1445" t="e">
        <f ca="1"/>
        <v>#NAME?</v>
      </c>
      <c r="Y682" s="1446" t="e">
        <f ca="1"/>
        <v>#NAME?</v>
      </c>
      <c r="Z682" s="1408"/>
    </row>
    <row r="683" spans="1:26">
      <c r="A683" s="1487"/>
      <c r="B683" s="1488"/>
      <c r="C683" s="1489"/>
      <c r="D683" s="1490"/>
      <c r="E683" s="1487"/>
      <c r="F683" s="1488"/>
      <c r="G683" s="1489"/>
      <c r="H683" s="1490"/>
      <c r="I683" s="1487"/>
      <c r="J683" s="1488"/>
      <c r="K683" s="1489"/>
      <c r="L683" s="1490"/>
      <c r="M683" s="1487"/>
      <c r="N683" s="1488"/>
      <c r="O683" s="1489"/>
      <c r="P683" s="1490"/>
      <c r="X683" s="1445" t="e">
        <f ca="1"/>
        <v>#NAME?</v>
      </c>
      <c r="Y683" s="1446" t="e">
        <f ca="1"/>
        <v>#NAME?</v>
      </c>
      <c r="Z683" s="1408"/>
    </row>
    <row r="684" spans="1:26">
      <c r="A684" s="1487"/>
      <c r="B684" s="1488"/>
      <c r="C684" s="1489"/>
      <c r="D684" s="1490"/>
      <c r="E684" s="1487"/>
      <c r="F684" s="1488"/>
      <c r="G684" s="1489"/>
      <c r="H684" s="1490"/>
      <c r="I684" s="1487"/>
      <c r="J684" s="1488"/>
      <c r="K684" s="1489"/>
      <c r="L684" s="1490"/>
      <c r="M684" s="1487"/>
      <c r="N684" s="1488"/>
      <c r="O684" s="1489"/>
      <c r="P684" s="1490"/>
      <c r="X684" s="1445" t="e">
        <f ca="1"/>
        <v>#NAME?</v>
      </c>
      <c r="Y684" s="1446" t="e">
        <f ca="1"/>
        <v>#NAME?</v>
      </c>
      <c r="Z684" s="1408"/>
    </row>
    <row r="685" spans="1:26">
      <c r="A685" s="1487"/>
      <c r="B685" s="1488"/>
      <c r="C685" s="1489"/>
      <c r="D685" s="1490"/>
      <c r="E685" s="1487"/>
      <c r="F685" s="1488"/>
      <c r="G685" s="1489"/>
      <c r="H685" s="1490"/>
      <c r="I685" s="1487"/>
      <c r="J685" s="1488"/>
      <c r="K685" s="1489"/>
      <c r="L685" s="1490"/>
      <c r="M685" s="1487"/>
      <c r="N685" s="1488"/>
      <c r="O685" s="1489"/>
      <c r="P685" s="1490"/>
      <c r="X685" s="1445" t="e">
        <f ca="1"/>
        <v>#NAME?</v>
      </c>
      <c r="Y685" s="1446" t="e">
        <f ca="1"/>
        <v>#NAME?</v>
      </c>
      <c r="Z685" s="1408"/>
    </row>
    <row r="686" spans="1:26">
      <c r="A686" s="1487"/>
      <c r="B686" s="1488"/>
      <c r="C686" s="1489"/>
      <c r="D686" s="1490"/>
      <c r="E686" s="1487"/>
      <c r="F686" s="1488"/>
      <c r="G686" s="1489"/>
      <c r="H686" s="1490"/>
      <c r="I686" s="1487"/>
      <c r="J686" s="1488"/>
      <c r="K686" s="1489"/>
      <c r="L686" s="1490"/>
      <c r="M686" s="1487"/>
      <c r="N686" s="1488"/>
      <c r="O686" s="1489"/>
      <c r="P686" s="1490"/>
      <c r="X686" s="1445" t="e">
        <f ca="1"/>
        <v>#NAME?</v>
      </c>
      <c r="Y686" s="1446" t="e">
        <f ca="1"/>
        <v>#NAME?</v>
      </c>
      <c r="Z686" s="1408"/>
    </row>
    <row r="687" spans="1:26">
      <c r="A687" s="1487"/>
      <c r="B687" s="1488"/>
      <c r="C687" s="1489"/>
      <c r="D687" s="1490"/>
      <c r="E687" s="1487"/>
      <c r="F687" s="1488"/>
      <c r="G687" s="1489"/>
      <c r="H687" s="1490"/>
      <c r="I687" s="1487"/>
      <c r="J687" s="1488"/>
      <c r="K687" s="1489"/>
      <c r="L687" s="1490"/>
      <c r="M687" s="1487"/>
      <c r="N687" s="1488"/>
      <c r="O687" s="1489"/>
      <c r="P687" s="1490"/>
      <c r="X687" s="1445" t="e">
        <f ca="1"/>
        <v>#NAME?</v>
      </c>
      <c r="Y687" s="1446" t="e">
        <f ca="1"/>
        <v>#NAME?</v>
      </c>
      <c r="Z687" s="1408"/>
    </row>
    <row r="688" spans="1:26">
      <c r="A688" s="1487"/>
      <c r="B688" s="1488"/>
      <c r="C688" s="1489"/>
      <c r="D688" s="1490"/>
      <c r="E688" s="1487"/>
      <c r="F688" s="1488"/>
      <c r="G688" s="1489"/>
      <c r="H688" s="1490"/>
      <c r="I688" s="1487"/>
      <c r="J688" s="1488"/>
      <c r="K688" s="1489"/>
      <c r="L688" s="1490"/>
      <c r="M688" s="1487"/>
      <c r="N688" s="1488"/>
      <c r="O688" s="1489"/>
      <c r="P688" s="1490"/>
      <c r="X688" s="1445" t="e">
        <f ca="1"/>
        <v>#NAME?</v>
      </c>
      <c r="Y688" s="1446" t="e">
        <f ca="1"/>
        <v>#NAME?</v>
      </c>
      <c r="Z688" s="1408"/>
    </row>
    <row r="689" spans="1:26">
      <c r="A689" s="1487"/>
      <c r="B689" s="1488"/>
      <c r="C689" s="1489"/>
      <c r="D689" s="1490"/>
      <c r="E689" s="1487"/>
      <c r="F689" s="1488"/>
      <c r="G689" s="1489"/>
      <c r="H689" s="1490"/>
      <c r="I689" s="1487"/>
      <c r="J689" s="1488"/>
      <c r="K689" s="1489"/>
      <c r="L689" s="1490"/>
      <c r="M689" s="1487"/>
      <c r="N689" s="1488"/>
      <c r="O689" s="1489"/>
      <c r="P689" s="1490"/>
      <c r="X689" s="1445" t="e">
        <f ca="1"/>
        <v>#NAME?</v>
      </c>
      <c r="Y689" s="1446" t="e">
        <f ca="1"/>
        <v>#NAME?</v>
      </c>
      <c r="Z689" s="1408"/>
    </row>
    <row r="690" spans="1:26">
      <c r="A690" s="1487"/>
      <c r="B690" s="1488"/>
      <c r="C690" s="1489"/>
      <c r="D690" s="1490"/>
      <c r="E690" s="1487"/>
      <c r="F690" s="1488"/>
      <c r="G690" s="1489"/>
      <c r="H690" s="1490"/>
      <c r="I690" s="1487"/>
      <c r="J690" s="1488"/>
      <c r="K690" s="1489"/>
      <c r="L690" s="1490"/>
      <c r="M690" s="1487"/>
      <c r="N690" s="1488"/>
      <c r="O690" s="1489"/>
      <c r="P690" s="1490"/>
      <c r="X690" s="1445" t="e">
        <f ca="1"/>
        <v>#NAME?</v>
      </c>
      <c r="Y690" s="1446" t="e">
        <f ca="1"/>
        <v>#NAME?</v>
      </c>
      <c r="Z690" s="1408"/>
    </row>
    <row r="691" spans="1:26">
      <c r="A691" s="1487"/>
      <c r="B691" s="1488"/>
      <c r="C691" s="1489"/>
      <c r="D691" s="1490"/>
      <c r="E691" s="1487"/>
      <c r="F691" s="1488"/>
      <c r="G691" s="1489"/>
      <c r="H691" s="1490"/>
      <c r="I691" s="1487"/>
      <c r="J691" s="1488"/>
      <c r="K691" s="1489"/>
      <c r="L691" s="1490"/>
      <c r="M691" s="1487"/>
      <c r="N691" s="1488"/>
      <c r="O691" s="1489"/>
      <c r="P691" s="1490"/>
      <c r="X691" s="1445" t="e">
        <f ca="1"/>
        <v>#NAME?</v>
      </c>
      <c r="Y691" s="1446" t="e">
        <f ca="1"/>
        <v>#NAME?</v>
      </c>
      <c r="Z691" s="1408"/>
    </row>
    <row r="692" spans="1:26">
      <c r="A692" s="1487"/>
      <c r="B692" s="1488"/>
      <c r="C692" s="1489"/>
      <c r="D692" s="1490"/>
      <c r="E692" s="1487"/>
      <c r="F692" s="1488"/>
      <c r="G692" s="1489"/>
      <c r="H692" s="1490"/>
      <c r="I692" s="1487"/>
      <c r="J692" s="1488"/>
      <c r="K692" s="1489"/>
      <c r="L692" s="1490"/>
      <c r="M692" s="1487"/>
      <c r="N692" s="1488"/>
      <c r="O692" s="1489"/>
      <c r="P692" s="1490"/>
      <c r="X692" s="1445" t="e">
        <f ca="1"/>
        <v>#NAME?</v>
      </c>
      <c r="Y692" s="1446" t="e">
        <f ca="1"/>
        <v>#NAME?</v>
      </c>
      <c r="Z692" s="1408"/>
    </row>
    <row r="693" spans="1:26">
      <c r="A693" s="1487"/>
      <c r="B693" s="1488"/>
      <c r="C693" s="1489"/>
      <c r="D693" s="1490"/>
      <c r="E693" s="1487"/>
      <c r="F693" s="1488"/>
      <c r="G693" s="1489"/>
      <c r="H693" s="1490"/>
      <c r="I693" s="1487"/>
      <c r="J693" s="1488"/>
      <c r="K693" s="1489"/>
      <c r="L693" s="1490"/>
      <c r="M693" s="1487"/>
      <c r="N693" s="1488"/>
      <c r="O693" s="1489"/>
      <c r="P693" s="1490"/>
      <c r="X693" s="1445" t="e">
        <f ca="1"/>
        <v>#NAME?</v>
      </c>
      <c r="Y693" s="1446" t="e">
        <f ca="1"/>
        <v>#NAME?</v>
      </c>
      <c r="Z693" s="1408"/>
    </row>
    <row r="694" spans="1:26">
      <c r="A694" s="1487"/>
      <c r="B694" s="1488"/>
      <c r="C694" s="1489"/>
      <c r="D694" s="1490"/>
      <c r="E694" s="1487"/>
      <c r="F694" s="1488"/>
      <c r="G694" s="1489"/>
      <c r="H694" s="1490"/>
      <c r="I694" s="1487"/>
      <c r="J694" s="1488"/>
      <c r="K694" s="1489"/>
      <c r="L694" s="1490"/>
      <c r="M694" s="1487"/>
      <c r="N694" s="1488"/>
      <c r="O694" s="1489"/>
      <c r="P694" s="1490"/>
      <c r="X694" s="1445" t="e">
        <f ca="1"/>
        <v>#NAME?</v>
      </c>
      <c r="Y694" s="1446" t="e">
        <f ca="1"/>
        <v>#NAME?</v>
      </c>
      <c r="Z694" s="1408"/>
    </row>
    <row r="695" spans="1:26">
      <c r="A695" s="1487"/>
      <c r="B695" s="1488"/>
      <c r="C695" s="1489"/>
      <c r="D695" s="1490"/>
      <c r="E695" s="1487"/>
      <c r="F695" s="1488"/>
      <c r="G695" s="1489"/>
      <c r="H695" s="1490"/>
      <c r="I695" s="1487"/>
      <c r="J695" s="1488"/>
      <c r="K695" s="1489"/>
      <c r="L695" s="1490"/>
      <c r="M695" s="1487"/>
      <c r="N695" s="1488"/>
      <c r="O695" s="1489"/>
      <c r="P695" s="1490"/>
      <c r="X695" s="1445" t="e">
        <f ca="1"/>
        <v>#NAME?</v>
      </c>
      <c r="Y695" s="1446" t="e">
        <f ca="1"/>
        <v>#NAME?</v>
      </c>
      <c r="Z695" s="1408"/>
    </row>
    <row r="696" spans="1:26">
      <c r="A696" s="1487"/>
      <c r="B696" s="1488"/>
      <c r="C696" s="1489"/>
      <c r="D696" s="1490"/>
      <c r="E696" s="1487"/>
      <c r="F696" s="1488"/>
      <c r="G696" s="1489"/>
      <c r="H696" s="1490"/>
      <c r="I696" s="1487"/>
      <c r="J696" s="1488"/>
      <c r="K696" s="1489"/>
      <c r="L696" s="1490"/>
      <c r="M696" s="1487"/>
      <c r="N696" s="1488"/>
      <c r="O696" s="1489"/>
      <c r="P696" s="1490"/>
      <c r="X696" s="1445" t="e">
        <f ca="1"/>
        <v>#NAME?</v>
      </c>
      <c r="Y696" s="1446" t="e">
        <f ca="1"/>
        <v>#NAME?</v>
      </c>
      <c r="Z696" s="1408"/>
    </row>
    <row r="697" spans="1:26">
      <c r="A697" s="1487"/>
      <c r="B697" s="1488"/>
      <c r="C697" s="1489"/>
      <c r="D697" s="1490"/>
      <c r="E697" s="1487"/>
      <c r="F697" s="1488"/>
      <c r="G697" s="1489"/>
      <c r="H697" s="1490"/>
      <c r="I697" s="1487"/>
      <c r="J697" s="1488"/>
      <c r="K697" s="1489"/>
      <c r="L697" s="1490"/>
      <c r="M697" s="1487"/>
      <c r="N697" s="1488"/>
      <c r="O697" s="1489"/>
      <c r="P697" s="1490"/>
      <c r="X697" s="1445" t="e">
        <f ca="1"/>
        <v>#NAME?</v>
      </c>
      <c r="Y697" s="1446" t="e">
        <f ca="1"/>
        <v>#NAME?</v>
      </c>
      <c r="Z697" s="1408"/>
    </row>
    <row r="698" spans="1:26">
      <c r="A698" s="1487"/>
      <c r="B698" s="1488"/>
      <c r="C698" s="1489"/>
      <c r="D698" s="1490"/>
      <c r="E698" s="1487"/>
      <c r="F698" s="1488"/>
      <c r="G698" s="1489"/>
      <c r="H698" s="1490"/>
      <c r="I698" s="1487"/>
      <c r="J698" s="1488"/>
      <c r="K698" s="1489"/>
      <c r="L698" s="1490"/>
      <c r="M698" s="1487"/>
      <c r="N698" s="1488"/>
      <c r="O698" s="1489"/>
      <c r="P698" s="1490"/>
      <c r="X698" s="1445" t="e">
        <f ca="1"/>
        <v>#NAME?</v>
      </c>
      <c r="Y698" s="1446" t="e">
        <f ca="1"/>
        <v>#NAME?</v>
      </c>
      <c r="Z698" s="1408"/>
    </row>
    <row r="699" spans="1:26">
      <c r="A699" s="1487"/>
      <c r="B699" s="1488"/>
      <c r="C699" s="1489"/>
      <c r="D699" s="1490"/>
      <c r="E699" s="1487"/>
      <c r="F699" s="1488"/>
      <c r="G699" s="1489"/>
      <c r="H699" s="1490"/>
      <c r="I699" s="1487"/>
      <c r="J699" s="1488"/>
      <c r="K699" s="1489"/>
      <c r="L699" s="1490"/>
      <c r="M699" s="1487"/>
      <c r="N699" s="1488"/>
      <c r="O699" s="1489"/>
      <c r="P699" s="1490"/>
      <c r="X699" s="1445" t="e">
        <f ca="1"/>
        <v>#NAME?</v>
      </c>
      <c r="Y699" s="1446" t="e">
        <f ca="1"/>
        <v>#NAME?</v>
      </c>
      <c r="Z699" s="1408"/>
    </row>
    <row r="700" spans="1:26">
      <c r="A700" s="1487"/>
      <c r="B700" s="1488"/>
      <c r="C700" s="1489"/>
      <c r="D700" s="1490"/>
      <c r="E700" s="1487"/>
      <c r="F700" s="1488"/>
      <c r="G700" s="1489"/>
      <c r="H700" s="1490"/>
      <c r="I700" s="1487"/>
      <c r="J700" s="1488"/>
      <c r="K700" s="1489"/>
      <c r="L700" s="1490"/>
      <c r="M700" s="1487"/>
      <c r="N700" s="1488"/>
      <c r="O700" s="1489"/>
      <c r="P700" s="1490"/>
      <c r="X700" s="1445" t="e">
        <f ca="1"/>
        <v>#NAME?</v>
      </c>
      <c r="Y700" s="1446" t="e">
        <f ca="1"/>
        <v>#NAME?</v>
      </c>
      <c r="Z700" s="1408"/>
    </row>
    <row r="701" spans="1:26">
      <c r="A701" s="1487"/>
      <c r="B701" s="1488"/>
      <c r="C701" s="1489"/>
      <c r="D701" s="1490"/>
      <c r="E701" s="1487"/>
      <c r="F701" s="1488"/>
      <c r="G701" s="1489"/>
      <c r="H701" s="1490"/>
      <c r="I701" s="1487"/>
      <c r="J701" s="1488"/>
      <c r="K701" s="1489"/>
      <c r="L701" s="1490"/>
      <c r="M701" s="1487"/>
      <c r="N701" s="1488"/>
      <c r="O701" s="1489"/>
      <c r="P701" s="1490"/>
      <c r="X701" s="1445" t="e">
        <f ca="1"/>
        <v>#NAME?</v>
      </c>
      <c r="Y701" s="1446" t="e">
        <f ca="1"/>
        <v>#NAME?</v>
      </c>
      <c r="Z701" s="1408"/>
    </row>
    <row r="702" spans="1:26">
      <c r="A702" s="1487"/>
      <c r="B702" s="1488"/>
      <c r="C702" s="1489"/>
      <c r="D702" s="1490"/>
      <c r="E702" s="1487"/>
      <c r="F702" s="1488"/>
      <c r="G702" s="1489"/>
      <c r="H702" s="1490"/>
      <c r="I702" s="1487"/>
      <c r="J702" s="1488"/>
      <c r="K702" s="1489"/>
      <c r="L702" s="1490"/>
      <c r="M702" s="1487"/>
      <c r="N702" s="1488"/>
      <c r="O702" s="1489"/>
      <c r="P702" s="1490"/>
      <c r="X702" s="1445" t="e">
        <f ca="1"/>
        <v>#NAME?</v>
      </c>
      <c r="Y702" s="1446" t="e">
        <f ca="1"/>
        <v>#NAME?</v>
      </c>
      <c r="Z702" s="1408"/>
    </row>
    <row r="703" spans="1:26">
      <c r="A703" s="1487"/>
      <c r="B703" s="1488"/>
      <c r="C703" s="1489"/>
      <c r="D703" s="1490"/>
      <c r="E703" s="1487"/>
      <c r="F703" s="1488"/>
      <c r="G703" s="1489"/>
      <c r="H703" s="1490"/>
      <c r="I703" s="1487"/>
      <c r="J703" s="1488"/>
      <c r="K703" s="1489"/>
      <c r="L703" s="1490"/>
      <c r="M703" s="1487"/>
      <c r="N703" s="1488"/>
      <c r="O703" s="1489"/>
      <c r="P703" s="1490"/>
      <c r="X703" s="1445" t="e">
        <f ca="1"/>
        <v>#NAME?</v>
      </c>
      <c r="Y703" s="1446" t="e">
        <f ca="1"/>
        <v>#NAME?</v>
      </c>
      <c r="Z703" s="1408"/>
    </row>
    <row r="704" spans="1:26">
      <c r="A704" s="1487"/>
      <c r="B704" s="1488"/>
      <c r="C704" s="1489"/>
      <c r="D704" s="1490"/>
      <c r="E704" s="1487"/>
      <c r="F704" s="1488"/>
      <c r="G704" s="1489"/>
      <c r="H704" s="1490"/>
      <c r="I704" s="1487"/>
      <c r="J704" s="1488"/>
      <c r="K704" s="1489"/>
      <c r="L704" s="1490"/>
      <c r="M704" s="1487"/>
      <c r="N704" s="1488"/>
      <c r="O704" s="1489"/>
      <c r="P704" s="1490"/>
      <c r="X704" s="1445" t="e">
        <f ca="1"/>
        <v>#NAME?</v>
      </c>
      <c r="Y704" s="1446" t="e">
        <f ca="1"/>
        <v>#NAME?</v>
      </c>
      <c r="Z704" s="1408"/>
    </row>
    <row r="705" spans="1:26">
      <c r="A705" s="1487"/>
      <c r="B705" s="1488"/>
      <c r="C705" s="1489"/>
      <c r="D705" s="1490"/>
      <c r="E705" s="1487"/>
      <c r="F705" s="1488"/>
      <c r="G705" s="1489"/>
      <c r="H705" s="1490"/>
      <c r="I705" s="1487"/>
      <c r="J705" s="1488"/>
      <c r="K705" s="1489"/>
      <c r="L705" s="1490"/>
      <c r="M705" s="1487"/>
      <c r="N705" s="1488"/>
      <c r="O705" s="1489"/>
      <c r="P705" s="1490"/>
      <c r="X705" s="1445" t="e">
        <f ca="1"/>
        <v>#NAME?</v>
      </c>
      <c r="Y705" s="1446" t="e">
        <f ca="1"/>
        <v>#NAME?</v>
      </c>
      <c r="Z705" s="1408"/>
    </row>
    <row r="706" spans="1:26">
      <c r="A706" s="1487"/>
      <c r="B706" s="1488"/>
      <c r="C706" s="1489"/>
      <c r="D706" s="1490"/>
      <c r="E706" s="1487"/>
      <c r="F706" s="1488"/>
      <c r="G706" s="1489"/>
      <c r="H706" s="1490"/>
      <c r="I706" s="1487"/>
      <c r="J706" s="1488"/>
      <c r="K706" s="1489"/>
      <c r="L706" s="1490"/>
      <c r="M706" s="1487"/>
      <c r="N706" s="1488"/>
      <c r="O706" s="1489"/>
      <c r="P706" s="1490"/>
      <c r="X706" s="1445" t="e">
        <f ca="1"/>
        <v>#NAME?</v>
      </c>
      <c r="Y706" s="1446" t="e">
        <f ca="1"/>
        <v>#NAME?</v>
      </c>
      <c r="Z706" s="1408"/>
    </row>
    <row r="707" spans="1:26">
      <c r="A707" s="1487"/>
      <c r="B707" s="1488"/>
      <c r="C707" s="1489"/>
      <c r="D707" s="1490"/>
      <c r="E707" s="1487"/>
      <c r="F707" s="1488"/>
      <c r="G707" s="1489"/>
      <c r="H707" s="1490"/>
      <c r="I707" s="1487"/>
      <c r="J707" s="1488"/>
      <c r="K707" s="1489"/>
      <c r="L707" s="1490"/>
      <c r="M707" s="1487"/>
      <c r="N707" s="1488"/>
      <c r="O707" s="1489"/>
      <c r="P707" s="1490"/>
      <c r="X707" s="1445" t="e">
        <f ca="1"/>
        <v>#NAME?</v>
      </c>
      <c r="Y707" s="1446" t="e">
        <f ca="1"/>
        <v>#NAME?</v>
      </c>
    </row>
    <row r="708" spans="1:26">
      <c r="A708" s="1487"/>
      <c r="B708" s="1488"/>
      <c r="C708" s="1489"/>
      <c r="D708" s="1490"/>
      <c r="E708" s="1487"/>
      <c r="F708" s="1488"/>
      <c r="G708" s="1489"/>
      <c r="H708" s="1490"/>
      <c r="I708" s="1487"/>
      <c r="J708" s="1488"/>
      <c r="K708" s="1489"/>
      <c r="L708" s="1490"/>
      <c r="M708" s="1487"/>
      <c r="N708" s="1488"/>
      <c r="O708" s="1489"/>
      <c r="P708" s="1490"/>
      <c r="X708" s="1445" t="e">
        <f ca="1"/>
        <v>#NAME?</v>
      </c>
      <c r="Y708" s="1446" t="e">
        <f ca="1"/>
        <v>#NAME?</v>
      </c>
    </row>
    <row r="709" spans="1:26">
      <c r="A709" s="1487"/>
      <c r="B709" s="1488"/>
      <c r="C709" s="1489"/>
      <c r="D709" s="1490"/>
      <c r="E709" s="1487"/>
      <c r="F709" s="1488"/>
      <c r="G709" s="1489"/>
      <c r="H709" s="1490"/>
      <c r="I709" s="1487"/>
      <c r="J709" s="1488"/>
      <c r="K709" s="1489"/>
      <c r="L709" s="1490"/>
      <c r="M709" s="1487"/>
      <c r="N709" s="1488"/>
      <c r="O709" s="1489"/>
      <c r="P709" s="1490"/>
      <c r="X709" s="1445" t="e">
        <f ca="1"/>
        <v>#NAME?</v>
      </c>
      <c r="Y709" s="1446" t="e">
        <f ca="1"/>
        <v>#NAME?</v>
      </c>
    </row>
    <row r="710" spans="1:26">
      <c r="A710" s="1487"/>
      <c r="B710" s="1488"/>
      <c r="C710" s="1489"/>
      <c r="D710" s="1490"/>
      <c r="E710" s="1487"/>
      <c r="F710" s="1488"/>
      <c r="G710" s="1489"/>
      <c r="H710" s="1490"/>
      <c r="I710" s="1487"/>
      <c r="J710" s="1488"/>
      <c r="K710" s="1489"/>
      <c r="L710" s="1490"/>
      <c r="M710" s="1487"/>
      <c r="N710" s="1488"/>
      <c r="O710" s="1489"/>
      <c r="P710" s="1490"/>
      <c r="X710" s="1445" t="e">
        <f ca="1"/>
        <v>#NAME?</v>
      </c>
      <c r="Y710" s="1446" t="e">
        <f ca="1"/>
        <v>#NAME?</v>
      </c>
    </row>
    <row r="711" spans="1:26">
      <c r="A711" s="1487"/>
      <c r="B711" s="1488"/>
      <c r="C711" s="1489"/>
      <c r="D711" s="1490"/>
      <c r="E711" s="1487"/>
      <c r="F711" s="1488"/>
      <c r="G711" s="1489"/>
      <c r="H711" s="1490"/>
      <c r="I711" s="1487"/>
      <c r="J711" s="1488"/>
      <c r="K711" s="1489"/>
      <c r="L711" s="1490"/>
      <c r="M711" s="1487"/>
      <c r="N711" s="1488"/>
      <c r="O711" s="1489"/>
      <c r="P711" s="1490"/>
      <c r="X711" s="1445" t="e">
        <f ca="1"/>
        <v>#NAME?</v>
      </c>
      <c r="Y711" s="1446" t="e">
        <f ca="1"/>
        <v>#NAME?</v>
      </c>
    </row>
    <row r="712" spans="1:26">
      <c r="A712" s="1487"/>
      <c r="B712" s="1488"/>
      <c r="C712" s="1489"/>
      <c r="D712" s="1490"/>
      <c r="E712" s="1487"/>
      <c r="F712" s="1488"/>
      <c r="G712" s="1489"/>
      <c r="H712" s="1490"/>
      <c r="I712" s="1487"/>
      <c r="J712" s="1488"/>
      <c r="K712" s="1489"/>
      <c r="L712" s="1490"/>
      <c r="M712" s="1487"/>
      <c r="N712" s="1488"/>
      <c r="O712" s="1489"/>
      <c r="P712" s="1490"/>
      <c r="X712" s="1445" t="e">
        <f ca="1"/>
        <v>#NAME?</v>
      </c>
      <c r="Y712" s="1446" t="e">
        <f ca="1"/>
        <v>#NAME?</v>
      </c>
    </row>
    <row r="713" spans="1:26">
      <c r="A713" s="1487"/>
      <c r="B713" s="1488"/>
      <c r="C713" s="1489"/>
      <c r="D713" s="1490"/>
      <c r="E713" s="1487"/>
      <c r="F713" s="1488"/>
      <c r="G713" s="1489"/>
      <c r="H713" s="1490"/>
      <c r="I713" s="1487"/>
      <c r="J713" s="1488"/>
      <c r="K713" s="1489"/>
      <c r="L713" s="1490"/>
      <c r="M713" s="1487"/>
      <c r="N713" s="1488"/>
      <c r="O713" s="1489"/>
      <c r="P713" s="1490"/>
      <c r="X713" s="1445" t="e">
        <f ca="1"/>
        <v>#NAME?</v>
      </c>
      <c r="Y713" s="1446" t="e">
        <f ca="1"/>
        <v>#NAME?</v>
      </c>
    </row>
    <row r="714" spans="1:26">
      <c r="A714" s="1487"/>
      <c r="B714" s="1488"/>
      <c r="C714" s="1489"/>
      <c r="D714" s="1490"/>
      <c r="E714" s="1487"/>
      <c r="F714" s="1488"/>
      <c r="G714" s="1489"/>
      <c r="H714" s="1490"/>
      <c r="I714" s="1487"/>
      <c r="J714" s="1488"/>
      <c r="K714" s="1489"/>
      <c r="L714" s="1490"/>
      <c r="M714" s="1487"/>
      <c r="N714" s="1488"/>
      <c r="O714" s="1489"/>
      <c r="P714" s="1490"/>
      <c r="X714" s="1445" t="e">
        <f ca="1"/>
        <v>#NAME?</v>
      </c>
      <c r="Y714" s="1446" t="e">
        <f ca="1"/>
        <v>#NAME?</v>
      </c>
    </row>
    <row r="715" spans="1:26">
      <c r="A715" s="1487"/>
      <c r="B715" s="1488"/>
      <c r="C715" s="1489"/>
      <c r="D715" s="1490"/>
      <c r="E715" s="1487"/>
      <c r="F715" s="1488"/>
      <c r="G715" s="1489"/>
      <c r="H715" s="1490"/>
      <c r="I715" s="1487"/>
      <c r="J715" s="1488"/>
      <c r="K715" s="1489"/>
      <c r="L715" s="1490"/>
      <c r="M715" s="1487"/>
      <c r="N715" s="1488"/>
      <c r="O715" s="1489"/>
      <c r="P715" s="1490"/>
      <c r="X715" s="1445" t="e">
        <f ca="1"/>
        <v>#NAME?</v>
      </c>
      <c r="Y715" s="1446" t="e">
        <f ca="1"/>
        <v>#NAME?</v>
      </c>
    </row>
    <row r="716" spans="1:26">
      <c r="A716" s="1487"/>
      <c r="B716" s="1488"/>
      <c r="C716" s="1489"/>
      <c r="D716" s="1490"/>
      <c r="E716" s="1487"/>
      <c r="F716" s="1488"/>
      <c r="G716" s="1489"/>
      <c r="H716" s="1490"/>
      <c r="I716" s="1487"/>
      <c r="J716" s="1488"/>
      <c r="K716" s="1489"/>
      <c r="L716" s="1490"/>
      <c r="M716" s="1487"/>
      <c r="N716" s="1488"/>
      <c r="O716" s="1489"/>
      <c r="P716" s="1490"/>
      <c r="X716" s="1445" t="e">
        <f ca="1"/>
        <v>#NAME?</v>
      </c>
      <c r="Y716" s="1446" t="e">
        <f ca="1"/>
        <v>#NAME?</v>
      </c>
    </row>
    <row r="717" spans="1:26">
      <c r="A717" s="1487"/>
      <c r="B717" s="1488"/>
      <c r="C717" s="1489"/>
      <c r="D717" s="1490"/>
      <c r="E717" s="1487"/>
      <c r="F717" s="1488"/>
      <c r="G717" s="1489"/>
      <c r="H717" s="1490"/>
      <c r="I717" s="1487"/>
      <c r="J717" s="1488"/>
      <c r="K717" s="1489"/>
      <c r="L717" s="1490"/>
      <c r="M717" s="1487"/>
      <c r="N717" s="1488"/>
      <c r="O717" s="1489"/>
      <c r="P717" s="1490"/>
      <c r="X717" s="1445" t="e">
        <f ca="1"/>
        <v>#NAME?</v>
      </c>
      <c r="Y717" s="1446" t="e">
        <f ca="1"/>
        <v>#NAME?</v>
      </c>
    </row>
    <row r="718" spans="1:26">
      <c r="A718" s="1487"/>
      <c r="B718" s="1488"/>
      <c r="C718" s="1489"/>
      <c r="D718" s="1490"/>
      <c r="E718" s="1487"/>
      <c r="F718" s="1488"/>
      <c r="G718" s="1489"/>
      <c r="H718" s="1490"/>
      <c r="I718" s="1487"/>
      <c r="J718" s="1488"/>
      <c r="K718" s="1489"/>
      <c r="L718" s="1490"/>
      <c r="M718" s="1487"/>
      <c r="N718" s="1488"/>
      <c r="O718" s="1489"/>
      <c r="P718" s="1490"/>
      <c r="X718" s="1445" t="e">
        <f ca="1"/>
        <v>#NAME?</v>
      </c>
      <c r="Y718" s="1446" t="e">
        <f ca="1"/>
        <v>#NAME?</v>
      </c>
    </row>
    <row r="719" spans="1:26">
      <c r="A719" s="1487"/>
      <c r="B719" s="1488"/>
      <c r="C719" s="1489"/>
      <c r="D719" s="1490"/>
      <c r="E719" s="1487"/>
      <c r="F719" s="1488"/>
      <c r="G719" s="1489"/>
      <c r="H719" s="1490"/>
      <c r="I719" s="1487"/>
      <c r="J719" s="1488"/>
      <c r="K719" s="1489"/>
      <c r="L719" s="1490"/>
      <c r="M719" s="1487"/>
      <c r="N719" s="1488"/>
      <c r="O719" s="1489"/>
      <c r="P719" s="1490"/>
      <c r="X719" s="1445" t="e">
        <f ca="1"/>
        <v>#NAME?</v>
      </c>
      <c r="Y719" s="1446" t="e">
        <f ca="1"/>
        <v>#NAME?</v>
      </c>
    </row>
    <row r="720" spans="1:26">
      <c r="A720" s="1487"/>
      <c r="B720" s="1488"/>
      <c r="C720" s="1489"/>
      <c r="D720" s="1490"/>
      <c r="E720" s="1487"/>
      <c r="F720" s="1488"/>
      <c r="G720" s="1489"/>
      <c r="H720" s="1490"/>
      <c r="I720" s="1487"/>
      <c r="J720" s="1488"/>
      <c r="K720" s="1489"/>
      <c r="L720" s="1490"/>
      <c r="M720" s="1487"/>
      <c r="N720" s="1488"/>
      <c r="O720" s="1489"/>
      <c r="P720" s="1490"/>
      <c r="X720" s="1445" t="e">
        <f ca="1"/>
        <v>#NAME?</v>
      </c>
      <c r="Y720" s="1446" t="e">
        <f ca="1"/>
        <v>#NAME?</v>
      </c>
    </row>
    <row r="721" spans="1:25">
      <c r="A721" s="1487"/>
      <c r="B721" s="1488"/>
      <c r="C721" s="1489"/>
      <c r="D721" s="1490"/>
      <c r="E721" s="1487"/>
      <c r="F721" s="1488"/>
      <c r="G721" s="1489"/>
      <c r="H721" s="1490"/>
      <c r="I721" s="1487"/>
      <c r="J721" s="1488"/>
      <c r="K721" s="1489"/>
      <c r="L721" s="1490"/>
      <c r="M721" s="1487"/>
      <c r="N721" s="1488"/>
      <c r="O721" s="1489"/>
      <c r="P721" s="1490"/>
      <c r="X721" s="1445" t="e">
        <f ca="1"/>
        <v>#NAME?</v>
      </c>
      <c r="Y721" s="1446" t="e">
        <f ca="1"/>
        <v>#NAME?</v>
      </c>
    </row>
    <row r="722" spans="1:25">
      <c r="A722" s="1487"/>
      <c r="B722" s="1488"/>
      <c r="C722" s="1489"/>
      <c r="D722" s="1490"/>
      <c r="E722" s="1487"/>
      <c r="F722" s="1488"/>
      <c r="G722" s="1489"/>
      <c r="H722" s="1490"/>
      <c r="I722" s="1487"/>
      <c r="J722" s="1488"/>
      <c r="K722" s="1489"/>
      <c r="L722" s="1490"/>
      <c r="M722" s="1487"/>
      <c r="N722" s="1488"/>
      <c r="O722" s="1489"/>
      <c r="P722" s="1490"/>
      <c r="X722" s="1445" t="e">
        <f ca="1"/>
        <v>#NAME?</v>
      </c>
      <c r="Y722" s="1446" t="e">
        <f ca="1"/>
        <v>#NAME?</v>
      </c>
    </row>
    <row r="723" spans="1:25">
      <c r="A723" s="1487"/>
      <c r="B723" s="1488"/>
      <c r="C723" s="1489"/>
      <c r="D723" s="1490"/>
      <c r="E723" s="1487"/>
      <c r="F723" s="1488"/>
      <c r="G723" s="1489"/>
      <c r="H723" s="1490"/>
      <c r="I723" s="1487"/>
      <c r="J723" s="1488"/>
      <c r="K723" s="1489"/>
      <c r="L723" s="1490"/>
      <c r="M723" s="1487"/>
      <c r="N723" s="1488"/>
      <c r="O723" s="1489"/>
      <c r="P723" s="1490"/>
      <c r="X723" s="1445" t="e">
        <f ca="1"/>
        <v>#NAME?</v>
      </c>
      <c r="Y723" s="1446" t="e">
        <f ca="1"/>
        <v>#NAME?</v>
      </c>
    </row>
    <row r="724" spans="1:25">
      <c r="A724" s="1487"/>
      <c r="B724" s="1488"/>
      <c r="C724" s="1489"/>
      <c r="D724" s="1490"/>
      <c r="E724" s="1487"/>
      <c r="F724" s="1488"/>
      <c r="G724" s="1489"/>
      <c r="H724" s="1490"/>
      <c r="I724" s="1487"/>
      <c r="J724" s="1488"/>
      <c r="K724" s="1489"/>
      <c r="L724" s="1490"/>
      <c r="M724" s="1487"/>
      <c r="N724" s="1488"/>
      <c r="O724" s="1489"/>
      <c r="P724" s="1490"/>
      <c r="X724" s="1445" t="e">
        <f ca="1"/>
        <v>#NAME?</v>
      </c>
      <c r="Y724" s="1446" t="e">
        <f ca="1"/>
        <v>#NAME?</v>
      </c>
    </row>
    <row r="725" spans="1:25">
      <c r="A725" s="1487"/>
      <c r="B725" s="1488"/>
      <c r="C725" s="1489"/>
      <c r="D725" s="1490"/>
      <c r="E725" s="1487"/>
      <c r="F725" s="1488"/>
      <c r="G725" s="1489"/>
      <c r="H725" s="1490"/>
      <c r="I725" s="1487"/>
      <c r="J725" s="1488"/>
      <c r="K725" s="1489"/>
      <c r="L725" s="1490"/>
      <c r="M725" s="1487"/>
      <c r="N725" s="1488"/>
      <c r="O725" s="1489"/>
      <c r="P725" s="1490"/>
      <c r="X725" s="1445" t="e">
        <f ca="1"/>
        <v>#NAME?</v>
      </c>
      <c r="Y725" s="1446" t="e">
        <f ca="1"/>
        <v>#NAME?</v>
      </c>
    </row>
    <row r="726" spans="1:25">
      <c r="A726" s="1487"/>
      <c r="B726" s="1488"/>
      <c r="C726" s="1489"/>
      <c r="D726" s="1490"/>
      <c r="E726" s="1487"/>
      <c r="F726" s="1488"/>
      <c r="G726" s="1489"/>
      <c r="H726" s="1490"/>
      <c r="I726" s="1487"/>
      <c r="J726" s="1488"/>
      <c r="K726" s="1489"/>
      <c r="L726" s="1490"/>
      <c r="M726" s="1487"/>
      <c r="N726" s="1488"/>
      <c r="O726" s="1489"/>
      <c r="P726" s="1490"/>
      <c r="X726" s="1445" t="e">
        <f ca="1"/>
        <v>#NAME?</v>
      </c>
      <c r="Y726" s="1446" t="e">
        <f ca="1"/>
        <v>#NAME?</v>
      </c>
    </row>
    <row r="727" spans="1:25">
      <c r="A727" s="1487"/>
      <c r="B727" s="1488"/>
      <c r="C727" s="1489"/>
      <c r="D727" s="1490"/>
      <c r="E727" s="1487"/>
      <c r="F727" s="1488"/>
      <c r="G727" s="1489"/>
      <c r="H727" s="1490"/>
      <c r="I727" s="1487"/>
      <c r="J727" s="1488"/>
      <c r="K727" s="1489"/>
      <c r="L727" s="1490"/>
      <c r="M727" s="1487"/>
      <c r="N727" s="1488"/>
      <c r="O727" s="1489"/>
      <c r="P727" s="1490"/>
      <c r="X727" s="1445" t="e">
        <f ca="1"/>
        <v>#NAME?</v>
      </c>
      <c r="Y727" s="1446" t="e">
        <f ca="1"/>
        <v>#NAME?</v>
      </c>
    </row>
    <row r="728" spans="1:25">
      <c r="A728" s="1487"/>
      <c r="B728" s="1488"/>
      <c r="C728" s="1489"/>
      <c r="D728" s="1490"/>
      <c r="E728" s="1487"/>
      <c r="F728" s="1488"/>
      <c r="G728" s="1489"/>
      <c r="H728" s="1490"/>
      <c r="I728" s="1487"/>
      <c r="J728" s="1488"/>
      <c r="K728" s="1489"/>
      <c r="L728" s="1490"/>
      <c r="M728" s="1487"/>
      <c r="N728" s="1488"/>
      <c r="O728" s="1489"/>
      <c r="P728" s="1490"/>
      <c r="X728" s="1445" t="e">
        <f ca="1"/>
        <v>#NAME?</v>
      </c>
      <c r="Y728" s="1446" t="e">
        <f ca="1"/>
        <v>#NAME?</v>
      </c>
    </row>
    <row r="729" spans="1:25">
      <c r="A729" s="1487"/>
      <c r="B729" s="1488"/>
      <c r="C729" s="1489"/>
      <c r="D729" s="1490"/>
      <c r="E729" s="1487"/>
      <c r="F729" s="1488"/>
      <c r="G729" s="1489"/>
      <c r="H729" s="1490"/>
      <c r="I729" s="1487"/>
      <c r="J729" s="1488"/>
      <c r="K729" s="1489"/>
      <c r="L729" s="1490"/>
      <c r="M729" s="1487"/>
      <c r="N729" s="1488"/>
      <c r="O729" s="1489"/>
      <c r="P729" s="1490"/>
      <c r="X729" s="1445" t="e">
        <f ca="1"/>
        <v>#NAME?</v>
      </c>
      <c r="Y729" s="1446" t="e">
        <f ca="1"/>
        <v>#NAME?</v>
      </c>
    </row>
    <row r="730" spans="1:25">
      <c r="A730" s="1487"/>
      <c r="B730" s="1488"/>
      <c r="C730" s="1489"/>
      <c r="D730" s="1490"/>
      <c r="E730" s="1487"/>
      <c r="F730" s="1488"/>
      <c r="G730" s="1489"/>
      <c r="H730" s="1490"/>
      <c r="I730" s="1487"/>
      <c r="J730" s="1488"/>
      <c r="K730" s="1489"/>
      <c r="L730" s="1490"/>
      <c r="M730" s="1487"/>
      <c r="N730" s="1488"/>
      <c r="O730" s="1489"/>
      <c r="P730" s="1490"/>
      <c r="X730" s="1445" t="e">
        <f ca="1"/>
        <v>#NAME?</v>
      </c>
      <c r="Y730" s="1446" t="e">
        <f ca="1"/>
        <v>#NAME?</v>
      </c>
    </row>
    <row r="731" spans="1:25">
      <c r="A731" s="1487"/>
      <c r="B731" s="1488"/>
      <c r="C731" s="1489"/>
      <c r="D731" s="1490"/>
      <c r="E731" s="1487"/>
      <c r="F731" s="1488"/>
      <c r="G731" s="1489"/>
      <c r="H731" s="1490"/>
      <c r="I731" s="1487"/>
      <c r="J731" s="1488"/>
      <c r="K731" s="1489"/>
      <c r="L731" s="1490"/>
      <c r="M731" s="1487"/>
      <c r="N731" s="1488"/>
      <c r="O731" s="1489"/>
      <c r="P731" s="1490"/>
      <c r="X731" s="1445" t="e">
        <f ca="1"/>
        <v>#NAME?</v>
      </c>
      <c r="Y731" s="1446" t="e">
        <f ca="1"/>
        <v>#NAME?</v>
      </c>
    </row>
    <row r="732" spans="1:25">
      <c r="A732" s="1487"/>
      <c r="B732" s="1488"/>
      <c r="C732" s="1489"/>
      <c r="D732" s="1490"/>
      <c r="E732" s="1487"/>
      <c r="F732" s="1488"/>
      <c r="G732" s="1489"/>
      <c r="H732" s="1490"/>
      <c r="I732" s="1487"/>
      <c r="J732" s="1488"/>
      <c r="K732" s="1489"/>
      <c r="L732" s="1490"/>
      <c r="M732" s="1487"/>
      <c r="N732" s="1488"/>
      <c r="O732" s="1489"/>
      <c r="P732" s="1490"/>
      <c r="X732" s="1445" t="e">
        <f ca="1"/>
        <v>#NAME?</v>
      </c>
      <c r="Y732" s="1446" t="e">
        <f ca="1"/>
        <v>#NAME?</v>
      </c>
    </row>
    <row r="733" spans="1:25">
      <c r="A733" s="1487"/>
      <c r="B733" s="1488"/>
      <c r="C733" s="1489"/>
      <c r="D733" s="1490"/>
      <c r="E733" s="1487"/>
      <c r="F733" s="1488"/>
      <c r="G733" s="1489"/>
      <c r="H733" s="1490"/>
      <c r="I733" s="1487"/>
      <c r="J733" s="1488"/>
      <c r="K733" s="1489"/>
      <c r="L733" s="1490"/>
      <c r="M733" s="1487"/>
      <c r="N733" s="1488"/>
      <c r="O733" s="1489"/>
      <c r="P733" s="1490"/>
      <c r="X733" s="1445" t="e">
        <f ca="1"/>
        <v>#NAME?</v>
      </c>
      <c r="Y733" s="1446" t="e">
        <f ca="1"/>
        <v>#NAME?</v>
      </c>
    </row>
    <row r="734" spans="1:25">
      <c r="A734" s="1487"/>
      <c r="B734" s="1488"/>
      <c r="C734" s="1489"/>
      <c r="D734" s="1490"/>
      <c r="E734" s="1487"/>
      <c r="F734" s="1488"/>
      <c r="G734" s="1489"/>
      <c r="H734" s="1490"/>
      <c r="I734" s="1487"/>
      <c r="J734" s="1488"/>
      <c r="K734" s="1489"/>
      <c r="L734" s="1490"/>
      <c r="M734" s="1487"/>
      <c r="N734" s="1488"/>
      <c r="O734" s="1489"/>
      <c r="P734" s="1490"/>
      <c r="X734" s="1445" t="e">
        <f ca="1"/>
        <v>#NAME?</v>
      </c>
      <c r="Y734" s="1446" t="e">
        <f ca="1"/>
        <v>#NAME?</v>
      </c>
    </row>
    <row r="735" spans="1:25">
      <c r="A735" s="1487"/>
      <c r="B735" s="1488"/>
      <c r="C735" s="1489"/>
      <c r="D735" s="1490"/>
      <c r="E735" s="1487"/>
      <c r="F735" s="1488"/>
      <c r="G735" s="1489"/>
      <c r="H735" s="1490"/>
      <c r="I735" s="1487"/>
      <c r="J735" s="1488"/>
      <c r="K735" s="1489"/>
      <c r="L735" s="1490"/>
      <c r="M735" s="1487"/>
      <c r="N735" s="1488"/>
      <c r="O735" s="1489"/>
      <c r="P735" s="1490"/>
      <c r="X735" s="1445" t="e">
        <f ca="1"/>
        <v>#NAME?</v>
      </c>
      <c r="Y735" s="1446" t="e">
        <f ca="1"/>
        <v>#NAME?</v>
      </c>
    </row>
    <row r="736" spans="1:25">
      <c r="A736" s="1487"/>
      <c r="B736" s="1488"/>
      <c r="C736" s="1489"/>
      <c r="D736" s="1490"/>
      <c r="E736" s="1487"/>
      <c r="F736" s="1488"/>
      <c r="G736" s="1489"/>
      <c r="H736" s="1490"/>
      <c r="I736" s="1487"/>
      <c r="J736" s="1488"/>
      <c r="K736" s="1489"/>
      <c r="L736" s="1490"/>
      <c r="M736" s="1487"/>
      <c r="N736" s="1488"/>
      <c r="O736" s="1489"/>
      <c r="P736" s="1490"/>
      <c r="X736" s="1445" t="e">
        <f ca="1"/>
        <v>#NAME?</v>
      </c>
      <c r="Y736" s="1446" t="e">
        <f ca="1"/>
        <v>#NAME?</v>
      </c>
    </row>
    <row r="737" spans="1:25">
      <c r="A737" s="1487"/>
      <c r="B737" s="1488"/>
      <c r="C737" s="1489"/>
      <c r="D737" s="1490"/>
      <c r="E737" s="1487"/>
      <c r="F737" s="1488"/>
      <c r="G737" s="1489"/>
      <c r="H737" s="1490"/>
      <c r="I737" s="1487"/>
      <c r="J737" s="1488"/>
      <c r="K737" s="1489"/>
      <c r="L737" s="1490"/>
      <c r="M737" s="1487"/>
      <c r="N737" s="1488"/>
      <c r="O737" s="1489"/>
      <c r="P737" s="1490"/>
      <c r="X737" s="1445" t="e">
        <f ca="1"/>
        <v>#NAME?</v>
      </c>
      <c r="Y737" s="1446" t="e">
        <f ca="1"/>
        <v>#NAME?</v>
      </c>
    </row>
    <row r="738" spans="1:25">
      <c r="A738" s="1487"/>
      <c r="B738" s="1488"/>
      <c r="C738" s="1489"/>
      <c r="D738" s="1490"/>
      <c r="E738" s="1487"/>
      <c r="F738" s="1488"/>
      <c r="G738" s="1489"/>
      <c r="H738" s="1490"/>
      <c r="I738" s="1487"/>
      <c r="J738" s="1488"/>
      <c r="K738" s="1489"/>
      <c r="L738" s="1490"/>
      <c r="M738" s="1487"/>
      <c r="N738" s="1488"/>
      <c r="O738" s="1489"/>
      <c r="P738" s="1490"/>
      <c r="X738" s="1445" t="e">
        <f ca="1"/>
        <v>#NAME?</v>
      </c>
      <c r="Y738" s="1446" t="e">
        <f ca="1"/>
        <v>#NAME?</v>
      </c>
    </row>
    <row r="739" spans="1:25">
      <c r="A739" s="1487"/>
      <c r="B739" s="1488"/>
      <c r="C739" s="1489"/>
      <c r="D739" s="1490"/>
      <c r="E739" s="1487"/>
      <c r="F739" s="1488"/>
      <c r="G739" s="1489"/>
      <c r="H739" s="1490"/>
      <c r="I739" s="1487"/>
      <c r="J739" s="1488"/>
      <c r="K739" s="1489"/>
      <c r="L739" s="1490"/>
      <c r="M739" s="1487"/>
      <c r="N739" s="1488"/>
      <c r="O739" s="1489"/>
      <c r="P739" s="1490"/>
      <c r="X739" s="1445" t="e">
        <f ca="1"/>
        <v>#NAME?</v>
      </c>
      <c r="Y739" s="1446" t="e">
        <f ca="1"/>
        <v>#NAME?</v>
      </c>
    </row>
    <row r="740" spans="1:25">
      <c r="A740" s="1487"/>
      <c r="B740" s="1488"/>
      <c r="C740" s="1489"/>
      <c r="D740" s="1490"/>
      <c r="E740" s="1487"/>
      <c r="F740" s="1488"/>
      <c r="G740" s="1489"/>
      <c r="H740" s="1490"/>
      <c r="I740" s="1487"/>
      <c r="J740" s="1488"/>
      <c r="K740" s="1489"/>
      <c r="L740" s="1490"/>
      <c r="M740" s="1487"/>
      <c r="N740" s="1488"/>
      <c r="O740" s="1489"/>
      <c r="P740" s="1490"/>
      <c r="X740" s="1445" t="e">
        <f ca="1"/>
        <v>#NAME?</v>
      </c>
      <c r="Y740" s="1446" t="e">
        <f ca="1"/>
        <v>#NAME?</v>
      </c>
    </row>
    <row r="741" spans="1:25">
      <c r="A741" s="1487"/>
      <c r="B741" s="1488"/>
      <c r="C741" s="1489"/>
      <c r="D741" s="1490"/>
      <c r="E741" s="1487"/>
      <c r="F741" s="1488"/>
      <c r="G741" s="1489"/>
      <c r="H741" s="1490"/>
      <c r="I741" s="1487"/>
      <c r="J741" s="1488"/>
      <c r="K741" s="1489"/>
      <c r="L741" s="1490"/>
      <c r="M741" s="1487"/>
      <c r="N741" s="1488"/>
      <c r="O741" s="1489"/>
      <c r="P741" s="1490"/>
      <c r="X741" s="1445" t="e">
        <f ca="1"/>
        <v>#NAME?</v>
      </c>
      <c r="Y741" s="1446" t="e">
        <f ca="1"/>
        <v>#NAME?</v>
      </c>
    </row>
    <row r="742" spans="1:25">
      <c r="A742" s="1487"/>
      <c r="B742" s="1488"/>
      <c r="C742" s="1489"/>
      <c r="D742" s="1490"/>
      <c r="E742" s="1487"/>
      <c r="F742" s="1488"/>
      <c r="G742" s="1489"/>
      <c r="H742" s="1490"/>
      <c r="I742" s="1487"/>
      <c r="J742" s="1488"/>
      <c r="K742" s="1489"/>
      <c r="L742" s="1490"/>
      <c r="M742" s="1487"/>
      <c r="N742" s="1488"/>
      <c r="O742" s="1489"/>
      <c r="P742" s="1490"/>
      <c r="X742" s="1445" t="e">
        <f ca="1"/>
        <v>#NAME?</v>
      </c>
      <c r="Y742" s="1446" t="e">
        <f ca="1"/>
        <v>#NAME?</v>
      </c>
    </row>
    <row r="743" spans="1:25">
      <c r="A743" s="1487"/>
      <c r="B743" s="1488"/>
      <c r="C743" s="1489"/>
      <c r="D743" s="1490"/>
      <c r="E743" s="1487"/>
      <c r="F743" s="1488"/>
      <c r="G743" s="1489"/>
      <c r="H743" s="1490"/>
      <c r="I743" s="1487"/>
      <c r="J743" s="1488"/>
      <c r="K743" s="1489"/>
      <c r="L743" s="1490"/>
      <c r="M743" s="1487"/>
      <c r="N743" s="1488"/>
      <c r="O743" s="1489"/>
      <c r="P743" s="1490"/>
      <c r="X743" s="1445" t="e">
        <f ca="1"/>
        <v>#NAME?</v>
      </c>
      <c r="Y743" s="1446" t="e">
        <f ca="1"/>
        <v>#NAME?</v>
      </c>
    </row>
    <row r="744" spans="1:25">
      <c r="A744" s="1487"/>
      <c r="B744" s="1488"/>
      <c r="C744" s="1489"/>
      <c r="D744" s="1490"/>
      <c r="E744" s="1487"/>
      <c r="F744" s="1488"/>
      <c r="G744" s="1489"/>
      <c r="H744" s="1490"/>
      <c r="I744" s="1487"/>
      <c r="J744" s="1488"/>
      <c r="K744" s="1489"/>
      <c r="L744" s="1490"/>
      <c r="M744" s="1487"/>
      <c r="N744" s="1488"/>
      <c r="O744" s="1489"/>
      <c r="P744" s="1490"/>
      <c r="X744" s="1445" t="e">
        <f ca="1"/>
        <v>#NAME?</v>
      </c>
      <c r="Y744" s="1446" t="e">
        <f ca="1"/>
        <v>#NAME?</v>
      </c>
    </row>
    <row r="745" spans="1:25">
      <c r="A745" s="1487"/>
      <c r="B745" s="1488"/>
      <c r="C745" s="1489"/>
      <c r="D745" s="1490"/>
      <c r="E745" s="1487"/>
      <c r="F745" s="1488"/>
      <c r="G745" s="1489"/>
      <c r="H745" s="1490"/>
      <c r="I745" s="1487"/>
      <c r="J745" s="1488"/>
      <c r="K745" s="1489"/>
      <c r="L745" s="1490"/>
      <c r="M745" s="1487"/>
      <c r="N745" s="1488"/>
      <c r="O745" s="1489"/>
      <c r="P745" s="1490"/>
      <c r="X745" s="1445" t="e">
        <f ca="1"/>
        <v>#NAME?</v>
      </c>
      <c r="Y745" s="1446" t="e">
        <f ca="1"/>
        <v>#NAME?</v>
      </c>
    </row>
    <row r="746" spans="1:25">
      <c r="A746" s="1487"/>
      <c r="B746" s="1488"/>
      <c r="C746" s="1489"/>
      <c r="D746" s="1490"/>
      <c r="E746" s="1487"/>
      <c r="F746" s="1488"/>
      <c r="G746" s="1489"/>
      <c r="H746" s="1490"/>
      <c r="I746" s="1487"/>
      <c r="J746" s="1488"/>
      <c r="K746" s="1489"/>
      <c r="L746" s="1490"/>
      <c r="M746" s="1487"/>
      <c r="N746" s="1488"/>
      <c r="O746" s="1489"/>
      <c r="P746" s="1490"/>
      <c r="X746" s="1445" t="e">
        <f ca="1"/>
        <v>#NAME?</v>
      </c>
      <c r="Y746" s="1446" t="e">
        <f ca="1"/>
        <v>#NAME?</v>
      </c>
    </row>
    <row r="747" spans="1:25">
      <c r="A747" s="1487"/>
      <c r="B747" s="1488"/>
      <c r="C747" s="1489"/>
      <c r="D747" s="1490"/>
      <c r="E747" s="1487"/>
      <c r="F747" s="1488"/>
      <c r="G747" s="1489"/>
      <c r="H747" s="1490"/>
      <c r="I747" s="1487"/>
      <c r="J747" s="1488"/>
      <c r="K747" s="1489"/>
      <c r="L747" s="1490"/>
      <c r="M747" s="1487"/>
      <c r="N747" s="1488"/>
      <c r="O747" s="1489"/>
      <c r="P747" s="1490"/>
      <c r="X747" s="1445" t="e">
        <f ca="1"/>
        <v>#NAME?</v>
      </c>
      <c r="Y747" s="1446" t="e">
        <f ca="1"/>
        <v>#NAME?</v>
      </c>
    </row>
    <row r="748" spans="1:25">
      <c r="A748" s="1487"/>
      <c r="B748" s="1488"/>
      <c r="C748" s="1489"/>
      <c r="D748" s="1490"/>
      <c r="E748" s="1487"/>
      <c r="F748" s="1488"/>
      <c r="G748" s="1489"/>
      <c r="H748" s="1490"/>
      <c r="I748" s="1487"/>
      <c r="J748" s="1488"/>
      <c r="K748" s="1489"/>
      <c r="L748" s="1490"/>
      <c r="M748" s="1487"/>
      <c r="N748" s="1488"/>
      <c r="O748" s="1489"/>
      <c r="P748" s="1490"/>
      <c r="X748" s="1445" t="e">
        <f ca="1"/>
        <v>#NAME?</v>
      </c>
      <c r="Y748" s="1446" t="e">
        <f ca="1"/>
        <v>#NAME?</v>
      </c>
    </row>
    <row r="749" spans="1:25">
      <c r="A749" s="1487"/>
      <c r="B749" s="1488"/>
      <c r="C749" s="1489"/>
      <c r="D749" s="1490"/>
      <c r="E749" s="1487"/>
      <c r="F749" s="1488"/>
      <c r="G749" s="1489"/>
      <c r="H749" s="1490"/>
      <c r="I749" s="1487"/>
      <c r="J749" s="1488"/>
      <c r="K749" s="1489"/>
      <c r="L749" s="1490"/>
      <c r="M749" s="1487"/>
      <c r="N749" s="1488"/>
      <c r="O749" s="1489"/>
      <c r="P749" s="1490"/>
      <c r="X749" s="1445" t="e">
        <f ca="1"/>
        <v>#NAME?</v>
      </c>
      <c r="Y749" s="1446" t="e">
        <f ca="1"/>
        <v>#NAME?</v>
      </c>
    </row>
    <row r="750" spans="1:25">
      <c r="A750" s="1487"/>
      <c r="B750" s="1488"/>
      <c r="C750" s="1489"/>
      <c r="D750" s="1490"/>
      <c r="E750" s="1487"/>
      <c r="F750" s="1488"/>
      <c r="G750" s="1489"/>
      <c r="H750" s="1490"/>
      <c r="I750" s="1487"/>
      <c r="J750" s="1488"/>
      <c r="K750" s="1489"/>
      <c r="L750" s="1490"/>
      <c r="M750" s="1487"/>
      <c r="N750" s="1488"/>
      <c r="O750" s="1489"/>
      <c r="P750" s="1490"/>
      <c r="X750" s="1445" t="e">
        <f ca="1"/>
        <v>#NAME?</v>
      </c>
      <c r="Y750" s="1446" t="e">
        <f ca="1"/>
        <v>#NAME?</v>
      </c>
    </row>
    <row r="751" spans="1:25">
      <c r="A751" s="1487"/>
      <c r="B751" s="1488"/>
      <c r="C751" s="1489"/>
      <c r="D751" s="1490"/>
      <c r="E751" s="1487"/>
      <c r="F751" s="1488"/>
      <c r="G751" s="1489"/>
      <c r="H751" s="1490"/>
      <c r="I751" s="1487"/>
      <c r="J751" s="1488"/>
      <c r="K751" s="1489"/>
      <c r="L751" s="1490"/>
      <c r="M751" s="1487"/>
      <c r="N751" s="1488"/>
      <c r="O751" s="1489"/>
      <c r="P751" s="1490"/>
      <c r="X751" s="1445" t="e">
        <f ca="1"/>
        <v>#NAME?</v>
      </c>
      <c r="Y751" s="1446" t="e">
        <f ca="1"/>
        <v>#NAME?</v>
      </c>
    </row>
    <row r="752" spans="1:25">
      <c r="A752" s="1487"/>
      <c r="B752" s="1488"/>
      <c r="C752" s="1489"/>
      <c r="D752" s="1490"/>
      <c r="E752" s="1487"/>
      <c r="F752" s="1488"/>
      <c r="G752" s="1489"/>
      <c r="H752" s="1490"/>
      <c r="I752" s="1487"/>
      <c r="J752" s="1488"/>
      <c r="K752" s="1489"/>
      <c r="L752" s="1490"/>
      <c r="M752" s="1487"/>
      <c r="N752" s="1488"/>
      <c r="O752" s="1489"/>
      <c r="P752" s="1490"/>
      <c r="X752" s="1445" t="e">
        <f ca="1"/>
        <v>#NAME?</v>
      </c>
      <c r="Y752" s="1446" t="e">
        <f ca="1"/>
        <v>#NAME?</v>
      </c>
    </row>
    <row r="753" spans="1:25">
      <c r="A753" s="1487"/>
      <c r="B753" s="1488"/>
      <c r="C753" s="1489"/>
      <c r="D753" s="1490"/>
      <c r="E753" s="1487"/>
      <c r="F753" s="1488"/>
      <c r="G753" s="1489"/>
      <c r="H753" s="1490"/>
      <c r="I753" s="1487"/>
      <c r="J753" s="1488"/>
      <c r="K753" s="1489"/>
      <c r="L753" s="1490"/>
      <c r="M753" s="1487"/>
      <c r="N753" s="1488"/>
      <c r="O753" s="1489"/>
      <c r="P753" s="1490"/>
      <c r="X753" s="1445" t="e">
        <f ca="1"/>
        <v>#NAME?</v>
      </c>
      <c r="Y753" s="1446" t="e">
        <f ca="1"/>
        <v>#NAME?</v>
      </c>
    </row>
    <row r="754" spans="1:25">
      <c r="A754" s="1487"/>
      <c r="B754" s="1488"/>
      <c r="C754" s="1489"/>
      <c r="D754" s="1490"/>
      <c r="E754" s="1487"/>
      <c r="F754" s="1488"/>
      <c r="G754" s="1489"/>
      <c r="H754" s="1490"/>
      <c r="I754" s="1487"/>
      <c r="J754" s="1488"/>
      <c r="K754" s="1489"/>
      <c r="L754" s="1490"/>
      <c r="M754" s="1487"/>
      <c r="N754" s="1488"/>
      <c r="O754" s="1489"/>
      <c r="P754" s="1490"/>
      <c r="X754" s="1445" t="e">
        <f ca="1"/>
        <v>#NAME?</v>
      </c>
      <c r="Y754" s="1446" t="e">
        <f ca="1"/>
        <v>#NAME?</v>
      </c>
    </row>
    <row r="755" spans="1:25">
      <c r="A755" s="1487"/>
      <c r="B755" s="1488"/>
      <c r="C755" s="1489"/>
      <c r="D755" s="1490"/>
      <c r="E755" s="1487"/>
      <c r="F755" s="1488"/>
      <c r="G755" s="1489"/>
      <c r="H755" s="1490"/>
      <c r="I755" s="1487"/>
      <c r="J755" s="1488"/>
      <c r="K755" s="1489"/>
      <c r="L755" s="1490"/>
      <c r="M755" s="1487"/>
      <c r="N755" s="1488"/>
      <c r="O755" s="1489"/>
      <c r="P755" s="1490"/>
      <c r="X755" s="1445" t="e">
        <f ca="1"/>
        <v>#NAME?</v>
      </c>
      <c r="Y755" s="1446" t="e">
        <f ca="1"/>
        <v>#NAME?</v>
      </c>
    </row>
    <row r="756" spans="1:25">
      <c r="A756" s="1487"/>
      <c r="B756" s="1488"/>
      <c r="C756" s="1489"/>
      <c r="D756" s="1490"/>
      <c r="E756" s="1487"/>
      <c r="F756" s="1488"/>
      <c r="G756" s="1489"/>
      <c r="H756" s="1490"/>
      <c r="I756" s="1487"/>
      <c r="J756" s="1488"/>
      <c r="K756" s="1489"/>
      <c r="L756" s="1490"/>
      <c r="M756" s="1487"/>
      <c r="N756" s="1488"/>
      <c r="O756" s="1489"/>
      <c r="P756" s="1490"/>
      <c r="X756" s="1445" t="e">
        <f ca="1"/>
        <v>#NAME?</v>
      </c>
      <c r="Y756" s="1446" t="e">
        <f ca="1"/>
        <v>#NAME?</v>
      </c>
    </row>
    <row r="757" spans="1:25">
      <c r="A757" s="1487"/>
      <c r="B757" s="1488"/>
      <c r="C757" s="1489"/>
      <c r="D757" s="1490"/>
      <c r="E757" s="1487"/>
      <c r="F757" s="1488"/>
      <c r="G757" s="1489"/>
      <c r="H757" s="1490"/>
      <c r="I757" s="1487"/>
      <c r="J757" s="1488"/>
      <c r="K757" s="1489"/>
      <c r="L757" s="1490"/>
      <c r="M757" s="1487"/>
      <c r="N757" s="1488"/>
      <c r="O757" s="1489"/>
      <c r="P757" s="1490"/>
      <c r="X757" s="1445" t="e">
        <f ca="1"/>
        <v>#NAME?</v>
      </c>
      <c r="Y757" s="1446" t="e">
        <f ca="1"/>
        <v>#NAME?</v>
      </c>
    </row>
    <row r="758" spans="1:25">
      <c r="A758" s="1487"/>
      <c r="B758" s="1488"/>
      <c r="C758" s="1489"/>
      <c r="D758" s="1490"/>
      <c r="E758" s="1487"/>
      <c r="F758" s="1488"/>
      <c r="G758" s="1489"/>
      <c r="H758" s="1490"/>
      <c r="I758" s="1487"/>
      <c r="J758" s="1488"/>
      <c r="K758" s="1489"/>
      <c r="L758" s="1490"/>
      <c r="M758" s="1487"/>
      <c r="N758" s="1488"/>
      <c r="O758" s="1489"/>
      <c r="P758" s="1490"/>
      <c r="X758" s="1445" t="e">
        <f ca="1"/>
        <v>#NAME?</v>
      </c>
      <c r="Y758" s="1446" t="e">
        <f ca="1"/>
        <v>#NAME?</v>
      </c>
    </row>
    <row r="759" spans="1:25">
      <c r="A759" s="1487"/>
      <c r="B759" s="1488"/>
      <c r="C759" s="1489"/>
      <c r="D759" s="1490"/>
      <c r="E759" s="1487"/>
      <c r="F759" s="1488"/>
      <c r="G759" s="1489"/>
      <c r="H759" s="1490"/>
      <c r="I759" s="1487"/>
      <c r="J759" s="1488"/>
      <c r="K759" s="1489"/>
      <c r="L759" s="1490"/>
      <c r="M759" s="1487"/>
      <c r="N759" s="1488"/>
      <c r="O759" s="1489"/>
      <c r="P759" s="1490"/>
      <c r="X759" s="1445" t="e">
        <f ca="1"/>
        <v>#NAME?</v>
      </c>
      <c r="Y759" s="1446" t="e">
        <f ca="1"/>
        <v>#NAME?</v>
      </c>
    </row>
    <row r="760" spans="1:25">
      <c r="A760" s="1487"/>
      <c r="B760" s="1488"/>
      <c r="C760" s="1489"/>
      <c r="D760" s="1490"/>
      <c r="E760" s="1487"/>
      <c r="F760" s="1488"/>
      <c r="G760" s="1489"/>
      <c r="H760" s="1490"/>
      <c r="I760" s="1487"/>
      <c r="J760" s="1488"/>
      <c r="K760" s="1489"/>
      <c r="L760" s="1490"/>
      <c r="M760" s="1487"/>
      <c r="N760" s="1488"/>
      <c r="O760" s="1489"/>
      <c r="P760" s="1490"/>
      <c r="X760" s="1445" t="e">
        <f ca="1"/>
        <v>#NAME?</v>
      </c>
      <c r="Y760" s="1446" t="e">
        <f ca="1"/>
        <v>#NAME?</v>
      </c>
    </row>
    <row r="761" spans="1:25">
      <c r="A761" s="1487"/>
      <c r="B761" s="1488"/>
      <c r="C761" s="1489"/>
      <c r="D761" s="1490"/>
      <c r="E761" s="1487"/>
      <c r="F761" s="1488"/>
      <c r="G761" s="1489"/>
      <c r="H761" s="1490"/>
      <c r="I761" s="1487"/>
      <c r="J761" s="1488"/>
      <c r="K761" s="1489"/>
      <c r="L761" s="1490"/>
      <c r="M761" s="1487"/>
      <c r="N761" s="1488"/>
      <c r="O761" s="1489"/>
      <c r="P761" s="1490"/>
      <c r="X761" s="1445" t="e">
        <f ca="1"/>
        <v>#NAME?</v>
      </c>
      <c r="Y761" s="1446" t="e">
        <f ca="1"/>
        <v>#NAME?</v>
      </c>
    </row>
    <row r="762" spans="1:25">
      <c r="A762" s="1487"/>
      <c r="B762" s="1488"/>
      <c r="C762" s="1489"/>
      <c r="D762" s="1490"/>
      <c r="E762" s="1487"/>
      <c r="F762" s="1488"/>
      <c r="G762" s="1489"/>
      <c r="H762" s="1490"/>
      <c r="I762" s="1487"/>
      <c r="J762" s="1488"/>
      <c r="K762" s="1489"/>
      <c r="L762" s="1490"/>
      <c r="M762" s="1487"/>
      <c r="N762" s="1488"/>
      <c r="O762" s="1489"/>
      <c r="P762" s="1490"/>
      <c r="X762" s="1445" t="e">
        <f ca="1"/>
        <v>#NAME?</v>
      </c>
      <c r="Y762" s="1446" t="e">
        <f ca="1"/>
        <v>#NAME?</v>
      </c>
    </row>
    <row r="763" spans="1:25">
      <c r="A763" s="1487"/>
      <c r="B763" s="1488"/>
      <c r="C763" s="1489"/>
      <c r="D763" s="1490"/>
      <c r="E763" s="1487"/>
      <c r="F763" s="1488"/>
      <c r="G763" s="1489"/>
      <c r="H763" s="1490"/>
      <c r="I763" s="1487"/>
      <c r="J763" s="1488"/>
      <c r="K763" s="1489"/>
      <c r="L763" s="1490"/>
      <c r="M763" s="1487"/>
      <c r="N763" s="1488"/>
      <c r="O763" s="1489"/>
      <c r="P763" s="1490"/>
      <c r="X763" s="1445" t="e">
        <f ca="1"/>
        <v>#NAME?</v>
      </c>
      <c r="Y763" s="1446" t="e">
        <f ca="1"/>
        <v>#NAME?</v>
      </c>
    </row>
    <row r="764" spans="1:25">
      <c r="A764" s="1487"/>
      <c r="B764" s="1488"/>
      <c r="C764" s="1489"/>
      <c r="D764" s="1490"/>
      <c r="E764" s="1487"/>
      <c r="F764" s="1488"/>
      <c r="G764" s="1489"/>
      <c r="H764" s="1490"/>
      <c r="I764" s="1487"/>
      <c r="J764" s="1488"/>
      <c r="K764" s="1489"/>
      <c r="L764" s="1490"/>
      <c r="M764" s="1487"/>
      <c r="N764" s="1488"/>
      <c r="O764" s="1489"/>
      <c r="P764" s="1490"/>
      <c r="X764" s="1445" t="e">
        <f ca="1"/>
        <v>#NAME?</v>
      </c>
      <c r="Y764" s="1446" t="e">
        <f ca="1"/>
        <v>#NAME?</v>
      </c>
    </row>
    <row r="765" spans="1:25">
      <c r="A765" s="1487"/>
      <c r="B765" s="1488"/>
      <c r="C765" s="1489"/>
      <c r="D765" s="1490"/>
      <c r="E765" s="1487"/>
      <c r="F765" s="1488"/>
      <c r="G765" s="1489"/>
      <c r="H765" s="1490"/>
      <c r="I765" s="1487"/>
      <c r="J765" s="1488"/>
      <c r="K765" s="1489"/>
      <c r="L765" s="1490"/>
      <c r="M765" s="1487"/>
      <c r="N765" s="1488"/>
      <c r="O765" s="1489"/>
      <c r="P765" s="1490"/>
      <c r="X765" s="1445" t="e">
        <f ca="1"/>
        <v>#NAME?</v>
      </c>
      <c r="Y765" s="1446" t="e">
        <f ca="1"/>
        <v>#NAME?</v>
      </c>
    </row>
    <row r="766" spans="1:25">
      <c r="A766" s="1487"/>
      <c r="B766" s="1488"/>
      <c r="C766" s="1489"/>
      <c r="D766" s="1490"/>
      <c r="E766" s="1487"/>
      <c r="F766" s="1488"/>
      <c r="G766" s="1489"/>
      <c r="H766" s="1490"/>
      <c r="I766" s="1487"/>
      <c r="J766" s="1488"/>
      <c r="K766" s="1489"/>
      <c r="L766" s="1490"/>
      <c r="M766" s="1487"/>
      <c r="N766" s="1488"/>
      <c r="O766" s="1489"/>
      <c r="P766" s="1490"/>
      <c r="X766" s="1445" t="e">
        <f ca="1"/>
        <v>#NAME?</v>
      </c>
      <c r="Y766" s="1446" t="e">
        <f ca="1"/>
        <v>#NAME?</v>
      </c>
    </row>
    <row r="767" spans="1:25">
      <c r="A767" s="1487"/>
      <c r="B767" s="1488"/>
      <c r="C767" s="1489"/>
      <c r="D767" s="1490"/>
      <c r="E767" s="1487"/>
      <c r="F767" s="1488"/>
      <c r="G767" s="1489"/>
      <c r="H767" s="1490"/>
      <c r="I767" s="1487"/>
      <c r="J767" s="1488"/>
      <c r="K767" s="1489"/>
      <c r="L767" s="1490"/>
      <c r="M767" s="1487"/>
      <c r="N767" s="1488"/>
      <c r="O767" s="1489"/>
      <c r="P767" s="1490"/>
      <c r="X767" s="1445" t="e">
        <f ca="1"/>
        <v>#NAME?</v>
      </c>
      <c r="Y767" s="1446" t="e">
        <f ca="1"/>
        <v>#NAME?</v>
      </c>
    </row>
    <row r="768" spans="1:25">
      <c r="A768" s="1487"/>
      <c r="B768" s="1488"/>
      <c r="C768" s="1489"/>
      <c r="D768" s="1490"/>
      <c r="E768" s="1487"/>
      <c r="F768" s="1488"/>
      <c r="G768" s="1489"/>
      <c r="H768" s="1490"/>
      <c r="I768" s="1487"/>
      <c r="J768" s="1488"/>
      <c r="K768" s="1489"/>
      <c r="L768" s="1490"/>
      <c r="M768" s="1487"/>
      <c r="N768" s="1488"/>
      <c r="O768" s="1489"/>
      <c r="P768" s="1490"/>
      <c r="X768" s="1445" t="e">
        <f ca="1"/>
        <v>#NAME?</v>
      </c>
      <c r="Y768" s="1446" t="e">
        <f ca="1"/>
        <v>#NAME?</v>
      </c>
    </row>
    <row r="769" spans="1:25">
      <c r="A769" s="1487"/>
      <c r="B769" s="1488"/>
      <c r="C769" s="1489"/>
      <c r="D769" s="1490"/>
      <c r="E769" s="1487"/>
      <c r="F769" s="1488"/>
      <c r="G769" s="1489"/>
      <c r="H769" s="1490"/>
      <c r="I769" s="1487"/>
      <c r="J769" s="1488"/>
      <c r="K769" s="1489"/>
      <c r="L769" s="1490"/>
      <c r="M769" s="1487"/>
      <c r="N769" s="1488"/>
      <c r="O769" s="1489"/>
      <c r="P769" s="1490"/>
      <c r="X769" s="1445" t="e">
        <f ca="1"/>
        <v>#NAME?</v>
      </c>
      <c r="Y769" s="1446" t="e">
        <f ca="1"/>
        <v>#NAME?</v>
      </c>
    </row>
    <row r="770" spans="1:25">
      <c r="A770" s="1487"/>
      <c r="B770" s="1488"/>
      <c r="C770" s="1489"/>
      <c r="D770" s="1490"/>
      <c r="E770" s="1487"/>
      <c r="F770" s="1488"/>
      <c r="G770" s="1489"/>
      <c r="H770" s="1490"/>
      <c r="I770" s="1487"/>
      <c r="J770" s="1488"/>
      <c r="K770" s="1489"/>
      <c r="L770" s="1490"/>
      <c r="M770" s="1487"/>
      <c r="N770" s="1488"/>
      <c r="O770" s="1489"/>
      <c r="P770" s="1490"/>
      <c r="X770" s="1445" t="e">
        <f ca="1"/>
        <v>#NAME?</v>
      </c>
      <c r="Y770" s="1446" t="e">
        <f ca="1"/>
        <v>#NAME?</v>
      </c>
    </row>
    <row r="771" spans="1:25">
      <c r="A771" s="1487"/>
      <c r="B771" s="1488"/>
      <c r="C771" s="1489"/>
      <c r="D771" s="1490"/>
      <c r="E771" s="1487"/>
      <c r="F771" s="1488"/>
      <c r="G771" s="1489"/>
      <c r="H771" s="1490"/>
      <c r="I771" s="1487"/>
      <c r="J771" s="1488"/>
      <c r="K771" s="1489"/>
      <c r="L771" s="1490"/>
      <c r="M771" s="1487"/>
      <c r="N771" s="1488"/>
      <c r="O771" s="1489"/>
      <c r="P771" s="1490"/>
      <c r="X771" s="1445" t="e">
        <f ca="1"/>
        <v>#NAME?</v>
      </c>
      <c r="Y771" s="1446" t="e">
        <f ca="1"/>
        <v>#NAME?</v>
      </c>
    </row>
    <row r="772" spans="1:25">
      <c r="A772" s="1487"/>
      <c r="B772" s="1488"/>
      <c r="C772" s="1489"/>
      <c r="D772" s="1490"/>
      <c r="E772" s="1487"/>
      <c r="F772" s="1488"/>
      <c r="G772" s="1489"/>
      <c r="H772" s="1490"/>
      <c r="I772" s="1487"/>
      <c r="J772" s="1488"/>
      <c r="K772" s="1489"/>
      <c r="L772" s="1490"/>
      <c r="M772" s="1487"/>
      <c r="N772" s="1488"/>
      <c r="O772" s="1489"/>
      <c r="P772" s="1490"/>
      <c r="X772" s="1445" t="e">
        <f ca="1"/>
        <v>#NAME?</v>
      </c>
      <c r="Y772" s="1446" t="e">
        <f ca="1"/>
        <v>#NAME?</v>
      </c>
    </row>
    <row r="773" spans="1:25">
      <c r="A773" s="1487"/>
      <c r="B773" s="1488"/>
      <c r="C773" s="1489"/>
      <c r="D773" s="1490"/>
      <c r="E773" s="1487"/>
      <c r="F773" s="1488"/>
      <c r="G773" s="1489"/>
      <c r="H773" s="1490"/>
      <c r="I773" s="1487"/>
      <c r="J773" s="1488"/>
      <c r="K773" s="1489"/>
      <c r="L773" s="1490"/>
      <c r="M773" s="1487"/>
      <c r="N773" s="1488"/>
      <c r="O773" s="1489"/>
      <c r="P773" s="1490"/>
      <c r="X773" s="1445" t="e">
        <f ca="1"/>
        <v>#NAME?</v>
      </c>
      <c r="Y773" s="1446" t="e">
        <f ca="1"/>
        <v>#NAME?</v>
      </c>
    </row>
    <row r="774" spans="1:25">
      <c r="A774" s="1487"/>
      <c r="B774" s="1488"/>
      <c r="C774" s="1489"/>
      <c r="D774" s="1490"/>
      <c r="E774" s="1487"/>
      <c r="F774" s="1488"/>
      <c r="G774" s="1489"/>
      <c r="H774" s="1490"/>
      <c r="I774" s="1487"/>
      <c r="J774" s="1488"/>
      <c r="K774" s="1489"/>
      <c r="L774" s="1490"/>
      <c r="M774" s="1487"/>
      <c r="N774" s="1488"/>
      <c r="O774" s="1489"/>
      <c r="P774" s="1490"/>
      <c r="X774" s="1445" t="e">
        <f ca="1"/>
        <v>#NAME?</v>
      </c>
      <c r="Y774" s="1446" t="e">
        <f ca="1"/>
        <v>#NAME?</v>
      </c>
    </row>
    <row r="775" spans="1:25">
      <c r="A775" s="1487"/>
      <c r="B775" s="1488"/>
      <c r="C775" s="1489"/>
      <c r="D775" s="1490"/>
      <c r="E775" s="1487"/>
      <c r="F775" s="1488"/>
      <c r="G775" s="1489"/>
      <c r="H775" s="1490"/>
      <c r="I775" s="1487"/>
      <c r="J775" s="1488"/>
      <c r="K775" s="1489"/>
      <c r="L775" s="1490"/>
      <c r="M775" s="1487"/>
      <c r="N775" s="1488"/>
      <c r="O775" s="1489"/>
      <c r="P775" s="1490"/>
      <c r="X775" s="1445" t="e">
        <f ca="1"/>
        <v>#NAME?</v>
      </c>
      <c r="Y775" s="1446" t="e">
        <f ca="1"/>
        <v>#NAME?</v>
      </c>
    </row>
    <row r="776" spans="1:25">
      <c r="A776" s="1487"/>
      <c r="B776" s="1488"/>
      <c r="C776" s="1489"/>
      <c r="D776" s="1490"/>
      <c r="E776" s="1487"/>
      <c r="F776" s="1488"/>
      <c r="G776" s="1489"/>
      <c r="H776" s="1490"/>
      <c r="I776" s="1487"/>
      <c r="J776" s="1488"/>
      <c r="K776" s="1489"/>
      <c r="L776" s="1490"/>
      <c r="M776" s="1487"/>
      <c r="N776" s="1488"/>
      <c r="O776" s="1489"/>
      <c r="P776" s="1490"/>
      <c r="X776" s="1445" t="e">
        <f ca="1"/>
        <v>#NAME?</v>
      </c>
      <c r="Y776" s="1446" t="e">
        <f ca="1"/>
        <v>#NAME?</v>
      </c>
    </row>
    <row r="777" spans="1:25">
      <c r="A777" s="1487"/>
      <c r="B777" s="1488"/>
      <c r="C777" s="1489"/>
      <c r="D777" s="1490"/>
      <c r="E777" s="1487"/>
      <c r="F777" s="1488"/>
      <c r="G777" s="1489"/>
      <c r="H777" s="1490"/>
      <c r="I777" s="1487"/>
      <c r="J777" s="1488"/>
      <c r="K777" s="1489"/>
      <c r="L777" s="1490"/>
      <c r="M777" s="1487"/>
      <c r="N777" s="1488"/>
      <c r="O777" s="1489"/>
      <c r="P777" s="1490"/>
      <c r="X777" s="1445" t="e">
        <f ca="1"/>
        <v>#NAME?</v>
      </c>
      <c r="Y777" s="1446" t="e">
        <f ca="1"/>
        <v>#NAME?</v>
      </c>
    </row>
    <row r="778" spans="1:25">
      <c r="A778" s="1487"/>
      <c r="B778" s="1488"/>
      <c r="C778" s="1489"/>
      <c r="D778" s="1490"/>
      <c r="E778" s="1487"/>
      <c r="F778" s="1488"/>
      <c r="G778" s="1489"/>
      <c r="H778" s="1490"/>
      <c r="I778" s="1487"/>
      <c r="J778" s="1488"/>
      <c r="K778" s="1489"/>
      <c r="L778" s="1490"/>
      <c r="M778" s="1487"/>
      <c r="N778" s="1488"/>
      <c r="O778" s="1489"/>
      <c r="P778" s="1490"/>
      <c r="X778" s="1445" t="e">
        <f ca="1"/>
        <v>#NAME?</v>
      </c>
      <c r="Y778" s="1446" t="e">
        <f ca="1"/>
        <v>#NAME?</v>
      </c>
    </row>
    <row r="779" spans="1:25">
      <c r="A779" s="1487"/>
      <c r="B779" s="1488"/>
      <c r="C779" s="1489"/>
      <c r="D779" s="1490"/>
      <c r="E779" s="1487"/>
      <c r="F779" s="1488"/>
      <c r="G779" s="1489"/>
      <c r="H779" s="1490"/>
      <c r="I779" s="1487"/>
      <c r="J779" s="1488"/>
      <c r="K779" s="1489"/>
      <c r="L779" s="1490"/>
      <c r="M779" s="1487"/>
      <c r="N779" s="1488"/>
      <c r="O779" s="1489"/>
      <c r="P779" s="1490"/>
      <c r="X779" s="1445" t="e">
        <f ca="1"/>
        <v>#NAME?</v>
      </c>
      <c r="Y779" s="1446" t="e">
        <f ca="1"/>
        <v>#NAME?</v>
      </c>
    </row>
    <row r="780" spans="1:25">
      <c r="A780" s="1487"/>
      <c r="B780" s="1488"/>
      <c r="C780" s="1489"/>
      <c r="D780" s="1490"/>
      <c r="E780" s="1487"/>
      <c r="F780" s="1488"/>
      <c r="G780" s="1489"/>
      <c r="H780" s="1490"/>
      <c r="I780" s="1487"/>
      <c r="J780" s="1488"/>
      <c r="K780" s="1489"/>
      <c r="L780" s="1490"/>
      <c r="M780" s="1487"/>
      <c r="N780" s="1488"/>
      <c r="O780" s="1489"/>
      <c r="P780" s="1490"/>
      <c r="X780" s="1445" t="e">
        <f ca="1"/>
        <v>#NAME?</v>
      </c>
      <c r="Y780" s="1446" t="e">
        <f ca="1"/>
        <v>#NAME?</v>
      </c>
    </row>
    <row r="781" spans="1:25">
      <c r="A781" s="1487"/>
      <c r="B781" s="1488"/>
      <c r="C781" s="1489"/>
      <c r="D781" s="1490"/>
      <c r="E781" s="1487"/>
      <c r="F781" s="1488"/>
      <c r="G781" s="1489"/>
      <c r="H781" s="1490"/>
      <c r="I781" s="1487"/>
      <c r="J781" s="1488"/>
      <c r="K781" s="1489"/>
      <c r="L781" s="1490"/>
      <c r="M781" s="1487"/>
      <c r="N781" s="1488"/>
      <c r="O781" s="1489"/>
      <c r="P781" s="1490"/>
      <c r="X781" s="1445" t="e">
        <f ca="1"/>
        <v>#NAME?</v>
      </c>
      <c r="Y781" s="1446" t="e">
        <f ca="1"/>
        <v>#NAME?</v>
      </c>
    </row>
    <row r="782" spans="1:25">
      <c r="A782" s="1487"/>
      <c r="B782" s="1488"/>
      <c r="C782" s="1489"/>
      <c r="D782" s="1490"/>
      <c r="E782" s="1487"/>
      <c r="F782" s="1488"/>
      <c r="G782" s="1489"/>
      <c r="H782" s="1490"/>
      <c r="I782" s="1487"/>
      <c r="J782" s="1488"/>
      <c r="K782" s="1489"/>
      <c r="L782" s="1490"/>
      <c r="M782" s="1487"/>
      <c r="N782" s="1488"/>
      <c r="O782" s="1489"/>
      <c r="P782" s="1490"/>
      <c r="X782" s="1445" t="e">
        <f ca="1"/>
        <v>#NAME?</v>
      </c>
      <c r="Y782" s="1446" t="e">
        <f ca="1"/>
        <v>#NAME?</v>
      </c>
    </row>
    <row r="783" spans="1:25">
      <c r="A783" s="1487"/>
      <c r="B783" s="1488"/>
      <c r="C783" s="1489"/>
      <c r="D783" s="1490"/>
      <c r="E783" s="1487"/>
      <c r="F783" s="1488"/>
      <c r="G783" s="1489"/>
      <c r="H783" s="1490"/>
      <c r="I783" s="1487"/>
      <c r="J783" s="1488"/>
      <c r="K783" s="1489"/>
      <c r="L783" s="1490"/>
      <c r="M783" s="1487"/>
      <c r="N783" s="1488"/>
      <c r="O783" s="1489"/>
      <c r="P783" s="1490"/>
      <c r="X783" s="1445" t="e">
        <f ca="1"/>
        <v>#NAME?</v>
      </c>
      <c r="Y783" s="1446" t="e">
        <f ca="1"/>
        <v>#NAME?</v>
      </c>
    </row>
    <row r="784" spans="1:25">
      <c r="A784" s="1487"/>
      <c r="B784" s="1488"/>
      <c r="C784" s="1489"/>
      <c r="D784" s="1490"/>
      <c r="E784" s="1487"/>
      <c r="F784" s="1488"/>
      <c r="G784" s="1489"/>
      <c r="H784" s="1490"/>
      <c r="I784" s="1487"/>
      <c r="J784" s="1488"/>
      <c r="K784" s="1489"/>
      <c r="L784" s="1490"/>
      <c r="M784" s="1487"/>
      <c r="N784" s="1488"/>
      <c r="O784" s="1489"/>
      <c r="P784" s="1490"/>
      <c r="X784" s="1445" t="e">
        <f ca="1"/>
        <v>#NAME?</v>
      </c>
      <c r="Y784" s="1446" t="e">
        <f ca="1"/>
        <v>#NAME?</v>
      </c>
    </row>
    <row r="785" spans="1:25">
      <c r="A785" s="1487"/>
      <c r="B785" s="1488"/>
      <c r="C785" s="1489"/>
      <c r="D785" s="1490"/>
      <c r="E785" s="1487"/>
      <c r="F785" s="1488"/>
      <c r="G785" s="1489"/>
      <c r="H785" s="1490"/>
      <c r="I785" s="1487"/>
      <c r="J785" s="1488"/>
      <c r="K785" s="1489"/>
      <c r="L785" s="1490"/>
      <c r="M785" s="1487"/>
      <c r="N785" s="1488"/>
      <c r="O785" s="1489"/>
      <c r="P785" s="1490"/>
      <c r="X785" s="1445" t="e">
        <f ca="1"/>
        <v>#NAME?</v>
      </c>
      <c r="Y785" s="1446" t="e">
        <f ca="1"/>
        <v>#NAME?</v>
      </c>
    </row>
    <row r="786" spans="1:25">
      <c r="A786" s="1487"/>
      <c r="B786" s="1488"/>
      <c r="C786" s="1489"/>
      <c r="D786" s="1490"/>
      <c r="E786" s="1487"/>
      <c r="F786" s="1488"/>
      <c r="G786" s="1489"/>
      <c r="H786" s="1490"/>
      <c r="I786" s="1487"/>
      <c r="J786" s="1488"/>
      <c r="K786" s="1489"/>
      <c r="L786" s="1490"/>
      <c r="M786" s="1487"/>
      <c r="N786" s="1488"/>
      <c r="O786" s="1489"/>
      <c r="P786" s="1490"/>
      <c r="X786" s="1445" t="e">
        <f ca="1"/>
        <v>#NAME?</v>
      </c>
      <c r="Y786" s="1446" t="e">
        <f ca="1"/>
        <v>#NAME?</v>
      </c>
    </row>
    <row r="787" spans="1:25">
      <c r="A787" s="1487"/>
      <c r="B787" s="1488"/>
      <c r="C787" s="1489"/>
      <c r="D787" s="1490"/>
      <c r="E787" s="1487"/>
      <c r="F787" s="1488"/>
      <c r="G787" s="1489"/>
      <c r="H787" s="1490"/>
      <c r="I787" s="1487"/>
      <c r="J787" s="1488"/>
      <c r="K787" s="1489"/>
      <c r="L787" s="1490"/>
      <c r="M787" s="1487"/>
      <c r="N787" s="1488"/>
      <c r="O787" s="1489"/>
      <c r="P787" s="1490"/>
      <c r="X787" s="1445" t="e">
        <f ca="1"/>
        <v>#NAME?</v>
      </c>
      <c r="Y787" s="1446" t="e">
        <f ca="1"/>
        <v>#NAME?</v>
      </c>
    </row>
    <row r="788" spans="1:25">
      <c r="A788" s="1487"/>
      <c r="B788" s="1488"/>
      <c r="C788" s="1489"/>
      <c r="D788" s="1490"/>
      <c r="E788" s="1487"/>
      <c r="F788" s="1488"/>
      <c r="G788" s="1489"/>
      <c r="H788" s="1490"/>
      <c r="I788" s="1487"/>
      <c r="J788" s="1488"/>
      <c r="K788" s="1489"/>
      <c r="L788" s="1490"/>
      <c r="M788" s="1487"/>
      <c r="N788" s="1488"/>
      <c r="O788" s="1489"/>
      <c r="P788" s="1490"/>
      <c r="X788" s="1445" t="e">
        <f ca="1"/>
        <v>#NAME?</v>
      </c>
      <c r="Y788" s="1446" t="e">
        <f ca="1"/>
        <v>#NAME?</v>
      </c>
    </row>
    <row r="789" spans="1:25">
      <c r="A789" s="1487"/>
      <c r="B789" s="1488"/>
      <c r="C789" s="1489"/>
      <c r="D789" s="1490"/>
      <c r="E789" s="1487"/>
      <c r="F789" s="1488"/>
      <c r="G789" s="1489"/>
      <c r="H789" s="1490"/>
      <c r="I789" s="1487"/>
      <c r="J789" s="1488"/>
      <c r="K789" s="1489"/>
      <c r="L789" s="1490"/>
      <c r="M789" s="1487"/>
      <c r="N789" s="1488"/>
      <c r="O789" s="1489"/>
      <c r="P789" s="1490"/>
      <c r="X789" s="1445" t="e">
        <f ca="1"/>
        <v>#NAME?</v>
      </c>
      <c r="Y789" s="1446" t="e">
        <f ca="1"/>
        <v>#NAME?</v>
      </c>
    </row>
    <row r="790" spans="1:25">
      <c r="A790" s="1487"/>
      <c r="B790" s="1488"/>
      <c r="C790" s="1489"/>
      <c r="D790" s="1490"/>
      <c r="E790" s="1487"/>
      <c r="F790" s="1488"/>
      <c r="G790" s="1489"/>
      <c r="H790" s="1490"/>
      <c r="I790" s="1487"/>
      <c r="J790" s="1488"/>
      <c r="K790" s="1489"/>
      <c r="L790" s="1490"/>
      <c r="M790" s="1487"/>
      <c r="N790" s="1488"/>
      <c r="O790" s="1489"/>
      <c r="P790" s="1490"/>
      <c r="X790" s="1445" t="e">
        <f ca="1"/>
        <v>#NAME?</v>
      </c>
      <c r="Y790" s="1446" t="e">
        <f ca="1"/>
        <v>#NAME?</v>
      </c>
    </row>
    <row r="791" spans="1:25">
      <c r="A791" s="1487"/>
      <c r="B791" s="1488"/>
      <c r="C791" s="1489"/>
      <c r="D791" s="1490"/>
      <c r="E791" s="1487"/>
      <c r="F791" s="1488"/>
      <c r="G791" s="1489"/>
      <c r="H791" s="1490"/>
      <c r="I791" s="1487"/>
      <c r="J791" s="1488"/>
      <c r="K791" s="1489"/>
      <c r="L791" s="1490"/>
      <c r="M791" s="1487"/>
      <c r="N791" s="1488"/>
      <c r="O791" s="1489"/>
      <c r="P791" s="1490"/>
      <c r="X791" s="1445" t="e">
        <f ca="1"/>
        <v>#NAME?</v>
      </c>
      <c r="Y791" s="1446" t="e">
        <f ca="1"/>
        <v>#NAME?</v>
      </c>
    </row>
    <row r="792" spans="1:25">
      <c r="A792" s="1487"/>
      <c r="B792" s="1488"/>
      <c r="C792" s="1489"/>
      <c r="D792" s="1490"/>
      <c r="E792" s="1487"/>
      <c r="F792" s="1488"/>
      <c r="G792" s="1489"/>
      <c r="H792" s="1490"/>
      <c r="I792" s="1487"/>
      <c r="J792" s="1488"/>
      <c r="K792" s="1489"/>
      <c r="L792" s="1490"/>
      <c r="M792" s="1487"/>
      <c r="N792" s="1488"/>
      <c r="O792" s="1489"/>
      <c r="P792" s="1490"/>
      <c r="X792" s="1445" t="e">
        <f ca="1"/>
        <v>#NAME?</v>
      </c>
      <c r="Y792" s="1446" t="e">
        <f ca="1"/>
        <v>#NAME?</v>
      </c>
    </row>
    <row r="793" spans="1:25">
      <c r="A793" s="1487"/>
      <c r="B793" s="1488"/>
      <c r="C793" s="1489"/>
      <c r="D793" s="1490"/>
      <c r="E793" s="1487"/>
      <c r="F793" s="1488"/>
      <c r="G793" s="1489"/>
      <c r="H793" s="1490"/>
      <c r="I793" s="1487"/>
      <c r="J793" s="1488"/>
      <c r="K793" s="1489"/>
      <c r="L793" s="1490"/>
      <c r="M793" s="1487"/>
      <c r="N793" s="1488"/>
      <c r="O793" s="1489"/>
      <c r="P793" s="1490"/>
      <c r="X793" s="1445" t="e">
        <f ca="1"/>
        <v>#NAME?</v>
      </c>
      <c r="Y793" s="1446" t="e">
        <f ca="1"/>
        <v>#NAME?</v>
      </c>
    </row>
    <row r="794" spans="1:25">
      <c r="A794" s="1487"/>
      <c r="B794" s="1488"/>
      <c r="C794" s="1489"/>
      <c r="D794" s="1490"/>
      <c r="E794" s="1487"/>
      <c r="F794" s="1488"/>
      <c r="G794" s="1489"/>
      <c r="H794" s="1490"/>
      <c r="I794" s="1487"/>
      <c r="J794" s="1488"/>
      <c r="K794" s="1489"/>
      <c r="L794" s="1490"/>
      <c r="M794" s="1487"/>
      <c r="N794" s="1488"/>
      <c r="O794" s="1489"/>
      <c r="P794" s="1490"/>
      <c r="X794" s="1445" t="e">
        <f ca="1"/>
        <v>#NAME?</v>
      </c>
      <c r="Y794" s="1446" t="e">
        <f ca="1"/>
        <v>#NAME?</v>
      </c>
    </row>
    <row r="795" spans="1:25">
      <c r="A795" s="1487"/>
      <c r="B795" s="1488"/>
      <c r="C795" s="1489"/>
      <c r="D795" s="1490"/>
      <c r="E795" s="1487"/>
      <c r="F795" s="1488"/>
      <c r="G795" s="1489"/>
      <c r="H795" s="1490"/>
      <c r="I795" s="1487"/>
      <c r="J795" s="1488"/>
      <c r="K795" s="1489"/>
      <c r="L795" s="1490"/>
      <c r="M795" s="1487"/>
      <c r="N795" s="1488"/>
      <c r="O795" s="1489"/>
      <c r="P795" s="1490"/>
      <c r="X795" s="1445" t="e">
        <f ca="1"/>
        <v>#NAME?</v>
      </c>
      <c r="Y795" s="1446" t="e">
        <f ca="1"/>
        <v>#NAME?</v>
      </c>
    </row>
    <row r="796" spans="1:25">
      <c r="A796" s="1487"/>
      <c r="B796" s="1488"/>
      <c r="C796" s="1489"/>
      <c r="D796" s="1490"/>
      <c r="E796" s="1487"/>
      <c r="F796" s="1488"/>
      <c r="G796" s="1489"/>
      <c r="H796" s="1490"/>
      <c r="I796" s="1487"/>
      <c r="J796" s="1488"/>
      <c r="K796" s="1489"/>
      <c r="L796" s="1490"/>
      <c r="M796" s="1487"/>
      <c r="N796" s="1488"/>
      <c r="O796" s="1489"/>
      <c r="P796" s="1490"/>
      <c r="X796" s="1445" t="e">
        <f ca="1"/>
        <v>#NAME?</v>
      </c>
      <c r="Y796" s="1446" t="e">
        <f ca="1"/>
        <v>#NAME?</v>
      </c>
    </row>
    <row r="797" spans="1:25">
      <c r="A797" s="1487"/>
      <c r="B797" s="1488"/>
      <c r="C797" s="1489"/>
      <c r="D797" s="1490"/>
      <c r="E797" s="1487"/>
      <c r="F797" s="1488"/>
      <c r="G797" s="1489"/>
      <c r="H797" s="1490"/>
      <c r="I797" s="1487"/>
      <c r="J797" s="1488"/>
      <c r="K797" s="1489"/>
      <c r="L797" s="1490"/>
      <c r="M797" s="1487"/>
      <c r="N797" s="1488"/>
      <c r="O797" s="1489"/>
      <c r="P797" s="1490"/>
      <c r="X797" s="1445" t="e">
        <f ca="1"/>
        <v>#NAME?</v>
      </c>
      <c r="Y797" s="1446" t="e">
        <f ca="1"/>
        <v>#NAME?</v>
      </c>
    </row>
    <row r="798" spans="1:25">
      <c r="A798" s="1487"/>
      <c r="B798" s="1488"/>
      <c r="C798" s="1489"/>
      <c r="D798" s="1490"/>
      <c r="E798" s="1487"/>
      <c r="F798" s="1488"/>
      <c r="G798" s="1489"/>
      <c r="H798" s="1490"/>
      <c r="I798" s="1487"/>
      <c r="J798" s="1488"/>
      <c r="K798" s="1489"/>
      <c r="L798" s="1490"/>
      <c r="M798" s="1487"/>
      <c r="N798" s="1488"/>
      <c r="O798" s="1489"/>
      <c r="P798" s="1490"/>
      <c r="X798" s="1445" t="e">
        <f ca="1"/>
        <v>#NAME?</v>
      </c>
      <c r="Y798" s="1446" t="e">
        <f ca="1"/>
        <v>#NAME?</v>
      </c>
    </row>
    <row r="799" spans="1:25">
      <c r="A799" s="1487"/>
      <c r="B799" s="1488"/>
      <c r="C799" s="1489"/>
      <c r="D799" s="1490"/>
      <c r="E799" s="1487"/>
      <c r="F799" s="1488"/>
      <c r="G799" s="1489"/>
      <c r="H799" s="1490"/>
      <c r="I799" s="1487"/>
      <c r="J799" s="1488"/>
      <c r="K799" s="1489"/>
      <c r="L799" s="1490"/>
      <c r="M799" s="1487"/>
      <c r="N799" s="1488"/>
      <c r="O799" s="1489"/>
      <c r="P799" s="1490"/>
      <c r="X799" s="1445" t="e">
        <f ca="1"/>
        <v>#NAME?</v>
      </c>
      <c r="Y799" s="1446" t="e">
        <f ca="1"/>
        <v>#NAME?</v>
      </c>
    </row>
    <row r="800" spans="1:25">
      <c r="A800" s="1487"/>
      <c r="B800" s="1488"/>
      <c r="C800" s="1489"/>
      <c r="D800" s="1490"/>
      <c r="E800" s="1487"/>
      <c r="F800" s="1488"/>
      <c r="G800" s="1489"/>
      <c r="H800" s="1490"/>
      <c r="I800" s="1487"/>
      <c r="J800" s="1488"/>
      <c r="K800" s="1489"/>
      <c r="L800" s="1490"/>
      <c r="M800" s="1487"/>
      <c r="N800" s="1488"/>
      <c r="O800" s="1489"/>
      <c r="P800" s="1490"/>
      <c r="X800" s="1445" t="e">
        <f ca="1"/>
        <v>#NAME?</v>
      </c>
      <c r="Y800" s="1446" t="e">
        <f ca="1"/>
        <v>#NAME?</v>
      </c>
    </row>
    <row r="801" spans="1:25">
      <c r="A801" s="1487"/>
      <c r="B801" s="1488"/>
      <c r="C801" s="1489"/>
      <c r="D801" s="1490"/>
      <c r="E801" s="1487"/>
      <c r="F801" s="1488"/>
      <c r="G801" s="1489"/>
      <c r="H801" s="1490"/>
      <c r="I801" s="1487"/>
      <c r="J801" s="1488"/>
      <c r="K801" s="1489"/>
      <c r="L801" s="1490"/>
      <c r="M801" s="1487"/>
      <c r="N801" s="1488"/>
      <c r="O801" s="1489"/>
      <c r="P801" s="1490"/>
      <c r="X801" s="1445" t="e">
        <f ca="1"/>
        <v>#NAME?</v>
      </c>
      <c r="Y801" s="1446" t="e">
        <f ca="1"/>
        <v>#NAME?</v>
      </c>
    </row>
    <row r="802" spans="1:25">
      <c r="A802" s="1487"/>
      <c r="B802" s="1488"/>
      <c r="C802" s="1489"/>
      <c r="D802" s="1490"/>
      <c r="E802" s="1487"/>
      <c r="F802" s="1488"/>
      <c r="G802" s="1489"/>
      <c r="H802" s="1490"/>
      <c r="I802" s="1487"/>
      <c r="J802" s="1488"/>
      <c r="K802" s="1489"/>
      <c r="L802" s="1490"/>
      <c r="M802" s="1487"/>
      <c r="N802" s="1488"/>
      <c r="O802" s="1489"/>
      <c r="P802" s="1490"/>
      <c r="X802" s="1445" t="e">
        <f ca="1"/>
        <v>#NAME?</v>
      </c>
      <c r="Y802" s="1446" t="e">
        <f ca="1"/>
        <v>#NAME?</v>
      </c>
    </row>
    <row r="803" spans="1:25">
      <c r="A803" s="1487"/>
      <c r="B803" s="1488"/>
      <c r="C803" s="1489"/>
      <c r="D803" s="1490"/>
      <c r="E803" s="1487"/>
      <c r="F803" s="1488"/>
      <c r="G803" s="1489"/>
      <c r="H803" s="1490"/>
      <c r="I803" s="1487"/>
      <c r="J803" s="1488"/>
      <c r="K803" s="1489"/>
      <c r="L803" s="1490"/>
      <c r="M803" s="1487"/>
      <c r="N803" s="1488"/>
      <c r="O803" s="1489"/>
      <c r="P803" s="1490"/>
      <c r="X803" s="1445" t="e">
        <f ca="1"/>
        <v>#NAME?</v>
      </c>
      <c r="Y803" s="1446" t="e">
        <f ca="1"/>
        <v>#NAME?</v>
      </c>
    </row>
    <row r="804" spans="1:25">
      <c r="A804" s="1487"/>
      <c r="B804" s="1488"/>
      <c r="C804" s="1489"/>
      <c r="D804" s="1490"/>
      <c r="E804" s="1487"/>
      <c r="F804" s="1488"/>
      <c r="G804" s="1489"/>
      <c r="H804" s="1490"/>
      <c r="I804" s="1487"/>
      <c r="J804" s="1488"/>
      <c r="K804" s="1489"/>
      <c r="L804" s="1490"/>
      <c r="M804" s="1487"/>
      <c r="N804" s="1488"/>
      <c r="O804" s="1489"/>
      <c r="P804" s="1490"/>
      <c r="X804" s="1445" t="e">
        <f ca="1"/>
        <v>#NAME?</v>
      </c>
      <c r="Y804" s="1446" t="e">
        <f ca="1"/>
        <v>#NAME?</v>
      </c>
    </row>
    <row r="805" spans="1:25">
      <c r="A805" s="1487"/>
      <c r="B805" s="1488"/>
      <c r="C805" s="1489"/>
      <c r="D805" s="1490"/>
      <c r="E805" s="1487"/>
      <c r="F805" s="1488"/>
      <c r="G805" s="1489"/>
      <c r="H805" s="1490"/>
      <c r="I805" s="1487"/>
      <c r="J805" s="1488"/>
      <c r="K805" s="1489"/>
      <c r="L805" s="1490"/>
      <c r="M805" s="1487"/>
      <c r="N805" s="1488"/>
      <c r="O805" s="1489"/>
      <c r="P805" s="1490"/>
      <c r="X805" s="1445" t="e">
        <f ca="1"/>
        <v>#NAME?</v>
      </c>
      <c r="Y805" s="1446" t="e">
        <f ca="1"/>
        <v>#NAME?</v>
      </c>
    </row>
    <row r="806" spans="1:25">
      <c r="A806" s="1487"/>
      <c r="B806" s="1488"/>
      <c r="C806" s="1489"/>
      <c r="D806" s="1490"/>
      <c r="E806" s="1487"/>
      <c r="F806" s="1488"/>
      <c r="G806" s="1489"/>
      <c r="H806" s="1490"/>
      <c r="I806" s="1487"/>
      <c r="J806" s="1488"/>
      <c r="K806" s="1489"/>
      <c r="L806" s="1490"/>
      <c r="M806" s="1487"/>
      <c r="N806" s="1488"/>
      <c r="O806" s="1489"/>
      <c r="P806" s="1490"/>
      <c r="X806" s="1445" t="e">
        <f ca="1"/>
        <v>#NAME?</v>
      </c>
      <c r="Y806" s="1446" t="e">
        <f ca="1"/>
        <v>#NAME?</v>
      </c>
    </row>
    <row r="807" spans="1:25">
      <c r="A807" s="1487"/>
      <c r="B807" s="1488"/>
      <c r="C807" s="1489"/>
      <c r="D807" s="1490"/>
      <c r="E807" s="1487"/>
      <c r="F807" s="1488"/>
      <c r="G807" s="1489"/>
      <c r="H807" s="1490"/>
      <c r="I807" s="1487"/>
      <c r="J807" s="1488"/>
      <c r="K807" s="1489"/>
      <c r="L807" s="1490"/>
      <c r="M807" s="1487"/>
      <c r="N807" s="1488"/>
      <c r="O807" s="1489"/>
      <c r="P807" s="1490"/>
      <c r="X807" s="1445" t="e">
        <f ca="1"/>
        <v>#NAME?</v>
      </c>
      <c r="Y807" s="1446" t="e">
        <f ca="1"/>
        <v>#NAME?</v>
      </c>
    </row>
    <row r="808" spans="1:25">
      <c r="A808" s="1487"/>
      <c r="B808" s="1488"/>
      <c r="C808" s="1489"/>
      <c r="D808" s="1490"/>
      <c r="E808" s="1487"/>
      <c r="F808" s="1488"/>
      <c r="G808" s="1489"/>
      <c r="H808" s="1490"/>
      <c r="I808" s="1487"/>
      <c r="J808" s="1488"/>
      <c r="K808" s="1489"/>
      <c r="L808" s="1490"/>
      <c r="M808" s="1487"/>
      <c r="N808" s="1488"/>
      <c r="O808" s="1489"/>
      <c r="P808" s="1490"/>
      <c r="X808" s="1445" t="e">
        <f ca="1"/>
        <v>#NAME?</v>
      </c>
      <c r="Y808" s="1446" t="e">
        <f ca="1"/>
        <v>#NAME?</v>
      </c>
    </row>
    <row r="809" spans="1:25">
      <c r="A809" s="1487"/>
      <c r="B809" s="1488"/>
      <c r="C809" s="1489"/>
      <c r="D809" s="1490"/>
      <c r="E809" s="1487"/>
      <c r="F809" s="1488"/>
      <c r="G809" s="1489"/>
      <c r="H809" s="1490"/>
      <c r="I809" s="1487"/>
      <c r="J809" s="1488"/>
      <c r="K809" s="1489"/>
      <c r="L809" s="1490"/>
      <c r="M809" s="1487"/>
      <c r="N809" s="1488"/>
      <c r="O809" s="1489"/>
      <c r="P809" s="1490"/>
      <c r="X809" s="1445" t="e">
        <f ca="1"/>
        <v>#NAME?</v>
      </c>
      <c r="Y809" s="1446" t="e">
        <f ca="1"/>
        <v>#NAME?</v>
      </c>
    </row>
    <row r="810" spans="1:25">
      <c r="A810" s="1487"/>
      <c r="B810" s="1488"/>
      <c r="C810" s="1489"/>
      <c r="D810" s="1490"/>
      <c r="E810" s="1487"/>
      <c r="F810" s="1488"/>
      <c r="G810" s="1489"/>
      <c r="H810" s="1490"/>
      <c r="I810" s="1487"/>
      <c r="J810" s="1488"/>
      <c r="K810" s="1489"/>
      <c r="L810" s="1490"/>
      <c r="M810" s="1487"/>
      <c r="N810" s="1488"/>
      <c r="O810" s="1489"/>
      <c r="P810" s="1490"/>
      <c r="X810" s="1445" t="e">
        <f ca="1"/>
        <v>#NAME?</v>
      </c>
      <c r="Y810" s="1446" t="e">
        <f ca="1"/>
        <v>#NAME?</v>
      </c>
    </row>
    <row r="811" spans="1:25">
      <c r="A811" s="1487"/>
      <c r="B811" s="1488"/>
      <c r="C811" s="1489"/>
      <c r="D811" s="1490"/>
      <c r="E811" s="1487"/>
      <c r="F811" s="1488"/>
      <c r="G811" s="1489"/>
      <c r="H811" s="1490"/>
      <c r="I811" s="1487"/>
      <c r="J811" s="1488"/>
      <c r="K811" s="1489"/>
      <c r="L811" s="1490"/>
      <c r="M811" s="1487"/>
      <c r="N811" s="1488"/>
      <c r="O811" s="1489"/>
      <c r="P811" s="1490"/>
      <c r="X811" s="1445" t="e">
        <f ca="1"/>
        <v>#NAME?</v>
      </c>
      <c r="Y811" s="1446" t="e">
        <f ca="1"/>
        <v>#NAME?</v>
      </c>
    </row>
    <row r="812" spans="1:25">
      <c r="A812" s="1487"/>
      <c r="B812" s="1488"/>
      <c r="C812" s="1489"/>
      <c r="D812" s="1490"/>
      <c r="E812" s="1487"/>
      <c r="F812" s="1488"/>
      <c r="G812" s="1489"/>
      <c r="H812" s="1490"/>
      <c r="I812" s="1487"/>
      <c r="J812" s="1488"/>
      <c r="K812" s="1489"/>
      <c r="L812" s="1490"/>
      <c r="M812" s="1487"/>
      <c r="N812" s="1488"/>
      <c r="O812" s="1489"/>
      <c r="P812" s="1490"/>
      <c r="X812" s="1445" t="e">
        <f ca="1"/>
        <v>#NAME?</v>
      </c>
      <c r="Y812" s="1446" t="e">
        <f ca="1"/>
        <v>#NAME?</v>
      </c>
    </row>
    <row r="813" spans="1:25">
      <c r="A813" s="1487"/>
      <c r="B813" s="1488"/>
      <c r="C813" s="1489"/>
      <c r="D813" s="1490"/>
      <c r="E813" s="1487"/>
      <c r="F813" s="1488"/>
      <c r="G813" s="1489"/>
      <c r="H813" s="1490"/>
      <c r="I813" s="1487"/>
      <c r="J813" s="1488"/>
      <c r="K813" s="1489"/>
      <c r="L813" s="1490"/>
      <c r="M813" s="1487"/>
      <c r="N813" s="1488"/>
      <c r="O813" s="1489"/>
      <c r="P813" s="1490"/>
      <c r="X813" s="1445" t="e">
        <f ca="1"/>
        <v>#NAME?</v>
      </c>
      <c r="Y813" s="1446" t="e">
        <f ca="1"/>
        <v>#NAME?</v>
      </c>
    </row>
    <row r="814" spans="1:25">
      <c r="A814" s="1487"/>
      <c r="B814" s="1488"/>
      <c r="C814" s="1489"/>
      <c r="D814" s="1490"/>
      <c r="E814" s="1487"/>
      <c r="F814" s="1488"/>
      <c r="G814" s="1489"/>
      <c r="H814" s="1490"/>
      <c r="I814" s="1487"/>
      <c r="J814" s="1488"/>
      <c r="K814" s="1489"/>
      <c r="L814" s="1490"/>
      <c r="M814" s="1487"/>
      <c r="N814" s="1488"/>
      <c r="O814" s="1489"/>
      <c r="P814" s="1490"/>
      <c r="X814" s="1445" t="e">
        <f ca="1"/>
        <v>#NAME?</v>
      </c>
      <c r="Y814" s="1446" t="e">
        <f ca="1"/>
        <v>#NAME?</v>
      </c>
    </row>
    <row r="815" spans="1:25">
      <c r="A815" s="1487"/>
      <c r="B815" s="1488"/>
      <c r="C815" s="1489"/>
      <c r="D815" s="1490"/>
      <c r="E815" s="1487"/>
      <c r="F815" s="1488"/>
      <c r="G815" s="1489"/>
      <c r="H815" s="1490"/>
      <c r="I815" s="1487"/>
      <c r="J815" s="1488"/>
      <c r="K815" s="1489"/>
      <c r="L815" s="1490"/>
      <c r="M815" s="1487"/>
      <c r="N815" s="1488"/>
      <c r="O815" s="1489"/>
      <c r="P815" s="1490"/>
      <c r="X815" s="1445" t="e">
        <f ca="1"/>
        <v>#NAME?</v>
      </c>
      <c r="Y815" s="1446" t="e">
        <f ca="1"/>
        <v>#NAME?</v>
      </c>
    </row>
    <row r="816" spans="1:25">
      <c r="A816" s="1487"/>
      <c r="B816" s="1488"/>
      <c r="C816" s="1489"/>
      <c r="D816" s="1490"/>
      <c r="E816" s="1487"/>
      <c r="F816" s="1488"/>
      <c r="G816" s="1489"/>
      <c r="H816" s="1490"/>
      <c r="I816" s="1487"/>
      <c r="J816" s="1488"/>
      <c r="K816" s="1489"/>
      <c r="L816" s="1490"/>
      <c r="M816" s="1487"/>
      <c r="N816" s="1488"/>
      <c r="O816" s="1489"/>
      <c r="P816" s="1490"/>
      <c r="X816" s="1445" t="e">
        <f ca="1"/>
        <v>#NAME?</v>
      </c>
      <c r="Y816" s="1446" t="e">
        <f ca="1"/>
        <v>#NAME?</v>
      </c>
    </row>
    <row r="817" spans="1:25">
      <c r="A817" s="1487"/>
      <c r="B817" s="1488"/>
      <c r="C817" s="1489"/>
      <c r="D817" s="1490"/>
      <c r="E817" s="1487"/>
      <c r="F817" s="1488"/>
      <c r="G817" s="1489"/>
      <c r="H817" s="1490"/>
      <c r="I817" s="1487"/>
      <c r="J817" s="1488"/>
      <c r="K817" s="1489"/>
      <c r="L817" s="1490"/>
      <c r="M817" s="1487"/>
      <c r="N817" s="1488"/>
      <c r="O817" s="1489"/>
      <c r="P817" s="1490"/>
      <c r="X817" s="1445" t="e">
        <f ca="1"/>
        <v>#NAME?</v>
      </c>
      <c r="Y817" s="1446" t="e">
        <f ca="1"/>
        <v>#NAME?</v>
      </c>
    </row>
    <row r="818" spans="1:25">
      <c r="A818" s="1487"/>
      <c r="B818" s="1488"/>
      <c r="C818" s="1489"/>
      <c r="D818" s="1490"/>
      <c r="E818" s="1487"/>
      <c r="F818" s="1488"/>
      <c r="G818" s="1489"/>
      <c r="H818" s="1490"/>
      <c r="I818" s="1487"/>
      <c r="J818" s="1488"/>
      <c r="K818" s="1489"/>
      <c r="L818" s="1490"/>
      <c r="M818" s="1487"/>
      <c r="N818" s="1488"/>
      <c r="O818" s="1489"/>
      <c r="P818" s="1490"/>
      <c r="X818" s="1445" t="e">
        <f ca="1"/>
        <v>#NAME?</v>
      </c>
      <c r="Y818" s="1446" t="e">
        <f ca="1"/>
        <v>#NAME?</v>
      </c>
    </row>
    <row r="819" spans="1:25">
      <c r="A819" s="1487"/>
      <c r="B819" s="1488"/>
      <c r="C819" s="1489"/>
      <c r="D819" s="1490"/>
      <c r="E819" s="1487"/>
      <c r="F819" s="1488"/>
      <c r="G819" s="1489"/>
      <c r="H819" s="1490"/>
      <c r="I819" s="1487"/>
      <c r="J819" s="1488"/>
      <c r="K819" s="1489"/>
      <c r="L819" s="1490"/>
      <c r="M819" s="1487"/>
      <c r="N819" s="1488"/>
      <c r="O819" s="1489"/>
      <c r="P819" s="1490"/>
      <c r="X819" s="1445" t="e">
        <f ca="1"/>
        <v>#NAME?</v>
      </c>
      <c r="Y819" s="1446" t="e">
        <f ca="1"/>
        <v>#NAME?</v>
      </c>
    </row>
    <row r="820" spans="1:25">
      <c r="A820" s="1487"/>
      <c r="B820" s="1488"/>
      <c r="C820" s="1489"/>
      <c r="D820" s="1490"/>
      <c r="E820" s="1487"/>
      <c r="F820" s="1488"/>
      <c r="G820" s="1489"/>
      <c r="H820" s="1490"/>
      <c r="I820" s="1487"/>
      <c r="J820" s="1488"/>
      <c r="K820" s="1489"/>
      <c r="L820" s="1490"/>
      <c r="M820" s="1487"/>
      <c r="N820" s="1488"/>
      <c r="O820" s="1489"/>
      <c r="P820" s="1490"/>
      <c r="X820" s="1445" t="e">
        <f ca="1"/>
        <v>#NAME?</v>
      </c>
      <c r="Y820" s="1446" t="e">
        <f ca="1"/>
        <v>#NAME?</v>
      </c>
    </row>
    <row r="821" spans="1:25">
      <c r="A821" s="1487"/>
      <c r="B821" s="1488"/>
      <c r="C821" s="1489"/>
      <c r="D821" s="1490"/>
      <c r="E821" s="1487"/>
      <c r="F821" s="1488"/>
      <c r="G821" s="1489"/>
      <c r="H821" s="1490"/>
      <c r="I821" s="1487"/>
      <c r="J821" s="1488"/>
      <c r="K821" s="1489"/>
      <c r="L821" s="1490"/>
      <c r="M821" s="1487"/>
      <c r="N821" s="1488"/>
      <c r="O821" s="1489"/>
      <c r="P821" s="1490"/>
      <c r="X821" s="1445" t="e">
        <f ca="1"/>
        <v>#NAME?</v>
      </c>
      <c r="Y821" s="1446" t="e">
        <f ca="1"/>
        <v>#NAME?</v>
      </c>
    </row>
    <row r="822" spans="1:25">
      <c r="A822" s="1487"/>
      <c r="B822" s="1488"/>
      <c r="C822" s="1489"/>
      <c r="D822" s="1490"/>
      <c r="E822" s="1487"/>
      <c r="F822" s="1488"/>
      <c r="G822" s="1489"/>
      <c r="H822" s="1490"/>
      <c r="I822" s="1487"/>
      <c r="J822" s="1488"/>
      <c r="K822" s="1489"/>
      <c r="L822" s="1490"/>
      <c r="M822" s="1487"/>
      <c r="N822" s="1488"/>
      <c r="O822" s="1489"/>
      <c r="P822" s="1490"/>
      <c r="X822" s="1445" t="e">
        <f ca="1"/>
        <v>#NAME?</v>
      </c>
      <c r="Y822" s="1446" t="e">
        <f ca="1"/>
        <v>#NAME?</v>
      </c>
    </row>
    <row r="823" spans="1:25">
      <c r="A823" s="1487"/>
      <c r="B823" s="1488"/>
      <c r="C823" s="1489"/>
      <c r="D823" s="1490"/>
      <c r="E823" s="1487"/>
      <c r="F823" s="1488"/>
      <c r="G823" s="1489"/>
      <c r="H823" s="1490"/>
      <c r="I823" s="1487"/>
      <c r="J823" s="1488"/>
      <c r="K823" s="1489"/>
      <c r="L823" s="1490"/>
      <c r="M823" s="1487"/>
      <c r="N823" s="1488"/>
      <c r="O823" s="1489"/>
      <c r="P823" s="1490"/>
      <c r="X823" s="1445" t="e">
        <f ca="1"/>
        <v>#NAME?</v>
      </c>
      <c r="Y823" s="1446" t="e">
        <f ca="1"/>
        <v>#NAME?</v>
      </c>
    </row>
    <row r="824" spans="1:25">
      <c r="A824" s="1487"/>
      <c r="B824" s="1488"/>
      <c r="C824" s="1489"/>
      <c r="D824" s="1490"/>
      <c r="E824" s="1487"/>
      <c r="F824" s="1488"/>
      <c r="G824" s="1489"/>
      <c r="H824" s="1490"/>
      <c r="I824" s="1487"/>
      <c r="J824" s="1488"/>
      <c r="K824" s="1489"/>
      <c r="L824" s="1490"/>
      <c r="M824" s="1487"/>
      <c r="N824" s="1488"/>
      <c r="O824" s="1489"/>
      <c r="P824" s="1490"/>
      <c r="X824" s="1445" t="e">
        <f ca="1"/>
        <v>#NAME?</v>
      </c>
      <c r="Y824" s="1446" t="e">
        <f ca="1"/>
        <v>#NAME?</v>
      </c>
    </row>
    <row r="825" spans="1:25">
      <c r="A825" s="1487"/>
      <c r="B825" s="1488"/>
      <c r="C825" s="1489"/>
      <c r="D825" s="1490"/>
      <c r="E825" s="1487"/>
      <c r="F825" s="1488"/>
      <c r="G825" s="1489"/>
      <c r="H825" s="1490"/>
      <c r="I825" s="1487"/>
      <c r="J825" s="1488"/>
      <c r="K825" s="1489"/>
      <c r="L825" s="1490"/>
      <c r="M825" s="1487"/>
      <c r="N825" s="1488"/>
      <c r="O825" s="1489"/>
      <c r="P825" s="1490"/>
      <c r="X825" s="1445" t="e">
        <f ca="1"/>
        <v>#NAME?</v>
      </c>
      <c r="Y825" s="1446" t="e">
        <f ca="1"/>
        <v>#NAME?</v>
      </c>
    </row>
    <row r="826" spans="1:25">
      <c r="A826" s="1487"/>
      <c r="B826" s="1488"/>
      <c r="C826" s="1489"/>
      <c r="D826" s="1490"/>
      <c r="E826" s="1487"/>
      <c r="F826" s="1488"/>
      <c r="G826" s="1489"/>
      <c r="H826" s="1490"/>
      <c r="I826" s="1487"/>
      <c r="J826" s="1488"/>
      <c r="K826" s="1489"/>
      <c r="L826" s="1490"/>
      <c r="M826" s="1487"/>
      <c r="N826" s="1488"/>
      <c r="O826" s="1489"/>
      <c r="P826" s="1490"/>
      <c r="X826" s="1445" t="e">
        <f ca="1"/>
        <v>#NAME?</v>
      </c>
      <c r="Y826" s="1446" t="e">
        <f ca="1"/>
        <v>#NAME?</v>
      </c>
    </row>
    <row r="827" spans="1:25">
      <c r="A827" s="1487"/>
      <c r="B827" s="1488"/>
      <c r="C827" s="1489"/>
      <c r="D827" s="1490"/>
      <c r="E827" s="1487"/>
      <c r="F827" s="1488"/>
      <c r="G827" s="1489"/>
      <c r="H827" s="1490"/>
      <c r="I827" s="1487"/>
      <c r="J827" s="1488"/>
      <c r="K827" s="1489"/>
      <c r="L827" s="1490"/>
      <c r="M827" s="1487"/>
      <c r="N827" s="1488"/>
      <c r="O827" s="1489"/>
      <c r="P827" s="1490"/>
      <c r="X827" s="1445" t="e">
        <f ca="1"/>
        <v>#NAME?</v>
      </c>
      <c r="Y827" s="1446" t="e">
        <f ca="1"/>
        <v>#NAME?</v>
      </c>
    </row>
    <row r="828" spans="1:25">
      <c r="A828" s="1487"/>
      <c r="B828" s="1488"/>
      <c r="C828" s="1489"/>
      <c r="D828" s="1490"/>
      <c r="E828" s="1487"/>
      <c r="F828" s="1488"/>
      <c r="G828" s="1489"/>
      <c r="H828" s="1490"/>
      <c r="I828" s="1487"/>
      <c r="J828" s="1488"/>
      <c r="K828" s="1489"/>
      <c r="L828" s="1490"/>
      <c r="M828" s="1487"/>
      <c r="N828" s="1488"/>
      <c r="O828" s="1489"/>
      <c r="P828" s="1490"/>
      <c r="X828" s="1445" t="e">
        <f ca="1"/>
        <v>#NAME?</v>
      </c>
      <c r="Y828" s="1446" t="e">
        <f ca="1"/>
        <v>#NAME?</v>
      </c>
    </row>
    <row r="829" spans="1:25">
      <c r="A829" s="1487"/>
      <c r="B829" s="1488"/>
      <c r="C829" s="1489"/>
      <c r="D829" s="1490"/>
      <c r="E829" s="1487"/>
      <c r="F829" s="1488"/>
      <c r="G829" s="1489"/>
      <c r="H829" s="1490"/>
      <c r="I829" s="1487"/>
      <c r="J829" s="1488"/>
      <c r="K829" s="1489"/>
      <c r="L829" s="1490"/>
      <c r="M829" s="1487"/>
      <c r="N829" s="1488"/>
      <c r="O829" s="1489"/>
      <c r="P829" s="1490"/>
      <c r="X829" s="1445" t="e">
        <f ca="1"/>
        <v>#NAME?</v>
      </c>
      <c r="Y829" s="1446" t="e">
        <f ca="1"/>
        <v>#NAME?</v>
      </c>
    </row>
    <row r="830" spans="1:25">
      <c r="A830" s="1487"/>
      <c r="B830" s="1488"/>
      <c r="C830" s="1489"/>
      <c r="D830" s="1490"/>
      <c r="E830" s="1487"/>
      <c r="F830" s="1488"/>
      <c r="G830" s="1489"/>
      <c r="H830" s="1490"/>
      <c r="I830" s="1487"/>
      <c r="J830" s="1488"/>
      <c r="K830" s="1489"/>
      <c r="L830" s="1490"/>
      <c r="M830" s="1487"/>
      <c r="N830" s="1488"/>
      <c r="O830" s="1489"/>
      <c r="P830" s="1490"/>
      <c r="X830" s="1445" t="e">
        <f ca="1"/>
        <v>#NAME?</v>
      </c>
      <c r="Y830" s="1446" t="e">
        <f ca="1"/>
        <v>#NAME?</v>
      </c>
    </row>
    <row r="831" spans="1:25">
      <c r="A831" s="1487"/>
      <c r="B831" s="1488"/>
      <c r="C831" s="1489"/>
      <c r="D831" s="1490"/>
      <c r="E831" s="1487"/>
      <c r="F831" s="1488"/>
      <c r="G831" s="1489"/>
      <c r="H831" s="1490"/>
      <c r="I831" s="1487"/>
      <c r="J831" s="1488"/>
      <c r="K831" s="1489"/>
      <c r="L831" s="1490"/>
      <c r="M831" s="1487"/>
      <c r="N831" s="1488"/>
      <c r="O831" s="1489"/>
      <c r="P831" s="1490"/>
      <c r="X831" s="1445" t="e">
        <f ca="1"/>
        <v>#NAME?</v>
      </c>
      <c r="Y831" s="1446" t="e">
        <f ca="1"/>
        <v>#NAME?</v>
      </c>
    </row>
    <row r="832" spans="1:25">
      <c r="A832" s="1487"/>
      <c r="B832" s="1488"/>
      <c r="C832" s="1489"/>
      <c r="D832" s="1490"/>
      <c r="E832" s="1487"/>
      <c r="F832" s="1488"/>
      <c r="G832" s="1489"/>
      <c r="H832" s="1490"/>
      <c r="I832" s="1487"/>
      <c r="J832" s="1488"/>
      <c r="K832" s="1489"/>
      <c r="L832" s="1490"/>
      <c r="M832" s="1487"/>
      <c r="N832" s="1488"/>
      <c r="O832" s="1489"/>
      <c r="P832" s="1490"/>
      <c r="X832" s="1445" t="e">
        <f ca="1"/>
        <v>#NAME?</v>
      </c>
      <c r="Y832" s="1446" t="e">
        <f ca="1"/>
        <v>#NAME?</v>
      </c>
    </row>
    <row r="833" spans="1:25">
      <c r="A833" s="1487"/>
      <c r="B833" s="1488"/>
      <c r="C833" s="1489"/>
      <c r="D833" s="1490"/>
      <c r="E833" s="1487"/>
      <c r="F833" s="1488"/>
      <c r="G833" s="1489"/>
      <c r="H833" s="1490"/>
      <c r="I833" s="1487"/>
      <c r="J833" s="1488"/>
      <c r="K833" s="1489"/>
      <c r="L833" s="1490"/>
      <c r="M833" s="1487"/>
      <c r="N833" s="1488"/>
      <c r="O833" s="1489"/>
      <c r="P833" s="1490"/>
      <c r="X833" s="1445" t="e">
        <f ca="1"/>
        <v>#NAME?</v>
      </c>
      <c r="Y833" s="1446" t="e">
        <f ca="1"/>
        <v>#NAME?</v>
      </c>
    </row>
    <row r="834" spans="1:25">
      <c r="A834" s="1487"/>
      <c r="B834" s="1488"/>
      <c r="C834" s="1489"/>
      <c r="D834" s="1490"/>
      <c r="E834" s="1487"/>
      <c r="F834" s="1488"/>
      <c r="G834" s="1489"/>
      <c r="H834" s="1490"/>
      <c r="I834" s="1487"/>
      <c r="J834" s="1488"/>
      <c r="K834" s="1489"/>
      <c r="L834" s="1490"/>
      <c r="M834" s="1487"/>
      <c r="N834" s="1488"/>
      <c r="O834" s="1489"/>
      <c r="P834" s="1490"/>
      <c r="X834" s="1445" t="e">
        <f ca="1"/>
        <v>#NAME?</v>
      </c>
      <c r="Y834" s="1446" t="e">
        <f ca="1"/>
        <v>#NAME?</v>
      </c>
    </row>
    <row r="835" spans="1:25">
      <c r="A835" s="1487"/>
      <c r="B835" s="1488"/>
      <c r="C835" s="1489"/>
      <c r="D835" s="1490"/>
      <c r="E835" s="1487"/>
      <c r="F835" s="1488"/>
      <c r="G835" s="1489"/>
      <c r="H835" s="1490"/>
      <c r="I835" s="1487"/>
      <c r="J835" s="1488"/>
      <c r="K835" s="1489"/>
      <c r="L835" s="1490"/>
      <c r="M835" s="1487"/>
      <c r="N835" s="1488"/>
      <c r="O835" s="1489"/>
      <c r="P835" s="1490"/>
      <c r="X835" s="1445" t="e">
        <f ca="1"/>
        <v>#NAME?</v>
      </c>
      <c r="Y835" s="1446" t="e">
        <f ca="1"/>
        <v>#NAME?</v>
      </c>
    </row>
    <row r="836" spans="1:25">
      <c r="A836" s="1487"/>
      <c r="B836" s="1488"/>
      <c r="C836" s="1489"/>
      <c r="D836" s="1490"/>
      <c r="E836" s="1487"/>
      <c r="F836" s="1488"/>
      <c r="G836" s="1489"/>
      <c r="H836" s="1490"/>
      <c r="I836" s="1487"/>
      <c r="J836" s="1488"/>
      <c r="K836" s="1489"/>
      <c r="L836" s="1490"/>
      <c r="M836" s="1487"/>
      <c r="N836" s="1488"/>
      <c r="O836" s="1489"/>
      <c r="P836" s="1490"/>
      <c r="X836" s="1445" t="e">
        <f ca="1"/>
        <v>#NAME?</v>
      </c>
      <c r="Y836" s="1446" t="e">
        <f ca="1"/>
        <v>#NAME?</v>
      </c>
    </row>
    <row r="837" spans="1:25">
      <c r="A837" s="1487"/>
      <c r="B837" s="1488"/>
      <c r="C837" s="1489"/>
      <c r="D837" s="1490"/>
      <c r="E837" s="1487"/>
      <c r="F837" s="1488"/>
      <c r="G837" s="1489"/>
      <c r="H837" s="1490"/>
      <c r="I837" s="1487"/>
      <c r="J837" s="1488"/>
      <c r="K837" s="1489"/>
      <c r="L837" s="1490"/>
      <c r="M837" s="1487"/>
      <c r="N837" s="1488"/>
      <c r="O837" s="1489"/>
      <c r="P837" s="1490"/>
      <c r="X837" s="1445" t="e">
        <f ca="1"/>
        <v>#NAME?</v>
      </c>
      <c r="Y837" s="1446" t="e">
        <f ca="1"/>
        <v>#NAME?</v>
      </c>
    </row>
    <row r="838" spans="1:25">
      <c r="A838" s="1487"/>
      <c r="B838" s="1488"/>
      <c r="C838" s="1489"/>
      <c r="D838" s="1490"/>
      <c r="E838" s="1487"/>
      <c r="F838" s="1488"/>
      <c r="G838" s="1489"/>
      <c r="H838" s="1490"/>
      <c r="I838" s="1487"/>
      <c r="J838" s="1488"/>
      <c r="K838" s="1489"/>
      <c r="L838" s="1490"/>
      <c r="M838" s="1487"/>
      <c r="N838" s="1488"/>
      <c r="O838" s="1489"/>
      <c r="P838" s="1490"/>
      <c r="X838" s="1445" t="e">
        <f ca="1"/>
        <v>#NAME?</v>
      </c>
      <c r="Y838" s="1446" t="e">
        <f ca="1"/>
        <v>#NAME?</v>
      </c>
    </row>
    <row r="839" spans="1:25">
      <c r="A839" s="1487"/>
      <c r="B839" s="1488"/>
      <c r="C839" s="1489"/>
      <c r="D839" s="1490"/>
      <c r="E839" s="1487"/>
      <c r="F839" s="1488"/>
      <c r="G839" s="1489"/>
      <c r="H839" s="1490"/>
      <c r="I839" s="1487"/>
      <c r="J839" s="1488"/>
      <c r="K839" s="1489"/>
      <c r="L839" s="1490"/>
      <c r="M839" s="1487"/>
      <c r="N839" s="1488"/>
      <c r="O839" s="1489"/>
      <c r="P839" s="1490"/>
      <c r="X839" s="1445" t="e">
        <f ca="1"/>
        <v>#NAME?</v>
      </c>
      <c r="Y839" s="1446" t="e">
        <f ca="1"/>
        <v>#NAME?</v>
      </c>
    </row>
    <row r="840" spans="1:25">
      <c r="A840" s="1487"/>
      <c r="B840" s="1488"/>
      <c r="C840" s="1489"/>
      <c r="D840" s="1490"/>
      <c r="E840" s="1487"/>
      <c r="F840" s="1488"/>
      <c r="G840" s="1489"/>
      <c r="H840" s="1490"/>
      <c r="I840" s="1487"/>
      <c r="J840" s="1488"/>
      <c r="K840" s="1489"/>
      <c r="L840" s="1490"/>
      <c r="M840" s="1487"/>
      <c r="N840" s="1488"/>
      <c r="O840" s="1489"/>
      <c r="P840" s="1490"/>
      <c r="X840" s="1445" t="e">
        <f ca="1"/>
        <v>#NAME?</v>
      </c>
      <c r="Y840" s="1446" t="e">
        <f ca="1"/>
        <v>#NAME?</v>
      </c>
    </row>
    <row r="841" spans="1:25">
      <c r="A841" s="1487"/>
      <c r="B841" s="1488"/>
      <c r="C841" s="1489"/>
      <c r="D841" s="1490"/>
      <c r="E841" s="1487"/>
      <c r="F841" s="1488"/>
      <c r="G841" s="1489"/>
      <c r="H841" s="1490"/>
      <c r="I841" s="1487"/>
      <c r="J841" s="1488"/>
      <c r="K841" s="1489"/>
      <c r="L841" s="1490"/>
      <c r="M841" s="1487"/>
      <c r="N841" s="1488"/>
      <c r="O841" s="1489"/>
      <c r="P841" s="1490"/>
      <c r="X841" s="1445" t="e">
        <f ca="1"/>
        <v>#NAME?</v>
      </c>
      <c r="Y841" s="1446" t="e">
        <f ca="1"/>
        <v>#NAME?</v>
      </c>
    </row>
    <row r="842" spans="1:25">
      <c r="A842" s="1487"/>
      <c r="B842" s="1488"/>
      <c r="C842" s="1489"/>
      <c r="D842" s="1490"/>
      <c r="E842" s="1487"/>
      <c r="F842" s="1488"/>
      <c r="G842" s="1489"/>
      <c r="H842" s="1490"/>
      <c r="I842" s="1487"/>
      <c r="J842" s="1488"/>
      <c r="K842" s="1489"/>
      <c r="L842" s="1490"/>
      <c r="M842" s="1487"/>
      <c r="N842" s="1488"/>
      <c r="O842" s="1489"/>
      <c r="P842" s="1490"/>
      <c r="X842" s="1445" t="e">
        <f ca="1"/>
        <v>#NAME?</v>
      </c>
      <c r="Y842" s="1446" t="e">
        <f ca="1"/>
        <v>#NAME?</v>
      </c>
    </row>
    <row r="843" spans="1:25">
      <c r="A843" s="1487"/>
      <c r="B843" s="1488"/>
      <c r="C843" s="1489"/>
      <c r="D843" s="1490"/>
      <c r="E843" s="1487"/>
      <c r="F843" s="1488"/>
      <c r="G843" s="1489"/>
      <c r="H843" s="1490"/>
      <c r="I843" s="1487"/>
      <c r="J843" s="1488"/>
      <c r="K843" s="1489"/>
      <c r="L843" s="1490"/>
      <c r="M843" s="1487"/>
      <c r="N843" s="1488"/>
      <c r="O843" s="1489"/>
      <c r="P843" s="1490"/>
      <c r="X843" s="1445" t="e">
        <f ca="1"/>
        <v>#NAME?</v>
      </c>
      <c r="Y843" s="1446" t="e">
        <f ca="1"/>
        <v>#NAME?</v>
      </c>
    </row>
    <row r="844" spans="1:25">
      <c r="A844" s="1487"/>
      <c r="B844" s="1488"/>
      <c r="C844" s="1489"/>
      <c r="D844" s="1490"/>
      <c r="E844" s="1487"/>
      <c r="F844" s="1488"/>
      <c r="G844" s="1489"/>
      <c r="H844" s="1490"/>
      <c r="I844" s="1487"/>
      <c r="J844" s="1488"/>
      <c r="K844" s="1489"/>
      <c r="L844" s="1490"/>
      <c r="M844" s="1487"/>
      <c r="N844" s="1488"/>
      <c r="O844" s="1489"/>
      <c r="P844" s="1490"/>
      <c r="X844" s="1445" t="e">
        <f ca="1"/>
        <v>#NAME?</v>
      </c>
      <c r="Y844" s="1446" t="e">
        <f ca="1"/>
        <v>#NAME?</v>
      </c>
    </row>
    <row r="845" spans="1:25">
      <c r="A845" s="1487"/>
      <c r="B845" s="1488"/>
      <c r="C845" s="1489"/>
      <c r="D845" s="1490"/>
      <c r="E845" s="1487"/>
      <c r="F845" s="1488"/>
      <c r="G845" s="1489"/>
      <c r="H845" s="1490"/>
      <c r="I845" s="1487"/>
      <c r="J845" s="1488"/>
      <c r="K845" s="1489"/>
      <c r="L845" s="1490"/>
      <c r="M845" s="1487"/>
      <c r="N845" s="1488"/>
      <c r="O845" s="1489"/>
      <c r="P845" s="1490"/>
      <c r="X845" s="1445" t="e">
        <f ca="1"/>
        <v>#NAME?</v>
      </c>
      <c r="Y845" s="1446" t="e">
        <f ca="1"/>
        <v>#NAME?</v>
      </c>
    </row>
    <row r="846" spans="1:25">
      <c r="A846" s="1487"/>
      <c r="B846" s="1488"/>
      <c r="C846" s="1489"/>
      <c r="D846" s="1490"/>
      <c r="E846" s="1487"/>
      <c r="F846" s="1488"/>
      <c r="G846" s="1489"/>
      <c r="H846" s="1490"/>
      <c r="I846" s="1487"/>
      <c r="J846" s="1488"/>
      <c r="K846" s="1489"/>
      <c r="L846" s="1490"/>
      <c r="M846" s="1487"/>
      <c r="N846" s="1488"/>
      <c r="O846" s="1489"/>
      <c r="P846" s="1490"/>
      <c r="X846" s="1445" t="e">
        <f ca="1"/>
        <v>#NAME?</v>
      </c>
      <c r="Y846" s="1446" t="e">
        <f ca="1"/>
        <v>#NAME?</v>
      </c>
    </row>
    <row r="847" spans="1:25">
      <c r="A847" s="1487"/>
      <c r="B847" s="1488"/>
      <c r="C847" s="1489"/>
      <c r="D847" s="1490"/>
      <c r="E847" s="1487"/>
      <c r="F847" s="1488"/>
      <c r="G847" s="1489"/>
      <c r="H847" s="1490"/>
      <c r="I847" s="1487"/>
      <c r="J847" s="1488"/>
      <c r="K847" s="1489"/>
      <c r="L847" s="1490"/>
      <c r="M847" s="1487"/>
      <c r="N847" s="1488"/>
      <c r="O847" s="1489"/>
      <c r="P847" s="1490"/>
      <c r="X847" s="1445" t="e">
        <f ca="1"/>
        <v>#NAME?</v>
      </c>
      <c r="Y847" s="1446" t="e">
        <f ca="1"/>
        <v>#NAME?</v>
      </c>
    </row>
    <row r="848" spans="1:25">
      <c r="A848" s="1487"/>
      <c r="B848" s="1488"/>
      <c r="C848" s="1489"/>
      <c r="D848" s="1490"/>
      <c r="E848" s="1487"/>
      <c r="F848" s="1488"/>
      <c r="G848" s="1489"/>
      <c r="H848" s="1490"/>
      <c r="I848" s="1487"/>
      <c r="J848" s="1488"/>
      <c r="K848" s="1489"/>
      <c r="L848" s="1490"/>
      <c r="M848" s="1487"/>
      <c r="N848" s="1488"/>
      <c r="O848" s="1489"/>
      <c r="P848" s="1490"/>
      <c r="X848" s="1445" t="e">
        <f ca="1"/>
        <v>#NAME?</v>
      </c>
      <c r="Y848" s="1446" t="e">
        <f ca="1"/>
        <v>#NAME?</v>
      </c>
    </row>
    <row r="849" spans="1:25">
      <c r="A849" s="1487"/>
      <c r="B849" s="1488"/>
      <c r="C849" s="1489"/>
      <c r="D849" s="1490"/>
      <c r="E849" s="1487"/>
      <c r="F849" s="1488"/>
      <c r="G849" s="1489"/>
      <c r="H849" s="1490"/>
      <c r="I849" s="1487"/>
      <c r="J849" s="1488"/>
      <c r="K849" s="1489"/>
      <c r="L849" s="1490"/>
      <c r="M849" s="1487"/>
      <c r="N849" s="1488"/>
      <c r="O849" s="1489"/>
      <c r="P849" s="1490"/>
      <c r="X849" s="1445" t="e">
        <f ca="1"/>
        <v>#NAME?</v>
      </c>
      <c r="Y849" s="1446" t="e">
        <f ca="1"/>
        <v>#NAME?</v>
      </c>
    </row>
    <row r="850" spans="1:25">
      <c r="A850" s="1487"/>
      <c r="B850" s="1488"/>
      <c r="C850" s="1489"/>
      <c r="D850" s="1490"/>
      <c r="E850" s="1487"/>
      <c r="F850" s="1488"/>
      <c r="G850" s="1489"/>
      <c r="H850" s="1490"/>
      <c r="I850" s="1487"/>
      <c r="J850" s="1488"/>
      <c r="K850" s="1489"/>
      <c r="L850" s="1490"/>
      <c r="M850" s="1487"/>
      <c r="N850" s="1488"/>
      <c r="O850" s="1489"/>
      <c r="P850" s="1490"/>
      <c r="X850" s="1445" t="e">
        <f ca="1"/>
        <v>#NAME?</v>
      </c>
      <c r="Y850" s="1446" t="e">
        <f ca="1"/>
        <v>#NAME?</v>
      </c>
    </row>
    <row r="851" spans="1:25">
      <c r="A851" s="1487"/>
      <c r="B851" s="1488"/>
      <c r="C851" s="1489"/>
      <c r="D851" s="1490"/>
      <c r="E851" s="1487"/>
      <c r="F851" s="1488"/>
      <c r="G851" s="1489"/>
      <c r="H851" s="1490"/>
      <c r="I851" s="1487"/>
      <c r="J851" s="1488"/>
      <c r="K851" s="1489"/>
      <c r="L851" s="1490"/>
      <c r="M851" s="1487"/>
      <c r="N851" s="1488"/>
      <c r="O851" s="1489"/>
      <c r="P851" s="1490"/>
      <c r="X851" s="1445" t="e">
        <f ca="1"/>
        <v>#NAME?</v>
      </c>
      <c r="Y851" s="1446" t="e">
        <f ca="1"/>
        <v>#NAME?</v>
      </c>
    </row>
    <row r="852" spans="1:25">
      <c r="A852" s="1487"/>
      <c r="B852" s="1488"/>
      <c r="C852" s="1489"/>
      <c r="D852" s="1490"/>
      <c r="E852" s="1487"/>
      <c r="F852" s="1488"/>
      <c r="G852" s="1489"/>
      <c r="H852" s="1490"/>
      <c r="I852" s="1487"/>
      <c r="J852" s="1488"/>
      <c r="K852" s="1489"/>
      <c r="L852" s="1490"/>
      <c r="M852" s="1487"/>
      <c r="N852" s="1488"/>
      <c r="O852" s="1489"/>
      <c r="P852" s="1490"/>
      <c r="X852" s="1445" t="e">
        <f ca="1"/>
        <v>#NAME?</v>
      </c>
      <c r="Y852" s="1446" t="e">
        <f ca="1"/>
        <v>#NAME?</v>
      </c>
    </row>
    <row r="853" spans="1:25">
      <c r="A853" s="1487"/>
      <c r="B853" s="1488"/>
      <c r="C853" s="1489"/>
      <c r="D853" s="1490"/>
      <c r="E853" s="1487"/>
      <c r="F853" s="1488"/>
      <c r="G853" s="1489"/>
      <c r="H853" s="1490"/>
      <c r="I853" s="1487"/>
      <c r="J853" s="1488"/>
      <c r="K853" s="1489"/>
      <c r="L853" s="1490"/>
      <c r="M853" s="1487"/>
      <c r="N853" s="1488"/>
      <c r="O853" s="1489"/>
      <c r="P853" s="1490"/>
      <c r="X853" s="1445" t="e">
        <f ca="1"/>
        <v>#NAME?</v>
      </c>
      <c r="Y853" s="1446" t="e">
        <f ca="1"/>
        <v>#NAME?</v>
      </c>
    </row>
    <row r="854" spans="1:25">
      <c r="A854" s="1487"/>
      <c r="B854" s="1488"/>
      <c r="C854" s="1489"/>
      <c r="D854" s="1490"/>
      <c r="E854" s="1487"/>
      <c r="F854" s="1488"/>
      <c r="G854" s="1489"/>
      <c r="H854" s="1490"/>
      <c r="I854" s="1487"/>
      <c r="J854" s="1488"/>
      <c r="K854" s="1489"/>
      <c r="L854" s="1490"/>
      <c r="M854" s="1487"/>
      <c r="N854" s="1488"/>
      <c r="O854" s="1489"/>
      <c r="P854" s="1490"/>
      <c r="X854" s="1445" t="e">
        <f ca="1"/>
        <v>#NAME?</v>
      </c>
      <c r="Y854" s="1446" t="e">
        <f ca="1"/>
        <v>#NAME?</v>
      </c>
    </row>
    <row r="855" spans="1:25">
      <c r="A855" s="1487"/>
      <c r="B855" s="1488"/>
      <c r="C855" s="1489"/>
      <c r="D855" s="1490"/>
      <c r="E855" s="1487"/>
      <c r="F855" s="1488"/>
      <c r="G855" s="1489"/>
      <c r="H855" s="1490"/>
      <c r="I855" s="1487"/>
      <c r="J855" s="1488"/>
      <c r="K855" s="1489"/>
      <c r="L855" s="1490"/>
      <c r="M855" s="1487"/>
      <c r="N855" s="1488"/>
      <c r="O855" s="1489"/>
      <c r="P855" s="1490"/>
      <c r="X855" s="1445" t="e">
        <f ca="1"/>
        <v>#NAME?</v>
      </c>
      <c r="Y855" s="1446" t="e">
        <f ca="1"/>
        <v>#NAME?</v>
      </c>
    </row>
    <row r="856" spans="1:25">
      <c r="A856" s="1487"/>
      <c r="B856" s="1488"/>
      <c r="C856" s="1489"/>
      <c r="D856" s="1490"/>
      <c r="E856" s="1487"/>
      <c r="F856" s="1488"/>
      <c r="G856" s="1489"/>
      <c r="H856" s="1490"/>
      <c r="I856" s="1487"/>
      <c r="J856" s="1488"/>
      <c r="K856" s="1489"/>
      <c r="L856" s="1490"/>
      <c r="M856" s="1487"/>
      <c r="N856" s="1488"/>
      <c r="O856" s="1489"/>
      <c r="P856" s="1490"/>
      <c r="X856" s="1445" t="e">
        <f ca="1"/>
        <v>#NAME?</v>
      </c>
      <c r="Y856" s="1446" t="e">
        <f ca="1"/>
        <v>#NAME?</v>
      </c>
    </row>
    <row r="857" spans="1:25">
      <c r="A857" s="1487"/>
      <c r="B857" s="1488"/>
      <c r="C857" s="1489"/>
      <c r="D857" s="1490"/>
      <c r="E857" s="1487"/>
      <c r="F857" s="1488"/>
      <c r="G857" s="1489"/>
      <c r="H857" s="1490"/>
      <c r="I857" s="1487"/>
      <c r="J857" s="1488"/>
      <c r="K857" s="1489"/>
      <c r="L857" s="1490"/>
      <c r="M857" s="1487"/>
      <c r="N857" s="1488"/>
      <c r="O857" s="1489"/>
      <c r="P857" s="1490"/>
      <c r="X857" s="1445" t="e">
        <f ca="1"/>
        <v>#NAME?</v>
      </c>
      <c r="Y857" s="1446" t="e">
        <f ca="1"/>
        <v>#NAME?</v>
      </c>
    </row>
    <row r="858" spans="1:25">
      <c r="A858" s="1487"/>
      <c r="B858" s="1488"/>
      <c r="C858" s="1489"/>
      <c r="D858" s="1490"/>
      <c r="E858" s="1487"/>
      <c r="F858" s="1488"/>
      <c r="G858" s="1489"/>
      <c r="H858" s="1490"/>
      <c r="I858" s="1487"/>
      <c r="J858" s="1488"/>
      <c r="K858" s="1489"/>
      <c r="L858" s="1490"/>
      <c r="M858" s="1487"/>
      <c r="N858" s="1488"/>
      <c r="O858" s="1489"/>
      <c r="P858" s="1490"/>
      <c r="X858" s="1445" t="e">
        <f ca="1"/>
        <v>#NAME?</v>
      </c>
      <c r="Y858" s="1446" t="e">
        <f ca="1"/>
        <v>#NAME?</v>
      </c>
    </row>
    <row r="859" spans="1:25">
      <c r="A859" s="1487"/>
      <c r="B859" s="1488"/>
      <c r="C859" s="1489"/>
      <c r="D859" s="1490"/>
      <c r="E859" s="1487"/>
      <c r="F859" s="1488"/>
      <c r="G859" s="1489"/>
      <c r="H859" s="1490"/>
      <c r="I859" s="1487"/>
      <c r="J859" s="1488"/>
      <c r="K859" s="1489"/>
      <c r="L859" s="1490"/>
      <c r="M859" s="1487"/>
      <c r="N859" s="1488"/>
      <c r="O859" s="1489"/>
      <c r="P859" s="1490"/>
      <c r="X859" s="1445" t="e">
        <f ca="1"/>
        <v>#NAME?</v>
      </c>
      <c r="Y859" s="1446" t="e">
        <f ca="1"/>
        <v>#NAME?</v>
      </c>
    </row>
    <row r="860" spans="1:25">
      <c r="A860" s="1487"/>
      <c r="B860" s="1488"/>
      <c r="C860" s="1489"/>
      <c r="D860" s="1490"/>
      <c r="E860" s="1487"/>
      <c r="F860" s="1488"/>
      <c r="G860" s="1489"/>
      <c r="H860" s="1490"/>
      <c r="I860" s="1487"/>
      <c r="J860" s="1488"/>
      <c r="K860" s="1489"/>
      <c r="L860" s="1490"/>
      <c r="M860" s="1487"/>
      <c r="N860" s="1488"/>
      <c r="O860" s="1489"/>
      <c r="P860" s="1490"/>
      <c r="X860" s="1445" t="e">
        <f ca="1"/>
        <v>#NAME?</v>
      </c>
      <c r="Y860" s="1446" t="e">
        <f ca="1"/>
        <v>#NAME?</v>
      </c>
    </row>
    <row r="861" spans="1:25">
      <c r="A861" s="1487"/>
      <c r="B861" s="1488"/>
      <c r="C861" s="1489"/>
      <c r="D861" s="1490"/>
      <c r="E861" s="1487"/>
      <c r="F861" s="1488"/>
      <c r="G861" s="1489"/>
      <c r="H861" s="1490"/>
      <c r="I861" s="1487"/>
      <c r="J861" s="1488"/>
      <c r="K861" s="1489"/>
      <c r="L861" s="1490"/>
      <c r="M861" s="1487"/>
      <c r="N861" s="1488"/>
      <c r="O861" s="1489"/>
      <c r="P861" s="1490"/>
      <c r="X861" s="1445" t="e">
        <f ca="1"/>
        <v>#NAME?</v>
      </c>
      <c r="Y861" s="1446" t="e">
        <f ca="1"/>
        <v>#NAME?</v>
      </c>
    </row>
    <row r="862" spans="1:25">
      <c r="A862" s="1487"/>
      <c r="B862" s="1488"/>
      <c r="C862" s="1489"/>
      <c r="D862" s="1490"/>
      <c r="E862" s="1487"/>
      <c r="F862" s="1488"/>
      <c r="G862" s="1489"/>
      <c r="H862" s="1490"/>
      <c r="I862" s="1487"/>
      <c r="J862" s="1488"/>
      <c r="K862" s="1489"/>
      <c r="L862" s="1490"/>
      <c r="M862" s="1487"/>
      <c r="N862" s="1488"/>
      <c r="O862" s="1489"/>
      <c r="P862" s="1490"/>
      <c r="X862" s="1445" t="e">
        <f ca="1"/>
        <v>#NAME?</v>
      </c>
      <c r="Y862" s="1446" t="e">
        <f ca="1"/>
        <v>#NAME?</v>
      </c>
    </row>
    <row r="863" spans="1:25">
      <c r="A863" s="1487"/>
      <c r="B863" s="1488"/>
      <c r="C863" s="1489"/>
      <c r="D863" s="1490"/>
      <c r="E863" s="1487"/>
      <c r="F863" s="1488"/>
      <c r="G863" s="1489"/>
      <c r="H863" s="1490"/>
      <c r="I863" s="1487"/>
      <c r="J863" s="1488"/>
      <c r="K863" s="1489"/>
      <c r="L863" s="1490"/>
      <c r="M863" s="1487"/>
      <c r="N863" s="1488"/>
      <c r="O863" s="1489"/>
      <c r="P863" s="1490"/>
      <c r="X863" s="1445" t="e">
        <f ca="1"/>
        <v>#NAME?</v>
      </c>
      <c r="Y863" s="1446" t="e">
        <f ca="1"/>
        <v>#NAME?</v>
      </c>
    </row>
    <row r="864" spans="1:25">
      <c r="A864" s="1487"/>
      <c r="B864" s="1488"/>
      <c r="C864" s="1489"/>
      <c r="D864" s="1490"/>
      <c r="E864" s="1487"/>
      <c r="F864" s="1488"/>
      <c r="G864" s="1489"/>
      <c r="H864" s="1490"/>
      <c r="I864" s="1487"/>
      <c r="J864" s="1488"/>
      <c r="K864" s="1489"/>
      <c r="L864" s="1490"/>
      <c r="M864" s="1487"/>
      <c r="N864" s="1488"/>
      <c r="O864" s="1489"/>
      <c r="P864" s="1490"/>
      <c r="X864" s="1445" t="e">
        <f ca="1"/>
        <v>#NAME?</v>
      </c>
      <c r="Y864" s="1446" t="e">
        <f ca="1"/>
        <v>#NAME?</v>
      </c>
    </row>
    <row r="865" spans="1:25">
      <c r="A865" s="1487"/>
      <c r="B865" s="1488"/>
      <c r="C865" s="1489"/>
      <c r="D865" s="1490"/>
      <c r="E865" s="1487"/>
      <c r="F865" s="1488"/>
      <c r="G865" s="1489"/>
      <c r="H865" s="1490"/>
      <c r="I865" s="1487"/>
      <c r="J865" s="1488"/>
      <c r="K865" s="1489"/>
      <c r="L865" s="1490"/>
      <c r="M865" s="1487"/>
      <c r="N865" s="1488"/>
      <c r="O865" s="1489"/>
      <c r="P865" s="1490"/>
      <c r="X865" s="1445" t="e">
        <f ca="1"/>
        <v>#NAME?</v>
      </c>
      <c r="Y865" s="1446" t="e">
        <f ca="1"/>
        <v>#NAME?</v>
      </c>
    </row>
    <row r="866" spans="1:25">
      <c r="A866" s="1487"/>
      <c r="B866" s="1488"/>
      <c r="C866" s="1489"/>
      <c r="D866" s="1490"/>
      <c r="E866" s="1487"/>
      <c r="F866" s="1488"/>
      <c r="G866" s="1489"/>
      <c r="H866" s="1490"/>
      <c r="I866" s="1487"/>
      <c r="J866" s="1488"/>
      <c r="K866" s="1489"/>
      <c r="L866" s="1490"/>
      <c r="M866" s="1487"/>
      <c r="N866" s="1488"/>
      <c r="O866" s="1489"/>
      <c r="P866" s="1490"/>
      <c r="X866" s="1445" t="e">
        <f ca="1"/>
        <v>#NAME?</v>
      </c>
      <c r="Y866" s="1446" t="e">
        <f ca="1"/>
        <v>#NAME?</v>
      </c>
    </row>
    <row r="867" spans="1:25">
      <c r="A867" s="1487"/>
      <c r="B867" s="1488"/>
      <c r="C867" s="1489"/>
      <c r="D867" s="1490"/>
      <c r="E867" s="1487"/>
      <c r="F867" s="1488"/>
      <c r="G867" s="1489"/>
      <c r="H867" s="1490"/>
      <c r="I867" s="1487"/>
      <c r="J867" s="1488"/>
      <c r="K867" s="1489"/>
      <c r="L867" s="1490"/>
      <c r="M867" s="1487"/>
      <c r="N867" s="1488"/>
      <c r="O867" s="1489"/>
      <c r="P867" s="1490"/>
      <c r="X867" s="1445" t="e">
        <f ca="1"/>
        <v>#NAME?</v>
      </c>
      <c r="Y867" s="1446" t="e">
        <f ca="1"/>
        <v>#NAME?</v>
      </c>
    </row>
    <row r="868" spans="1:25">
      <c r="A868" s="1487"/>
      <c r="B868" s="1488"/>
      <c r="C868" s="1489"/>
      <c r="D868" s="1490"/>
      <c r="E868" s="1487"/>
      <c r="F868" s="1488"/>
      <c r="G868" s="1489"/>
      <c r="H868" s="1490"/>
      <c r="I868" s="1487"/>
      <c r="J868" s="1488"/>
      <c r="K868" s="1489"/>
      <c r="L868" s="1490"/>
      <c r="M868" s="1487"/>
      <c r="N868" s="1488"/>
      <c r="O868" s="1489"/>
      <c r="P868" s="1490"/>
      <c r="X868" s="1445" t="e">
        <f ca="1"/>
        <v>#NAME?</v>
      </c>
      <c r="Y868" s="1446" t="e">
        <f ca="1"/>
        <v>#NAME?</v>
      </c>
    </row>
    <row r="869" spans="1:25">
      <c r="A869" s="1487"/>
      <c r="B869" s="1488"/>
      <c r="C869" s="1489"/>
      <c r="D869" s="1490"/>
      <c r="E869" s="1487"/>
      <c r="F869" s="1488"/>
      <c r="G869" s="1489"/>
      <c r="H869" s="1490"/>
      <c r="I869" s="1487"/>
      <c r="J869" s="1488"/>
      <c r="K869" s="1489"/>
      <c r="L869" s="1490"/>
      <c r="M869" s="1487"/>
      <c r="N869" s="1488"/>
      <c r="O869" s="1489"/>
      <c r="P869" s="1490"/>
      <c r="X869" s="1445" t="e">
        <f ca="1"/>
        <v>#NAME?</v>
      </c>
      <c r="Y869" s="1446" t="e">
        <f ca="1"/>
        <v>#NAME?</v>
      </c>
    </row>
    <row r="870" spans="1:25">
      <c r="A870" s="1487"/>
      <c r="B870" s="1488"/>
      <c r="C870" s="1489"/>
      <c r="D870" s="1490"/>
      <c r="E870" s="1487"/>
      <c r="F870" s="1488"/>
      <c r="G870" s="1489"/>
      <c r="H870" s="1490"/>
      <c r="I870" s="1487"/>
      <c r="J870" s="1488"/>
      <c r="K870" s="1489"/>
      <c r="L870" s="1490"/>
      <c r="M870" s="1487"/>
      <c r="N870" s="1488"/>
      <c r="O870" s="1489"/>
      <c r="P870" s="1490"/>
      <c r="X870" s="1445" t="e">
        <f ca="1"/>
        <v>#NAME?</v>
      </c>
      <c r="Y870" s="1446" t="e">
        <f ca="1"/>
        <v>#NAME?</v>
      </c>
    </row>
    <row r="871" spans="1:25">
      <c r="A871" s="1487"/>
      <c r="B871" s="1488"/>
      <c r="C871" s="1489"/>
      <c r="D871" s="1490"/>
      <c r="E871" s="1487"/>
      <c r="F871" s="1488"/>
      <c r="G871" s="1489"/>
      <c r="H871" s="1490"/>
      <c r="I871" s="1487"/>
      <c r="J871" s="1488"/>
      <c r="K871" s="1489"/>
      <c r="L871" s="1490"/>
      <c r="M871" s="1487"/>
      <c r="N871" s="1488"/>
      <c r="O871" s="1489"/>
      <c r="P871" s="1490"/>
      <c r="X871" s="1445" t="e">
        <f ca="1"/>
        <v>#NAME?</v>
      </c>
      <c r="Y871" s="1446" t="e">
        <f ca="1"/>
        <v>#NAME?</v>
      </c>
    </row>
    <row r="872" spans="1:25">
      <c r="A872" s="1487"/>
      <c r="B872" s="1488"/>
      <c r="C872" s="1489"/>
      <c r="D872" s="1490"/>
      <c r="E872" s="1487"/>
      <c r="F872" s="1488"/>
      <c r="G872" s="1489"/>
      <c r="H872" s="1490"/>
      <c r="I872" s="1487"/>
      <c r="J872" s="1488"/>
      <c r="K872" s="1489"/>
      <c r="L872" s="1490"/>
      <c r="M872" s="1487"/>
      <c r="N872" s="1488"/>
      <c r="O872" s="1489"/>
      <c r="P872" s="1490"/>
      <c r="X872" s="1445" t="e">
        <f ca="1"/>
        <v>#NAME?</v>
      </c>
      <c r="Y872" s="1446" t="e">
        <f ca="1"/>
        <v>#NAME?</v>
      </c>
    </row>
    <row r="873" spans="1:25">
      <c r="A873" s="1487"/>
      <c r="B873" s="1488"/>
      <c r="C873" s="1489"/>
      <c r="D873" s="1490"/>
      <c r="E873" s="1487"/>
      <c r="F873" s="1488"/>
      <c r="G873" s="1489"/>
      <c r="H873" s="1490"/>
      <c r="I873" s="1487"/>
      <c r="J873" s="1488"/>
      <c r="K873" s="1489"/>
      <c r="L873" s="1490"/>
      <c r="M873" s="1487"/>
      <c r="N873" s="1488"/>
      <c r="O873" s="1489"/>
      <c r="P873" s="1490"/>
      <c r="X873" s="1445" t="e">
        <f ca="1"/>
        <v>#NAME?</v>
      </c>
      <c r="Y873" s="1446" t="e">
        <f ca="1"/>
        <v>#NAME?</v>
      </c>
    </row>
    <row r="874" spans="1:25">
      <c r="A874" s="1487"/>
      <c r="B874" s="1488"/>
      <c r="C874" s="1489"/>
      <c r="D874" s="1490"/>
      <c r="E874" s="1487"/>
      <c r="F874" s="1488"/>
      <c r="G874" s="1489"/>
      <c r="H874" s="1490"/>
      <c r="I874" s="1487"/>
      <c r="J874" s="1488"/>
      <c r="K874" s="1489"/>
      <c r="L874" s="1490"/>
      <c r="M874" s="1487"/>
      <c r="N874" s="1488"/>
      <c r="O874" s="1489"/>
      <c r="P874" s="1490"/>
      <c r="X874" s="1445" t="e">
        <f ca="1"/>
        <v>#NAME?</v>
      </c>
      <c r="Y874" s="1446" t="e">
        <f ca="1"/>
        <v>#NAME?</v>
      </c>
    </row>
    <row r="875" spans="1:25">
      <c r="A875" s="1487"/>
      <c r="B875" s="1488"/>
      <c r="C875" s="1489"/>
      <c r="D875" s="1490"/>
      <c r="E875" s="1487"/>
      <c r="F875" s="1488"/>
      <c r="G875" s="1489"/>
      <c r="H875" s="1490"/>
      <c r="I875" s="1487"/>
      <c r="J875" s="1488"/>
      <c r="K875" s="1489"/>
      <c r="L875" s="1490"/>
      <c r="M875" s="1487"/>
      <c r="N875" s="1488"/>
      <c r="O875" s="1489"/>
      <c r="P875" s="1490"/>
      <c r="X875" s="1445" t="e">
        <f ca="1"/>
        <v>#NAME?</v>
      </c>
      <c r="Y875" s="1446" t="e">
        <f ca="1"/>
        <v>#NAME?</v>
      </c>
    </row>
    <row r="876" spans="1:25">
      <c r="A876" s="1487"/>
      <c r="B876" s="1488"/>
      <c r="C876" s="1489"/>
      <c r="D876" s="1490"/>
      <c r="E876" s="1487"/>
      <c r="F876" s="1488"/>
      <c r="G876" s="1489"/>
      <c r="H876" s="1490"/>
      <c r="I876" s="1487"/>
      <c r="J876" s="1488"/>
      <c r="K876" s="1489"/>
      <c r="L876" s="1490"/>
      <c r="M876" s="1487"/>
      <c r="N876" s="1488"/>
      <c r="O876" s="1489"/>
      <c r="P876" s="1490"/>
      <c r="X876" s="1445" t="e">
        <f ca="1"/>
        <v>#NAME?</v>
      </c>
      <c r="Y876" s="1446" t="e">
        <f ca="1"/>
        <v>#NAME?</v>
      </c>
    </row>
    <row r="877" spans="1:25">
      <c r="A877" s="1487"/>
      <c r="B877" s="1488"/>
      <c r="C877" s="1489"/>
      <c r="D877" s="1490"/>
      <c r="E877" s="1487"/>
      <c r="F877" s="1488"/>
      <c r="G877" s="1489"/>
      <c r="H877" s="1490"/>
      <c r="I877" s="1487"/>
      <c r="J877" s="1488"/>
      <c r="K877" s="1489"/>
      <c r="L877" s="1490"/>
      <c r="M877" s="1487"/>
      <c r="N877" s="1488"/>
      <c r="O877" s="1489"/>
      <c r="P877" s="1490"/>
      <c r="X877" s="1445" t="e">
        <f ca="1"/>
        <v>#NAME?</v>
      </c>
      <c r="Y877" s="1446" t="e">
        <f ca="1"/>
        <v>#NAME?</v>
      </c>
    </row>
    <row r="878" spans="1:25">
      <c r="A878" s="1487"/>
      <c r="B878" s="1488"/>
      <c r="C878" s="1489"/>
      <c r="D878" s="1490"/>
      <c r="E878" s="1487"/>
      <c r="F878" s="1488"/>
      <c r="G878" s="1489"/>
      <c r="H878" s="1490"/>
      <c r="I878" s="1487"/>
      <c r="J878" s="1488"/>
      <c r="K878" s="1489"/>
      <c r="L878" s="1490"/>
      <c r="M878" s="1487"/>
      <c r="N878" s="1488"/>
      <c r="O878" s="1489"/>
      <c r="P878" s="1490"/>
      <c r="X878" s="1445" t="e">
        <f ca="1"/>
        <v>#NAME?</v>
      </c>
      <c r="Y878" s="1446" t="e">
        <f ca="1"/>
        <v>#NAME?</v>
      </c>
    </row>
    <row r="879" spans="1:25">
      <c r="A879" s="1487"/>
      <c r="B879" s="1488"/>
      <c r="C879" s="1489"/>
      <c r="D879" s="1490"/>
      <c r="E879" s="1487"/>
      <c r="F879" s="1488"/>
      <c r="G879" s="1489"/>
      <c r="H879" s="1490"/>
      <c r="I879" s="1487"/>
      <c r="J879" s="1488"/>
      <c r="K879" s="1489"/>
      <c r="L879" s="1490"/>
      <c r="M879" s="1487"/>
      <c r="N879" s="1488"/>
      <c r="O879" s="1489"/>
      <c r="P879" s="1490"/>
      <c r="X879" s="1445" t="e">
        <f ca="1"/>
        <v>#NAME?</v>
      </c>
      <c r="Y879" s="1446" t="e">
        <f ca="1"/>
        <v>#NAME?</v>
      </c>
    </row>
    <row r="880" spans="1:25">
      <c r="A880" s="1487"/>
      <c r="B880" s="1488"/>
      <c r="C880" s="1489"/>
      <c r="D880" s="1490"/>
      <c r="E880" s="1487"/>
      <c r="F880" s="1488"/>
      <c r="G880" s="1489"/>
      <c r="H880" s="1490"/>
      <c r="I880" s="1487"/>
      <c r="J880" s="1488"/>
      <c r="K880" s="1489"/>
      <c r="L880" s="1490"/>
      <c r="M880" s="1487"/>
      <c r="N880" s="1488"/>
      <c r="O880" s="1489"/>
      <c r="P880" s="1490"/>
      <c r="X880" s="1445" t="e">
        <f ca="1"/>
        <v>#NAME?</v>
      </c>
      <c r="Y880" s="1446" t="e">
        <f ca="1"/>
        <v>#NAME?</v>
      </c>
    </row>
    <row r="881" spans="1:25">
      <c r="A881" s="1487"/>
      <c r="B881" s="1488"/>
      <c r="C881" s="1489"/>
      <c r="D881" s="1490"/>
      <c r="E881" s="1487"/>
      <c r="F881" s="1488"/>
      <c r="G881" s="1489"/>
      <c r="H881" s="1490"/>
      <c r="I881" s="1487"/>
      <c r="J881" s="1488"/>
      <c r="K881" s="1489"/>
      <c r="L881" s="1490"/>
      <c r="M881" s="1487"/>
      <c r="N881" s="1488"/>
      <c r="O881" s="1489"/>
      <c r="P881" s="1490"/>
      <c r="X881" s="1445" t="e">
        <f ca="1"/>
        <v>#NAME?</v>
      </c>
      <c r="Y881" s="1446" t="e">
        <f ca="1"/>
        <v>#NAME?</v>
      </c>
    </row>
    <row r="882" spans="1:25">
      <c r="A882" s="1487"/>
      <c r="B882" s="1488"/>
      <c r="C882" s="1489"/>
      <c r="D882" s="1490"/>
      <c r="E882" s="1487"/>
      <c r="F882" s="1488"/>
      <c r="G882" s="1489"/>
      <c r="H882" s="1490"/>
      <c r="I882" s="1487"/>
      <c r="J882" s="1488"/>
      <c r="K882" s="1489"/>
      <c r="L882" s="1490"/>
      <c r="M882" s="1487"/>
      <c r="N882" s="1488"/>
      <c r="O882" s="1489"/>
      <c r="P882" s="1490"/>
      <c r="X882" s="1445" t="e">
        <f ca="1"/>
        <v>#NAME?</v>
      </c>
      <c r="Y882" s="1446" t="e">
        <f ca="1"/>
        <v>#NAME?</v>
      </c>
    </row>
    <row r="883" spans="1:25">
      <c r="A883" s="1487"/>
      <c r="B883" s="1488"/>
      <c r="C883" s="1489"/>
      <c r="D883" s="1490"/>
      <c r="E883" s="1487"/>
      <c r="F883" s="1488"/>
      <c r="G883" s="1489"/>
      <c r="H883" s="1490"/>
      <c r="I883" s="1487"/>
      <c r="J883" s="1488"/>
      <c r="K883" s="1489"/>
      <c r="L883" s="1490"/>
      <c r="M883" s="1487"/>
      <c r="N883" s="1488"/>
      <c r="O883" s="1489"/>
      <c r="P883" s="1490"/>
      <c r="X883" s="1445" t="e">
        <f ca="1"/>
        <v>#NAME?</v>
      </c>
      <c r="Y883" s="1446" t="e">
        <f ca="1"/>
        <v>#NAME?</v>
      </c>
    </row>
    <row r="884" spans="1:25">
      <c r="A884" s="1487"/>
      <c r="B884" s="1488"/>
      <c r="C884" s="1489"/>
      <c r="D884" s="1490"/>
      <c r="E884" s="1487"/>
      <c r="F884" s="1488"/>
      <c r="G884" s="1489"/>
      <c r="H884" s="1490"/>
      <c r="I884" s="1487"/>
      <c r="J884" s="1488"/>
      <c r="K884" s="1489"/>
      <c r="L884" s="1490"/>
      <c r="M884" s="1487"/>
      <c r="N884" s="1488"/>
      <c r="O884" s="1489"/>
      <c r="P884" s="1490"/>
      <c r="X884" s="1445" t="e">
        <f ca="1"/>
        <v>#NAME?</v>
      </c>
      <c r="Y884" s="1446" t="e">
        <f ca="1"/>
        <v>#NAME?</v>
      </c>
    </row>
    <row r="885" spans="1:25">
      <c r="A885" s="1487"/>
      <c r="B885" s="1488"/>
      <c r="C885" s="1489"/>
      <c r="D885" s="1490"/>
      <c r="E885" s="1487"/>
      <c r="F885" s="1488"/>
      <c r="G885" s="1489"/>
      <c r="H885" s="1490"/>
      <c r="I885" s="1487"/>
      <c r="J885" s="1488"/>
      <c r="K885" s="1489"/>
      <c r="L885" s="1490"/>
      <c r="M885" s="1487"/>
      <c r="N885" s="1488"/>
      <c r="O885" s="1489"/>
      <c r="P885" s="1490"/>
      <c r="X885" s="1445" t="e">
        <f ca="1"/>
        <v>#NAME?</v>
      </c>
      <c r="Y885" s="1446" t="e">
        <f ca="1"/>
        <v>#NAME?</v>
      </c>
    </row>
    <row r="886" spans="1:25">
      <c r="A886" s="1487"/>
      <c r="B886" s="1488"/>
      <c r="C886" s="1489"/>
      <c r="D886" s="1490"/>
      <c r="E886" s="1487"/>
      <c r="F886" s="1488"/>
      <c r="G886" s="1489"/>
      <c r="H886" s="1490"/>
      <c r="I886" s="1487"/>
      <c r="J886" s="1488"/>
      <c r="K886" s="1489"/>
      <c r="L886" s="1490"/>
      <c r="M886" s="1487"/>
      <c r="N886" s="1488"/>
      <c r="O886" s="1489"/>
      <c r="P886" s="1490"/>
      <c r="X886" s="1445" t="e">
        <f ca="1"/>
        <v>#NAME?</v>
      </c>
      <c r="Y886" s="1446" t="e">
        <f ca="1"/>
        <v>#NAME?</v>
      </c>
    </row>
    <row r="887" spans="1:25">
      <c r="A887" s="1487"/>
      <c r="B887" s="1488"/>
      <c r="C887" s="1489"/>
      <c r="D887" s="1490"/>
      <c r="E887" s="1487"/>
      <c r="F887" s="1488"/>
      <c r="G887" s="1489"/>
      <c r="H887" s="1490"/>
      <c r="I887" s="1487"/>
      <c r="J887" s="1488"/>
      <c r="K887" s="1489"/>
      <c r="L887" s="1490"/>
      <c r="M887" s="1487"/>
      <c r="N887" s="1488"/>
      <c r="O887" s="1489"/>
      <c r="P887" s="1490"/>
      <c r="X887" s="1445" t="e">
        <f ca="1"/>
        <v>#NAME?</v>
      </c>
      <c r="Y887" s="1446" t="e">
        <f ca="1"/>
        <v>#NAME?</v>
      </c>
    </row>
    <row r="888" spans="1:25">
      <c r="A888" s="1487"/>
      <c r="B888" s="1488"/>
      <c r="C888" s="1489"/>
      <c r="D888" s="1490"/>
      <c r="E888" s="1487"/>
      <c r="F888" s="1488"/>
      <c r="G888" s="1489"/>
      <c r="H888" s="1490"/>
      <c r="I888" s="1487"/>
      <c r="J888" s="1488"/>
      <c r="K888" s="1489"/>
      <c r="L888" s="1490"/>
      <c r="M888" s="1487"/>
      <c r="N888" s="1488"/>
      <c r="O888" s="1489"/>
      <c r="P888" s="1490"/>
      <c r="X888" s="1445" t="e">
        <f ca="1"/>
        <v>#NAME?</v>
      </c>
      <c r="Y888" s="1446" t="e">
        <f ca="1"/>
        <v>#NAME?</v>
      </c>
    </row>
    <row r="889" spans="1:25">
      <c r="A889" s="1487"/>
      <c r="B889" s="1488"/>
      <c r="C889" s="1489"/>
      <c r="D889" s="1490"/>
      <c r="E889" s="1487"/>
      <c r="F889" s="1488"/>
      <c r="G889" s="1489"/>
      <c r="H889" s="1490"/>
      <c r="I889" s="1487"/>
      <c r="J889" s="1488"/>
      <c r="K889" s="1489"/>
      <c r="L889" s="1490"/>
      <c r="M889" s="1487"/>
      <c r="N889" s="1488"/>
      <c r="O889" s="1489"/>
      <c r="P889" s="1490"/>
      <c r="X889" s="1445" t="e">
        <f ca="1"/>
        <v>#NAME?</v>
      </c>
      <c r="Y889" s="1446" t="e">
        <f ca="1"/>
        <v>#NAME?</v>
      </c>
    </row>
    <row r="890" spans="1:25">
      <c r="A890" s="1487"/>
      <c r="B890" s="1488"/>
      <c r="C890" s="1489"/>
      <c r="D890" s="1490"/>
      <c r="E890" s="1487"/>
      <c r="F890" s="1488"/>
      <c r="G890" s="1489"/>
      <c r="H890" s="1490"/>
      <c r="I890" s="1487"/>
      <c r="J890" s="1488"/>
      <c r="K890" s="1489"/>
      <c r="L890" s="1490"/>
      <c r="M890" s="1487"/>
      <c r="N890" s="1488"/>
      <c r="O890" s="1489"/>
      <c r="P890" s="1490"/>
      <c r="X890" s="1445" t="e">
        <f ca="1"/>
        <v>#NAME?</v>
      </c>
      <c r="Y890" s="1446" t="e">
        <f ca="1"/>
        <v>#NAME?</v>
      </c>
    </row>
    <row r="891" spans="1:25">
      <c r="A891" s="1487"/>
      <c r="B891" s="1488"/>
      <c r="C891" s="1489"/>
      <c r="D891" s="1490"/>
      <c r="E891" s="1487"/>
      <c r="F891" s="1488"/>
      <c r="G891" s="1489"/>
      <c r="H891" s="1490"/>
      <c r="I891" s="1487"/>
      <c r="J891" s="1488"/>
      <c r="K891" s="1489"/>
      <c r="L891" s="1490"/>
      <c r="M891" s="1487"/>
      <c r="N891" s="1488"/>
      <c r="O891" s="1489"/>
      <c r="P891" s="1490"/>
      <c r="X891" s="1445" t="e">
        <f ca="1"/>
        <v>#NAME?</v>
      </c>
      <c r="Y891" s="1446" t="e">
        <f ca="1"/>
        <v>#NAME?</v>
      </c>
    </row>
    <row r="892" spans="1:25">
      <c r="A892" s="1487"/>
      <c r="B892" s="1488"/>
      <c r="C892" s="1489"/>
      <c r="D892" s="1490"/>
      <c r="E892" s="1487"/>
      <c r="F892" s="1488"/>
      <c r="G892" s="1489"/>
      <c r="H892" s="1490"/>
      <c r="I892" s="1487"/>
      <c r="J892" s="1488"/>
      <c r="K892" s="1489"/>
      <c r="L892" s="1490"/>
      <c r="M892" s="1487"/>
      <c r="N892" s="1488"/>
      <c r="O892" s="1489"/>
      <c r="P892" s="1490"/>
      <c r="X892" s="1445" t="e">
        <f ca="1"/>
        <v>#NAME?</v>
      </c>
      <c r="Y892" s="1446" t="e">
        <f ca="1"/>
        <v>#NAME?</v>
      </c>
    </row>
    <row r="893" spans="1:25">
      <c r="A893" s="1487"/>
      <c r="B893" s="1488"/>
      <c r="C893" s="1489"/>
      <c r="D893" s="1490"/>
      <c r="E893" s="1487"/>
      <c r="F893" s="1488"/>
      <c r="G893" s="1489"/>
      <c r="H893" s="1490"/>
      <c r="I893" s="1487"/>
      <c r="J893" s="1488"/>
      <c r="K893" s="1489"/>
      <c r="L893" s="1490"/>
      <c r="M893" s="1487"/>
      <c r="N893" s="1488"/>
      <c r="O893" s="1489"/>
      <c r="P893" s="1490"/>
      <c r="X893" s="1445" t="e">
        <f ca="1"/>
        <v>#NAME?</v>
      </c>
      <c r="Y893" s="1446" t="e">
        <f ca="1"/>
        <v>#NAME?</v>
      </c>
    </row>
    <row r="894" spans="1:25">
      <c r="A894" s="1487"/>
      <c r="B894" s="1488"/>
      <c r="C894" s="1489"/>
      <c r="D894" s="1490"/>
      <c r="E894" s="1487"/>
      <c r="F894" s="1488"/>
      <c r="G894" s="1489"/>
      <c r="H894" s="1490"/>
      <c r="I894" s="1487"/>
      <c r="J894" s="1488"/>
      <c r="K894" s="1489"/>
      <c r="L894" s="1490"/>
      <c r="M894" s="1487"/>
      <c r="N894" s="1488"/>
      <c r="O894" s="1489"/>
      <c r="P894" s="1490"/>
      <c r="X894" s="1445" t="e">
        <f ca="1"/>
        <v>#NAME?</v>
      </c>
      <c r="Y894" s="1446" t="e">
        <f ca="1"/>
        <v>#NAME?</v>
      </c>
    </row>
    <row r="895" spans="1:25">
      <c r="A895" s="1487"/>
      <c r="B895" s="1488"/>
      <c r="C895" s="1489"/>
      <c r="D895" s="1490"/>
      <c r="E895" s="1487"/>
      <c r="F895" s="1488"/>
      <c r="G895" s="1489"/>
      <c r="H895" s="1490"/>
      <c r="I895" s="1487"/>
      <c r="J895" s="1488"/>
      <c r="K895" s="1489"/>
      <c r="L895" s="1490"/>
      <c r="M895" s="1487"/>
      <c r="N895" s="1488"/>
      <c r="O895" s="1489"/>
      <c r="P895" s="1490"/>
      <c r="X895" s="1445" t="e">
        <f ca="1"/>
        <v>#NAME?</v>
      </c>
      <c r="Y895" s="1446" t="e">
        <f ca="1"/>
        <v>#NAME?</v>
      </c>
    </row>
    <row r="896" spans="1:25">
      <c r="A896" s="1487"/>
      <c r="B896" s="1488"/>
      <c r="C896" s="1489"/>
      <c r="D896" s="1490"/>
      <c r="E896" s="1487"/>
      <c r="F896" s="1488"/>
      <c r="G896" s="1489"/>
      <c r="H896" s="1490"/>
      <c r="I896" s="1487"/>
      <c r="J896" s="1488"/>
      <c r="K896" s="1489"/>
      <c r="L896" s="1490"/>
      <c r="M896" s="1487"/>
      <c r="N896" s="1488"/>
      <c r="O896" s="1489"/>
      <c r="P896" s="1490"/>
      <c r="X896" s="1445" t="e">
        <f ca="1"/>
        <v>#NAME?</v>
      </c>
      <c r="Y896" s="1446" t="e">
        <f ca="1"/>
        <v>#NAME?</v>
      </c>
    </row>
    <row r="897" spans="1:25">
      <c r="A897" s="1487"/>
      <c r="B897" s="1488"/>
      <c r="C897" s="1489"/>
      <c r="D897" s="1490"/>
      <c r="E897" s="1487"/>
      <c r="F897" s="1488"/>
      <c r="G897" s="1489"/>
      <c r="H897" s="1490"/>
      <c r="I897" s="1487"/>
      <c r="J897" s="1488"/>
      <c r="K897" s="1489"/>
      <c r="L897" s="1490"/>
      <c r="M897" s="1487"/>
      <c r="N897" s="1488"/>
      <c r="O897" s="1489"/>
      <c r="P897" s="1490"/>
      <c r="X897" s="1445" t="e">
        <f ca="1"/>
        <v>#NAME?</v>
      </c>
      <c r="Y897" s="1446" t="e">
        <f ca="1"/>
        <v>#NAME?</v>
      </c>
    </row>
    <row r="898" spans="1:25">
      <c r="A898" s="1487"/>
      <c r="B898" s="1488"/>
      <c r="C898" s="1489"/>
      <c r="D898" s="1490"/>
      <c r="E898" s="1487"/>
      <c r="F898" s="1488"/>
      <c r="G898" s="1489"/>
      <c r="H898" s="1490"/>
      <c r="I898" s="1487"/>
      <c r="J898" s="1488"/>
      <c r="K898" s="1489"/>
      <c r="L898" s="1490"/>
      <c r="M898" s="1487"/>
      <c r="N898" s="1488"/>
      <c r="O898" s="1489"/>
      <c r="P898" s="1490"/>
      <c r="X898" s="1445" t="e">
        <f ca="1"/>
        <v>#NAME?</v>
      </c>
      <c r="Y898" s="1446" t="e">
        <f ca="1"/>
        <v>#NAME?</v>
      </c>
    </row>
    <row r="899" spans="1:25">
      <c r="A899" s="1487"/>
      <c r="B899" s="1488"/>
      <c r="C899" s="1489"/>
      <c r="D899" s="1490"/>
      <c r="E899" s="1487"/>
      <c r="F899" s="1488"/>
      <c r="G899" s="1489"/>
      <c r="H899" s="1490"/>
      <c r="I899" s="1487"/>
      <c r="J899" s="1488"/>
      <c r="K899" s="1489"/>
      <c r="L899" s="1490"/>
      <c r="M899" s="1487"/>
      <c r="N899" s="1488"/>
      <c r="O899" s="1489"/>
      <c r="P899" s="1490"/>
      <c r="X899" s="1445" t="e">
        <f ca="1"/>
        <v>#NAME?</v>
      </c>
      <c r="Y899" s="1446" t="e">
        <f ca="1"/>
        <v>#NAME?</v>
      </c>
    </row>
    <row r="900" spans="1:25">
      <c r="A900" s="1487"/>
      <c r="B900" s="1488"/>
      <c r="C900" s="1489"/>
      <c r="D900" s="1490"/>
      <c r="E900" s="1487"/>
      <c r="F900" s="1488"/>
      <c r="G900" s="1489"/>
      <c r="H900" s="1490"/>
      <c r="I900" s="1487"/>
      <c r="J900" s="1488"/>
      <c r="K900" s="1489"/>
      <c r="L900" s="1490"/>
      <c r="M900" s="1487"/>
      <c r="N900" s="1488"/>
      <c r="O900" s="1489"/>
      <c r="P900" s="1490"/>
      <c r="X900" s="1445" t="e">
        <f ca="1"/>
        <v>#NAME?</v>
      </c>
      <c r="Y900" s="1446" t="e">
        <f ca="1"/>
        <v>#NAME?</v>
      </c>
    </row>
    <row r="901" spans="1:25">
      <c r="A901" s="1487"/>
      <c r="B901" s="1488"/>
      <c r="C901" s="1489"/>
      <c r="D901" s="1490"/>
      <c r="E901" s="1487"/>
      <c r="F901" s="1488"/>
      <c r="G901" s="1489"/>
      <c r="H901" s="1490"/>
      <c r="I901" s="1487"/>
      <c r="J901" s="1488"/>
      <c r="K901" s="1489"/>
      <c r="L901" s="1490"/>
      <c r="M901" s="1487"/>
      <c r="N901" s="1488"/>
      <c r="O901" s="1489"/>
      <c r="P901" s="1490"/>
      <c r="X901" s="1445" t="e">
        <f ca="1"/>
        <v>#NAME?</v>
      </c>
      <c r="Y901" s="1446" t="e">
        <f ca="1"/>
        <v>#NAME?</v>
      </c>
    </row>
    <row r="902" spans="1:25">
      <c r="A902" s="1487"/>
      <c r="B902" s="1488"/>
      <c r="C902" s="1489"/>
      <c r="D902" s="1490"/>
      <c r="E902" s="1487"/>
      <c r="F902" s="1488"/>
      <c r="G902" s="1489"/>
      <c r="H902" s="1490"/>
      <c r="I902" s="1487"/>
      <c r="J902" s="1488"/>
      <c r="K902" s="1489"/>
      <c r="L902" s="1490"/>
      <c r="M902" s="1487"/>
      <c r="N902" s="1488"/>
      <c r="O902" s="1489"/>
      <c r="P902" s="1490"/>
      <c r="X902" s="1445" t="e">
        <f ca="1"/>
        <v>#NAME?</v>
      </c>
      <c r="Y902" s="1446" t="e">
        <f ca="1"/>
        <v>#NAME?</v>
      </c>
    </row>
    <row r="903" spans="1:25">
      <c r="A903" s="1487"/>
      <c r="B903" s="1488"/>
      <c r="C903" s="1489"/>
      <c r="D903" s="1490"/>
      <c r="E903" s="1487"/>
      <c r="F903" s="1488"/>
      <c r="G903" s="1489"/>
      <c r="H903" s="1490"/>
      <c r="I903" s="1487"/>
      <c r="J903" s="1488"/>
      <c r="K903" s="1489"/>
      <c r="L903" s="1490"/>
      <c r="M903" s="1487"/>
      <c r="N903" s="1488"/>
      <c r="O903" s="1489"/>
      <c r="P903" s="1490"/>
      <c r="X903" s="1445" t="e">
        <f ca="1"/>
        <v>#NAME?</v>
      </c>
      <c r="Y903" s="1446" t="e">
        <f ca="1"/>
        <v>#NAME?</v>
      </c>
    </row>
    <row r="904" spans="1:25">
      <c r="A904" s="1487"/>
      <c r="B904" s="1488"/>
      <c r="C904" s="1489"/>
      <c r="D904" s="1490"/>
      <c r="E904" s="1487"/>
      <c r="F904" s="1488"/>
      <c r="G904" s="1489"/>
      <c r="H904" s="1490"/>
      <c r="I904" s="1487"/>
      <c r="J904" s="1488"/>
      <c r="K904" s="1489"/>
      <c r="L904" s="1490"/>
      <c r="M904" s="1487"/>
      <c r="N904" s="1488"/>
      <c r="O904" s="1489"/>
      <c r="P904" s="1490"/>
      <c r="X904" s="1445" t="e">
        <f ca="1"/>
        <v>#NAME?</v>
      </c>
      <c r="Y904" s="1446" t="e">
        <f ca="1"/>
        <v>#NAME?</v>
      </c>
    </row>
    <row r="905" spans="1:25">
      <c r="A905" s="1487"/>
      <c r="B905" s="1488"/>
      <c r="C905" s="1489"/>
      <c r="D905" s="1490"/>
      <c r="E905" s="1487"/>
      <c r="F905" s="1488"/>
      <c r="G905" s="1489"/>
      <c r="H905" s="1490"/>
      <c r="I905" s="1487"/>
      <c r="J905" s="1488"/>
      <c r="K905" s="1489"/>
      <c r="L905" s="1490"/>
      <c r="M905" s="1487"/>
      <c r="N905" s="1488"/>
      <c r="O905" s="1489"/>
      <c r="P905" s="1490"/>
      <c r="X905" s="1445" t="e">
        <f ca="1"/>
        <v>#NAME?</v>
      </c>
      <c r="Y905" s="1446" t="e">
        <f ca="1"/>
        <v>#NAME?</v>
      </c>
    </row>
    <row r="906" spans="1:25">
      <c r="A906" s="1487"/>
      <c r="B906" s="1488"/>
      <c r="C906" s="1489"/>
      <c r="D906" s="1490"/>
      <c r="E906" s="1487"/>
      <c r="F906" s="1488"/>
      <c r="G906" s="1489"/>
      <c r="H906" s="1490"/>
      <c r="I906" s="1487"/>
      <c r="J906" s="1488"/>
      <c r="K906" s="1489"/>
      <c r="L906" s="1490"/>
      <c r="M906" s="1487"/>
      <c r="N906" s="1488"/>
      <c r="O906" s="1489"/>
      <c r="P906" s="1490"/>
      <c r="X906" s="1445" t="e">
        <f ca="1"/>
        <v>#NAME?</v>
      </c>
      <c r="Y906" s="1446" t="e">
        <f ca="1"/>
        <v>#NAME?</v>
      </c>
    </row>
    <row r="907" spans="1:25">
      <c r="A907" s="1487"/>
      <c r="B907" s="1488"/>
      <c r="C907" s="1489"/>
      <c r="D907" s="1490"/>
      <c r="E907" s="1487"/>
      <c r="F907" s="1488"/>
      <c r="G907" s="1489"/>
      <c r="H907" s="1490"/>
      <c r="I907" s="1487"/>
      <c r="J907" s="1488"/>
      <c r="K907" s="1489"/>
      <c r="L907" s="1490"/>
      <c r="M907" s="1487"/>
      <c r="N907" s="1488"/>
      <c r="O907" s="1489"/>
      <c r="P907" s="1490"/>
      <c r="X907" s="1445" t="e">
        <f ca="1"/>
        <v>#NAME?</v>
      </c>
      <c r="Y907" s="1446" t="e">
        <f ca="1"/>
        <v>#NAME?</v>
      </c>
    </row>
    <row r="908" spans="1:25">
      <c r="A908" s="1487"/>
      <c r="B908" s="1488"/>
      <c r="C908" s="1489"/>
      <c r="D908" s="1490"/>
      <c r="E908" s="1487"/>
      <c r="F908" s="1488"/>
      <c r="G908" s="1489"/>
      <c r="H908" s="1490"/>
      <c r="I908" s="1487"/>
      <c r="J908" s="1488"/>
      <c r="K908" s="1489"/>
      <c r="L908" s="1490"/>
      <c r="M908" s="1487"/>
      <c r="N908" s="1488"/>
      <c r="O908" s="1489"/>
      <c r="P908" s="1490"/>
      <c r="X908" s="1445" t="e">
        <f ca="1"/>
        <v>#NAME?</v>
      </c>
      <c r="Y908" s="1446" t="e">
        <f ca="1"/>
        <v>#NAME?</v>
      </c>
    </row>
    <row r="909" spans="1:25">
      <c r="A909" s="1487"/>
      <c r="B909" s="1488"/>
      <c r="C909" s="1489"/>
      <c r="D909" s="1490"/>
      <c r="E909" s="1487"/>
      <c r="F909" s="1488"/>
      <c r="G909" s="1489"/>
      <c r="H909" s="1490"/>
      <c r="I909" s="1487"/>
      <c r="J909" s="1488"/>
      <c r="K909" s="1489"/>
      <c r="L909" s="1490"/>
      <c r="M909" s="1487"/>
      <c r="N909" s="1488"/>
      <c r="O909" s="1489"/>
      <c r="P909" s="1490"/>
      <c r="X909" s="1445" t="e">
        <f ca="1"/>
        <v>#NAME?</v>
      </c>
      <c r="Y909" s="1446" t="e">
        <f ca="1"/>
        <v>#NAME?</v>
      </c>
    </row>
    <row r="910" spans="1:25">
      <c r="A910" s="1487"/>
      <c r="B910" s="1488"/>
      <c r="C910" s="1489"/>
      <c r="D910" s="1490"/>
      <c r="E910" s="1487"/>
      <c r="F910" s="1488"/>
      <c r="G910" s="1489"/>
      <c r="H910" s="1490"/>
      <c r="I910" s="1487"/>
      <c r="J910" s="1488"/>
      <c r="K910" s="1489"/>
      <c r="L910" s="1490"/>
      <c r="M910" s="1487"/>
      <c r="N910" s="1488"/>
      <c r="O910" s="1489"/>
      <c r="P910" s="1490"/>
      <c r="X910" s="1445" t="e">
        <f ca="1"/>
        <v>#NAME?</v>
      </c>
      <c r="Y910" s="1446" t="e">
        <f ca="1"/>
        <v>#NAME?</v>
      </c>
    </row>
    <row r="911" spans="1:25">
      <c r="A911" s="1487"/>
      <c r="B911" s="1488"/>
      <c r="C911" s="1489"/>
      <c r="D911" s="1490"/>
      <c r="E911" s="1487"/>
      <c r="F911" s="1488"/>
      <c r="G911" s="1489"/>
      <c r="H911" s="1490"/>
      <c r="I911" s="1487"/>
      <c r="J911" s="1488"/>
      <c r="K911" s="1489"/>
      <c r="L911" s="1490"/>
      <c r="M911" s="1487"/>
      <c r="N911" s="1488"/>
      <c r="O911" s="1489"/>
      <c r="P911" s="1490"/>
      <c r="X911" s="1445" t="e">
        <f ca="1"/>
        <v>#NAME?</v>
      </c>
      <c r="Y911" s="1446" t="e">
        <f ca="1"/>
        <v>#NAME?</v>
      </c>
    </row>
    <row r="912" spans="1:25">
      <c r="A912" s="1487"/>
      <c r="B912" s="1488"/>
      <c r="C912" s="1489"/>
      <c r="D912" s="1490"/>
      <c r="E912" s="1487"/>
      <c r="F912" s="1488"/>
      <c r="G912" s="1489"/>
      <c r="H912" s="1490"/>
      <c r="I912" s="1487"/>
      <c r="J912" s="1488"/>
      <c r="K912" s="1489"/>
      <c r="L912" s="1490"/>
      <c r="M912" s="1487"/>
      <c r="N912" s="1488"/>
      <c r="O912" s="1489"/>
      <c r="P912" s="1490"/>
      <c r="X912" s="1445" t="e">
        <f ca="1"/>
        <v>#NAME?</v>
      </c>
      <c r="Y912" s="1446" t="e">
        <f ca="1"/>
        <v>#NAME?</v>
      </c>
    </row>
    <row r="913" spans="1:25">
      <c r="A913" s="1487"/>
      <c r="B913" s="1488"/>
      <c r="C913" s="1489"/>
      <c r="D913" s="1490"/>
      <c r="E913" s="1487"/>
      <c r="F913" s="1488"/>
      <c r="G913" s="1489"/>
      <c r="H913" s="1490"/>
      <c r="I913" s="1487"/>
      <c r="J913" s="1488"/>
      <c r="K913" s="1489"/>
      <c r="L913" s="1490"/>
      <c r="M913" s="1487"/>
      <c r="N913" s="1488"/>
      <c r="O913" s="1489"/>
      <c r="P913" s="1490"/>
      <c r="X913" s="1445" t="e">
        <f ca="1"/>
        <v>#NAME?</v>
      </c>
      <c r="Y913" s="1446" t="e">
        <f ca="1"/>
        <v>#NAME?</v>
      </c>
    </row>
    <row r="914" spans="1:25">
      <c r="A914" s="1487"/>
      <c r="B914" s="1488"/>
      <c r="C914" s="1489"/>
      <c r="D914" s="1490"/>
      <c r="E914" s="1487"/>
      <c r="F914" s="1488"/>
      <c r="G914" s="1489"/>
      <c r="H914" s="1490"/>
      <c r="I914" s="1487"/>
      <c r="J914" s="1488"/>
      <c r="K914" s="1489"/>
      <c r="L914" s="1490"/>
      <c r="M914" s="1487"/>
      <c r="N914" s="1488"/>
      <c r="O914" s="1489"/>
      <c r="P914" s="1490"/>
      <c r="X914" s="1445" t="e">
        <f ca="1"/>
        <v>#NAME?</v>
      </c>
      <c r="Y914" s="1446" t="e">
        <f ca="1"/>
        <v>#NAME?</v>
      </c>
    </row>
    <row r="915" spans="1:25">
      <c r="A915" s="1487"/>
      <c r="B915" s="1488"/>
      <c r="C915" s="1489"/>
      <c r="D915" s="1490"/>
      <c r="E915" s="1487"/>
      <c r="F915" s="1488"/>
      <c r="G915" s="1489"/>
      <c r="H915" s="1490"/>
      <c r="I915" s="1487"/>
      <c r="J915" s="1488"/>
      <c r="K915" s="1489"/>
      <c r="L915" s="1490"/>
      <c r="M915" s="1487"/>
      <c r="N915" s="1488"/>
      <c r="O915" s="1489"/>
      <c r="P915" s="1490"/>
      <c r="X915" s="1445" t="e">
        <f ca="1"/>
        <v>#NAME?</v>
      </c>
      <c r="Y915" s="1446" t="e">
        <f ca="1"/>
        <v>#NAME?</v>
      </c>
    </row>
    <row r="916" spans="1:25">
      <c r="A916" s="1487"/>
      <c r="B916" s="1488"/>
      <c r="C916" s="1489"/>
      <c r="D916" s="1490"/>
      <c r="E916" s="1487"/>
      <c r="F916" s="1488"/>
      <c r="G916" s="1489"/>
      <c r="H916" s="1490"/>
      <c r="I916" s="1487"/>
      <c r="J916" s="1488"/>
      <c r="K916" s="1489"/>
      <c r="L916" s="1490"/>
      <c r="M916" s="1487"/>
      <c r="N916" s="1488"/>
      <c r="O916" s="1489"/>
      <c r="P916" s="1490"/>
      <c r="X916" s="1445" t="e">
        <f ca="1"/>
        <v>#NAME?</v>
      </c>
      <c r="Y916" s="1446" t="e">
        <f ca="1"/>
        <v>#NAME?</v>
      </c>
    </row>
    <row r="917" spans="1:25">
      <c r="A917" s="1487"/>
      <c r="B917" s="1488"/>
      <c r="C917" s="1489"/>
      <c r="D917" s="1490"/>
      <c r="E917" s="1487"/>
      <c r="F917" s="1488"/>
      <c r="G917" s="1489"/>
      <c r="H917" s="1490"/>
      <c r="I917" s="1487"/>
      <c r="J917" s="1488"/>
      <c r="K917" s="1489"/>
      <c r="L917" s="1490"/>
      <c r="M917" s="1487"/>
      <c r="N917" s="1488"/>
      <c r="O917" s="1489"/>
      <c r="P917" s="1490"/>
      <c r="X917" s="1445" t="e">
        <f ca="1"/>
        <v>#NAME?</v>
      </c>
      <c r="Y917" s="1446" t="e">
        <f ca="1"/>
        <v>#NAME?</v>
      </c>
    </row>
    <row r="918" spans="1:25">
      <c r="A918" s="1487"/>
      <c r="B918" s="1488"/>
      <c r="C918" s="1489"/>
      <c r="D918" s="1490"/>
      <c r="E918" s="1487"/>
      <c r="F918" s="1488"/>
      <c r="G918" s="1489"/>
      <c r="H918" s="1490"/>
      <c r="I918" s="1487"/>
      <c r="J918" s="1488"/>
      <c r="K918" s="1489"/>
      <c r="L918" s="1490"/>
      <c r="M918" s="1487"/>
      <c r="N918" s="1488"/>
      <c r="O918" s="1489"/>
      <c r="P918" s="1490"/>
      <c r="X918" s="1445" t="e">
        <f ca="1"/>
        <v>#NAME?</v>
      </c>
      <c r="Y918" s="1446" t="e">
        <f ca="1"/>
        <v>#NAME?</v>
      </c>
    </row>
    <row r="919" spans="1:25">
      <c r="A919" s="1487"/>
      <c r="B919" s="1488"/>
      <c r="C919" s="1489"/>
      <c r="D919" s="1490"/>
      <c r="E919" s="1487"/>
      <c r="F919" s="1488"/>
      <c r="G919" s="1489"/>
      <c r="H919" s="1490"/>
      <c r="I919" s="1487"/>
      <c r="J919" s="1488"/>
      <c r="K919" s="1489"/>
      <c r="L919" s="1490"/>
      <c r="M919" s="1487"/>
      <c r="N919" s="1488"/>
      <c r="O919" s="1489"/>
      <c r="P919" s="1490"/>
      <c r="X919" s="1445" t="e">
        <f ca="1"/>
        <v>#NAME?</v>
      </c>
      <c r="Y919" s="1446" t="e">
        <f ca="1"/>
        <v>#NAME?</v>
      </c>
    </row>
    <row r="920" spans="1:25">
      <c r="A920" s="1487"/>
      <c r="B920" s="1488"/>
      <c r="C920" s="1489"/>
      <c r="D920" s="1490"/>
      <c r="E920" s="1487"/>
      <c r="F920" s="1488"/>
      <c r="G920" s="1489"/>
      <c r="H920" s="1490"/>
      <c r="I920" s="1487"/>
      <c r="J920" s="1488"/>
      <c r="K920" s="1489"/>
      <c r="L920" s="1490"/>
      <c r="M920" s="1487"/>
      <c r="N920" s="1488"/>
      <c r="O920" s="1489"/>
      <c r="P920" s="1490"/>
      <c r="X920" s="1445" t="e">
        <f ca="1"/>
        <v>#NAME?</v>
      </c>
      <c r="Y920" s="1446" t="e">
        <f ca="1"/>
        <v>#NAME?</v>
      </c>
    </row>
    <row r="921" spans="1:25">
      <c r="A921" s="1487"/>
      <c r="B921" s="1488"/>
      <c r="C921" s="1489"/>
      <c r="D921" s="1490"/>
      <c r="E921" s="1487"/>
      <c r="F921" s="1488"/>
      <c r="G921" s="1489"/>
      <c r="H921" s="1490"/>
      <c r="I921" s="1487"/>
      <c r="J921" s="1488"/>
      <c r="K921" s="1489"/>
      <c r="L921" s="1490"/>
      <c r="M921" s="1487"/>
      <c r="N921" s="1488"/>
      <c r="O921" s="1489"/>
      <c r="P921" s="1490"/>
      <c r="X921" s="1445" t="e">
        <f ca="1"/>
        <v>#NAME?</v>
      </c>
      <c r="Y921" s="1446" t="e">
        <f ca="1"/>
        <v>#NAME?</v>
      </c>
    </row>
    <row r="922" spans="1:25">
      <c r="A922" s="1487"/>
      <c r="B922" s="1488"/>
      <c r="C922" s="1489"/>
      <c r="D922" s="1490"/>
      <c r="E922" s="1487"/>
      <c r="F922" s="1488"/>
      <c r="G922" s="1489"/>
      <c r="H922" s="1490"/>
      <c r="I922" s="1487"/>
      <c r="J922" s="1488"/>
      <c r="K922" s="1489"/>
      <c r="L922" s="1490"/>
      <c r="M922" s="1487"/>
      <c r="N922" s="1488"/>
      <c r="O922" s="1489"/>
      <c r="P922" s="1490"/>
      <c r="X922" s="1445" t="e">
        <f ca="1"/>
        <v>#NAME?</v>
      </c>
      <c r="Y922" s="1446" t="e">
        <f ca="1"/>
        <v>#NAME?</v>
      </c>
    </row>
    <row r="923" spans="1:25">
      <c r="A923" s="1487"/>
      <c r="B923" s="1488"/>
      <c r="C923" s="1489"/>
      <c r="D923" s="1490"/>
      <c r="E923" s="1487"/>
      <c r="F923" s="1488"/>
      <c r="G923" s="1489"/>
      <c r="H923" s="1490"/>
      <c r="I923" s="1487"/>
      <c r="J923" s="1488"/>
      <c r="K923" s="1489"/>
      <c r="L923" s="1490"/>
      <c r="M923" s="1487"/>
      <c r="N923" s="1488"/>
      <c r="O923" s="1489"/>
      <c r="P923" s="1490"/>
      <c r="X923" s="1445" t="e">
        <f ca="1"/>
        <v>#NAME?</v>
      </c>
      <c r="Y923" s="1446" t="e">
        <f ca="1"/>
        <v>#NAME?</v>
      </c>
    </row>
    <row r="924" spans="1:25">
      <c r="A924" s="1487"/>
      <c r="B924" s="1488"/>
      <c r="C924" s="1489"/>
      <c r="D924" s="1490"/>
      <c r="E924" s="1487"/>
      <c r="F924" s="1488"/>
      <c r="G924" s="1489"/>
      <c r="H924" s="1490"/>
      <c r="I924" s="1487"/>
      <c r="J924" s="1488"/>
      <c r="K924" s="1489"/>
      <c r="L924" s="1490"/>
      <c r="M924" s="1487"/>
      <c r="N924" s="1488"/>
      <c r="O924" s="1489"/>
      <c r="P924" s="1490"/>
      <c r="X924" s="1445" t="e">
        <f ca="1"/>
        <v>#NAME?</v>
      </c>
      <c r="Y924" s="1446" t="e">
        <f ca="1"/>
        <v>#NAME?</v>
      </c>
    </row>
    <row r="925" spans="1:25">
      <c r="A925" s="1487"/>
      <c r="B925" s="1488"/>
      <c r="C925" s="1489"/>
      <c r="D925" s="1490"/>
      <c r="E925" s="1487"/>
      <c r="F925" s="1488"/>
      <c r="G925" s="1489"/>
      <c r="H925" s="1490"/>
      <c r="I925" s="1487"/>
      <c r="J925" s="1488"/>
      <c r="K925" s="1489"/>
      <c r="L925" s="1490"/>
      <c r="M925" s="1487"/>
      <c r="N925" s="1488"/>
      <c r="O925" s="1489"/>
      <c r="P925" s="1490"/>
      <c r="X925" s="1445" t="e">
        <f ca="1"/>
        <v>#NAME?</v>
      </c>
      <c r="Y925" s="1446" t="e">
        <f ca="1"/>
        <v>#NAME?</v>
      </c>
    </row>
    <row r="926" spans="1:25">
      <c r="A926" s="1487"/>
      <c r="B926" s="1488"/>
      <c r="C926" s="1489"/>
      <c r="D926" s="1490"/>
      <c r="E926" s="1487"/>
      <c r="F926" s="1488"/>
      <c r="G926" s="1489"/>
      <c r="H926" s="1490"/>
      <c r="I926" s="1487"/>
      <c r="J926" s="1488"/>
      <c r="K926" s="1489"/>
      <c r="L926" s="1490"/>
      <c r="M926" s="1487"/>
      <c r="N926" s="1488"/>
      <c r="O926" s="1489"/>
      <c r="P926" s="1490"/>
      <c r="X926" s="1445" t="e">
        <f ca="1"/>
        <v>#NAME?</v>
      </c>
      <c r="Y926" s="1446" t="e">
        <f ca="1"/>
        <v>#NAME?</v>
      </c>
    </row>
    <row r="927" spans="1:25">
      <c r="A927" s="1487"/>
      <c r="B927" s="1488"/>
      <c r="C927" s="1489"/>
      <c r="D927" s="1490"/>
      <c r="E927" s="1487"/>
      <c r="F927" s="1488"/>
      <c r="G927" s="1489"/>
      <c r="H927" s="1490"/>
      <c r="I927" s="1487"/>
      <c r="J927" s="1488"/>
      <c r="K927" s="1489"/>
      <c r="L927" s="1490"/>
      <c r="M927" s="1487"/>
      <c r="N927" s="1488"/>
      <c r="O927" s="1489"/>
      <c r="P927" s="1490"/>
      <c r="X927" s="1445" t="e">
        <f ca="1"/>
        <v>#NAME?</v>
      </c>
      <c r="Y927" s="1446" t="e">
        <f ca="1"/>
        <v>#NAME?</v>
      </c>
    </row>
    <row r="928" spans="1:25">
      <c r="A928" s="1487"/>
      <c r="B928" s="1488"/>
      <c r="C928" s="1489"/>
      <c r="D928" s="1490"/>
      <c r="E928" s="1487"/>
      <c r="F928" s="1488"/>
      <c r="G928" s="1489"/>
      <c r="H928" s="1490"/>
      <c r="I928" s="1487"/>
      <c r="J928" s="1488"/>
      <c r="K928" s="1489"/>
      <c r="L928" s="1490"/>
      <c r="M928" s="1487"/>
      <c r="N928" s="1488"/>
      <c r="O928" s="1489"/>
      <c r="P928" s="1490"/>
      <c r="X928" s="1445" t="e">
        <f ca="1"/>
        <v>#NAME?</v>
      </c>
      <c r="Y928" s="1446" t="e">
        <f ca="1"/>
        <v>#NAME?</v>
      </c>
    </row>
    <row r="929" spans="1:25">
      <c r="A929" s="1487"/>
      <c r="B929" s="1488"/>
      <c r="C929" s="1489"/>
      <c r="D929" s="1490"/>
      <c r="E929" s="1487"/>
      <c r="F929" s="1488"/>
      <c r="G929" s="1489"/>
      <c r="H929" s="1490"/>
      <c r="I929" s="1487"/>
      <c r="J929" s="1488"/>
      <c r="K929" s="1489"/>
      <c r="L929" s="1490"/>
      <c r="M929" s="1487"/>
      <c r="N929" s="1488"/>
      <c r="O929" s="1489"/>
      <c r="P929" s="1490"/>
      <c r="X929" s="1445" t="e">
        <f ca="1"/>
        <v>#NAME?</v>
      </c>
      <c r="Y929" s="1446" t="e">
        <f ca="1"/>
        <v>#NAME?</v>
      </c>
    </row>
    <row r="930" spans="1:25">
      <c r="A930" s="1487"/>
      <c r="B930" s="1488"/>
      <c r="C930" s="1489"/>
      <c r="D930" s="1490"/>
      <c r="E930" s="1487"/>
      <c r="F930" s="1488"/>
      <c r="G930" s="1489"/>
      <c r="H930" s="1490"/>
      <c r="I930" s="1487"/>
      <c r="J930" s="1488"/>
      <c r="K930" s="1489"/>
      <c r="L930" s="1490"/>
      <c r="M930" s="1487"/>
      <c r="N930" s="1488"/>
      <c r="O930" s="1489"/>
      <c r="P930" s="1490"/>
      <c r="X930" s="1445" t="e">
        <f ca="1"/>
        <v>#NAME?</v>
      </c>
      <c r="Y930" s="1446" t="e">
        <f ca="1"/>
        <v>#NAME?</v>
      </c>
    </row>
    <row r="931" spans="1:25">
      <c r="A931" s="1487"/>
      <c r="B931" s="1488"/>
      <c r="C931" s="1489"/>
      <c r="D931" s="1490"/>
      <c r="E931" s="1487"/>
      <c r="F931" s="1488"/>
      <c r="G931" s="1489"/>
      <c r="H931" s="1490"/>
      <c r="I931" s="1487"/>
      <c r="J931" s="1488"/>
      <c r="K931" s="1489"/>
      <c r="L931" s="1490"/>
      <c r="M931" s="1487"/>
      <c r="N931" s="1488"/>
      <c r="O931" s="1489"/>
      <c r="P931" s="1490"/>
      <c r="X931" s="1445" t="e">
        <f ca="1"/>
        <v>#NAME?</v>
      </c>
      <c r="Y931" s="1446" t="e">
        <f ca="1"/>
        <v>#NAME?</v>
      </c>
    </row>
    <row r="932" spans="1:25">
      <c r="A932" s="1487"/>
      <c r="B932" s="1488"/>
      <c r="C932" s="1489"/>
      <c r="D932" s="1490"/>
      <c r="E932" s="1487"/>
      <c r="F932" s="1488"/>
      <c r="G932" s="1489"/>
      <c r="H932" s="1490"/>
      <c r="I932" s="1487"/>
      <c r="J932" s="1488"/>
      <c r="K932" s="1489"/>
      <c r="L932" s="1490"/>
      <c r="M932" s="1487"/>
      <c r="N932" s="1488"/>
      <c r="O932" s="1489"/>
      <c r="P932" s="1490"/>
      <c r="X932" s="1445" t="e">
        <f ca="1"/>
        <v>#NAME?</v>
      </c>
      <c r="Y932" s="1446" t="e">
        <f ca="1"/>
        <v>#NAME?</v>
      </c>
    </row>
    <row r="933" spans="1:25">
      <c r="A933" s="1487"/>
      <c r="B933" s="1488"/>
      <c r="C933" s="1489"/>
      <c r="D933" s="1490"/>
      <c r="E933" s="1487"/>
      <c r="F933" s="1488"/>
      <c r="G933" s="1489"/>
      <c r="H933" s="1490"/>
      <c r="I933" s="1487"/>
      <c r="J933" s="1488"/>
      <c r="K933" s="1489"/>
      <c r="L933" s="1490"/>
      <c r="M933" s="1487"/>
      <c r="N933" s="1488"/>
      <c r="O933" s="1489"/>
      <c r="P933" s="1490"/>
      <c r="X933" s="1445" t="e">
        <f ca="1"/>
        <v>#NAME?</v>
      </c>
      <c r="Y933" s="1446" t="e">
        <f ca="1"/>
        <v>#NAME?</v>
      </c>
    </row>
    <row r="934" spans="1:25">
      <c r="A934" s="1487"/>
      <c r="B934" s="1488"/>
      <c r="C934" s="1489"/>
      <c r="D934" s="1490"/>
      <c r="E934" s="1487"/>
      <c r="F934" s="1488"/>
      <c r="G934" s="1489"/>
      <c r="H934" s="1490"/>
      <c r="I934" s="1487"/>
      <c r="J934" s="1488"/>
      <c r="K934" s="1489"/>
      <c r="L934" s="1490"/>
      <c r="M934" s="1487"/>
      <c r="N934" s="1488"/>
      <c r="O934" s="1489"/>
      <c r="P934" s="1490"/>
      <c r="X934" s="1445" t="e">
        <f ca="1"/>
        <v>#NAME?</v>
      </c>
      <c r="Y934" s="1446" t="e">
        <f ca="1"/>
        <v>#NAME?</v>
      </c>
    </row>
    <row r="935" spans="1:25">
      <c r="A935" s="1487"/>
      <c r="B935" s="1488"/>
      <c r="C935" s="1489"/>
      <c r="D935" s="1490"/>
      <c r="E935" s="1487"/>
      <c r="F935" s="1488"/>
      <c r="G935" s="1489"/>
      <c r="H935" s="1490"/>
      <c r="I935" s="1487"/>
      <c r="J935" s="1488"/>
      <c r="K935" s="1489"/>
      <c r="L935" s="1490"/>
      <c r="M935" s="1487"/>
      <c r="N935" s="1488"/>
      <c r="O935" s="1489"/>
      <c r="P935" s="1490"/>
      <c r="X935" s="1445" t="e">
        <f ca="1"/>
        <v>#NAME?</v>
      </c>
      <c r="Y935" s="1446" t="e">
        <f ca="1"/>
        <v>#NAME?</v>
      </c>
    </row>
    <row r="936" spans="1:25">
      <c r="A936" s="1487"/>
      <c r="B936" s="1488"/>
      <c r="C936" s="1489"/>
      <c r="D936" s="1490"/>
      <c r="E936" s="1487"/>
      <c r="F936" s="1488"/>
      <c r="G936" s="1489"/>
      <c r="H936" s="1490"/>
      <c r="I936" s="1487"/>
      <c r="J936" s="1488"/>
      <c r="K936" s="1489"/>
      <c r="L936" s="1490"/>
      <c r="M936" s="1487"/>
      <c r="N936" s="1488"/>
      <c r="O936" s="1489"/>
      <c r="P936" s="1490"/>
      <c r="X936" s="1445" t="e">
        <f ca="1"/>
        <v>#NAME?</v>
      </c>
      <c r="Y936" s="1446" t="e">
        <f ca="1"/>
        <v>#NAME?</v>
      </c>
    </row>
    <row r="937" spans="1:25">
      <c r="A937" s="1487"/>
      <c r="B937" s="1488"/>
      <c r="C937" s="1489"/>
      <c r="D937" s="1490"/>
      <c r="E937" s="1487"/>
      <c r="F937" s="1488"/>
      <c r="G937" s="1489"/>
      <c r="H937" s="1490"/>
      <c r="I937" s="1487"/>
      <c r="J937" s="1488"/>
      <c r="K937" s="1489"/>
      <c r="L937" s="1490"/>
      <c r="M937" s="1487"/>
      <c r="N937" s="1488"/>
      <c r="O937" s="1489"/>
      <c r="P937" s="1490"/>
      <c r="X937" s="1445" t="e">
        <f ca="1"/>
        <v>#NAME?</v>
      </c>
      <c r="Y937" s="1446" t="e">
        <f ca="1"/>
        <v>#NAME?</v>
      </c>
    </row>
    <row r="938" spans="1:25">
      <c r="A938" s="1487"/>
      <c r="B938" s="1488"/>
      <c r="C938" s="1489"/>
      <c r="D938" s="1490"/>
      <c r="E938" s="1487"/>
      <c r="F938" s="1488"/>
      <c r="G938" s="1489"/>
      <c r="H938" s="1490"/>
      <c r="I938" s="1487"/>
      <c r="J938" s="1488"/>
      <c r="K938" s="1489"/>
      <c r="L938" s="1490"/>
      <c r="M938" s="1487"/>
      <c r="N938" s="1488"/>
      <c r="O938" s="1489"/>
      <c r="P938" s="1490"/>
      <c r="X938" s="1445" t="e">
        <f ca="1"/>
        <v>#NAME?</v>
      </c>
      <c r="Y938" s="1446" t="e">
        <f ca="1"/>
        <v>#NAME?</v>
      </c>
    </row>
    <row r="939" spans="1:25">
      <c r="A939" s="1487"/>
      <c r="B939" s="1488"/>
      <c r="C939" s="1489"/>
      <c r="D939" s="1490"/>
      <c r="E939" s="1487"/>
      <c r="F939" s="1488"/>
      <c r="G939" s="1489"/>
      <c r="H939" s="1490"/>
      <c r="I939" s="1487"/>
      <c r="J939" s="1488"/>
      <c r="K939" s="1489"/>
      <c r="L939" s="1490"/>
      <c r="M939" s="1487"/>
      <c r="N939" s="1488"/>
      <c r="O939" s="1489"/>
      <c r="P939" s="1490"/>
      <c r="X939" s="1445" t="e">
        <f ca="1"/>
        <v>#NAME?</v>
      </c>
      <c r="Y939" s="1446" t="e">
        <f ca="1"/>
        <v>#NAME?</v>
      </c>
    </row>
    <row r="940" spans="1:25">
      <c r="A940" s="1487"/>
      <c r="B940" s="1488"/>
      <c r="C940" s="1489"/>
      <c r="D940" s="1490"/>
      <c r="E940" s="1487"/>
      <c r="F940" s="1488"/>
      <c r="G940" s="1489"/>
      <c r="H940" s="1490"/>
      <c r="I940" s="1487"/>
      <c r="J940" s="1488"/>
      <c r="K940" s="1489"/>
      <c r="L940" s="1490"/>
      <c r="M940" s="1487"/>
      <c r="N940" s="1488"/>
      <c r="O940" s="1489"/>
      <c r="P940" s="1490"/>
      <c r="X940" s="1445" t="e">
        <f ca="1"/>
        <v>#NAME?</v>
      </c>
      <c r="Y940" s="1446" t="e">
        <f ca="1"/>
        <v>#NAME?</v>
      </c>
    </row>
    <row r="941" spans="1:25">
      <c r="A941" s="1487"/>
      <c r="B941" s="1488"/>
      <c r="C941" s="1489"/>
      <c r="D941" s="1490"/>
      <c r="E941" s="1487"/>
      <c r="F941" s="1488"/>
      <c r="G941" s="1489"/>
      <c r="H941" s="1490"/>
      <c r="I941" s="1487"/>
      <c r="J941" s="1488"/>
      <c r="K941" s="1489"/>
      <c r="L941" s="1490"/>
      <c r="M941" s="1487"/>
      <c r="N941" s="1488"/>
      <c r="O941" s="1489"/>
      <c r="P941" s="1490"/>
      <c r="X941" s="1445" t="e">
        <f ca="1"/>
        <v>#NAME?</v>
      </c>
      <c r="Y941" s="1446" t="e">
        <f ca="1"/>
        <v>#NAME?</v>
      </c>
    </row>
    <row r="942" spans="1:25">
      <c r="A942" s="1487"/>
      <c r="B942" s="1488"/>
      <c r="C942" s="1489"/>
      <c r="D942" s="1490"/>
      <c r="E942" s="1487"/>
      <c r="F942" s="1488"/>
      <c r="G942" s="1489"/>
      <c r="H942" s="1490"/>
      <c r="I942" s="1487"/>
      <c r="J942" s="1488"/>
      <c r="K942" s="1489"/>
      <c r="L942" s="1490"/>
      <c r="M942" s="1487"/>
      <c r="N942" s="1488"/>
      <c r="O942" s="1489"/>
      <c r="P942" s="1490"/>
      <c r="X942" s="1445" t="e">
        <f ca="1"/>
        <v>#NAME?</v>
      </c>
      <c r="Y942" s="1446" t="e">
        <f ca="1"/>
        <v>#NAME?</v>
      </c>
    </row>
    <row r="943" spans="1:25">
      <c r="A943" s="1487"/>
      <c r="B943" s="1488"/>
      <c r="C943" s="1489"/>
      <c r="D943" s="1490"/>
      <c r="E943" s="1487"/>
      <c r="F943" s="1488"/>
      <c r="G943" s="1489"/>
      <c r="H943" s="1490"/>
      <c r="I943" s="1487"/>
      <c r="J943" s="1488"/>
      <c r="K943" s="1489"/>
      <c r="L943" s="1490"/>
      <c r="M943" s="1487"/>
      <c r="N943" s="1488"/>
      <c r="O943" s="1489"/>
      <c r="P943" s="1490"/>
      <c r="X943" s="1445" t="e">
        <f ca="1"/>
        <v>#NAME?</v>
      </c>
      <c r="Y943" s="1446" t="e">
        <f ca="1"/>
        <v>#NAME?</v>
      </c>
    </row>
    <row r="944" spans="1:25">
      <c r="A944" s="1487"/>
      <c r="B944" s="1488"/>
      <c r="C944" s="1489"/>
      <c r="D944" s="1490"/>
      <c r="E944" s="1487"/>
      <c r="F944" s="1488"/>
      <c r="G944" s="1489"/>
      <c r="H944" s="1490"/>
      <c r="I944" s="1487"/>
      <c r="J944" s="1488"/>
      <c r="K944" s="1489"/>
      <c r="L944" s="1490"/>
      <c r="M944" s="1487"/>
      <c r="N944" s="1488"/>
      <c r="O944" s="1489"/>
      <c r="P944" s="1490"/>
      <c r="X944" s="1445" t="e">
        <f ca="1"/>
        <v>#NAME?</v>
      </c>
      <c r="Y944" s="1446" t="e">
        <f ca="1"/>
        <v>#NAME?</v>
      </c>
    </row>
    <row r="945" spans="1:25">
      <c r="A945" s="1487"/>
      <c r="B945" s="1488"/>
      <c r="C945" s="1489"/>
      <c r="D945" s="1490"/>
      <c r="E945" s="1487"/>
      <c r="F945" s="1488"/>
      <c r="G945" s="1489"/>
      <c r="H945" s="1490"/>
      <c r="I945" s="1487"/>
      <c r="J945" s="1488"/>
      <c r="K945" s="1489"/>
      <c r="L945" s="1490"/>
      <c r="M945" s="1487"/>
      <c r="N945" s="1488"/>
      <c r="O945" s="1489"/>
      <c r="P945" s="1490"/>
      <c r="X945" s="1445" t="e">
        <f ca="1"/>
        <v>#NAME?</v>
      </c>
      <c r="Y945" s="1446" t="e">
        <f ca="1"/>
        <v>#NAME?</v>
      </c>
    </row>
    <row r="946" spans="1:25">
      <c r="A946" s="1487"/>
      <c r="B946" s="1488"/>
      <c r="C946" s="1489"/>
      <c r="D946" s="1490"/>
      <c r="E946" s="1487"/>
      <c r="F946" s="1488"/>
      <c r="G946" s="1489"/>
      <c r="H946" s="1490"/>
      <c r="I946" s="1487"/>
      <c r="J946" s="1488"/>
      <c r="K946" s="1489"/>
      <c r="L946" s="1490"/>
      <c r="M946" s="1487"/>
      <c r="N946" s="1488"/>
      <c r="O946" s="1489"/>
      <c r="P946" s="1490"/>
      <c r="X946" s="1445" t="e">
        <f ca="1"/>
        <v>#NAME?</v>
      </c>
      <c r="Y946" s="1446" t="e">
        <f ca="1"/>
        <v>#NAME?</v>
      </c>
    </row>
    <row r="947" spans="1:25">
      <c r="A947" s="1487"/>
      <c r="B947" s="1488"/>
      <c r="C947" s="1489"/>
      <c r="D947" s="1490"/>
      <c r="E947" s="1487"/>
      <c r="F947" s="1488"/>
      <c r="G947" s="1489"/>
      <c r="H947" s="1490"/>
      <c r="I947" s="1487"/>
      <c r="J947" s="1488"/>
      <c r="K947" s="1489"/>
      <c r="L947" s="1490"/>
      <c r="M947" s="1487"/>
      <c r="N947" s="1488"/>
      <c r="O947" s="1489"/>
      <c r="P947" s="1490"/>
      <c r="X947" s="1445" t="e">
        <f ca="1"/>
        <v>#NAME?</v>
      </c>
      <c r="Y947" s="1446" t="e">
        <f ca="1"/>
        <v>#NAME?</v>
      </c>
    </row>
    <row r="948" spans="1:25">
      <c r="A948" s="1487"/>
      <c r="B948" s="1488"/>
      <c r="C948" s="1489"/>
      <c r="D948" s="1490"/>
      <c r="E948" s="1487"/>
      <c r="F948" s="1488"/>
      <c r="G948" s="1489"/>
      <c r="H948" s="1490"/>
      <c r="I948" s="1487"/>
      <c r="J948" s="1488"/>
      <c r="K948" s="1489"/>
      <c r="L948" s="1490"/>
      <c r="M948" s="1487"/>
      <c r="N948" s="1488"/>
      <c r="O948" s="1489"/>
      <c r="P948" s="1490"/>
      <c r="X948" s="1445" t="e">
        <f ca="1"/>
        <v>#NAME?</v>
      </c>
      <c r="Y948" s="1446" t="e">
        <f ca="1"/>
        <v>#NAME?</v>
      </c>
    </row>
    <row r="949" spans="1:25">
      <c r="A949" s="1487"/>
      <c r="B949" s="1488"/>
      <c r="C949" s="1489"/>
      <c r="D949" s="1490"/>
      <c r="E949" s="1487"/>
      <c r="F949" s="1488"/>
      <c r="G949" s="1489"/>
      <c r="H949" s="1490"/>
      <c r="I949" s="1487"/>
      <c r="J949" s="1488"/>
      <c r="K949" s="1489"/>
      <c r="L949" s="1490"/>
      <c r="M949" s="1487"/>
      <c r="N949" s="1488"/>
      <c r="O949" s="1489"/>
      <c r="P949" s="1490"/>
      <c r="X949" s="1445" t="e">
        <f ca="1"/>
        <v>#NAME?</v>
      </c>
      <c r="Y949" s="1446" t="e">
        <f ca="1"/>
        <v>#NAME?</v>
      </c>
    </row>
    <row r="950" spans="1:25">
      <c r="A950" s="1487"/>
      <c r="B950" s="1488"/>
      <c r="C950" s="1489"/>
      <c r="D950" s="1490"/>
      <c r="E950" s="1487"/>
      <c r="F950" s="1488"/>
      <c r="G950" s="1489"/>
      <c r="H950" s="1490"/>
      <c r="I950" s="1487"/>
      <c r="J950" s="1488"/>
      <c r="K950" s="1489"/>
      <c r="L950" s="1490"/>
      <c r="M950" s="1487"/>
      <c r="N950" s="1488"/>
      <c r="O950" s="1489"/>
      <c r="P950" s="1490"/>
      <c r="X950" s="1445" t="e">
        <f ca="1"/>
        <v>#NAME?</v>
      </c>
      <c r="Y950" s="1446" t="e">
        <f ca="1"/>
        <v>#NAME?</v>
      </c>
    </row>
    <row r="951" spans="1:25">
      <c r="A951" s="1487"/>
      <c r="B951" s="1488"/>
      <c r="C951" s="1489"/>
      <c r="D951" s="1490"/>
      <c r="E951" s="1487"/>
      <c r="F951" s="1488"/>
      <c r="G951" s="1489"/>
      <c r="H951" s="1490"/>
      <c r="I951" s="1487"/>
      <c r="J951" s="1488"/>
      <c r="K951" s="1489"/>
      <c r="L951" s="1490"/>
      <c r="M951" s="1487"/>
      <c r="N951" s="1488"/>
      <c r="O951" s="1489"/>
      <c r="P951" s="1490"/>
      <c r="X951" s="1445" t="e">
        <f ca="1"/>
        <v>#NAME?</v>
      </c>
      <c r="Y951" s="1446" t="e">
        <f ca="1"/>
        <v>#NAME?</v>
      </c>
    </row>
    <row r="952" spans="1:25">
      <c r="A952" s="1487"/>
      <c r="B952" s="1488"/>
      <c r="C952" s="1489"/>
      <c r="D952" s="1490"/>
      <c r="E952" s="1487"/>
      <c r="F952" s="1488"/>
      <c r="G952" s="1489"/>
      <c r="H952" s="1490"/>
      <c r="I952" s="1487"/>
      <c r="J952" s="1488"/>
      <c r="K952" s="1489"/>
      <c r="L952" s="1490"/>
      <c r="M952" s="1487"/>
      <c r="N952" s="1488"/>
      <c r="O952" s="1489"/>
      <c r="P952" s="1490"/>
      <c r="X952" s="1445" t="e">
        <f ca="1"/>
        <v>#NAME?</v>
      </c>
      <c r="Y952" s="1446" t="e">
        <f ca="1"/>
        <v>#NAME?</v>
      </c>
    </row>
    <row r="953" spans="1:25">
      <c r="A953" s="1487"/>
      <c r="B953" s="1488"/>
      <c r="C953" s="1489"/>
      <c r="D953" s="1490"/>
      <c r="E953" s="1487"/>
      <c r="F953" s="1488"/>
      <c r="G953" s="1489"/>
      <c r="H953" s="1490"/>
      <c r="I953" s="1487"/>
      <c r="J953" s="1488"/>
      <c r="K953" s="1489"/>
      <c r="L953" s="1490"/>
      <c r="M953" s="1487"/>
      <c r="N953" s="1488"/>
      <c r="O953" s="1489"/>
      <c r="P953" s="1490"/>
      <c r="X953" s="1445" t="e">
        <f ca="1"/>
        <v>#NAME?</v>
      </c>
      <c r="Y953" s="1446" t="e">
        <f ca="1"/>
        <v>#NAME?</v>
      </c>
    </row>
    <row r="954" spans="1:25">
      <c r="A954" s="1487"/>
      <c r="B954" s="1488"/>
      <c r="C954" s="1489"/>
      <c r="D954" s="1490"/>
      <c r="E954" s="1487"/>
      <c r="F954" s="1488"/>
      <c r="G954" s="1489"/>
      <c r="H954" s="1490"/>
      <c r="I954" s="1487"/>
      <c r="J954" s="1488"/>
      <c r="K954" s="1489"/>
      <c r="L954" s="1490"/>
      <c r="M954" s="1487"/>
      <c r="N954" s="1488"/>
      <c r="O954" s="1489"/>
      <c r="P954" s="1490"/>
      <c r="X954" s="1445" t="e">
        <f ca="1"/>
        <v>#NAME?</v>
      </c>
      <c r="Y954" s="1446" t="e">
        <f ca="1"/>
        <v>#NAME?</v>
      </c>
    </row>
    <row r="955" spans="1:25">
      <c r="A955" s="1487"/>
      <c r="B955" s="1488"/>
      <c r="C955" s="1489"/>
      <c r="D955" s="1490"/>
      <c r="E955" s="1487"/>
      <c r="F955" s="1488"/>
      <c r="G955" s="1489"/>
      <c r="H955" s="1490"/>
      <c r="I955" s="1487"/>
      <c r="J955" s="1488"/>
      <c r="K955" s="1489"/>
      <c r="L955" s="1490"/>
      <c r="M955" s="1487"/>
      <c r="N955" s="1488"/>
      <c r="O955" s="1489"/>
      <c r="P955" s="1490"/>
      <c r="X955" s="1445" t="e">
        <f ca="1"/>
        <v>#NAME?</v>
      </c>
      <c r="Y955" s="1446" t="e">
        <f ca="1"/>
        <v>#NAME?</v>
      </c>
    </row>
    <row r="956" spans="1:25">
      <c r="A956" s="1487"/>
      <c r="B956" s="1488"/>
      <c r="C956" s="1489"/>
      <c r="D956" s="1490"/>
      <c r="E956" s="1487"/>
      <c r="F956" s="1488"/>
      <c r="G956" s="1489"/>
      <c r="H956" s="1490"/>
      <c r="I956" s="1487"/>
      <c r="J956" s="1488"/>
      <c r="K956" s="1489"/>
      <c r="L956" s="1490"/>
      <c r="M956" s="1487"/>
      <c r="N956" s="1488"/>
      <c r="O956" s="1489"/>
      <c r="P956" s="1490"/>
      <c r="X956" s="1445" t="e">
        <f ca="1"/>
        <v>#NAME?</v>
      </c>
      <c r="Y956" s="1446" t="e">
        <f ca="1"/>
        <v>#NAME?</v>
      </c>
    </row>
    <row r="957" spans="1:25">
      <c r="A957" s="1487"/>
      <c r="B957" s="1488"/>
      <c r="C957" s="1489"/>
      <c r="D957" s="1490"/>
      <c r="E957" s="1487"/>
      <c r="F957" s="1488"/>
      <c r="G957" s="1489"/>
      <c r="H957" s="1490"/>
      <c r="I957" s="1487"/>
      <c r="J957" s="1488"/>
      <c r="K957" s="1489"/>
      <c r="L957" s="1490"/>
      <c r="M957" s="1487"/>
      <c r="N957" s="1488"/>
      <c r="O957" s="1489"/>
      <c r="P957" s="1490"/>
      <c r="X957" s="1445" t="e">
        <f ca="1"/>
        <v>#NAME?</v>
      </c>
      <c r="Y957" s="1446" t="e">
        <f ca="1"/>
        <v>#NAME?</v>
      </c>
    </row>
    <row r="958" spans="1:25">
      <c r="A958" s="1487"/>
      <c r="B958" s="1488"/>
      <c r="C958" s="1489"/>
      <c r="D958" s="1490"/>
      <c r="E958" s="1487"/>
      <c r="F958" s="1488"/>
      <c r="G958" s="1489"/>
      <c r="H958" s="1490"/>
      <c r="I958" s="1487"/>
      <c r="J958" s="1488"/>
      <c r="K958" s="1489"/>
      <c r="L958" s="1490"/>
      <c r="M958" s="1487"/>
      <c r="N958" s="1488"/>
      <c r="O958" s="1489"/>
      <c r="P958" s="1490"/>
      <c r="X958" s="1445" t="e">
        <f ca="1"/>
        <v>#NAME?</v>
      </c>
      <c r="Y958" s="1446" t="e">
        <f ca="1"/>
        <v>#NAME?</v>
      </c>
    </row>
    <row r="959" spans="1:25">
      <c r="A959" s="1487"/>
      <c r="B959" s="1488"/>
      <c r="C959" s="1489"/>
      <c r="D959" s="1490"/>
      <c r="E959" s="1487"/>
      <c r="F959" s="1488"/>
      <c r="G959" s="1489"/>
      <c r="H959" s="1490"/>
      <c r="I959" s="1487"/>
      <c r="J959" s="1488"/>
      <c r="K959" s="1489"/>
      <c r="L959" s="1490"/>
      <c r="M959" s="1487"/>
      <c r="N959" s="1488"/>
      <c r="O959" s="1489"/>
      <c r="P959" s="1490"/>
      <c r="X959" s="1445" t="e">
        <f ca="1"/>
        <v>#NAME?</v>
      </c>
      <c r="Y959" s="1446" t="e">
        <f ca="1"/>
        <v>#NAME?</v>
      </c>
    </row>
    <row r="960" spans="1:25">
      <c r="A960" s="1487"/>
      <c r="B960" s="1488"/>
      <c r="C960" s="1489"/>
      <c r="D960" s="1490"/>
      <c r="E960" s="1487"/>
      <c r="F960" s="1488"/>
      <c r="G960" s="1489"/>
      <c r="H960" s="1490"/>
      <c r="I960" s="1487"/>
      <c r="J960" s="1488"/>
      <c r="K960" s="1489"/>
      <c r="L960" s="1490"/>
      <c r="M960" s="1487"/>
      <c r="N960" s="1488"/>
      <c r="O960" s="1489"/>
      <c r="P960" s="1490"/>
      <c r="X960" s="1445" t="e">
        <f ca="1"/>
        <v>#NAME?</v>
      </c>
      <c r="Y960" s="1446" t="e">
        <f ca="1"/>
        <v>#NAME?</v>
      </c>
    </row>
    <row r="961" spans="1:25">
      <c r="A961" s="1487"/>
      <c r="B961" s="1488"/>
      <c r="C961" s="1489"/>
      <c r="D961" s="1490"/>
      <c r="E961" s="1487"/>
      <c r="F961" s="1488"/>
      <c r="G961" s="1489"/>
      <c r="H961" s="1490"/>
      <c r="I961" s="1487"/>
      <c r="J961" s="1488"/>
      <c r="K961" s="1489"/>
      <c r="L961" s="1490"/>
      <c r="M961" s="1487"/>
      <c r="N961" s="1488"/>
      <c r="O961" s="1489"/>
      <c r="P961" s="1490"/>
      <c r="X961" s="1445" t="e">
        <f ca="1"/>
        <v>#NAME?</v>
      </c>
      <c r="Y961" s="1446" t="e">
        <f ca="1"/>
        <v>#NAME?</v>
      </c>
    </row>
    <row r="962" spans="1:25">
      <c r="A962" s="1487"/>
      <c r="B962" s="1488"/>
      <c r="C962" s="1489"/>
      <c r="D962" s="1490"/>
      <c r="E962" s="1487"/>
      <c r="F962" s="1488"/>
      <c r="G962" s="1489"/>
      <c r="H962" s="1490"/>
      <c r="I962" s="1487"/>
      <c r="J962" s="1488"/>
      <c r="K962" s="1489"/>
      <c r="L962" s="1490"/>
      <c r="M962" s="1487"/>
      <c r="N962" s="1488"/>
      <c r="O962" s="1489"/>
      <c r="P962" s="1490"/>
      <c r="X962" s="1445" t="e">
        <f ca="1"/>
        <v>#NAME?</v>
      </c>
      <c r="Y962" s="1446" t="e">
        <f ca="1"/>
        <v>#NAME?</v>
      </c>
    </row>
    <row r="963" spans="1:25">
      <c r="A963" s="1487"/>
      <c r="B963" s="1488"/>
      <c r="C963" s="1489"/>
      <c r="D963" s="1490"/>
      <c r="E963" s="1487"/>
      <c r="F963" s="1488"/>
      <c r="G963" s="1489"/>
      <c r="H963" s="1490"/>
      <c r="I963" s="1487"/>
      <c r="J963" s="1488"/>
      <c r="K963" s="1489"/>
      <c r="L963" s="1490"/>
      <c r="M963" s="1487"/>
      <c r="N963" s="1488"/>
      <c r="O963" s="1489"/>
      <c r="P963" s="1490"/>
      <c r="X963" s="1445" t="e">
        <f ca="1"/>
        <v>#NAME?</v>
      </c>
      <c r="Y963" s="1446" t="e">
        <f ca="1"/>
        <v>#NAME?</v>
      </c>
    </row>
    <row r="964" spans="1:25">
      <c r="A964" s="1487"/>
      <c r="B964" s="1488"/>
      <c r="C964" s="1489"/>
      <c r="D964" s="1490"/>
      <c r="E964" s="1487"/>
      <c r="F964" s="1488"/>
      <c r="G964" s="1489"/>
      <c r="H964" s="1490"/>
      <c r="I964" s="1487"/>
      <c r="J964" s="1488"/>
      <c r="K964" s="1489"/>
      <c r="L964" s="1490"/>
      <c r="M964" s="1487"/>
      <c r="N964" s="1488"/>
      <c r="O964" s="1489"/>
      <c r="P964" s="1490"/>
      <c r="X964" s="1445" t="e">
        <f ca="1"/>
        <v>#NAME?</v>
      </c>
      <c r="Y964" s="1446" t="e">
        <f ca="1"/>
        <v>#NAME?</v>
      </c>
    </row>
    <row r="965" spans="1:25">
      <c r="A965" s="1487"/>
      <c r="B965" s="1488"/>
      <c r="C965" s="1489"/>
      <c r="D965" s="1490"/>
      <c r="E965" s="1487"/>
      <c r="F965" s="1488"/>
      <c r="G965" s="1489"/>
      <c r="H965" s="1490"/>
      <c r="I965" s="1487"/>
      <c r="J965" s="1488"/>
      <c r="K965" s="1489"/>
      <c r="L965" s="1490"/>
      <c r="M965" s="1487"/>
      <c r="N965" s="1488"/>
      <c r="O965" s="1489"/>
      <c r="P965" s="1490"/>
      <c r="X965" s="1445" t="e">
        <f ca="1"/>
        <v>#NAME?</v>
      </c>
      <c r="Y965" s="1446" t="e">
        <f ca="1"/>
        <v>#NAME?</v>
      </c>
    </row>
    <row r="966" spans="1:25">
      <c r="A966" s="1487"/>
      <c r="B966" s="1488"/>
      <c r="C966" s="1489"/>
      <c r="D966" s="1490"/>
      <c r="E966" s="1487"/>
      <c r="F966" s="1488"/>
      <c r="G966" s="1489"/>
      <c r="H966" s="1490"/>
      <c r="I966" s="1487"/>
      <c r="J966" s="1488"/>
      <c r="K966" s="1489"/>
      <c r="L966" s="1490"/>
      <c r="M966" s="1487"/>
      <c r="N966" s="1488"/>
      <c r="O966" s="1489"/>
      <c r="P966" s="1490"/>
      <c r="X966" s="1445" t="e">
        <f ca="1"/>
        <v>#NAME?</v>
      </c>
      <c r="Y966" s="1446" t="e">
        <f ca="1"/>
        <v>#NAME?</v>
      </c>
    </row>
    <row r="967" spans="1:25">
      <c r="A967" s="1487"/>
      <c r="B967" s="1488"/>
      <c r="C967" s="1489"/>
      <c r="D967" s="1490"/>
      <c r="E967" s="1487"/>
      <c r="F967" s="1488"/>
      <c r="G967" s="1489"/>
      <c r="H967" s="1490"/>
      <c r="I967" s="1487"/>
      <c r="J967" s="1488"/>
      <c r="K967" s="1489"/>
      <c r="L967" s="1490"/>
      <c r="M967" s="1487"/>
      <c r="N967" s="1488"/>
      <c r="O967" s="1489"/>
      <c r="P967" s="1490"/>
      <c r="X967" s="1445" t="e">
        <f ca="1"/>
        <v>#NAME?</v>
      </c>
      <c r="Y967" s="1446" t="e">
        <f ca="1"/>
        <v>#NAME?</v>
      </c>
    </row>
    <row r="968" spans="1:25">
      <c r="A968" s="1487"/>
      <c r="B968" s="1488"/>
      <c r="C968" s="1489"/>
      <c r="D968" s="1490"/>
      <c r="E968" s="1487"/>
      <c r="F968" s="1488"/>
      <c r="G968" s="1489"/>
      <c r="H968" s="1490"/>
      <c r="I968" s="1487"/>
      <c r="J968" s="1488"/>
      <c r="K968" s="1489"/>
      <c r="L968" s="1490"/>
      <c r="M968" s="1487"/>
      <c r="N968" s="1488"/>
      <c r="O968" s="1489"/>
      <c r="P968" s="1490"/>
      <c r="X968" s="1445" t="e">
        <f ca="1"/>
        <v>#NAME?</v>
      </c>
      <c r="Y968" s="1446" t="e">
        <f ca="1"/>
        <v>#NAME?</v>
      </c>
    </row>
    <row r="969" spans="1:25">
      <c r="A969" s="1487"/>
      <c r="B969" s="1488"/>
      <c r="C969" s="1489"/>
      <c r="D969" s="1490"/>
      <c r="E969" s="1487"/>
      <c r="F969" s="1488"/>
      <c r="G969" s="1489"/>
      <c r="H969" s="1490"/>
      <c r="I969" s="1487"/>
      <c r="J969" s="1488"/>
      <c r="K969" s="1489"/>
      <c r="L969" s="1490"/>
      <c r="M969" s="1487"/>
      <c r="N969" s="1488"/>
      <c r="O969" s="1489"/>
      <c r="P969" s="1490"/>
      <c r="X969" s="1445" t="e">
        <f ca="1"/>
        <v>#NAME?</v>
      </c>
      <c r="Y969" s="1446" t="e">
        <f ca="1"/>
        <v>#NAME?</v>
      </c>
    </row>
    <row r="970" spans="1:25">
      <c r="A970" s="1487"/>
      <c r="B970" s="1488"/>
      <c r="C970" s="1489"/>
      <c r="D970" s="1490"/>
      <c r="E970" s="1487"/>
      <c r="F970" s="1488"/>
      <c r="G970" s="1489"/>
      <c r="H970" s="1490"/>
      <c r="I970" s="1487"/>
      <c r="J970" s="1488"/>
      <c r="K970" s="1489"/>
      <c r="L970" s="1490"/>
      <c r="M970" s="1487"/>
      <c r="N970" s="1488"/>
      <c r="O970" s="1489"/>
      <c r="P970" s="1490"/>
      <c r="X970" s="1445" t="e">
        <f ca="1"/>
        <v>#NAME?</v>
      </c>
      <c r="Y970" s="1446" t="e">
        <f ca="1"/>
        <v>#NAME?</v>
      </c>
    </row>
    <row r="971" spans="1:25">
      <c r="A971" s="1487"/>
      <c r="B971" s="1488"/>
      <c r="C971" s="1489"/>
      <c r="D971" s="1490"/>
      <c r="E971" s="1487"/>
      <c r="F971" s="1488"/>
      <c r="G971" s="1489"/>
      <c r="H971" s="1490"/>
      <c r="I971" s="1487"/>
      <c r="J971" s="1488"/>
      <c r="K971" s="1489"/>
      <c r="L971" s="1490"/>
      <c r="M971" s="1487"/>
      <c r="N971" s="1488"/>
      <c r="O971" s="1489"/>
      <c r="P971" s="1490"/>
      <c r="X971" s="1445" t="e">
        <f ca="1"/>
        <v>#NAME?</v>
      </c>
      <c r="Y971" s="1446" t="e">
        <f ca="1"/>
        <v>#NAME?</v>
      </c>
    </row>
    <row r="972" spans="1:25">
      <c r="A972" s="1487"/>
      <c r="B972" s="1488"/>
      <c r="C972" s="1489"/>
      <c r="D972" s="1490"/>
      <c r="E972" s="1487"/>
      <c r="F972" s="1488"/>
      <c r="G972" s="1489"/>
      <c r="H972" s="1490"/>
      <c r="I972" s="1487"/>
      <c r="J972" s="1488"/>
      <c r="K972" s="1489"/>
      <c r="L972" s="1490"/>
      <c r="M972" s="1487"/>
      <c r="N972" s="1488"/>
      <c r="O972" s="1489"/>
      <c r="P972" s="1490"/>
      <c r="X972" s="1445" t="e">
        <f ca="1"/>
        <v>#NAME?</v>
      </c>
      <c r="Y972" s="1446" t="e">
        <f ca="1"/>
        <v>#NAME?</v>
      </c>
    </row>
    <row r="973" spans="1:25">
      <c r="A973" s="1487"/>
      <c r="B973" s="1488"/>
      <c r="C973" s="1489"/>
      <c r="D973" s="1490"/>
      <c r="E973" s="1487"/>
      <c r="F973" s="1488"/>
      <c r="G973" s="1489"/>
      <c r="H973" s="1490"/>
      <c r="I973" s="1487"/>
      <c r="J973" s="1488"/>
      <c r="K973" s="1489"/>
      <c r="L973" s="1490"/>
      <c r="M973" s="1487"/>
      <c r="N973" s="1488"/>
      <c r="O973" s="1489"/>
      <c r="P973" s="1490"/>
      <c r="X973" s="1445" t="e">
        <f ca="1"/>
        <v>#NAME?</v>
      </c>
      <c r="Y973" s="1446" t="e">
        <f ca="1"/>
        <v>#NAME?</v>
      </c>
    </row>
    <row r="974" spans="1:25">
      <c r="A974" s="1487"/>
      <c r="B974" s="1488"/>
      <c r="C974" s="1489"/>
      <c r="D974" s="1490"/>
      <c r="E974" s="1487"/>
      <c r="F974" s="1488"/>
      <c r="G974" s="1489"/>
      <c r="H974" s="1490"/>
      <c r="I974" s="1487"/>
      <c r="J974" s="1488"/>
      <c r="K974" s="1489"/>
      <c r="L974" s="1490"/>
      <c r="M974" s="1487"/>
      <c r="N974" s="1488"/>
      <c r="O974" s="1489"/>
      <c r="P974" s="1490"/>
      <c r="X974" s="1445" t="e">
        <f ca="1"/>
        <v>#NAME?</v>
      </c>
      <c r="Y974" s="1446" t="e">
        <f ca="1"/>
        <v>#NAME?</v>
      </c>
    </row>
    <row r="975" spans="1:25">
      <c r="A975" s="1487"/>
      <c r="B975" s="1488"/>
      <c r="C975" s="1489"/>
      <c r="D975" s="1490"/>
      <c r="E975" s="1487"/>
      <c r="F975" s="1488"/>
      <c r="G975" s="1489"/>
      <c r="H975" s="1490"/>
      <c r="I975" s="1487"/>
      <c r="J975" s="1488"/>
      <c r="K975" s="1489"/>
      <c r="L975" s="1490"/>
      <c r="M975" s="1487"/>
      <c r="N975" s="1488"/>
      <c r="O975" s="1489"/>
      <c r="P975" s="1490"/>
      <c r="X975" s="1445" t="e">
        <f ca="1"/>
        <v>#NAME?</v>
      </c>
      <c r="Y975" s="1446" t="e">
        <f ca="1"/>
        <v>#NAME?</v>
      </c>
    </row>
    <row r="976" spans="1:25">
      <c r="A976" s="1487"/>
      <c r="B976" s="1488"/>
      <c r="C976" s="1489"/>
      <c r="D976" s="1490"/>
      <c r="E976" s="1487"/>
      <c r="F976" s="1488"/>
      <c r="G976" s="1489"/>
      <c r="H976" s="1490"/>
      <c r="I976" s="1487"/>
      <c r="J976" s="1488"/>
      <c r="K976" s="1489"/>
      <c r="L976" s="1490"/>
      <c r="M976" s="1487"/>
      <c r="N976" s="1488"/>
      <c r="O976" s="1489"/>
      <c r="P976" s="1490"/>
      <c r="X976" s="1445" t="e">
        <f ca="1"/>
        <v>#NAME?</v>
      </c>
      <c r="Y976" s="1446" t="e">
        <f ca="1"/>
        <v>#NAME?</v>
      </c>
    </row>
    <row r="977" spans="1:25">
      <c r="A977" s="1487"/>
      <c r="B977" s="1488"/>
      <c r="C977" s="1489"/>
      <c r="D977" s="1490"/>
      <c r="E977" s="1487"/>
      <c r="F977" s="1488"/>
      <c r="G977" s="1489"/>
      <c r="H977" s="1490"/>
      <c r="I977" s="1487"/>
      <c r="J977" s="1488"/>
      <c r="K977" s="1489"/>
      <c r="L977" s="1490"/>
      <c r="M977" s="1487"/>
      <c r="N977" s="1488"/>
      <c r="O977" s="1489"/>
      <c r="P977" s="1490"/>
      <c r="X977" s="1445" t="e">
        <f ca="1"/>
        <v>#NAME?</v>
      </c>
      <c r="Y977" s="1446" t="e">
        <f ca="1"/>
        <v>#NAME?</v>
      </c>
    </row>
    <row r="978" spans="1:25">
      <c r="A978" s="1487"/>
      <c r="B978" s="1488"/>
      <c r="C978" s="1489"/>
      <c r="D978" s="1490"/>
      <c r="E978" s="1487"/>
      <c r="F978" s="1488"/>
      <c r="G978" s="1489"/>
      <c r="H978" s="1490"/>
      <c r="I978" s="1487"/>
      <c r="J978" s="1488"/>
      <c r="K978" s="1489"/>
      <c r="L978" s="1490"/>
      <c r="M978" s="1487"/>
      <c r="N978" s="1488"/>
      <c r="O978" s="1489"/>
      <c r="P978" s="1490"/>
      <c r="X978" s="1445" t="e">
        <f ca="1"/>
        <v>#NAME?</v>
      </c>
      <c r="Y978" s="1446" t="e">
        <f ca="1"/>
        <v>#NAME?</v>
      </c>
    </row>
    <row r="979" spans="1:25">
      <c r="A979" s="1487"/>
      <c r="B979" s="1488"/>
      <c r="C979" s="1489"/>
      <c r="D979" s="1490"/>
      <c r="E979" s="1487"/>
      <c r="F979" s="1488"/>
      <c r="G979" s="1489"/>
      <c r="H979" s="1490"/>
      <c r="I979" s="1487"/>
      <c r="J979" s="1488"/>
      <c r="K979" s="1489"/>
      <c r="L979" s="1490"/>
      <c r="M979" s="1487"/>
      <c r="N979" s="1488"/>
      <c r="O979" s="1489"/>
      <c r="P979" s="1490"/>
      <c r="X979" s="1445" t="e">
        <f ca="1"/>
        <v>#NAME?</v>
      </c>
      <c r="Y979" s="1446" t="e">
        <f ca="1"/>
        <v>#NAME?</v>
      </c>
    </row>
    <row r="980" spans="1:25">
      <c r="A980" s="1487"/>
      <c r="B980" s="1488"/>
      <c r="C980" s="1489"/>
      <c r="D980" s="1490"/>
      <c r="E980" s="1487"/>
      <c r="F980" s="1488"/>
      <c r="G980" s="1489"/>
      <c r="H980" s="1490"/>
      <c r="I980" s="1487"/>
      <c r="J980" s="1488"/>
      <c r="K980" s="1489"/>
      <c r="L980" s="1490"/>
      <c r="M980" s="1487"/>
      <c r="N980" s="1488"/>
      <c r="O980" s="1489"/>
      <c r="P980" s="1490"/>
      <c r="X980" s="1445" t="e">
        <f ca="1"/>
        <v>#NAME?</v>
      </c>
      <c r="Y980" s="1446" t="e">
        <f ca="1"/>
        <v>#NAME?</v>
      </c>
    </row>
    <row r="981" spans="1:25">
      <c r="A981" s="1487"/>
      <c r="B981" s="1488"/>
      <c r="C981" s="1489"/>
      <c r="D981" s="1490"/>
      <c r="E981" s="1487"/>
      <c r="F981" s="1488"/>
      <c r="G981" s="1489"/>
      <c r="H981" s="1490"/>
      <c r="I981" s="1487"/>
      <c r="J981" s="1488"/>
      <c r="K981" s="1489"/>
      <c r="L981" s="1490"/>
      <c r="M981" s="1487"/>
      <c r="N981" s="1488"/>
      <c r="O981" s="1489"/>
      <c r="P981" s="1490"/>
      <c r="X981" s="1445" t="e">
        <f ca="1"/>
        <v>#NAME?</v>
      </c>
      <c r="Y981" s="1446" t="e">
        <f ca="1"/>
        <v>#NAME?</v>
      </c>
    </row>
    <row r="982" spans="1:25">
      <c r="A982" s="1487"/>
      <c r="B982" s="1488"/>
      <c r="C982" s="1489"/>
      <c r="D982" s="1490"/>
      <c r="E982" s="1487"/>
      <c r="F982" s="1488"/>
      <c r="G982" s="1489"/>
      <c r="H982" s="1490"/>
      <c r="I982" s="1487"/>
      <c r="J982" s="1488"/>
      <c r="K982" s="1489"/>
      <c r="L982" s="1490"/>
      <c r="M982" s="1487"/>
      <c r="N982" s="1488"/>
      <c r="O982" s="1489"/>
      <c r="P982" s="1490"/>
      <c r="X982" s="1445" t="e">
        <f ca="1"/>
        <v>#NAME?</v>
      </c>
      <c r="Y982" s="1446" t="e">
        <f ca="1"/>
        <v>#NAME?</v>
      </c>
    </row>
    <row r="983" spans="1:25">
      <c r="A983" s="1487"/>
      <c r="B983" s="1488"/>
      <c r="C983" s="1489"/>
      <c r="D983" s="1490"/>
      <c r="E983" s="1487"/>
      <c r="F983" s="1488"/>
      <c r="G983" s="1489"/>
      <c r="H983" s="1490"/>
      <c r="I983" s="1487"/>
      <c r="J983" s="1488"/>
      <c r="K983" s="1489"/>
      <c r="L983" s="1490"/>
      <c r="M983" s="1487"/>
      <c r="N983" s="1488"/>
      <c r="O983" s="1489"/>
      <c r="P983" s="1490"/>
      <c r="X983" s="1445" t="e">
        <f ca="1"/>
        <v>#NAME?</v>
      </c>
      <c r="Y983" s="1446" t="e">
        <f ca="1"/>
        <v>#NAME?</v>
      </c>
    </row>
    <row r="984" spans="1:25">
      <c r="A984" s="1487"/>
      <c r="B984" s="1488"/>
      <c r="C984" s="1489"/>
      <c r="D984" s="1490"/>
      <c r="E984" s="1487"/>
      <c r="F984" s="1488"/>
      <c r="G984" s="1489"/>
      <c r="H984" s="1490"/>
      <c r="I984" s="1487"/>
      <c r="J984" s="1488"/>
      <c r="K984" s="1489"/>
      <c r="L984" s="1490"/>
      <c r="M984" s="1487"/>
      <c r="N984" s="1488"/>
      <c r="O984" s="1489"/>
      <c r="P984" s="1490"/>
      <c r="X984" s="1445" t="e">
        <f ca="1"/>
        <v>#NAME?</v>
      </c>
      <c r="Y984" s="1446" t="e">
        <f ca="1"/>
        <v>#NAME?</v>
      </c>
    </row>
    <row r="985" spans="1:25">
      <c r="A985" s="1487"/>
      <c r="B985" s="1488"/>
      <c r="C985" s="1489"/>
      <c r="D985" s="1490"/>
      <c r="E985" s="1487"/>
      <c r="F985" s="1488"/>
      <c r="G985" s="1489"/>
      <c r="H985" s="1490"/>
      <c r="I985" s="1487"/>
      <c r="J985" s="1488"/>
      <c r="K985" s="1489"/>
      <c r="L985" s="1490"/>
      <c r="M985" s="1487"/>
      <c r="N985" s="1488"/>
      <c r="O985" s="1489"/>
      <c r="P985" s="1490"/>
      <c r="X985" s="1445" t="e">
        <f ca="1"/>
        <v>#NAME?</v>
      </c>
      <c r="Y985" s="1446" t="e">
        <f ca="1"/>
        <v>#NAME?</v>
      </c>
    </row>
    <row r="986" spans="1:25">
      <c r="A986" s="1487"/>
      <c r="B986" s="1488"/>
      <c r="C986" s="1489"/>
      <c r="D986" s="1490"/>
      <c r="E986" s="1487"/>
      <c r="F986" s="1488"/>
      <c r="G986" s="1489"/>
      <c r="H986" s="1490"/>
      <c r="I986" s="1487"/>
      <c r="J986" s="1488"/>
      <c r="K986" s="1489"/>
      <c r="L986" s="1490"/>
      <c r="M986" s="1487"/>
      <c r="N986" s="1488"/>
      <c r="O986" s="1489"/>
      <c r="P986" s="1490"/>
      <c r="X986" s="1445" t="e">
        <f ca="1"/>
        <v>#NAME?</v>
      </c>
      <c r="Y986" s="1446" t="e">
        <f ca="1"/>
        <v>#NAME?</v>
      </c>
    </row>
    <row r="987" spans="1:25">
      <c r="A987" s="1487"/>
      <c r="B987" s="1488"/>
      <c r="C987" s="1489"/>
      <c r="D987" s="1490"/>
      <c r="E987" s="1487"/>
      <c r="F987" s="1488"/>
      <c r="G987" s="1489"/>
      <c r="H987" s="1490"/>
      <c r="I987" s="1487"/>
      <c r="J987" s="1488"/>
      <c r="K987" s="1489"/>
      <c r="L987" s="1490"/>
      <c r="M987" s="1487"/>
      <c r="N987" s="1488"/>
      <c r="O987" s="1489"/>
      <c r="P987" s="1490"/>
      <c r="X987" s="1445" t="e">
        <f ca="1"/>
        <v>#NAME?</v>
      </c>
      <c r="Y987" s="1446" t="e">
        <f ca="1"/>
        <v>#NAME?</v>
      </c>
    </row>
    <row r="988" spans="1:25">
      <c r="A988" s="1487"/>
      <c r="B988" s="1488"/>
      <c r="C988" s="1489"/>
      <c r="D988" s="1490"/>
      <c r="E988" s="1487"/>
      <c r="F988" s="1488"/>
      <c r="G988" s="1489"/>
      <c r="H988" s="1490"/>
      <c r="I988" s="1487"/>
      <c r="J988" s="1488"/>
      <c r="K988" s="1489"/>
      <c r="L988" s="1490"/>
      <c r="M988" s="1487"/>
      <c r="N988" s="1488"/>
      <c r="O988" s="1489"/>
      <c r="P988" s="1490"/>
      <c r="X988" s="1445" t="e">
        <f ca="1"/>
        <v>#NAME?</v>
      </c>
      <c r="Y988" s="1446" t="e">
        <f ca="1"/>
        <v>#NAME?</v>
      </c>
    </row>
    <row r="989" spans="1:25">
      <c r="A989" s="1487"/>
      <c r="B989" s="1488"/>
      <c r="C989" s="1489"/>
      <c r="D989" s="1490"/>
      <c r="E989" s="1487"/>
      <c r="F989" s="1488"/>
      <c r="G989" s="1489"/>
      <c r="H989" s="1490"/>
      <c r="I989" s="1487"/>
      <c r="J989" s="1488"/>
      <c r="K989" s="1489"/>
      <c r="L989" s="1490"/>
      <c r="M989" s="1487"/>
      <c r="N989" s="1488"/>
      <c r="O989" s="1489"/>
      <c r="P989" s="1490"/>
      <c r="X989" s="1445" t="e">
        <f ca="1"/>
        <v>#NAME?</v>
      </c>
      <c r="Y989" s="1446" t="e">
        <f ca="1"/>
        <v>#NAME?</v>
      </c>
    </row>
    <row r="990" spans="1:25">
      <c r="A990" s="1487"/>
      <c r="B990" s="1488"/>
      <c r="C990" s="1489"/>
      <c r="D990" s="1490"/>
      <c r="E990" s="1487"/>
      <c r="F990" s="1488"/>
      <c r="G990" s="1489"/>
      <c r="H990" s="1490"/>
      <c r="I990" s="1487"/>
      <c r="J990" s="1488"/>
      <c r="K990" s="1489"/>
      <c r="L990" s="1490"/>
      <c r="M990" s="1487"/>
      <c r="N990" s="1488"/>
      <c r="O990" s="1489"/>
      <c r="P990" s="1490"/>
      <c r="X990" s="1445" t="e">
        <f ca="1"/>
        <v>#NAME?</v>
      </c>
      <c r="Y990" s="1446" t="e">
        <f ca="1"/>
        <v>#NAME?</v>
      </c>
    </row>
    <row r="991" spans="1:25">
      <c r="A991" s="1487"/>
      <c r="B991" s="1488"/>
      <c r="C991" s="1489"/>
      <c r="D991" s="1490"/>
      <c r="E991" s="1487"/>
      <c r="F991" s="1488"/>
      <c r="G991" s="1489"/>
      <c r="H991" s="1490"/>
      <c r="I991" s="1487"/>
      <c r="J991" s="1488"/>
      <c r="K991" s="1489"/>
      <c r="L991" s="1490"/>
      <c r="M991" s="1487"/>
      <c r="N991" s="1488"/>
      <c r="O991" s="1489"/>
      <c r="P991" s="1490"/>
      <c r="X991" s="1445" t="e">
        <f ca="1"/>
        <v>#NAME?</v>
      </c>
      <c r="Y991" s="1446" t="e">
        <f ca="1"/>
        <v>#NAME?</v>
      </c>
    </row>
    <row r="992" spans="1:25">
      <c r="A992" s="1487"/>
      <c r="B992" s="1488"/>
      <c r="C992" s="1489"/>
      <c r="D992" s="1490"/>
      <c r="E992" s="1487"/>
      <c r="F992" s="1488"/>
      <c r="G992" s="1489"/>
      <c r="H992" s="1490"/>
      <c r="I992" s="1487"/>
      <c r="J992" s="1488"/>
      <c r="K992" s="1489"/>
      <c r="L992" s="1490"/>
      <c r="M992" s="1487"/>
      <c r="N992" s="1488"/>
      <c r="O992" s="1489"/>
      <c r="P992" s="1490"/>
      <c r="X992" s="1445" t="e">
        <f ca="1"/>
        <v>#NAME?</v>
      </c>
      <c r="Y992" s="1446" t="e">
        <f ca="1"/>
        <v>#NAME?</v>
      </c>
    </row>
    <row r="993" spans="1:25">
      <c r="A993" s="1487"/>
      <c r="B993" s="1488"/>
      <c r="C993" s="1489"/>
      <c r="D993" s="1490"/>
      <c r="E993" s="1487"/>
      <c r="F993" s="1488"/>
      <c r="G993" s="1489"/>
      <c r="H993" s="1490"/>
      <c r="I993" s="1487"/>
      <c r="J993" s="1488"/>
      <c r="K993" s="1489"/>
      <c r="L993" s="1490"/>
      <c r="M993" s="1487"/>
      <c r="N993" s="1488"/>
      <c r="O993" s="1489"/>
      <c r="P993" s="1490"/>
      <c r="X993" s="1445" t="e">
        <f ca="1"/>
        <v>#NAME?</v>
      </c>
      <c r="Y993" s="1446" t="e">
        <f ca="1"/>
        <v>#NAME?</v>
      </c>
    </row>
    <row r="994" spans="1:25">
      <c r="A994" s="1487"/>
      <c r="B994" s="1488"/>
      <c r="C994" s="1489"/>
      <c r="D994" s="1490"/>
      <c r="E994" s="1487"/>
      <c r="F994" s="1488"/>
      <c r="G994" s="1489"/>
      <c r="H994" s="1490"/>
      <c r="I994" s="1487"/>
      <c r="J994" s="1488"/>
      <c r="K994" s="1489"/>
      <c r="L994" s="1490"/>
      <c r="M994" s="1487"/>
      <c r="N994" s="1488"/>
      <c r="O994" s="1489"/>
      <c r="P994" s="1490"/>
      <c r="X994" s="1445" t="e">
        <f ca="1"/>
        <v>#NAME?</v>
      </c>
      <c r="Y994" s="1446" t="e">
        <f ca="1"/>
        <v>#NAME?</v>
      </c>
    </row>
    <row r="995" spans="1:25">
      <c r="A995" s="1487"/>
      <c r="B995" s="1488"/>
      <c r="C995" s="1489"/>
      <c r="D995" s="1490"/>
      <c r="E995" s="1487"/>
      <c r="F995" s="1488"/>
      <c r="G995" s="1489"/>
      <c r="H995" s="1490"/>
      <c r="I995" s="1487"/>
      <c r="J995" s="1488"/>
      <c r="K995" s="1489"/>
      <c r="L995" s="1490"/>
      <c r="M995" s="1487"/>
      <c r="N995" s="1488"/>
      <c r="O995" s="1489"/>
      <c r="P995" s="1490"/>
      <c r="X995" s="1445" t="e">
        <f ca="1"/>
        <v>#NAME?</v>
      </c>
      <c r="Y995" s="1446" t="e">
        <f ca="1"/>
        <v>#NAME?</v>
      </c>
    </row>
    <row r="996" spans="1:25">
      <c r="A996" s="1487"/>
      <c r="B996" s="1488"/>
      <c r="C996" s="1489"/>
      <c r="D996" s="1490"/>
      <c r="E996" s="1487"/>
      <c r="F996" s="1488"/>
      <c r="G996" s="1489"/>
      <c r="H996" s="1490"/>
      <c r="I996" s="1487"/>
      <c r="J996" s="1488"/>
      <c r="K996" s="1489"/>
      <c r="L996" s="1490"/>
      <c r="M996" s="1487"/>
      <c r="N996" s="1488"/>
      <c r="O996" s="1489"/>
      <c r="P996" s="1490"/>
      <c r="X996" s="1445" t="e">
        <f ca="1"/>
        <v>#NAME?</v>
      </c>
      <c r="Y996" s="1446" t="e">
        <f ca="1"/>
        <v>#NAME?</v>
      </c>
    </row>
    <row r="997" spans="1:25">
      <c r="A997" s="1487"/>
      <c r="B997" s="1488"/>
      <c r="C997" s="1489"/>
      <c r="D997" s="1490"/>
      <c r="E997" s="1487"/>
      <c r="F997" s="1488"/>
      <c r="G997" s="1489"/>
      <c r="H997" s="1490"/>
      <c r="I997" s="1487"/>
      <c r="J997" s="1488"/>
      <c r="K997" s="1489"/>
      <c r="L997" s="1490"/>
      <c r="M997" s="1487"/>
      <c r="N997" s="1488"/>
      <c r="O997" s="1489"/>
      <c r="P997" s="1490"/>
      <c r="X997" s="1445" t="e">
        <f ca="1"/>
        <v>#NAME?</v>
      </c>
      <c r="Y997" s="1446" t="e">
        <f ca="1"/>
        <v>#NAME?</v>
      </c>
    </row>
    <row r="998" spans="1:25">
      <c r="A998" s="1487"/>
      <c r="B998" s="1488"/>
      <c r="C998" s="1489"/>
      <c r="D998" s="1490"/>
      <c r="E998" s="1487"/>
      <c r="F998" s="1488"/>
      <c r="G998" s="1489"/>
      <c r="H998" s="1490"/>
      <c r="I998" s="1487"/>
      <c r="J998" s="1488"/>
      <c r="K998" s="1489"/>
      <c r="L998" s="1490"/>
      <c r="M998" s="1487"/>
      <c r="N998" s="1488"/>
      <c r="O998" s="1489"/>
      <c r="P998" s="1490"/>
      <c r="X998" s="1445" t="e">
        <f ca="1"/>
        <v>#NAME?</v>
      </c>
      <c r="Y998" s="1446" t="e">
        <f ca="1"/>
        <v>#NAME?</v>
      </c>
    </row>
    <row r="999" spans="1:25">
      <c r="A999" s="1487"/>
      <c r="B999" s="1488"/>
      <c r="C999" s="1489"/>
      <c r="D999" s="1490"/>
      <c r="E999" s="1487"/>
      <c r="F999" s="1488"/>
      <c r="G999" s="1489"/>
      <c r="H999" s="1490"/>
      <c r="I999" s="1487"/>
      <c r="J999" s="1488"/>
      <c r="K999" s="1489"/>
      <c r="L999" s="1490"/>
      <c r="M999" s="1487"/>
      <c r="N999" s="1488"/>
      <c r="O999" s="1489"/>
      <c r="P999" s="1490"/>
      <c r="X999" s="1445" t="e">
        <f ca="1"/>
        <v>#NAME?</v>
      </c>
      <c r="Y999" s="1446" t="e">
        <f ca="1"/>
        <v>#NAME?</v>
      </c>
    </row>
    <row r="1000" spans="1:25">
      <c r="A1000" s="1487"/>
      <c r="B1000" s="1488"/>
      <c r="C1000" s="1489"/>
      <c r="D1000" s="1490"/>
      <c r="E1000" s="1487"/>
      <c r="F1000" s="1488"/>
      <c r="G1000" s="1489"/>
      <c r="H1000" s="1490"/>
      <c r="I1000" s="1487"/>
      <c r="J1000" s="1488"/>
      <c r="K1000" s="1489"/>
      <c r="L1000" s="1490"/>
      <c r="M1000" s="1487"/>
      <c r="N1000" s="1488"/>
      <c r="O1000" s="1489"/>
      <c r="P1000" s="1490"/>
      <c r="X1000" s="1445" t="e">
        <f ca="1"/>
        <v>#NAME?</v>
      </c>
      <c r="Y1000" s="1446" t="e">
        <f ca="1"/>
        <v>#NAME?</v>
      </c>
    </row>
    <row r="1001" spans="1:25">
      <c r="A1001" s="1487"/>
      <c r="B1001" s="1488"/>
      <c r="C1001" s="1489"/>
      <c r="D1001" s="1490"/>
      <c r="E1001" s="1487"/>
      <c r="F1001" s="1488"/>
      <c r="G1001" s="1489"/>
      <c r="H1001" s="1490"/>
      <c r="I1001" s="1487"/>
      <c r="J1001" s="1488"/>
      <c r="K1001" s="1489"/>
      <c r="L1001" s="1490"/>
      <c r="M1001" s="1487"/>
      <c r="N1001" s="1488"/>
      <c r="O1001" s="1489"/>
      <c r="P1001" s="1490"/>
      <c r="X1001" s="1445" t="e">
        <f ca="1"/>
        <v>#NAME?</v>
      </c>
      <c r="Y1001" s="1446" t="e">
        <f ca="1"/>
        <v>#NAME?</v>
      </c>
    </row>
    <row r="1002" spans="1:25">
      <c r="A1002" s="1487"/>
      <c r="B1002" s="1488"/>
      <c r="C1002" s="1489"/>
      <c r="D1002" s="1490"/>
      <c r="E1002" s="1487"/>
      <c r="F1002" s="1488"/>
      <c r="G1002" s="1489"/>
      <c r="H1002" s="1490"/>
      <c r="I1002" s="1487"/>
      <c r="J1002" s="1488"/>
      <c r="K1002" s="1489"/>
      <c r="L1002" s="1490"/>
      <c r="M1002" s="1487"/>
      <c r="N1002" s="1488"/>
      <c r="O1002" s="1489"/>
      <c r="P1002" s="1490"/>
      <c r="X1002" s="1445" t="e">
        <f ca="1"/>
        <v>#NAME?</v>
      </c>
      <c r="Y1002" s="1446" t="e">
        <f ca="1"/>
        <v>#NAME?</v>
      </c>
    </row>
    <row r="1003" spans="1:25">
      <c r="A1003" s="1487"/>
      <c r="B1003" s="1488"/>
      <c r="C1003" s="1489"/>
      <c r="D1003" s="1490"/>
      <c r="E1003" s="1487"/>
      <c r="F1003" s="1488"/>
      <c r="G1003" s="1489"/>
      <c r="H1003" s="1490"/>
      <c r="I1003" s="1487"/>
      <c r="J1003" s="1488"/>
      <c r="K1003" s="1489"/>
      <c r="L1003" s="1490"/>
      <c r="M1003" s="1487"/>
      <c r="N1003" s="1488"/>
      <c r="O1003" s="1489"/>
      <c r="P1003" s="1490"/>
      <c r="X1003" s="1445" t="e">
        <f ca="1"/>
        <v>#NAME?</v>
      </c>
      <c r="Y1003" s="1446" t="e">
        <f ca="1"/>
        <v>#NAME?</v>
      </c>
    </row>
    <row r="1004" spans="1:25">
      <c r="A1004" s="1487"/>
      <c r="B1004" s="1488"/>
      <c r="C1004" s="1489"/>
      <c r="D1004" s="1490"/>
      <c r="E1004" s="1487"/>
      <c r="F1004" s="1488"/>
      <c r="G1004" s="1489"/>
      <c r="H1004" s="1490"/>
      <c r="I1004" s="1487"/>
      <c r="J1004" s="1488"/>
      <c r="K1004" s="1489"/>
      <c r="L1004" s="1490"/>
      <c r="M1004" s="1487"/>
      <c r="N1004" s="1488"/>
      <c r="O1004" s="1489"/>
      <c r="P1004" s="1490"/>
      <c r="X1004" s="1445" t="e">
        <f ca="1"/>
        <v>#NAME?</v>
      </c>
      <c r="Y1004" s="1446" t="e">
        <f ca="1"/>
        <v>#NAME?</v>
      </c>
    </row>
    <row r="1005" spans="1:25">
      <c r="A1005" s="1487"/>
      <c r="B1005" s="1488"/>
      <c r="C1005" s="1489"/>
      <c r="D1005" s="1490"/>
      <c r="E1005" s="1487"/>
      <c r="F1005" s="1488"/>
      <c r="G1005" s="1489"/>
      <c r="H1005" s="1490"/>
      <c r="I1005" s="1487"/>
      <c r="J1005" s="1488"/>
      <c r="K1005" s="1489"/>
      <c r="L1005" s="1490"/>
      <c r="M1005" s="1487"/>
      <c r="N1005" s="1488"/>
      <c r="O1005" s="1489"/>
      <c r="P1005" s="1490"/>
      <c r="X1005" s="1445" t="e">
        <f ca="1"/>
        <v>#NAME?</v>
      </c>
      <c r="Y1005" s="1446" t="e">
        <f ca="1"/>
        <v>#NAME?</v>
      </c>
    </row>
    <row r="1006" spans="1:25">
      <c r="A1006" s="1487"/>
      <c r="B1006" s="1488"/>
      <c r="C1006" s="1489"/>
      <c r="D1006" s="1490"/>
      <c r="E1006" s="1487"/>
      <c r="F1006" s="1488"/>
      <c r="G1006" s="1489"/>
      <c r="H1006" s="1490"/>
      <c r="I1006" s="1487"/>
      <c r="J1006" s="1488"/>
      <c r="K1006" s="1489"/>
      <c r="L1006" s="1490"/>
      <c r="M1006" s="1487"/>
      <c r="N1006" s="1488"/>
      <c r="O1006" s="1489"/>
      <c r="P1006" s="1490"/>
      <c r="X1006" s="1445" t="e">
        <f ca="1"/>
        <v>#NAME?</v>
      </c>
      <c r="Y1006" s="1446" t="e">
        <f ca="1"/>
        <v>#NAME?</v>
      </c>
    </row>
    <row r="1007" spans="1:25">
      <c r="A1007" s="1487"/>
      <c r="B1007" s="1488"/>
      <c r="C1007" s="1489"/>
      <c r="D1007" s="1490"/>
      <c r="E1007" s="1487"/>
      <c r="F1007" s="1488"/>
      <c r="G1007" s="1489"/>
      <c r="H1007" s="1490"/>
      <c r="I1007" s="1487"/>
      <c r="J1007" s="1488"/>
      <c r="K1007" s="1489"/>
      <c r="L1007" s="1490"/>
      <c r="M1007" s="1487"/>
      <c r="N1007" s="1488"/>
      <c r="O1007" s="1489"/>
      <c r="P1007" s="1490"/>
      <c r="X1007" s="1445" t="e">
        <f ca="1"/>
        <v>#NAME?</v>
      </c>
      <c r="Y1007" s="1446" t="e">
        <f ca="1"/>
        <v>#NAME?</v>
      </c>
    </row>
    <row r="1008" spans="1:25">
      <c r="A1008" s="1487"/>
      <c r="B1008" s="1488"/>
      <c r="C1008" s="1489"/>
      <c r="D1008" s="1490"/>
      <c r="E1008" s="1487"/>
      <c r="F1008" s="1488"/>
      <c r="G1008" s="1489"/>
      <c r="H1008" s="1490"/>
      <c r="I1008" s="1487"/>
      <c r="J1008" s="1488"/>
      <c r="K1008" s="1489"/>
      <c r="L1008" s="1490"/>
      <c r="M1008" s="1487"/>
      <c r="N1008" s="1488"/>
      <c r="O1008" s="1489"/>
      <c r="P1008" s="1490"/>
      <c r="X1008" s="1445" t="e">
        <f ca="1"/>
        <v>#NAME?</v>
      </c>
      <c r="Y1008" s="1446" t="e">
        <f ca="1"/>
        <v>#NAME?</v>
      </c>
    </row>
    <row r="1009" spans="1:25">
      <c r="A1009" s="1487"/>
      <c r="B1009" s="1488"/>
      <c r="C1009" s="1489"/>
      <c r="D1009" s="1490"/>
      <c r="E1009" s="1487"/>
      <c r="F1009" s="1488"/>
      <c r="G1009" s="1489"/>
      <c r="H1009" s="1490"/>
      <c r="I1009" s="1487"/>
      <c r="J1009" s="1488"/>
      <c r="K1009" s="1489"/>
      <c r="L1009" s="1490"/>
      <c r="M1009" s="1487"/>
      <c r="N1009" s="1488"/>
      <c r="O1009" s="1489"/>
      <c r="P1009" s="1490"/>
      <c r="X1009" s="1445" t="e">
        <f ca="1"/>
        <v>#NAME?</v>
      </c>
      <c r="Y1009" s="1446" t="e">
        <f ca="1"/>
        <v>#NAME?</v>
      </c>
    </row>
    <row r="1010" spans="1:25">
      <c r="A1010" s="1487"/>
      <c r="B1010" s="1488"/>
      <c r="C1010" s="1489"/>
      <c r="D1010" s="1490"/>
      <c r="E1010" s="1487"/>
      <c r="F1010" s="1488"/>
      <c r="G1010" s="1489"/>
      <c r="H1010" s="1490"/>
      <c r="I1010" s="1487"/>
      <c r="J1010" s="1488"/>
      <c r="K1010" s="1489"/>
      <c r="L1010" s="1490"/>
      <c r="M1010" s="1487"/>
      <c r="N1010" s="1488"/>
      <c r="O1010" s="1489"/>
      <c r="P1010" s="1490"/>
      <c r="X1010" s="1445" t="e">
        <f ca="1"/>
        <v>#NAME?</v>
      </c>
      <c r="Y1010" s="1446" t="e">
        <f ca="1"/>
        <v>#NAME?</v>
      </c>
    </row>
    <row r="1011" spans="1:25">
      <c r="A1011" s="1487"/>
      <c r="B1011" s="1488"/>
      <c r="C1011" s="1489"/>
      <c r="D1011" s="1490"/>
      <c r="E1011" s="1487"/>
      <c r="F1011" s="1488"/>
      <c r="G1011" s="1489"/>
      <c r="H1011" s="1490"/>
      <c r="I1011" s="1487"/>
      <c r="J1011" s="1488"/>
      <c r="K1011" s="1489"/>
      <c r="L1011" s="1490"/>
      <c r="M1011" s="1487"/>
      <c r="N1011" s="1488"/>
      <c r="O1011" s="1489"/>
      <c r="P1011" s="1490"/>
      <c r="X1011" s="1445" t="e">
        <f ca="1"/>
        <v>#NAME?</v>
      </c>
      <c r="Y1011" s="1446" t="e">
        <f ca="1"/>
        <v>#NAME?</v>
      </c>
    </row>
    <row r="1012" spans="1:25">
      <c r="A1012" s="1487"/>
      <c r="B1012" s="1488"/>
      <c r="C1012" s="1489"/>
      <c r="D1012" s="1490"/>
      <c r="E1012" s="1487"/>
      <c r="F1012" s="1488"/>
      <c r="G1012" s="1489"/>
      <c r="H1012" s="1490"/>
      <c r="I1012" s="1487"/>
      <c r="J1012" s="1488"/>
      <c r="K1012" s="1489"/>
      <c r="L1012" s="1490"/>
      <c r="M1012" s="1487"/>
      <c r="N1012" s="1488"/>
      <c r="O1012" s="1489"/>
      <c r="P1012" s="1490"/>
      <c r="X1012" s="1445" t="e">
        <f ca="1"/>
        <v>#NAME?</v>
      </c>
      <c r="Y1012" s="1446" t="e">
        <f ca="1"/>
        <v>#NAME?</v>
      </c>
    </row>
    <row r="1013" spans="1:25">
      <c r="A1013" s="1487"/>
      <c r="B1013" s="1488"/>
      <c r="C1013" s="1489"/>
      <c r="D1013" s="1490"/>
      <c r="E1013" s="1487"/>
      <c r="F1013" s="1488"/>
      <c r="G1013" s="1489"/>
      <c r="H1013" s="1490"/>
      <c r="I1013" s="1487"/>
      <c r="J1013" s="1488"/>
      <c r="K1013" s="1489"/>
      <c r="L1013" s="1490"/>
      <c r="M1013" s="1487"/>
      <c r="N1013" s="1488"/>
      <c r="O1013" s="1489"/>
      <c r="P1013" s="1490"/>
      <c r="X1013" s="1445" t="e">
        <f ca="1"/>
        <v>#NAME?</v>
      </c>
      <c r="Y1013" s="1446" t="e">
        <f ca="1"/>
        <v>#NAME?</v>
      </c>
    </row>
    <row r="1014" spans="1:25">
      <c r="A1014" s="1487"/>
      <c r="B1014" s="1488"/>
      <c r="C1014" s="1489"/>
      <c r="D1014" s="1490"/>
      <c r="E1014" s="1487"/>
      <c r="F1014" s="1488"/>
      <c r="G1014" s="1489"/>
      <c r="H1014" s="1490"/>
      <c r="I1014" s="1487"/>
      <c r="J1014" s="1488"/>
      <c r="K1014" s="1489"/>
      <c r="L1014" s="1490"/>
      <c r="M1014" s="1487"/>
      <c r="N1014" s="1488"/>
      <c r="O1014" s="1489"/>
      <c r="P1014" s="1490"/>
      <c r="X1014" s="1445" t="e">
        <f ca="1"/>
        <v>#NAME?</v>
      </c>
      <c r="Y1014" s="1446" t="e">
        <f ca="1"/>
        <v>#NAME?</v>
      </c>
    </row>
    <row r="1015" spans="1:25">
      <c r="A1015" s="1487"/>
      <c r="B1015" s="1488"/>
      <c r="C1015" s="1489"/>
      <c r="D1015" s="1490"/>
      <c r="E1015" s="1487"/>
      <c r="F1015" s="1488"/>
      <c r="G1015" s="1489"/>
      <c r="H1015" s="1490"/>
      <c r="I1015" s="1487"/>
      <c r="J1015" s="1488"/>
      <c r="K1015" s="1489"/>
      <c r="L1015" s="1490"/>
      <c r="M1015" s="1487"/>
      <c r="N1015" s="1488"/>
      <c r="O1015" s="1489"/>
      <c r="P1015" s="1490"/>
      <c r="X1015" s="1445" t="e">
        <f ca="1"/>
        <v>#NAME?</v>
      </c>
      <c r="Y1015" s="1446" t="e">
        <f ca="1"/>
        <v>#NAME?</v>
      </c>
    </row>
    <row r="1016" spans="1:25">
      <c r="A1016" s="1487"/>
      <c r="B1016" s="1488"/>
      <c r="C1016" s="1489"/>
      <c r="D1016" s="1490"/>
      <c r="E1016" s="1487"/>
      <c r="F1016" s="1488"/>
      <c r="G1016" s="1489"/>
      <c r="H1016" s="1490"/>
      <c r="I1016" s="1487"/>
      <c r="J1016" s="1488"/>
      <c r="K1016" s="1489"/>
      <c r="L1016" s="1490"/>
      <c r="M1016" s="1487"/>
      <c r="N1016" s="1488"/>
      <c r="O1016" s="1489"/>
      <c r="P1016" s="1490"/>
      <c r="X1016" s="1445" t="e">
        <f ca="1"/>
        <v>#NAME?</v>
      </c>
      <c r="Y1016" s="1446" t="e">
        <f ca="1"/>
        <v>#NAME?</v>
      </c>
    </row>
    <row r="1017" spans="1:25">
      <c r="A1017" s="1487"/>
      <c r="B1017" s="1488"/>
      <c r="C1017" s="1489"/>
      <c r="D1017" s="1490"/>
      <c r="E1017" s="1487"/>
      <c r="F1017" s="1488"/>
      <c r="G1017" s="1489"/>
      <c r="H1017" s="1490"/>
      <c r="I1017" s="1487"/>
      <c r="J1017" s="1488"/>
      <c r="K1017" s="1489"/>
      <c r="L1017" s="1490"/>
      <c r="M1017" s="1487"/>
      <c r="N1017" s="1488"/>
      <c r="O1017" s="1489"/>
      <c r="P1017" s="1490"/>
      <c r="X1017" s="1445" t="e">
        <f ca="1"/>
        <v>#NAME?</v>
      </c>
      <c r="Y1017" s="1446" t="e">
        <f ca="1"/>
        <v>#NAME?</v>
      </c>
    </row>
    <row r="1018" spans="1:25">
      <c r="A1018" s="1487"/>
      <c r="B1018" s="1488"/>
      <c r="C1018" s="1489"/>
      <c r="D1018" s="1490"/>
      <c r="E1018" s="1487"/>
      <c r="F1018" s="1488"/>
      <c r="G1018" s="1489"/>
      <c r="H1018" s="1490"/>
      <c r="I1018" s="1487"/>
      <c r="J1018" s="1488"/>
      <c r="K1018" s="1489"/>
      <c r="L1018" s="1490"/>
      <c r="M1018" s="1487"/>
      <c r="N1018" s="1488"/>
      <c r="O1018" s="1489"/>
      <c r="P1018" s="1490"/>
      <c r="X1018" s="1445" t="e">
        <f ca="1"/>
        <v>#NAME?</v>
      </c>
      <c r="Y1018" s="1446" t="e">
        <f ca="1"/>
        <v>#NAME?</v>
      </c>
    </row>
    <row r="1019" spans="1:25">
      <c r="A1019" s="1487"/>
      <c r="B1019" s="1488"/>
      <c r="C1019" s="1489"/>
      <c r="D1019" s="1490"/>
      <c r="E1019" s="1487"/>
      <c r="F1019" s="1488"/>
      <c r="G1019" s="1489"/>
      <c r="H1019" s="1490"/>
      <c r="I1019" s="1487"/>
      <c r="J1019" s="1488"/>
      <c r="K1019" s="1489"/>
      <c r="L1019" s="1490"/>
      <c r="M1019" s="1487"/>
      <c r="N1019" s="1488"/>
      <c r="O1019" s="1489"/>
      <c r="P1019" s="1490"/>
      <c r="X1019" s="1445" t="e">
        <f ca="1"/>
        <v>#NAME?</v>
      </c>
      <c r="Y1019" s="1446" t="e">
        <f ca="1"/>
        <v>#NAME?</v>
      </c>
    </row>
    <row r="1020" spans="1:25">
      <c r="A1020" s="1487"/>
      <c r="B1020" s="1488"/>
      <c r="C1020" s="1489"/>
      <c r="D1020" s="1490"/>
      <c r="E1020" s="1487"/>
      <c r="F1020" s="1488"/>
      <c r="G1020" s="1489"/>
      <c r="H1020" s="1490"/>
      <c r="I1020" s="1487"/>
      <c r="J1020" s="1488"/>
      <c r="K1020" s="1489"/>
      <c r="L1020" s="1490"/>
      <c r="M1020" s="1487"/>
      <c r="N1020" s="1488"/>
      <c r="O1020" s="1489"/>
      <c r="P1020" s="1490"/>
      <c r="X1020" s="1445" t="e">
        <f ca="1"/>
        <v>#NAME?</v>
      </c>
      <c r="Y1020" s="1446" t="e">
        <f ca="1"/>
        <v>#NAME?</v>
      </c>
    </row>
    <row r="1021" spans="1:25">
      <c r="A1021" s="1487"/>
      <c r="B1021" s="1488"/>
      <c r="C1021" s="1489"/>
      <c r="D1021" s="1490"/>
      <c r="E1021" s="1487"/>
      <c r="F1021" s="1488"/>
      <c r="G1021" s="1489"/>
      <c r="H1021" s="1490"/>
      <c r="I1021" s="1487"/>
      <c r="J1021" s="1488"/>
      <c r="K1021" s="1489"/>
      <c r="L1021" s="1490"/>
      <c r="M1021" s="1487"/>
      <c r="N1021" s="1488"/>
      <c r="O1021" s="1489"/>
      <c r="P1021" s="1490"/>
      <c r="X1021" s="1445" t="e">
        <f ca="1"/>
        <v>#NAME?</v>
      </c>
      <c r="Y1021" s="1446" t="e">
        <f ca="1"/>
        <v>#NAME?</v>
      </c>
    </row>
    <row r="1022" spans="1:25">
      <c r="A1022" s="1487"/>
      <c r="B1022" s="1488"/>
      <c r="C1022" s="1489"/>
      <c r="D1022" s="1490"/>
      <c r="E1022" s="1487"/>
      <c r="F1022" s="1488"/>
      <c r="G1022" s="1489"/>
      <c r="H1022" s="1490"/>
      <c r="I1022" s="1487"/>
      <c r="J1022" s="1488"/>
      <c r="K1022" s="1489"/>
      <c r="L1022" s="1490"/>
      <c r="M1022" s="1487"/>
      <c r="N1022" s="1488"/>
      <c r="O1022" s="1489"/>
      <c r="P1022" s="1490"/>
      <c r="X1022" s="1445" t="e">
        <f ca="1"/>
        <v>#NAME?</v>
      </c>
      <c r="Y1022" s="1446" t="e">
        <f ca="1"/>
        <v>#NAME?</v>
      </c>
    </row>
    <row r="1023" spans="1:25">
      <c r="A1023" s="1487"/>
      <c r="B1023" s="1488"/>
      <c r="C1023" s="1489"/>
      <c r="D1023" s="1490"/>
      <c r="E1023" s="1487"/>
      <c r="F1023" s="1488"/>
      <c r="G1023" s="1489"/>
      <c r="H1023" s="1490"/>
      <c r="I1023" s="1487"/>
      <c r="J1023" s="1488"/>
      <c r="K1023" s="1489"/>
      <c r="L1023" s="1490"/>
      <c r="M1023" s="1487"/>
      <c r="N1023" s="1488"/>
      <c r="O1023" s="1489"/>
      <c r="P1023" s="1490"/>
      <c r="X1023" s="1445" t="e">
        <f ca="1"/>
        <v>#NAME?</v>
      </c>
      <c r="Y1023" s="1446" t="e">
        <f ca="1"/>
        <v>#NAME?</v>
      </c>
    </row>
    <row r="1024" spans="1:25">
      <c r="A1024" s="1487"/>
      <c r="B1024" s="1488"/>
      <c r="C1024" s="1489"/>
      <c r="D1024" s="1490"/>
      <c r="E1024" s="1487"/>
      <c r="F1024" s="1488"/>
      <c r="G1024" s="1489"/>
      <c r="H1024" s="1490"/>
      <c r="I1024" s="1487"/>
      <c r="J1024" s="1488"/>
      <c r="K1024" s="1489"/>
      <c r="L1024" s="1490"/>
      <c r="M1024" s="1487"/>
      <c r="N1024" s="1488"/>
      <c r="O1024" s="1489"/>
      <c r="P1024" s="1490"/>
      <c r="X1024" s="1445" t="e">
        <f ca="1"/>
        <v>#NAME?</v>
      </c>
      <c r="Y1024" s="1446" t="e">
        <f ca="1"/>
        <v>#NAME?</v>
      </c>
    </row>
    <row r="1025" spans="1:25">
      <c r="A1025" s="1487"/>
      <c r="B1025" s="1488"/>
      <c r="C1025" s="1489"/>
      <c r="D1025" s="1490"/>
      <c r="E1025" s="1487"/>
      <c r="F1025" s="1488"/>
      <c r="G1025" s="1489"/>
      <c r="H1025" s="1490"/>
      <c r="I1025" s="1487"/>
      <c r="J1025" s="1488"/>
      <c r="K1025" s="1489"/>
      <c r="L1025" s="1490"/>
      <c r="M1025" s="1487"/>
      <c r="N1025" s="1488"/>
      <c r="O1025" s="1489"/>
      <c r="P1025" s="1490"/>
      <c r="X1025" s="1445" t="e">
        <f ca="1"/>
        <v>#NAME?</v>
      </c>
      <c r="Y1025" s="1446" t="e">
        <f ca="1"/>
        <v>#NAME?</v>
      </c>
    </row>
    <row r="1026" spans="1:25">
      <c r="A1026" s="1487"/>
      <c r="B1026" s="1488"/>
      <c r="C1026" s="1489"/>
      <c r="D1026" s="1490"/>
      <c r="E1026" s="1487"/>
      <c r="F1026" s="1488"/>
      <c r="G1026" s="1489"/>
      <c r="H1026" s="1490"/>
      <c r="I1026" s="1487"/>
      <c r="J1026" s="1488"/>
      <c r="K1026" s="1489"/>
      <c r="L1026" s="1490"/>
      <c r="M1026" s="1487"/>
      <c r="N1026" s="1488"/>
      <c r="O1026" s="1489"/>
      <c r="P1026" s="1490"/>
      <c r="X1026" s="1445" t="e">
        <f ca="1"/>
        <v>#NAME?</v>
      </c>
      <c r="Y1026" s="1446" t="e">
        <f ca="1"/>
        <v>#NAME?</v>
      </c>
    </row>
    <row r="1027" spans="1:25">
      <c r="A1027" s="1487"/>
      <c r="B1027" s="1488"/>
      <c r="C1027" s="1489"/>
      <c r="D1027" s="1490"/>
      <c r="E1027" s="1487"/>
      <c r="F1027" s="1488"/>
      <c r="G1027" s="1489"/>
      <c r="H1027" s="1490"/>
      <c r="I1027" s="1487"/>
      <c r="J1027" s="1488"/>
      <c r="K1027" s="1489"/>
      <c r="L1027" s="1490"/>
      <c r="M1027" s="1487"/>
      <c r="N1027" s="1488"/>
      <c r="O1027" s="1489"/>
      <c r="P1027" s="1490"/>
      <c r="X1027" s="1445" t="e">
        <f ca="1"/>
        <v>#NAME?</v>
      </c>
      <c r="Y1027" s="1446" t="e">
        <f ca="1"/>
        <v>#NAME?</v>
      </c>
    </row>
    <row r="1028" spans="1:25">
      <c r="A1028" s="1487"/>
      <c r="B1028" s="1488"/>
      <c r="C1028" s="1489"/>
      <c r="D1028" s="1490"/>
      <c r="E1028" s="1487"/>
      <c r="F1028" s="1488"/>
      <c r="G1028" s="1489"/>
      <c r="H1028" s="1490"/>
      <c r="I1028" s="1487"/>
      <c r="J1028" s="1488"/>
      <c r="K1028" s="1489"/>
      <c r="L1028" s="1490"/>
      <c r="M1028" s="1487"/>
      <c r="N1028" s="1488"/>
      <c r="O1028" s="1489"/>
      <c r="P1028" s="1490"/>
      <c r="X1028" s="1445" t="e">
        <f ca="1"/>
        <v>#NAME?</v>
      </c>
      <c r="Y1028" s="1446" t="e">
        <f ca="1"/>
        <v>#NAME?</v>
      </c>
    </row>
    <row r="1029" spans="1:25">
      <c r="A1029" s="1487"/>
      <c r="B1029" s="1488"/>
      <c r="C1029" s="1489"/>
      <c r="D1029" s="1490"/>
      <c r="E1029" s="1487"/>
      <c r="F1029" s="1488"/>
      <c r="G1029" s="1489"/>
      <c r="H1029" s="1490"/>
      <c r="I1029" s="1487"/>
      <c r="J1029" s="1488"/>
      <c r="K1029" s="1489"/>
      <c r="L1029" s="1490"/>
      <c r="M1029" s="1487"/>
      <c r="N1029" s="1488"/>
      <c r="O1029" s="1489"/>
      <c r="P1029" s="1490"/>
      <c r="X1029" s="1445" t="e">
        <f ca="1"/>
        <v>#NAME?</v>
      </c>
      <c r="Y1029" s="1446" t="e">
        <f ca="1"/>
        <v>#NAME?</v>
      </c>
    </row>
    <row r="1030" spans="1:25">
      <c r="A1030" s="1487"/>
      <c r="B1030" s="1488"/>
      <c r="C1030" s="1489"/>
      <c r="D1030" s="1490"/>
      <c r="E1030" s="1487"/>
      <c r="F1030" s="1488"/>
      <c r="G1030" s="1489"/>
      <c r="H1030" s="1490"/>
      <c r="I1030" s="1487"/>
      <c r="J1030" s="1488"/>
      <c r="K1030" s="1489"/>
      <c r="L1030" s="1490"/>
      <c r="M1030" s="1487"/>
      <c r="N1030" s="1488"/>
      <c r="O1030" s="1489"/>
      <c r="P1030" s="1490"/>
      <c r="X1030" s="1445" t="e">
        <f ca="1"/>
        <v>#NAME?</v>
      </c>
      <c r="Y1030" s="1446" t="e">
        <f ca="1"/>
        <v>#NAME?</v>
      </c>
    </row>
    <row r="1031" spans="1:25" ht="13.5" thickBot="1">
      <c r="A1031" s="1494"/>
      <c r="B1031" s="1495"/>
      <c r="C1031" s="1496"/>
      <c r="D1031" s="1497"/>
      <c r="E1031" s="1494"/>
      <c r="F1031" s="1495"/>
      <c r="G1031" s="1496"/>
      <c r="H1031" s="1497"/>
      <c r="I1031" s="1494"/>
      <c r="J1031" s="1495"/>
      <c r="K1031" s="1496"/>
      <c r="L1031" s="1497"/>
      <c r="M1031" s="1494"/>
      <c r="N1031" s="1495"/>
      <c r="O1031" s="1496"/>
      <c r="P1031" s="1497"/>
      <c r="X1031" s="1447" t="e">
        <f ca="1"/>
        <v>#NAME?</v>
      </c>
      <c r="Y1031" s="1448" t="e">
        <f ca="1"/>
        <v>#NAME?</v>
      </c>
    </row>
  </sheetData>
  <sheetProtection algorithmName="SHA-512" hashValue="eh1kjMGyAIRgDEpoDtkrjPNKabVWPwjaxjlfeGE46saBj4cApyQqu/lr/Ub/IdV2CzW5l9UAJL4mneGZ4YPOzg==" saltValue="mIzKn7Icg5cE6aIRmQHS5g==" spinCount="100000" sheet="1" objects="1" scenarios="1"/>
  <mergeCells count="11">
    <mergeCell ref="D1:N1"/>
    <mergeCell ref="B4:P4"/>
    <mergeCell ref="A27:P27"/>
    <mergeCell ref="A28:B28"/>
    <mergeCell ref="C28:D28"/>
    <mergeCell ref="E28:F28"/>
    <mergeCell ref="G28:H28"/>
    <mergeCell ref="I28:J28"/>
    <mergeCell ref="K28:L28"/>
    <mergeCell ref="M28:N28"/>
    <mergeCell ref="O28:P28"/>
  </mergeCells>
  <dataValidations count="1">
    <dataValidation type="list" allowBlank="1" showInputMessage="1" showErrorMessage="1" sqref="R18" xr:uid="{00000000-0002-0000-1200-000000000000}">
      <formula1>$R$8:$R$14</formula1>
    </dataValidation>
  </dataValidations>
  <printOptions horizontalCentered="1"/>
  <pageMargins left="0.25" right="0.25" top="0.25" bottom="0.25" header="0.5" footer="0.5"/>
  <pageSetup scale="67" orientation="landscape" verticalDpi="599" r:id="rId1"/>
  <headerFooter alignWithMargins="0"/>
  <drawing r:id="rId2"/>
  <legacyDrawing r:id="rId3"/>
  <controls>
    <mc:AlternateContent xmlns:mc="http://schemas.openxmlformats.org/markup-compatibility/2006">
      <mc:Choice Requires="x14">
        <control shapeId="41985" r:id="rId4" name="Label1">
          <controlPr defaultSize="0" autoFill="0" autoLine="0" r:id="rId5">
            <anchor moveWithCells="1">
              <from>
                <xdr:col>8</xdr:col>
                <xdr:colOff>180975</xdr:colOff>
                <xdr:row>1</xdr:row>
                <xdr:rowOff>247650</xdr:rowOff>
              </from>
              <to>
                <xdr:col>15</xdr:col>
                <xdr:colOff>104775</xdr:colOff>
                <xdr:row>1</xdr:row>
                <xdr:rowOff>676275</xdr:rowOff>
              </to>
            </anchor>
          </controlPr>
        </control>
      </mc:Choice>
      <mc:Fallback>
        <control shapeId="41985" r:id="rId4" name="Label1"/>
      </mc:Fallback>
    </mc:AlternateContent>
    <mc:AlternateContent xmlns:mc="http://schemas.openxmlformats.org/markup-compatibility/2006">
      <mc:Choice Requires="x14">
        <control shapeId="41986" r:id="rId6" name="cbLoadData">
          <controlPr autoLine="0" r:id="rId7">
            <anchor moveWithCells="1">
              <from>
                <xdr:col>3</xdr:col>
                <xdr:colOff>0</xdr:colOff>
                <xdr:row>1</xdr:row>
                <xdr:rowOff>371475</xdr:rowOff>
              </from>
              <to>
                <xdr:col>5</xdr:col>
                <xdr:colOff>0</xdr:colOff>
                <xdr:row>1</xdr:row>
                <xdr:rowOff>752475</xdr:rowOff>
              </to>
            </anchor>
          </controlPr>
        </control>
      </mc:Choice>
      <mc:Fallback>
        <control shapeId="41986" r:id="rId6" name="cbLoadData"/>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dimension ref="A1:AE1031"/>
  <sheetViews>
    <sheetView zoomScaleNormal="100" workbookViewId="0">
      <pane ySplit="30" topLeftCell="A31" activePane="bottomLeft" state="frozen"/>
      <selection pane="bottomLeft"/>
    </sheetView>
  </sheetViews>
  <sheetFormatPr defaultRowHeight="12.75"/>
  <cols>
    <col min="1" max="16" width="12.5703125" style="1400" customWidth="1"/>
    <col min="17" max="17" width="9.140625" style="1400"/>
    <col min="18" max="21" width="9.140625" style="1408" hidden="1" customWidth="1"/>
    <col min="22" max="23" width="9.140625" style="1408" customWidth="1"/>
    <col min="24" max="25" width="19.5703125" style="1408" hidden="1" customWidth="1"/>
    <col min="26" max="26" width="9.140625" style="1399" customWidth="1"/>
    <col min="27" max="27" width="9.140625" style="1408"/>
    <col min="28" max="16384" width="9.140625" style="1400"/>
  </cols>
  <sheetData>
    <row r="1" spans="1:31" ht="26.25" customHeight="1" thickBot="1">
      <c r="A1" s="1395" t="s">
        <v>2754</v>
      </c>
      <c r="B1" s="1396" t="s">
        <v>2755</v>
      </c>
      <c r="C1" s="1397"/>
      <c r="D1" s="1687" t="s">
        <v>1626</v>
      </c>
      <c r="E1" s="1687"/>
      <c r="F1" s="1687"/>
      <c r="G1" s="1687"/>
      <c r="H1" s="1687"/>
      <c r="I1" s="1687"/>
      <c r="J1" s="1687"/>
      <c r="K1" s="1687"/>
      <c r="L1" s="1687"/>
      <c r="M1" s="1687"/>
      <c r="N1" s="1687"/>
      <c r="O1" s="1397"/>
      <c r="P1" s="1398" t="str">
        <f>'KYCT Data Sublot # 1'!P1</f>
        <v>February 2020</v>
      </c>
      <c r="Q1" s="1399"/>
      <c r="R1" s="1399"/>
      <c r="S1" s="1399"/>
      <c r="T1" s="1399"/>
      <c r="U1" s="1399"/>
      <c r="V1" s="1399"/>
      <c r="W1" s="1399"/>
      <c r="X1" s="1399"/>
      <c r="Y1" s="1399"/>
      <c r="AA1" s="1399"/>
      <c r="AB1" s="1399"/>
      <c r="AC1" s="1399"/>
      <c r="AD1" s="1399"/>
      <c r="AE1" s="1399"/>
    </row>
    <row r="2" spans="1:31" ht="69" customHeight="1">
      <c r="A2" s="1401"/>
      <c r="B2" s="1402"/>
      <c r="C2" s="1403"/>
      <c r="D2" s="1403"/>
      <c r="E2" s="1403"/>
      <c r="F2" s="1403"/>
      <c r="G2" s="1403"/>
      <c r="H2" s="1403"/>
      <c r="I2" s="1403"/>
      <c r="J2" s="1403"/>
      <c r="K2" s="1403"/>
      <c r="L2" s="1403"/>
      <c r="M2" s="1403"/>
      <c r="N2" s="1403"/>
      <c r="O2" s="1403"/>
      <c r="P2" s="1404"/>
      <c r="Q2" s="1399"/>
      <c r="R2" s="1399"/>
      <c r="S2" s="1399"/>
      <c r="T2" s="1399"/>
      <c r="U2" s="1399"/>
      <c r="V2" s="1399"/>
      <c r="W2" s="1399"/>
      <c r="X2" s="1399"/>
      <c r="Y2" s="1399"/>
      <c r="AA2" s="1399"/>
      <c r="AB2" s="1399"/>
      <c r="AC2" s="1399"/>
      <c r="AD2" s="1399"/>
      <c r="AE2" s="1399"/>
    </row>
    <row r="3" spans="1:31" ht="18" customHeight="1" thickBot="1">
      <c r="A3" s="1405"/>
      <c r="B3" s="1406"/>
      <c r="C3" s="1406"/>
      <c r="D3" s="1406"/>
      <c r="E3" s="1406"/>
      <c r="F3" s="1406"/>
      <c r="G3" s="1406"/>
      <c r="H3" s="1406"/>
      <c r="I3" s="1406"/>
      <c r="J3" s="1406"/>
      <c r="K3" s="1406"/>
      <c r="L3" s="1406"/>
      <c r="M3" s="1406"/>
      <c r="N3" s="1406"/>
      <c r="O3" s="1406"/>
      <c r="P3" s="1407" t="s">
        <v>2756</v>
      </c>
      <c r="Q3" s="1399"/>
      <c r="R3" s="1399"/>
      <c r="S3" s="1399"/>
      <c r="T3" s="1399"/>
      <c r="U3" s="1399"/>
      <c r="V3" s="1399"/>
      <c r="X3" s="1409" t="s">
        <v>1152</v>
      </c>
      <c r="Y3" s="1409">
        <v>1</v>
      </c>
      <c r="AB3" s="1399"/>
      <c r="AC3" s="1399"/>
      <c r="AD3" s="1399"/>
      <c r="AE3" s="1399"/>
    </row>
    <row r="4" spans="1:31" ht="22.5" customHeight="1" thickBot="1">
      <c r="A4" s="1410" t="s">
        <v>2757</v>
      </c>
      <c r="B4" s="1688"/>
      <c r="C4" s="1689"/>
      <c r="D4" s="1689"/>
      <c r="E4" s="1689"/>
      <c r="F4" s="1689"/>
      <c r="G4" s="1689"/>
      <c r="H4" s="1689"/>
      <c r="I4" s="1689"/>
      <c r="J4" s="1689"/>
      <c r="K4" s="1689"/>
      <c r="L4" s="1689"/>
      <c r="M4" s="1689"/>
      <c r="N4" s="1689"/>
      <c r="O4" s="1689"/>
      <c r="P4" s="1690"/>
      <c r="Q4" s="1399"/>
      <c r="R4" s="1399"/>
      <c r="S4" s="1399"/>
      <c r="T4" s="1399"/>
      <c r="U4" s="1399"/>
      <c r="V4" s="1399"/>
      <c r="W4" s="1399"/>
      <c r="X4" s="1411">
        <f>B4</f>
        <v>0</v>
      </c>
      <c r="Y4" s="1412"/>
      <c r="AA4" s="1399"/>
      <c r="AB4" s="1399"/>
      <c r="AC4" s="1399"/>
      <c r="AD4" s="1399"/>
      <c r="AE4" s="1399"/>
    </row>
    <row r="5" spans="1:31" ht="12.75" hidden="1" customHeight="1">
      <c r="A5" s="1413" t="s">
        <v>2758</v>
      </c>
      <c r="B5" s="1414">
        <f ca="1">COUNTA(INDIRECT("A"&amp;FirstRow&amp;":A"&amp;FirstRow+1000))</f>
        <v>0</v>
      </c>
      <c r="C5" s="1415" t="s">
        <v>2758</v>
      </c>
      <c r="D5" s="1416">
        <f ca="1">COUNTA(INDIRECT("C"&amp;FirstRow&amp;":C"&amp;FirstRow+1000))</f>
        <v>0</v>
      </c>
      <c r="E5" s="1413" t="s">
        <v>2758</v>
      </c>
      <c r="F5" s="1414">
        <f ca="1">COUNTA(INDIRECT("E"&amp;FirstRow&amp;":E"&amp;FirstRow+1000))</f>
        <v>0</v>
      </c>
      <c r="G5" s="1415" t="s">
        <v>2758</v>
      </c>
      <c r="H5" s="1416">
        <f ca="1">COUNTA(INDIRECT("G"&amp;FirstRow&amp;":G"&amp;FirstRow+1000))</f>
        <v>0</v>
      </c>
      <c r="I5" s="1413" t="s">
        <v>2758</v>
      </c>
      <c r="J5" s="1414">
        <f ca="1">COUNTA(INDIRECT("I"&amp;FirstRow&amp;":I"&amp;FirstRow+1000))</f>
        <v>0</v>
      </c>
      <c r="K5" s="1415" t="s">
        <v>2758</v>
      </c>
      <c r="L5" s="1416">
        <f ca="1">COUNTA(INDIRECT("K"&amp;FirstRow&amp;":K"&amp;FirstRow+1000))</f>
        <v>0</v>
      </c>
      <c r="M5" s="1413" t="s">
        <v>2758</v>
      </c>
      <c r="N5" s="1414">
        <f ca="1">COUNTA(INDIRECT("M"&amp;FirstRow&amp;":M"&amp;FirstRow+1000))</f>
        <v>0</v>
      </c>
      <c r="O5" s="1415" t="s">
        <v>2758</v>
      </c>
      <c r="P5" s="1416">
        <f ca="1">COUNTA(INDIRECT("O"&amp;FirstRow&amp;":O"&amp;FirstRow+1000))</f>
        <v>0</v>
      </c>
      <c r="Q5" s="1399"/>
      <c r="R5" s="1399"/>
      <c r="S5" s="1399"/>
      <c r="T5" s="1399"/>
      <c r="U5" s="1399"/>
      <c r="V5" s="1399"/>
      <c r="W5" s="1399"/>
      <c r="X5" s="1417" t="e">
        <f t="array" aca="1" ref="X5:Y1031" ca="1">IF(OFFSET(A5:P1031,0,(TestNum-1)*2)="",NA(),OFFSET(A5:P1031,0,(TestNum-1)*2))</f>
        <v>#NAME?</v>
      </c>
      <c r="Y5" s="1418" t="e">
        <f ca="1"/>
        <v>#NAME?</v>
      </c>
      <c r="AA5" s="1399"/>
      <c r="AB5" s="1399"/>
      <c r="AC5" s="1399"/>
      <c r="AD5" s="1399"/>
      <c r="AE5" s="1399"/>
    </row>
    <row r="6" spans="1:31" ht="12.75" hidden="1" customHeight="1">
      <c r="A6" s="1417" t="s">
        <v>2759</v>
      </c>
      <c r="B6" s="1419">
        <f ca="1">MAX(INDIRECT("B"&amp;FirstRow&amp;":B"&amp;FirstRow+B5))</f>
        <v>0</v>
      </c>
      <c r="C6" s="1449" t="s">
        <v>2759</v>
      </c>
      <c r="D6" s="1450">
        <f ca="1">MAX(INDIRECT("D"&amp;FirstRow&amp;":D"&amp;FirstRow+D5))</f>
        <v>0</v>
      </c>
      <c r="E6" s="1417" t="s">
        <v>2759</v>
      </c>
      <c r="F6" s="1419">
        <f ca="1">MAX(INDIRECT("F"&amp;FirstRow&amp;":F"&amp;FirstRow+F5))</f>
        <v>0</v>
      </c>
      <c r="G6" s="1449" t="s">
        <v>2759</v>
      </c>
      <c r="H6" s="1450">
        <f ca="1">MAX(INDIRECT("H"&amp;FirstRow&amp;":H"&amp;FirstRow+H5))</f>
        <v>0</v>
      </c>
      <c r="I6" s="1417" t="s">
        <v>2759</v>
      </c>
      <c r="J6" s="1419">
        <f ca="1">MAX(INDIRECT("J"&amp;FirstRow&amp;":J"&amp;FirstRow+J5))</f>
        <v>0</v>
      </c>
      <c r="K6" s="1449" t="s">
        <v>2759</v>
      </c>
      <c r="L6" s="1450">
        <f ca="1">MAX(INDIRECT("L"&amp;FirstRow&amp;":L"&amp;FirstRow+L5))</f>
        <v>0</v>
      </c>
      <c r="M6" s="1417" t="s">
        <v>2759</v>
      </c>
      <c r="N6" s="1419">
        <f ca="1">MAX(INDIRECT("N"&amp;FirstRow&amp;":N"&amp;FirstRow+N5))</f>
        <v>0</v>
      </c>
      <c r="O6" s="1449" t="s">
        <v>2759</v>
      </c>
      <c r="P6" s="1450">
        <f ca="1">MAX(INDIRECT("P"&amp;FirstRow&amp;":P"&amp;FirstRow+P5))</f>
        <v>0</v>
      </c>
      <c r="Q6" s="1399"/>
      <c r="R6" s="1451" t="s">
        <v>2760</v>
      </c>
      <c r="S6" s="1399">
        <v>31</v>
      </c>
      <c r="T6" s="1399"/>
      <c r="U6" s="1399"/>
      <c r="V6" s="1399"/>
      <c r="W6" s="1399"/>
      <c r="X6" s="1417" t="e">
        <f ca="1"/>
        <v>#NAME?</v>
      </c>
      <c r="Y6" s="1419" t="e">
        <f ca="1"/>
        <v>#NAME?</v>
      </c>
      <c r="AA6" s="1399"/>
      <c r="AB6" s="1399"/>
      <c r="AC6" s="1399"/>
      <c r="AD6" s="1399"/>
      <c r="AE6" s="1399"/>
    </row>
    <row r="7" spans="1:31" ht="12.75" hidden="1" customHeight="1">
      <c r="A7" s="1417" t="s">
        <v>2761</v>
      </c>
      <c r="B7" s="1419">
        <f ca="1">0.85*B6</f>
        <v>0</v>
      </c>
      <c r="C7" s="1449" t="s">
        <v>2761</v>
      </c>
      <c r="D7" s="1450">
        <f ca="1">0.85*D6</f>
        <v>0</v>
      </c>
      <c r="E7" s="1417" t="s">
        <v>2761</v>
      </c>
      <c r="F7" s="1419">
        <f ca="1">0.85*F6</f>
        <v>0</v>
      </c>
      <c r="G7" s="1449" t="s">
        <v>2761</v>
      </c>
      <c r="H7" s="1450">
        <f ca="1">0.85*H6</f>
        <v>0</v>
      </c>
      <c r="I7" s="1417" t="s">
        <v>2761</v>
      </c>
      <c r="J7" s="1419">
        <f ca="1">0.85*J6</f>
        <v>0</v>
      </c>
      <c r="K7" s="1449" t="s">
        <v>2761</v>
      </c>
      <c r="L7" s="1450">
        <f ca="1">0.85*L6</f>
        <v>0</v>
      </c>
      <c r="M7" s="1417" t="s">
        <v>2761</v>
      </c>
      <c r="N7" s="1419">
        <f ca="1">0.85*N6</f>
        <v>0</v>
      </c>
      <c r="O7" s="1449" t="s">
        <v>2761</v>
      </c>
      <c r="P7" s="1450">
        <f ca="1">0.85*P6</f>
        <v>0</v>
      </c>
      <c r="Q7" s="1399"/>
      <c r="R7" s="1399"/>
      <c r="S7" s="1399"/>
      <c r="T7" s="1399"/>
      <c r="U7" s="1399"/>
      <c r="V7" s="1399"/>
      <c r="W7" s="1399"/>
      <c r="X7" s="1417" t="e">
        <f ca="1"/>
        <v>#NAME?</v>
      </c>
      <c r="Y7" s="1419" t="e">
        <f ca="1"/>
        <v>#NAME?</v>
      </c>
      <c r="AA7" s="1399"/>
      <c r="AB7" s="1399"/>
      <c r="AC7" s="1399"/>
      <c r="AD7" s="1399"/>
      <c r="AE7" s="1399"/>
    </row>
    <row r="8" spans="1:31" ht="12.75" hidden="1" customHeight="1">
      <c r="A8" s="1417" t="s">
        <v>2762</v>
      </c>
      <c r="B8" s="1419">
        <f ca="1">0.75*B6</f>
        <v>0</v>
      </c>
      <c r="C8" s="1449" t="s">
        <v>2762</v>
      </c>
      <c r="D8" s="1450">
        <f ca="1">0.75*D6</f>
        <v>0</v>
      </c>
      <c r="E8" s="1417" t="s">
        <v>2762</v>
      </c>
      <c r="F8" s="1419">
        <f ca="1">0.75*F6</f>
        <v>0</v>
      </c>
      <c r="G8" s="1449" t="s">
        <v>2762</v>
      </c>
      <c r="H8" s="1450">
        <f ca="1">0.75*H6</f>
        <v>0</v>
      </c>
      <c r="I8" s="1417" t="s">
        <v>2762</v>
      </c>
      <c r="J8" s="1419">
        <f ca="1">0.75*J6</f>
        <v>0</v>
      </c>
      <c r="K8" s="1449" t="s">
        <v>2762</v>
      </c>
      <c r="L8" s="1450">
        <f ca="1">0.75*L6</f>
        <v>0</v>
      </c>
      <c r="M8" s="1417" t="s">
        <v>2762</v>
      </c>
      <c r="N8" s="1419">
        <f ca="1">0.75*N6</f>
        <v>0</v>
      </c>
      <c r="O8" s="1449" t="s">
        <v>2762</v>
      </c>
      <c r="P8" s="1450">
        <f ca="1">0.75*P6</f>
        <v>0</v>
      </c>
      <c r="Q8" s="1399"/>
      <c r="R8" s="1399"/>
      <c r="S8" s="1399"/>
      <c r="T8" s="1399"/>
      <c r="U8" s="1399"/>
      <c r="V8" s="1399"/>
      <c r="W8" s="1399"/>
      <c r="X8" s="1417" t="e">
        <f ca="1"/>
        <v>#NAME?</v>
      </c>
      <c r="Y8" s="1419" t="e">
        <f ca="1"/>
        <v>#NAME?</v>
      </c>
      <c r="AA8" s="1399"/>
      <c r="AB8" s="1399"/>
      <c r="AC8" s="1399"/>
      <c r="AD8" s="1399"/>
      <c r="AE8" s="1399"/>
    </row>
    <row r="9" spans="1:31" ht="12.75" hidden="1" customHeight="1">
      <c r="A9" s="1417" t="s">
        <v>2763</v>
      </c>
      <c r="B9" s="1419">
        <f ca="1">0.65*B6</f>
        <v>0</v>
      </c>
      <c r="C9" s="1449" t="s">
        <v>2763</v>
      </c>
      <c r="D9" s="1450">
        <f ca="1">0.65*D6</f>
        <v>0</v>
      </c>
      <c r="E9" s="1417" t="s">
        <v>2763</v>
      </c>
      <c r="F9" s="1419">
        <f ca="1">0.65*F6</f>
        <v>0</v>
      </c>
      <c r="G9" s="1449" t="s">
        <v>2763</v>
      </c>
      <c r="H9" s="1450">
        <f ca="1">0.65*H6</f>
        <v>0</v>
      </c>
      <c r="I9" s="1417" t="s">
        <v>2763</v>
      </c>
      <c r="J9" s="1419">
        <f ca="1">0.65*J6</f>
        <v>0</v>
      </c>
      <c r="K9" s="1449" t="s">
        <v>2763</v>
      </c>
      <c r="L9" s="1450">
        <f ca="1">0.65*L6</f>
        <v>0</v>
      </c>
      <c r="M9" s="1417" t="s">
        <v>2763</v>
      </c>
      <c r="N9" s="1419">
        <f ca="1">0.65*N6</f>
        <v>0</v>
      </c>
      <c r="O9" s="1449" t="s">
        <v>2763</v>
      </c>
      <c r="P9" s="1450">
        <f ca="1">0.65*P6</f>
        <v>0</v>
      </c>
      <c r="Q9" s="1399"/>
      <c r="R9" s="1399"/>
      <c r="S9" s="1399"/>
      <c r="T9" s="1399"/>
      <c r="U9" s="1399"/>
      <c r="V9" s="1399"/>
      <c r="W9" s="1399"/>
      <c r="X9" s="1417" t="e">
        <f ca="1"/>
        <v>#NAME?</v>
      </c>
      <c r="Y9" s="1419" t="e">
        <f ca="1"/>
        <v>#NAME?</v>
      </c>
      <c r="AA9" s="1399"/>
      <c r="AB9" s="1399"/>
      <c r="AC9" s="1399"/>
      <c r="AD9" s="1399"/>
      <c r="AE9" s="1399"/>
    </row>
    <row r="10" spans="1:31" ht="12.75" hidden="1" customHeight="1">
      <c r="A10" s="1417" t="s">
        <v>2764</v>
      </c>
      <c r="B10" s="1420" t="e">
        <f ca="1">MATCH(B6,INDIRECT("B"&amp;FirstRow&amp;":B"&amp;FirstRow+B5),0)+FirstRow-1</f>
        <v>#N/A</v>
      </c>
      <c r="C10" s="1449" t="s">
        <v>2764</v>
      </c>
      <c r="D10" s="1452" t="e">
        <f ca="1">MATCH(D6,INDIRECT("D"&amp;FirstRow&amp;":D"&amp;FirstRow+D5),0)+FirstRow-1</f>
        <v>#N/A</v>
      </c>
      <c r="E10" s="1417" t="s">
        <v>2764</v>
      </c>
      <c r="F10" s="1420" t="e">
        <f ca="1">MATCH(F6,INDIRECT("F"&amp;FirstRow&amp;":F"&amp;FirstRow+F5),0)+FirstRow-1</f>
        <v>#N/A</v>
      </c>
      <c r="G10" s="1449" t="s">
        <v>2764</v>
      </c>
      <c r="H10" s="1452" t="e">
        <f ca="1">MATCH(H6,INDIRECT("H"&amp;FirstRow&amp;":H"&amp;FirstRow+H5),0)+FirstRow-1</f>
        <v>#N/A</v>
      </c>
      <c r="I10" s="1417" t="s">
        <v>2764</v>
      </c>
      <c r="J10" s="1420" t="e">
        <f ca="1">MATCH(J6,INDIRECT("J"&amp;FirstRow&amp;":J"&amp;FirstRow+J5),0)+FirstRow-1</f>
        <v>#N/A</v>
      </c>
      <c r="K10" s="1449" t="s">
        <v>2764</v>
      </c>
      <c r="L10" s="1452" t="e">
        <f ca="1">MATCH(L6,INDIRECT("L"&amp;FirstRow&amp;":L"&amp;FirstRow+L5),0)+FirstRow-1</f>
        <v>#N/A</v>
      </c>
      <c r="M10" s="1417" t="s">
        <v>2764</v>
      </c>
      <c r="N10" s="1420" t="e">
        <f ca="1">MATCH(N6,INDIRECT("N"&amp;FirstRow&amp;":N"&amp;FirstRow+N5),0)+FirstRow-1</f>
        <v>#N/A</v>
      </c>
      <c r="O10" s="1449" t="s">
        <v>2764</v>
      </c>
      <c r="P10" s="1452" t="e">
        <f ca="1">MATCH(P6,INDIRECT("P"&amp;FirstRow&amp;":P"&amp;FirstRow+P5),0)+FirstRow-1</f>
        <v>#N/A</v>
      </c>
      <c r="Q10" s="1399"/>
      <c r="R10" s="1399"/>
      <c r="S10" s="1399"/>
      <c r="T10" s="1399"/>
      <c r="U10" s="1399"/>
      <c r="V10" s="1399"/>
      <c r="W10" s="1399"/>
      <c r="X10" s="1417" t="e">
        <f ca="1"/>
        <v>#NAME?</v>
      </c>
      <c r="Y10" s="1420" t="e">
        <f ca="1"/>
        <v>#NAME?</v>
      </c>
      <c r="AA10" s="1399"/>
      <c r="AB10" s="1399"/>
      <c r="AC10" s="1399"/>
      <c r="AD10" s="1399"/>
      <c r="AE10" s="1399"/>
    </row>
    <row r="11" spans="1:31" ht="12.75" hidden="1" customHeight="1">
      <c r="A11" s="1417" t="s">
        <v>2765</v>
      </c>
      <c r="B11" s="1420" t="e">
        <f ca="1">MATCH(B7,INDIRECT("B"&amp;B10&amp;":B"&amp;FirstRow+B5),-1)+B10</f>
        <v>#N/A</v>
      </c>
      <c r="C11" s="1449" t="s">
        <v>2765</v>
      </c>
      <c r="D11" s="1452" t="e">
        <f ca="1">MATCH(D7,INDIRECT("D"&amp;D10&amp;":D"&amp;FirstRow+D5),-1)+D10</f>
        <v>#N/A</v>
      </c>
      <c r="E11" s="1417" t="s">
        <v>2765</v>
      </c>
      <c r="F11" s="1420" t="e">
        <f ca="1">MATCH(F7,INDIRECT("F"&amp;F10&amp;":F"&amp;FirstRow+F5),-1)+F10</f>
        <v>#N/A</v>
      </c>
      <c r="G11" s="1449" t="s">
        <v>2765</v>
      </c>
      <c r="H11" s="1452" t="e">
        <f ca="1">MATCH(H7,INDIRECT("H"&amp;H10&amp;":H"&amp;FirstRow+H5),-1)+H10</f>
        <v>#N/A</v>
      </c>
      <c r="I11" s="1417" t="s">
        <v>2765</v>
      </c>
      <c r="J11" s="1420" t="e">
        <f ca="1">MATCH(J7,INDIRECT("J"&amp;J10&amp;":J"&amp;FirstRow+J5),-1)+J10</f>
        <v>#N/A</v>
      </c>
      <c r="K11" s="1449" t="s">
        <v>2765</v>
      </c>
      <c r="L11" s="1452" t="e">
        <f ca="1">MATCH(L7,INDIRECT("L"&amp;L10&amp;":L"&amp;FirstRow+L5),-1)+L10</f>
        <v>#N/A</v>
      </c>
      <c r="M11" s="1417" t="s">
        <v>2765</v>
      </c>
      <c r="N11" s="1420" t="e">
        <f ca="1">MATCH(N7,INDIRECT("N"&amp;N10&amp;":N"&amp;FirstRow+N5),-1)+N10</f>
        <v>#N/A</v>
      </c>
      <c r="O11" s="1449" t="s">
        <v>2765</v>
      </c>
      <c r="P11" s="1452" t="e">
        <f ca="1">MATCH(P7,INDIRECT("P"&amp;P10&amp;":P"&amp;FirstRow+P5),-1)+P10</f>
        <v>#N/A</v>
      </c>
      <c r="Q11" s="1399"/>
      <c r="R11" s="1399"/>
      <c r="S11" s="1399"/>
      <c r="T11" s="1399"/>
      <c r="U11" s="1399"/>
      <c r="V11" s="1399"/>
      <c r="W11" s="1399"/>
      <c r="X11" s="1417" t="e">
        <f ca="1"/>
        <v>#NAME?</v>
      </c>
      <c r="Y11" s="1420" t="e">
        <f ca="1"/>
        <v>#NAME?</v>
      </c>
      <c r="AA11" s="1399"/>
      <c r="AB11" s="1399"/>
      <c r="AC11" s="1399"/>
      <c r="AD11" s="1399"/>
      <c r="AE11" s="1399"/>
    </row>
    <row r="12" spans="1:31" ht="12.75" hidden="1" customHeight="1">
      <c r="A12" s="1417" t="s">
        <v>2766</v>
      </c>
      <c r="B12" s="1420" t="e">
        <f ca="1">MATCH(B8,INDIRECT("B"&amp;B10&amp;":B"&amp;FirstRow+B5),-1)+B10</f>
        <v>#N/A</v>
      </c>
      <c r="C12" s="1449" t="s">
        <v>2766</v>
      </c>
      <c r="D12" s="1452" t="e">
        <f ca="1">MATCH(D8,INDIRECT("D"&amp;D10&amp;":D"&amp;FirstRow+D5),-1)+D10</f>
        <v>#N/A</v>
      </c>
      <c r="E12" s="1417" t="s">
        <v>2766</v>
      </c>
      <c r="F12" s="1420" t="e">
        <f ca="1">MATCH(F8,INDIRECT("F"&amp;F10&amp;":F"&amp;FirstRow+F5),-1)+F10</f>
        <v>#N/A</v>
      </c>
      <c r="G12" s="1449" t="s">
        <v>2766</v>
      </c>
      <c r="H12" s="1452" t="e">
        <f ca="1">MATCH(H8,INDIRECT("H"&amp;H10&amp;":H"&amp;FirstRow+H5),-1)+H10</f>
        <v>#N/A</v>
      </c>
      <c r="I12" s="1417" t="s">
        <v>2766</v>
      </c>
      <c r="J12" s="1420" t="e">
        <f ca="1">MATCH(J8,INDIRECT("J"&amp;J10&amp;":J"&amp;FirstRow+J5),-1)+J10</f>
        <v>#N/A</v>
      </c>
      <c r="K12" s="1449" t="s">
        <v>2766</v>
      </c>
      <c r="L12" s="1452" t="e">
        <f ca="1">MATCH(L8,INDIRECT("L"&amp;L10&amp;":L"&amp;FirstRow+L5),-1)+L10</f>
        <v>#N/A</v>
      </c>
      <c r="M12" s="1417" t="s">
        <v>2766</v>
      </c>
      <c r="N12" s="1420" t="e">
        <f ca="1">MATCH(N8,INDIRECT("N"&amp;N10&amp;":N"&amp;FirstRow+N5),-1)+N10</f>
        <v>#N/A</v>
      </c>
      <c r="O12" s="1449" t="s">
        <v>2766</v>
      </c>
      <c r="P12" s="1452" t="e">
        <f ca="1">MATCH(P8,INDIRECT("P"&amp;P10&amp;":P"&amp;FirstRow+P5),-1)+P10</f>
        <v>#N/A</v>
      </c>
      <c r="Q12" s="1399"/>
      <c r="R12" s="1399"/>
      <c r="S12" s="1399"/>
      <c r="T12" s="1399"/>
      <c r="U12" s="1399"/>
      <c r="V12" s="1399"/>
      <c r="W12" s="1399"/>
      <c r="X12" s="1417" t="e">
        <f ca="1"/>
        <v>#NAME?</v>
      </c>
      <c r="Y12" s="1420" t="e">
        <f ca="1"/>
        <v>#NAME?</v>
      </c>
      <c r="AA12" s="1399"/>
      <c r="AB12" s="1399"/>
      <c r="AC12" s="1399"/>
      <c r="AD12" s="1399"/>
      <c r="AE12" s="1399"/>
    </row>
    <row r="13" spans="1:31" ht="12.75" hidden="1" customHeight="1" thickBot="1">
      <c r="A13" s="1417" t="s">
        <v>2767</v>
      </c>
      <c r="B13" s="1420" t="e">
        <f ca="1">MATCH(B9,INDIRECT("B"&amp;B10&amp;":B"&amp;FirstRow+B5),-1)+B10</f>
        <v>#N/A</v>
      </c>
      <c r="C13" s="1449" t="s">
        <v>2767</v>
      </c>
      <c r="D13" s="1452" t="e">
        <f ca="1">MATCH(D9,INDIRECT("D"&amp;D10&amp;":D"&amp;FirstRow+D5),-1)+D10</f>
        <v>#N/A</v>
      </c>
      <c r="E13" s="1417" t="s">
        <v>2767</v>
      </c>
      <c r="F13" s="1420" t="e">
        <f ca="1">MATCH(F9,INDIRECT("F"&amp;F10&amp;":F"&amp;FirstRow+F5),-1)+F10</f>
        <v>#N/A</v>
      </c>
      <c r="G13" s="1449" t="s">
        <v>2767</v>
      </c>
      <c r="H13" s="1452" t="e">
        <f ca="1">MATCH(H9,INDIRECT("H"&amp;H10&amp;":H"&amp;FirstRow+H5),-1)+H10</f>
        <v>#N/A</v>
      </c>
      <c r="I13" s="1417" t="s">
        <v>2767</v>
      </c>
      <c r="J13" s="1420" t="e">
        <f ca="1">MATCH(J9,INDIRECT("J"&amp;J10&amp;":J"&amp;FirstRow+J5),-1)+J10</f>
        <v>#N/A</v>
      </c>
      <c r="K13" s="1449" t="s">
        <v>2767</v>
      </c>
      <c r="L13" s="1452" t="e">
        <f ca="1">MATCH(L9,INDIRECT("L"&amp;L10&amp;":L"&amp;FirstRow+L5),-1)+L10</f>
        <v>#N/A</v>
      </c>
      <c r="M13" s="1417" t="s">
        <v>2767</v>
      </c>
      <c r="N13" s="1420" t="e">
        <f ca="1">MATCH(N9,INDIRECT("N"&amp;N10&amp;":N"&amp;FirstRow+N5),-1)+N10</f>
        <v>#N/A</v>
      </c>
      <c r="O13" s="1449" t="s">
        <v>2767</v>
      </c>
      <c r="P13" s="1452" t="e">
        <f ca="1">MATCH(P9,INDIRECT("P"&amp;P10&amp;":P"&amp;FirstRow+P5),-1)+P10</f>
        <v>#N/A</v>
      </c>
      <c r="Q13" s="1399"/>
      <c r="R13" s="1399"/>
      <c r="S13" s="1399"/>
      <c r="T13" s="1399"/>
      <c r="U13" s="1399"/>
      <c r="V13" s="1399"/>
      <c r="W13" s="1399"/>
      <c r="X13" s="1417" t="e">
        <f ca="1"/>
        <v>#NAME?</v>
      </c>
      <c r="Y13" s="1420" t="e">
        <f ca="1"/>
        <v>#NAME?</v>
      </c>
      <c r="AA13" s="1399"/>
      <c r="AB13" s="1399"/>
      <c r="AC13" s="1399"/>
      <c r="AD13" s="1399"/>
      <c r="AE13" s="1399"/>
    </row>
    <row r="14" spans="1:31" ht="15.75" customHeight="1">
      <c r="A14" s="1453" t="s">
        <v>2768</v>
      </c>
      <c r="B14" s="1454" t="str">
        <f ca="1">IF(ISNA(B12),"",INDIRECT("A"&amp;B12))</f>
        <v/>
      </c>
      <c r="C14" s="1453" t="s">
        <v>2768</v>
      </c>
      <c r="D14" s="1454" t="str">
        <f ca="1">IF(ISNA(D12),"",INDIRECT("C"&amp;D12))</f>
        <v/>
      </c>
      <c r="E14" s="1453" t="s">
        <v>2768</v>
      </c>
      <c r="F14" s="1454" t="str">
        <f ca="1">IF(ISNA(F12),"",INDIRECT("E"&amp;F12))</f>
        <v/>
      </c>
      <c r="G14" s="1453" t="s">
        <v>2768</v>
      </c>
      <c r="H14" s="1454" t="str">
        <f ca="1">IF(ISNA(H12),"",INDIRECT("G"&amp;H12))</f>
        <v/>
      </c>
      <c r="I14" s="1453" t="s">
        <v>2768</v>
      </c>
      <c r="J14" s="1454" t="str">
        <f ca="1">IF(ISNA(J12),"",INDIRECT("I"&amp;J12))</f>
        <v/>
      </c>
      <c r="K14" s="1453" t="s">
        <v>2768</v>
      </c>
      <c r="L14" s="1454" t="str">
        <f ca="1">IF(ISNA(L12),"",INDIRECT("K"&amp;L12))</f>
        <v/>
      </c>
      <c r="M14" s="1453" t="s">
        <v>2768</v>
      </c>
      <c r="N14" s="1454" t="str">
        <f ca="1">IF(ISNA(N12),"",INDIRECT("M"&amp;N12))</f>
        <v/>
      </c>
      <c r="O14" s="1453" t="s">
        <v>2768</v>
      </c>
      <c r="P14" s="1454" t="str">
        <f ca="1">IF(ISNA(P12),"",INDIRECT("O"&amp;P12))</f>
        <v/>
      </c>
      <c r="Q14" s="1399"/>
      <c r="R14" s="1399"/>
      <c r="S14" s="1399"/>
      <c r="T14" s="1399"/>
      <c r="U14" s="1399"/>
      <c r="V14" s="1399"/>
      <c r="W14" s="1399"/>
      <c r="X14" s="1421" t="e">
        <f ca="1"/>
        <v>#NAME?</v>
      </c>
      <c r="Y14" s="1422" t="e">
        <f ca="1"/>
        <v>#NAME?</v>
      </c>
      <c r="AA14" s="1399"/>
      <c r="AB14" s="1399"/>
      <c r="AC14" s="1399"/>
      <c r="AD14" s="1399"/>
      <c r="AE14" s="1399"/>
    </row>
    <row r="15" spans="1:31" ht="12.75" hidden="1" customHeight="1">
      <c r="A15" s="1455" t="s">
        <v>2131</v>
      </c>
      <c r="B15" s="1456" t="e">
        <f ca="1">ABS(SLOPE((INDEX(B:B,B11):INDEX(B:B,B13)),(INDEX(A:A,B11):INDEX(A:A,B13))))</f>
        <v>#N/A</v>
      </c>
      <c r="C15" s="1457" t="s">
        <v>2131</v>
      </c>
      <c r="D15" s="1456" t="e">
        <f ca="1">ABS(SLOPE((INDEX(D:D,D11):INDEX(D:D,D13)),(INDEX(C:C,D11):INDEX(C:C,D13))))</f>
        <v>#N/A</v>
      </c>
      <c r="E15" s="1457" t="s">
        <v>2131</v>
      </c>
      <c r="F15" s="1456" t="e">
        <f ca="1">ABS(SLOPE((INDEX(F:F,F11):INDEX(F:F,F13)),(INDEX(E:E,F11):INDEX(E:E,F13))))</f>
        <v>#N/A</v>
      </c>
      <c r="G15" s="1458" t="s">
        <v>2131</v>
      </c>
      <c r="H15" s="1456" t="e">
        <f ca="1">ABS(SLOPE((INDEX(H:H,H11):INDEX(H:H,H13)),(INDEX(G:G,H11):INDEX(G:G,H13))))</f>
        <v>#N/A</v>
      </c>
      <c r="I15" s="1457" t="s">
        <v>2131</v>
      </c>
      <c r="J15" s="1456" t="e">
        <f ca="1">ABS(SLOPE((INDEX(J:J,J11):INDEX(J:J,J13)),(INDEX(I:I,J11):INDEX(I:I,J13))))</f>
        <v>#N/A</v>
      </c>
      <c r="K15" s="1458" t="s">
        <v>2131</v>
      </c>
      <c r="L15" s="1456" t="e">
        <f ca="1">ABS(SLOPE((INDEX(L:L,L11):INDEX(L:L,L13)),(INDEX(K:K,L11):INDEX(K:K,L13))))</f>
        <v>#N/A</v>
      </c>
      <c r="M15" s="1457" t="s">
        <v>2131</v>
      </c>
      <c r="N15" s="1456" t="e">
        <f ca="1">ABS(SLOPE((INDEX(N:N,N11):INDEX(N:N,N13)),(INDEX(M:M,N11):INDEX(M:M,N13))))</f>
        <v>#N/A</v>
      </c>
      <c r="O15" s="1458" t="s">
        <v>2131</v>
      </c>
      <c r="P15" s="1456" t="e">
        <f ca="1">ABS(SLOPE((INDEX(P:P,P11):INDEX(P:P,P13)),(INDEX(O:O,P11):INDEX(O:O,P13))))</f>
        <v>#N/A</v>
      </c>
      <c r="Q15" s="1399"/>
      <c r="R15" s="1399"/>
      <c r="S15" s="1399"/>
      <c r="T15" s="1399"/>
      <c r="U15" s="1399"/>
      <c r="V15" s="1399"/>
      <c r="W15" s="1399"/>
      <c r="X15" s="1417" t="e">
        <f ca="1"/>
        <v>#NAME?</v>
      </c>
      <c r="Y15" s="1419" t="e">
        <f ca="1"/>
        <v>#NAME?</v>
      </c>
      <c r="AA15" s="1399"/>
      <c r="AB15" s="1399"/>
      <c r="AC15" s="1399"/>
      <c r="AD15" s="1399"/>
      <c r="AE15" s="1399"/>
    </row>
    <row r="16" spans="1:31" ht="12.75" hidden="1" customHeight="1">
      <c r="A16" s="1455" t="s">
        <v>2769</v>
      </c>
      <c r="B16" s="1459" t="str">
        <f>IF(ISBLANK(B22),IF(ISBLANK(A28),"",A28),B22)</f>
        <v/>
      </c>
      <c r="C16" s="1455" t="s">
        <v>2769</v>
      </c>
      <c r="D16" s="1459" t="str">
        <f>IF(ISBLANK(D22),IF(ISBLANK(C28),"",C28),D22)</f>
        <v/>
      </c>
      <c r="E16" s="1455" t="s">
        <v>2769</v>
      </c>
      <c r="F16" s="1459" t="str">
        <f>IF(ISBLANK(F22),IF(ISBLANK(E28),"",E28),F22)</f>
        <v/>
      </c>
      <c r="G16" s="1455" t="s">
        <v>2769</v>
      </c>
      <c r="H16" s="1459" t="str">
        <f>IF(ISBLANK(H22),IF(ISBLANK(G28),"",G28),H22)</f>
        <v/>
      </c>
      <c r="I16" s="1455" t="s">
        <v>2769</v>
      </c>
      <c r="J16" s="1459" t="str">
        <f>IF(ISBLANK(J22),IF(ISBLANK(I28),"",I28),J22)</f>
        <v/>
      </c>
      <c r="K16" s="1455" t="s">
        <v>2769</v>
      </c>
      <c r="L16" s="1459" t="str">
        <f>IF(ISBLANK(L22),IF(ISBLANK(K28),"",K28),L22)</f>
        <v/>
      </c>
      <c r="M16" s="1455" t="s">
        <v>2769</v>
      </c>
      <c r="N16" s="1459" t="str">
        <f>IF(ISBLANK(N22),IF(ISBLANK(M28),"",M28),N22)</f>
        <v/>
      </c>
      <c r="O16" s="1455" t="s">
        <v>2769</v>
      </c>
      <c r="P16" s="1459" t="str">
        <f>IF(ISBLANK(P22),IF(ISBLANK(O28),"",O28),P22)</f>
        <v/>
      </c>
      <c r="Q16" s="1399"/>
      <c r="R16" s="1399"/>
      <c r="S16" s="1399"/>
      <c r="T16" s="1399"/>
      <c r="U16" s="1399"/>
      <c r="V16" s="1399"/>
      <c r="W16" s="1399"/>
      <c r="X16" s="1423" t="e">
        <f ca="1"/>
        <v>#NAME?</v>
      </c>
      <c r="Y16" s="1418" t="e">
        <f ca="1"/>
        <v>#NAME?</v>
      </c>
      <c r="AA16" s="1399"/>
      <c r="AB16" s="1399"/>
      <c r="AC16" s="1399"/>
      <c r="AD16" s="1399"/>
      <c r="AE16" s="1399"/>
    </row>
    <row r="17" spans="1:31" ht="12.75" hidden="1" customHeight="1">
      <c r="A17" s="1460" t="s">
        <v>2770</v>
      </c>
      <c r="B17" s="1461" t="e">
        <f ca="1">MATCH(0.1,INDIRECT("B"&amp;B10&amp;":B"&amp;FirstRow+B5),-1)+B10</f>
        <v>#N/A</v>
      </c>
      <c r="C17" s="1460" t="s">
        <v>2770</v>
      </c>
      <c r="D17" s="1461" t="e">
        <f ca="1">MATCH(0.1,INDIRECT("D"&amp;D10&amp;":D"&amp;FirstRow+D5),-1)+D10</f>
        <v>#N/A</v>
      </c>
      <c r="E17" s="1460" t="s">
        <v>2770</v>
      </c>
      <c r="F17" s="1461" t="e">
        <f ca="1">MATCH(0.1,INDIRECT("F"&amp;F10&amp;":F"&amp;FirstRow+F5),-1)+F10</f>
        <v>#N/A</v>
      </c>
      <c r="G17" s="1460" t="s">
        <v>2770</v>
      </c>
      <c r="H17" s="1461" t="e">
        <f ca="1">MATCH(0.1,INDIRECT("H"&amp;H10&amp;":H"&amp;FirstRow+H5),-1)+H10</f>
        <v>#N/A</v>
      </c>
      <c r="I17" s="1460" t="s">
        <v>2770</v>
      </c>
      <c r="J17" s="1461" t="e">
        <f ca="1">MATCH(0.1,INDIRECT("J"&amp;J10&amp;":J"&amp;FirstRow+J5),-1)+J10</f>
        <v>#N/A</v>
      </c>
      <c r="K17" s="1460" t="s">
        <v>2770</v>
      </c>
      <c r="L17" s="1461" t="e">
        <f ca="1">MATCH(0.1,INDIRECT("L"&amp;L10&amp;":L"&amp;FirstRow+L5),-1)+L10</f>
        <v>#N/A</v>
      </c>
      <c r="M17" s="1460" t="s">
        <v>2770</v>
      </c>
      <c r="N17" s="1461" t="e">
        <f ca="1">MATCH(0.1,INDIRECT("N"&amp;N10&amp;":N"&amp;FirstRow+N5),-1)+N10</f>
        <v>#N/A</v>
      </c>
      <c r="O17" s="1460" t="s">
        <v>2770</v>
      </c>
      <c r="P17" s="1461" t="e">
        <f ca="1">MATCH(0.1,INDIRECT("P"&amp;P10&amp;":P"&amp;FirstRow+P5),-1)+P10</f>
        <v>#N/A</v>
      </c>
      <c r="Q17" s="1399"/>
      <c r="R17" s="1399"/>
      <c r="S17" s="1399"/>
      <c r="T17" s="1399"/>
      <c r="U17" s="1399"/>
      <c r="V17" s="1399"/>
      <c r="W17" s="1399"/>
      <c r="X17" s="1417" t="e">
        <f ca="1"/>
        <v>#NAME?</v>
      </c>
      <c r="Y17" s="1420" t="e">
        <f ca="1"/>
        <v>#NAME?</v>
      </c>
      <c r="AA17" s="1399"/>
      <c r="AB17" s="1399"/>
      <c r="AC17" s="1399"/>
      <c r="AD17" s="1399"/>
      <c r="AE17" s="1399"/>
    </row>
    <row r="18" spans="1:31" ht="15.75" customHeight="1">
      <c r="A18" s="1462" t="s">
        <v>2771</v>
      </c>
      <c r="B18" s="1463" t="str">
        <f ca="1">IF(ISERROR(B15),"",ABS(B15))</f>
        <v/>
      </c>
      <c r="C18" s="1462" t="s">
        <v>2771</v>
      </c>
      <c r="D18" s="1463" t="str">
        <f ca="1">IF(ISERROR(D15),"",ABS(D15))</f>
        <v/>
      </c>
      <c r="E18" s="1462" t="s">
        <v>2771</v>
      </c>
      <c r="F18" s="1463" t="str">
        <f ca="1">IF(ISERROR(F15),"",ABS(F15))</f>
        <v/>
      </c>
      <c r="G18" s="1462" t="s">
        <v>2771</v>
      </c>
      <c r="H18" s="1463" t="str">
        <f ca="1">IF(ISERROR(H15),"",ABS(H15))</f>
        <v/>
      </c>
      <c r="I18" s="1462" t="s">
        <v>2771</v>
      </c>
      <c r="J18" s="1463" t="str">
        <f ca="1">IF(ISERROR(J15),"",ABS(J15))</f>
        <v/>
      </c>
      <c r="K18" s="1462" t="s">
        <v>2771</v>
      </c>
      <c r="L18" s="1463" t="str">
        <f ca="1">IF(ISERROR(L15),"",ABS(L15))</f>
        <v/>
      </c>
      <c r="M18" s="1462" t="s">
        <v>2771</v>
      </c>
      <c r="N18" s="1463" t="str">
        <f ca="1">IF(ISERROR(N15),"",ABS(N15))</f>
        <v/>
      </c>
      <c r="O18" s="1462" t="s">
        <v>2771</v>
      </c>
      <c r="P18" s="1463" t="str">
        <f ca="1">IF(ISERROR(P15),"",ABS(P15))</f>
        <v/>
      </c>
      <c r="Q18" s="1399"/>
      <c r="R18" s="1399"/>
      <c r="S18" s="1399"/>
      <c r="T18" s="1399"/>
      <c r="U18" s="1399"/>
      <c r="V18" s="1399"/>
      <c r="W18" s="1399"/>
      <c r="X18" s="1424" t="e">
        <f ca="1"/>
        <v>#NAME?</v>
      </c>
      <c r="Y18" s="1425" t="e">
        <f ca="1"/>
        <v>#NAME?</v>
      </c>
      <c r="AA18" s="1399"/>
      <c r="AB18" s="1399"/>
      <c r="AC18" s="1399"/>
      <c r="AD18" s="1399"/>
      <c r="AE18" s="1399"/>
    </row>
    <row r="19" spans="1:31" ht="15.75" customHeight="1">
      <c r="A19" s="1462" t="s">
        <v>2772</v>
      </c>
      <c r="B19" s="1464" t="str">
        <f ca="1">IF(ISNA(B17),"",SUMPRODUCT((INDIRECT("A"&amp;FirstRow+1&amp;":A"&amp;B17))-(INDIRECT("A"&amp;FirstRow&amp;":A"&amp;B17-1)),(((INDIRECT("B"&amp;FirstRow+1&amp;":B"&amp;B17))+(INDIRECT("B"&amp;FirstRow&amp;":B"&amp;B17-1)))/2)))</f>
        <v/>
      </c>
      <c r="C19" s="1462" t="s">
        <v>2772</v>
      </c>
      <c r="D19" s="1464" t="str">
        <f ca="1">IF(ISNA(D17),"",SUMPRODUCT((INDIRECT("C"&amp;FirstRow+1&amp;":C"&amp;D17))-(INDIRECT("C"&amp;FirstRow&amp;":C"&amp;D17-1)),(((INDIRECT("D"&amp;FirstRow+1&amp;":D"&amp;D17))+(INDIRECT("D"&amp;FirstRow&amp;":D"&amp;D17-1)))/2)))</f>
        <v/>
      </c>
      <c r="E19" s="1462" t="s">
        <v>2772</v>
      </c>
      <c r="F19" s="1464" t="str">
        <f ca="1">IF(ISNA(F17),"",SUMPRODUCT((INDIRECT("E"&amp;FirstRow+1&amp;":E"&amp;F17))-(INDIRECT("E"&amp;FirstRow&amp;":E"&amp;F17-1)),(((INDIRECT("F"&amp;FirstRow+1&amp;":F"&amp;F17))+(INDIRECT("F"&amp;FirstRow&amp;":F"&amp;F17-1)))/2)))</f>
        <v/>
      </c>
      <c r="G19" s="1462" t="s">
        <v>2772</v>
      </c>
      <c r="H19" s="1464" t="str">
        <f ca="1">IF(ISNA(H17),"",SUMPRODUCT((INDIRECT("G"&amp;FirstRow+1&amp;":G"&amp;H17))-(INDIRECT("G"&amp;FirstRow&amp;":G"&amp;H17-1)),(((INDIRECT("H"&amp;FirstRow+1&amp;":H"&amp;H17))+(INDIRECT("H"&amp;FirstRow&amp;":H"&amp;H17-1)))/2)))</f>
        <v/>
      </c>
      <c r="I19" s="1462" t="s">
        <v>2772</v>
      </c>
      <c r="J19" s="1464" t="str">
        <f ca="1">IF(ISNA(J17),"",SUMPRODUCT((INDIRECT("I"&amp;FirstRow+1&amp;":I"&amp;J17))-(INDIRECT("I"&amp;FirstRow&amp;":I"&amp;J17-1)),(((INDIRECT("J"&amp;FirstRow+1&amp;":J"&amp;J17))+(INDIRECT("J"&amp;FirstRow&amp;":J"&amp;J17-1)))/2)))</f>
        <v/>
      </c>
      <c r="K19" s="1462" t="s">
        <v>2772</v>
      </c>
      <c r="L19" s="1464" t="str">
        <f ca="1">IF(ISNA(L17),"",SUMPRODUCT((INDIRECT("K"&amp;FirstRow+1&amp;":K"&amp;L17))-(INDIRECT("K"&amp;FirstRow&amp;":K"&amp;L17-1)),(((INDIRECT("L"&amp;FirstRow+1&amp;":L"&amp;L17))+(INDIRECT("L"&amp;FirstRow&amp;":L"&amp;L17-1)))/2)))</f>
        <v/>
      </c>
      <c r="M19" s="1462" t="s">
        <v>2772</v>
      </c>
      <c r="N19" s="1464" t="str">
        <f ca="1">IF(ISNA(N17),"",SUMPRODUCT((INDIRECT("M"&amp;FirstRow+1&amp;":M"&amp;N17))-(INDIRECT("M"&amp;FirstRow&amp;":M"&amp;N17-1)),(((INDIRECT("N"&amp;FirstRow+1&amp;":N"&amp;N17))+(INDIRECT("N"&amp;FirstRow&amp;":N"&amp;N17-1)))/2)))</f>
        <v/>
      </c>
      <c r="O19" s="1462" t="s">
        <v>2772</v>
      </c>
      <c r="P19" s="1464" t="str">
        <f ca="1">IF(ISNA(P17),"",SUMPRODUCT((INDIRECT("O"&amp;FirstRow+1&amp;":O"&amp;P17))-(INDIRECT("O"&amp;FirstRow&amp;":O"&amp;P17-1)),(((INDIRECT("P"&amp;FirstRow+1&amp;":P"&amp;P17))+(INDIRECT("P"&amp;FirstRow&amp;":P"&amp;P17-1)))/2)))</f>
        <v/>
      </c>
      <c r="Q19" s="1399"/>
      <c r="R19" s="1399"/>
      <c r="S19" s="1399"/>
      <c r="T19" s="1399"/>
      <c r="U19" s="1399"/>
      <c r="V19" s="1399"/>
      <c r="W19" s="1399"/>
      <c r="X19" s="1424" t="e">
        <f ca="1"/>
        <v>#NAME?</v>
      </c>
      <c r="Y19" s="1426" t="e">
        <f ca="1"/>
        <v>#NAME?</v>
      </c>
      <c r="AA19" s="1399"/>
      <c r="AB19" s="1399"/>
      <c r="AC19" s="1399"/>
      <c r="AD19" s="1399"/>
      <c r="AE19" s="1399"/>
    </row>
    <row r="20" spans="1:31" ht="15.75" customHeight="1" thickBot="1">
      <c r="A20" s="1465" t="s">
        <v>2773</v>
      </c>
      <c r="B20" s="1466" t="str">
        <f ca="1">IF(B19="","",(B19/(B25*B26))*1000000)</f>
        <v/>
      </c>
      <c r="C20" s="1465" t="s">
        <v>2773</v>
      </c>
      <c r="D20" s="1466" t="str">
        <f ca="1">IF(D19="","",(D19/(D25*D26))*1000000)</f>
        <v/>
      </c>
      <c r="E20" s="1465" t="s">
        <v>2773</v>
      </c>
      <c r="F20" s="1466" t="str">
        <f ca="1">IF(F19="","",(F19/(F25*F26))*1000000)</f>
        <v/>
      </c>
      <c r="G20" s="1465" t="s">
        <v>2773</v>
      </c>
      <c r="H20" s="1466" t="str">
        <f ca="1">IF(H19="","",(H19/(H25*H26))*1000000)</f>
        <v/>
      </c>
      <c r="I20" s="1465" t="s">
        <v>2773</v>
      </c>
      <c r="J20" s="1466" t="str">
        <f ca="1">IF(J19="","",(J19/(J25*J26))*1000000)</f>
        <v/>
      </c>
      <c r="K20" s="1465" t="s">
        <v>2773</v>
      </c>
      <c r="L20" s="1466" t="str">
        <f ca="1">IF(L19="","",(L19/(L25*L26))*1000000)</f>
        <v/>
      </c>
      <c r="M20" s="1465" t="s">
        <v>2773</v>
      </c>
      <c r="N20" s="1466" t="str">
        <f ca="1">IF(N19="","",(N19/(N25*N26))*1000000)</f>
        <v/>
      </c>
      <c r="O20" s="1465" t="s">
        <v>2773</v>
      </c>
      <c r="P20" s="1466" t="str">
        <f ca="1">IF(P19="","",(P19/(P25*P26))*1000000)</f>
        <v/>
      </c>
      <c r="Q20" s="1399"/>
      <c r="R20" s="1399"/>
      <c r="S20" s="1399"/>
      <c r="T20" s="1399"/>
      <c r="U20" s="1399"/>
      <c r="V20" s="1399"/>
      <c r="W20" s="1399"/>
      <c r="X20" s="1424" t="e">
        <f ca="1"/>
        <v>#NAME?</v>
      </c>
      <c r="Y20" s="1427" t="e">
        <f ca="1"/>
        <v>#NAME?</v>
      </c>
      <c r="AA20" s="1399"/>
      <c r="AB20" s="1399"/>
      <c r="AC20" s="1399"/>
      <c r="AD20" s="1399"/>
      <c r="AE20" s="1399"/>
    </row>
    <row r="21" spans="1:31" ht="21.75" customHeight="1" thickBot="1">
      <c r="A21" s="1467" t="s">
        <v>2774</v>
      </c>
      <c r="B21" s="1468" t="str">
        <f ca="1">IF(B20="","",(B26/62)*(B14/B25)*(B20/B18))</f>
        <v/>
      </c>
      <c r="C21" s="1467" t="s">
        <v>2774</v>
      </c>
      <c r="D21" s="1468" t="str">
        <f ca="1">IF(D20="","",(D26/62)*(D14/D25)*(D20/D18))</f>
        <v/>
      </c>
      <c r="E21" s="1467" t="s">
        <v>2774</v>
      </c>
      <c r="F21" s="1468" t="str">
        <f ca="1">IF(F20="","",(F26/62)*(F14/F25)*(F20/F18))</f>
        <v/>
      </c>
      <c r="G21" s="1467" t="s">
        <v>2774</v>
      </c>
      <c r="H21" s="1468" t="str">
        <f ca="1">IF(H20="","",(H26/62)*(H14/H25)*(H20/H18))</f>
        <v/>
      </c>
      <c r="I21" s="1467" t="s">
        <v>2774</v>
      </c>
      <c r="J21" s="1468" t="str">
        <f ca="1">IF(J20="","",(J26/62)*(J14/J25)*(J20/J18))</f>
        <v/>
      </c>
      <c r="K21" s="1467" t="s">
        <v>2774</v>
      </c>
      <c r="L21" s="1468" t="str">
        <f ca="1">IF(L20="","",(L26/62)*(L14/L25)*(L20/L18))</f>
        <v/>
      </c>
      <c r="M21" s="1467" t="s">
        <v>2774</v>
      </c>
      <c r="N21" s="1468" t="str">
        <f ca="1">IF(N20="","",(N26/62)*(N14/N25)*(N20/N18))</f>
        <v/>
      </c>
      <c r="O21" s="1467" t="s">
        <v>2774</v>
      </c>
      <c r="P21" s="1468" t="str">
        <f ca="1">IF(P20="","",(P26/62)*(P14/P25)*(P20/P18))</f>
        <v/>
      </c>
      <c r="Q21" s="1399"/>
      <c r="R21" s="1399"/>
      <c r="S21" s="1399"/>
      <c r="T21" s="1399"/>
      <c r="U21" s="1399"/>
      <c r="V21" s="1399"/>
      <c r="W21" s="1399"/>
      <c r="X21" s="1428" t="e">
        <f ca="1"/>
        <v>#NAME?</v>
      </c>
      <c r="Y21" s="1429" t="e">
        <f ca="1"/>
        <v>#NAME?</v>
      </c>
      <c r="AA21" s="1399"/>
      <c r="AB21" s="1399"/>
      <c r="AC21" s="1399"/>
      <c r="AD21" s="1399"/>
      <c r="AE21" s="1399"/>
    </row>
    <row r="22" spans="1:31" ht="21.75" customHeight="1">
      <c r="A22" s="1430" t="s">
        <v>2775</v>
      </c>
      <c r="B22" s="1469"/>
      <c r="C22" s="1470" t="s">
        <v>2776</v>
      </c>
      <c r="D22" s="1469"/>
      <c r="E22" s="1470" t="s">
        <v>2777</v>
      </c>
      <c r="F22" s="1469"/>
      <c r="G22" s="1470" t="s">
        <v>2778</v>
      </c>
      <c r="H22" s="1469"/>
      <c r="I22" s="1470" t="s">
        <v>2779</v>
      </c>
      <c r="J22" s="1469"/>
      <c r="K22" s="1470" t="s">
        <v>2780</v>
      </c>
      <c r="L22" s="1469"/>
      <c r="M22" s="1470" t="s">
        <v>2781</v>
      </c>
      <c r="N22" s="1469"/>
      <c r="O22" s="1470" t="s">
        <v>2782</v>
      </c>
      <c r="P22" s="1471"/>
      <c r="Q22" s="1399"/>
      <c r="R22" s="1399"/>
      <c r="S22" s="1399"/>
      <c r="T22" s="1399"/>
      <c r="U22" s="1399"/>
      <c r="V22" s="1399"/>
      <c r="W22" s="1399"/>
      <c r="X22" s="1430" t="e">
        <f ca="1"/>
        <v>#NAME?</v>
      </c>
      <c r="Y22" s="1431" t="e">
        <f ca="1"/>
        <v>#NAME?</v>
      </c>
      <c r="AA22" s="1399"/>
      <c r="AB22" s="1399"/>
      <c r="AC22" s="1399"/>
      <c r="AD22" s="1399"/>
      <c r="AE22" s="1399"/>
    </row>
    <row r="23" spans="1:31" ht="12.75" customHeight="1">
      <c r="A23" s="1432" t="s">
        <v>2783</v>
      </c>
      <c r="B23" s="1472"/>
      <c r="C23" s="1473" t="s">
        <v>2783</v>
      </c>
      <c r="D23" s="1472"/>
      <c r="E23" s="1473" t="s">
        <v>2783</v>
      </c>
      <c r="F23" s="1472"/>
      <c r="G23" s="1473" t="s">
        <v>2783</v>
      </c>
      <c r="H23" s="1472"/>
      <c r="I23" s="1473" t="s">
        <v>2783</v>
      </c>
      <c r="J23" s="1472"/>
      <c r="K23" s="1473" t="s">
        <v>2783</v>
      </c>
      <c r="L23" s="1472"/>
      <c r="M23" s="1473" t="s">
        <v>2783</v>
      </c>
      <c r="N23" s="1472"/>
      <c r="O23" s="1473" t="s">
        <v>2783</v>
      </c>
      <c r="P23" s="1474"/>
      <c r="Q23" s="1399"/>
      <c r="R23" s="1399"/>
      <c r="S23" s="1399"/>
      <c r="T23" s="1399"/>
      <c r="U23" s="1399"/>
      <c r="V23" s="1399"/>
      <c r="W23" s="1399"/>
      <c r="X23" s="1432" t="e">
        <f ca="1"/>
        <v>#NAME?</v>
      </c>
      <c r="Y23" s="1433" t="e">
        <f ca="1"/>
        <v>#NAME?</v>
      </c>
      <c r="AA23" s="1399"/>
      <c r="AB23" s="1399"/>
      <c r="AC23" s="1399"/>
      <c r="AD23" s="1399"/>
      <c r="AE23" s="1399"/>
    </row>
    <row r="24" spans="1:31" ht="12.75" customHeight="1">
      <c r="A24" s="1432" t="s">
        <v>1642</v>
      </c>
      <c r="B24" s="1475"/>
      <c r="C24" s="1473" t="s">
        <v>1642</v>
      </c>
      <c r="D24" s="1475"/>
      <c r="E24" s="1473" t="s">
        <v>1642</v>
      </c>
      <c r="F24" s="1475"/>
      <c r="G24" s="1473" t="s">
        <v>1642</v>
      </c>
      <c r="H24" s="1475"/>
      <c r="I24" s="1473" t="s">
        <v>1642</v>
      </c>
      <c r="J24" s="1475"/>
      <c r="K24" s="1473" t="s">
        <v>1642</v>
      </c>
      <c r="L24" s="1475"/>
      <c r="M24" s="1473" t="s">
        <v>1642</v>
      </c>
      <c r="N24" s="1475"/>
      <c r="O24" s="1473" t="s">
        <v>1642</v>
      </c>
      <c r="P24" s="1476"/>
      <c r="Q24" s="1399"/>
      <c r="R24" s="1399"/>
      <c r="S24" s="1399"/>
      <c r="T24" s="1399"/>
      <c r="U24" s="1399"/>
      <c r="V24" s="1399"/>
      <c r="W24" s="1399"/>
      <c r="X24" s="1432" t="e">
        <f ca="1"/>
        <v>#NAME?</v>
      </c>
      <c r="Y24" s="1434" t="e">
        <f ca="1"/>
        <v>#NAME?</v>
      </c>
      <c r="AA24" s="1399"/>
      <c r="AB24" s="1399"/>
      <c r="AC24" s="1399"/>
      <c r="AD24" s="1399"/>
      <c r="AE24" s="1399"/>
    </row>
    <row r="25" spans="1:31" ht="12.75" customHeight="1">
      <c r="A25" s="1432" t="s">
        <v>2784</v>
      </c>
      <c r="B25" s="1472"/>
      <c r="C25" s="1473" t="s">
        <v>2784</v>
      </c>
      <c r="D25" s="1472"/>
      <c r="E25" s="1473" t="s">
        <v>2784</v>
      </c>
      <c r="F25" s="1472"/>
      <c r="G25" s="1473" t="s">
        <v>2784</v>
      </c>
      <c r="H25" s="1472"/>
      <c r="I25" s="1473" t="s">
        <v>2784</v>
      </c>
      <c r="J25" s="1472"/>
      <c r="K25" s="1473" t="s">
        <v>2784</v>
      </c>
      <c r="L25" s="1472"/>
      <c r="M25" s="1473" t="s">
        <v>2784</v>
      </c>
      <c r="N25" s="1477"/>
      <c r="O25" s="1473" t="s">
        <v>2784</v>
      </c>
      <c r="P25" s="1474"/>
      <c r="Q25" s="1399"/>
      <c r="R25" s="1399"/>
      <c r="S25" s="1399"/>
      <c r="T25" s="1399"/>
      <c r="U25" s="1399"/>
      <c r="V25" s="1399"/>
      <c r="W25" s="1399"/>
      <c r="X25" s="1432" t="e">
        <f ca="1"/>
        <v>#NAME?</v>
      </c>
      <c r="Y25" s="1433" t="e">
        <f ca="1"/>
        <v>#NAME?</v>
      </c>
      <c r="AA25" s="1399"/>
      <c r="AB25" s="1399"/>
      <c r="AC25" s="1399"/>
      <c r="AD25" s="1399"/>
      <c r="AE25" s="1399"/>
    </row>
    <row r="26" spans="1:31" ht="12.75" customHeight="1" thickBot="1">
      <c r="A26" s="1435" t="s">
        <v>2785</v>
      </c>
      <c r="B26" s="1478"/>
      <c r="C26" s="1479" t="s">
        <v>2785</v>
      </c>
      <c r="D26" s="1478"/>
      <c r="E26" s="1479" t="s">
        <v>2785</v>
      </c>
      <c r="F26" s="1478"/>
      <c r="G26" s="1479" t="s">
        <v>2785</v>
      </c>
      <c r="H26" s="1478"/>
      <c r="I26" s="1479" t="s">
        <v>2785</v>
      </c>
      <c r="J26" s="1478"/>
      <c r="K26" s="1479" t="s">
        <v>2785</v>
      </c>
      <c r="L26" s="1478"/>
      <c r="M26" s="1479" t="s">
        <v>2785</v>
      </c>
      <c r="N26" s="1480"/>
      <c r="O26" s="1479" t="s">
        <v>2785</v>
      </c>
      <c r="P26" s="1481"/>
      <c r="Q26" s="1399"/>
      <c r="R26" s="1399"/>
      <c r="S26" s="1399"/>
      <c r="T26" s="1399"/>
      <c r="U26" s="1399"/>
      <c r="V26" s="1399"/>
      <c r="W26" s="1399"/>
      <c r="X26" s="1435" t="e">
        <f ca="1"/>
        <v>#NAME?</v>
      </c>
      <c r="Y26" s="1436" t="e">
        <f ca="1"/>
        <v>#NAME?</v>
      </c>
      <c r="AA26" s="1399"/>
      <c r="AB26" s="1399"/>
      <c r="AC26" s="1399"/>
      <c r="AD26" s="1399"/>
      <c r="AE26" s="1399"/>
    </row>
    <row r="27" spans="1:31" ht="20.25" customHeight="1" thickBot="1">
      <c r="A27" s="1691" t="s">
        <v>2786</v>
      </c>
      <c r="B27" s="1692"/>
      <c r="C27" s="1693"/>
      <c r="D27" s="1693"/>
      <c r="E27" s="1693"/>
      <c r="F27" s="1693"/>
      <c r="G27" s="1693"/>
      <c r="H27" s="1693"/>
      <c r="I27" s="1693"/>
      <c r="J27" s="1693"/>
      <c r="K27" s="1693"/>
      <c r="L27" s="1693"/>
      <c r="M27" s="1693"/>
      <c r="N27" s="1693"/>
      <c r="O27" s="1693"/>
      <c r="P27" s="1694"/>
      <c r="Q27" s="1399"/>
      <c r="R27" s="1399"/>
      <c r="S27" s="1399"/>
      <c r="T27" s="1399"/>
      <c r="U27" s="1399"/>
      <c r="V27" s="1399"/>
      <c r="W27" s="1399"/>
      <c r="X27" s="1437" t="e">
        <f ca="1"/>
        <v>#NAME?</v>
      </c>
      <c r="Y27" s="1438" t="e">
        <f ca="1"/>
        <v>#NAME?</v>
      </c>
      <c r="AA27" s="1399"/>
      <c r="AB27" s="1399"/>
      <c r="AC27" s="1399"/>
      <c r="AD27" s="1399"/>
      <c r="AE27" s="1399"/>
    </row>
    <row r="28" spans="1:31" ht="18" customHeight="1" thickBot="1">
      <c r="A28" s="1695"/>
      <c r="B28" s="1696"/>
      <c r="C28" s="1695"/>
      <c r="D28" s="1696"/>
      <c r="E28" s="1695"/>
      <c r="F28" s="1696"/>
      <c r="G28" s="1695"/>
      <c r="H28" s="1696"/>
      <c r="I28" s="1695"/>
      <c r="J28" s="1696"/>
      <c r="K28" s="1695"/>
      <c r="L28" s="1696"/>
      <c r="M28" s="1695"/>
      <c r="N28" s="1696"/>
      <c r="O28" s="1695"/>
      <c r="P28" s="1696"/>
      <c r="Q28" s="1399"/>
      <c r="R28" s="1399"/>
      <c r="S28" s="1399"/>
      <c r="T28" s="1399"/>
      <c r="U28" s="1399"/>
      <c r="V28" s="1399"/>
      <c r="W28" s="1399"/>
      <c r="X28" s="1439" t="e">
        <f ca="1"/>
        <v>#NAME?</v>
      </c>
      <c r="Y28" s="1440" t="e">
        <f ca="1"/>
        <v>#NAME?</v>
      </c>
      <c r="AA28" s="1399"/>
      <c r="AB28" s="1399"/>
      <c r="AC28" s="1399"/>
      <c r="AD28" s="1399"/>
      <c r="AE28" s="1399"/>
    </row>
    <row r="29" spans="1:31" ht="18" customHeight="1">
      <c r="A29" s="1482" t="str">
        <f ca="1">IF(ISBLANK(A31),"",INDIRECT("A$"&amp;MATCH(MAX(B31:B1031),B31:B1031,0)+FirstRow-1))</f>
        <v/>
      </c>
      <c r="B29" s="1483" t="str">
        <f>IF(ISBLANK(B31),"",MAX(B31:B1031))</f>
        <v/>
      </c>
      <c r="C29" s="1482" t="str">
        <f ca="1">IF(ISBLANK(C31),"",INDIRECT("C$"&amp;MATCH(MAX(D31:D1031),D31:D1031,0)+FirstRow-1))</f>
        <v/>
      </c>
      <c r="D29" s="1483" t="str">
        <f>IF(ISBLANK(D31),"",MAX(D31:D1031))</f>
        <v/>
      </c>
      <c r="E29" s="1482" t="str">
        <f ca="1">IF(ISBLANK(E31),"",INDIRECT("E$"&amp;MATCH(MAX(F31:F1031),F31:F1031,0)+FirstRow-1))</f>
        <v/>
      </c>
      <c r="F29" s="1483" t="str">
        <f>IF(ISBLANK(F31),"",MAX(F31:F1031))</f>
        <v/>
      </c>
      <c r="G29" s="1482" t="str">
        <f ca="1">IF(ISBLANK(G31),"",INDIRECT("g$"&amp;MATCH(MAX(H31:H1031),H31:H1031,0)+FirstRow-1))</f>
        <v/>
      </c>
      <c r="H29" s="1483" t="str">
        <f>IF(ISBLANK(H31),"",MAX(H31:H1031))</f>
        <v/>
      </c>
      <c r="I29" s="1482" t="str">
        <f ca="1">IF(ISBLANK(I31),"",INDIRECT("I$"&amp;MATCH(MAX(J31:J1031),J31:J1031,0)+FirstRow-1))</f>
        <v/>
      </c>
      <c r="J29" s="1483" t="str">
        <f>IF(ISBLANK(J31),"",MAX(J31:J1031))</f>
        <v/>
      </c>
      <c r="K29" s="1482" t="str">
        <f ca="1">IF(ISBLANK(K31),"",INDIRECT("K$"&amp;MATCH(MAX(L31:L1031),L31:L1031,0)+FirstRow-1))</f>
        <v/>
      </c>
      <c r="L29" s="1483" t="str">
        <f>IF(ISBLANK(L31),"",MAX(L31:L1031))</f>
        <v/>
      </c>
      <c r="M29" s="1482" t="str">
        <f ca="1">IF(ISBLANK(M31),"",INDIRECT("M$"&amp;MATCH(MAX(N31:N1031),N31:N1031,0)+FirstRow-1))</f>
        <v/>
      </c>
      <c r="N29" s="1483" t="str">
        <f>IF(ISBLANK(N31),"",MAX(N31:N1031))</f>
        <v/>
      </c>
      <c r="O29" s="1482" t="str">
        <f ca="1">IF(ISBLANK(O31),"",INDIRECT("O$"&amp;MATCH(MAX(P31:P1031),P31:P1031,0)+FirstRow-1))</f>
        <v/>
      </c>
      <c r="P29" s="1483" t="str">
        <f>IF(ISBLANK(P31),"",MAX(P31:P1031))</f>
        <v/>
      </c>
      <c r="Q29" s="1399"/>
      <c r="R29" s="1399"/>
      <c r="S29" s="1399"/>
      <c r="T29" s="1399"/>
      <c r="U29" s="1399"/>
      <c r="V29" s="1399"/>
      <c r="W29" s="1399"/>
      <c r="X29" s="1441" t="e">
        <f ca="1"/>
        <v>#NAME?</v>
      </c>
      <c r="Y29" s="1442" t="e">
        <f ca="1"/>
        <v>#NAME?</v>
      </c>
      <c r="AA29" s="1399"/>
      <c r="AB29" s="1399"/>
      <c r="AC29" s="1399"/>
      <c r="AD29" s="1399"/>
      <c r="AE29" s="1399"/>
    </row>
    <row r="30" spans="1:31">
      <c r="A30" s="1443" t="s">
        <v>2787</v>
      </c>
      <c r="B30" s="1444" t="s">
        <v>2788</v>
      </c>
      <c r="C30" s="1484" t="s">
        <v>2789</v>
      </c>
      <c r="D30" s="1485" t="s">
        <v>2790</v>
      </c>
      <c r="E30" s="1443" t="s">
        <v>2789</v>
      </c>
      <c r="F30" s="1444" t="s">
        <v>2790</v>
      </c>
      <c r="G30" s="1484" t="s">
        <v>2789</v>
      </c>
      <c r="H30" s="1485" t="s">
        <v>2790</v>
      </c>
      <c r="I30" s="1443" t="s">
        <v>2789</v>
      </c>
      <c r="J30" s="1444" t="s">
        <v>2790</v>
      </c>
      <c r="K30" s="1484" t="s">
        <v>2789</v>
      </c>
      <c r="L30" s="1485" t="s">
        <v>2790</v>
      </c>
      <c r="M30" s="1443" t="s">
        <v>2789</v>
      </c>
      <c r="N30" s="1444" t="s">
        <v>2790</v>
      </c>
      <c r="O30" s="1484" t="s">
        <v>2789</v>
      </c>
      <c r="P30" s="1485" t="s">
        <v>2790</v>
      </c>
      <c r="Q30" s="1399"/>
      <c r="R30" s="1399"/>
      <c r="S30" s="1399"/>
      <c r="T30" s="1399"/>
      <c r="U30" s="1399"/>
      <c r="V30" s="1399"/>
      <c r="W30" s="1486"/>
      <c r="X30" s="1443" t="e">
        <f ca="1"/>
        <v>#NAME?</v>
      </c>
      <c r="Y30" s="1444" t="e">
        <f ca="1"/>
        <v>#NAME?</v>
      </c>
      <c r="Z30" s="1486"/>
      <c r="AA30" s="1486"/>
      <c r="AB30" s="1399"/>
      <c r="AC30" s="1399"/>
      <c r="AD30" s="1399"/>
      <c r="AE30" s="1399"/>
    </row>
    <row r="31" spans="1:31">
      <c r="A31" s="1487"/>
      <c r="B31" s="1488"/>
      <c r="C31" s="1489"/>
      <c r="D31" s="1490"/>
      <c r="E31" s="1487"/>
      <c r="F31" s="1488"/>
      <c r="G31" s="1489"/>
      <c r="H31" s="1490"/>
      <c r="I31" s="1487"/>
      <c r="J31" s="1488"/>
      <c r="K31" s="1489"/>
      <c r="L31" s="1490"/>
      <c r="M31" s="1487"/>
      <c r="N31" s="1488"/>
      <c r="O31" s="1489"/>
      <c r="P31" s="1490"/>
      <c r="Q31" s="1491"/>
      <c r="R31" s="1399" t="s">
        <v>2791</v>
      </c>
      <c r="S31" s="1492">
        <f>MAX(B31:B706,D31:D706,F31:F706,H31:H706,J31:J706,L31:L706,N31:N706,P31:P706)</f>
        <v>0</v>
      </c>
      <c r="T31" s="1399"/>
      <c r="U31" s="1399"/>
      <c r="V31" s="1399"/>
      <c r="W31" s="1399"/>
      <c r="X31" s="1445" t="e">
        <f ca="1"/>
        <v>#NAME?</v>
      </c>
      <c r="Y31" s="1446" t="e">
        <f ca="1"/>
        <v>#NAME?</v>
      </c>
      <c r="AA31" s="1399"/>
      <c r="AB31" s="1399"/>
      <c r="AC31" s="1399"/>
      <c r="AD31" s="1399"/>
      <c r="AE31" s="1399"/>
    </row>
    <row r="32" spans="1:31">
      <c r="A32" s="1487"/>
      <c r="B32" s="1488"/>
      <c r="C32" s="1489"/>
      <c r="D32" s="1490"/>
      <c r="E32" s="1487"/>
      <c r="F32" s="1488"/>
      <c r="G32" s="1489"/>
      <c r="H32" s="1490"/>
      <c r="I32" s="1487"/>
      <c r="J32" s="1488"/>
      <c r="K32" s="1489"/>
      <c r="L32" s="1490"/>
      <c r="M32" s="1487"/>
      <c r="N32" s="1488"/>
      <c r="O32" s="1489"/>
      <c r="P32" s="1490"/>
      <c r="Q32" s="1399"/>
      <c r="R32" s="1399" t="s">
        <v>2792</v>
      </c>
      <c r="S32" s="1399" t="s">
        <v>2793</v>
      </c>
      <c r="T32" s="1399"/>
      <c r="U32" s="1399"/>
      <c r="V32" s="1399"/>
      <c r="W32" s="1399"/>
      <c r="X32" s="1445" t="e">
        <f ca="1"/>
        <v>#NAME?</v>
      </c>
      <c r="Y32" s="1446" t="e">
        <f ca="1"/>
        <v>#NAME?</v>
      </c>
      <c r="AA32" s="1399"/>
      <c r="AB32" s="1399"/>
      <c r="AC32" s="1399"/>
      <c r="AD32" s="1399"/>
      <c r="AE32" s="1399"/>
    </row>
    <row r="33" spans="1:31">
      <c r="A33" s="1487"/>
      <c r="B33" s="1488"/>
      <c r="C33" s="1489"/>
      <c r="D33" s="1490"/>
      <c r="E33" s="1487"/>
      <c r="F33" s="1488"/>
      <c r="G33" s="1489"/>
      <c r="H33" s="1490"/>
      <c r="I33" s="1487"/>
      <c r="J33" s="1488"/>
      <c r="K33" s="1489"/>
      <c r="L33" s="1490"/>
      <c r="M33" s="1487"/>
      <c r="N33" s="1488"/>
      <c r="O33" s="1489"/>
      <c r="P33" s="1490"/>
      <c r="Q33" s="1399"/>
      <c r="R33" s="1399" t="s">
        <v>2794</v>
      </c>
      <c r="S33" s="1399" t="s">
        <v>2795</v>
      </c>
      <c r="T33" s="1399"/>
      <c r="U33" s="1399"/>
      <c r="V33" s="1399"/>
      <c r="W33" s="1399"/>
      <c r="X33" s="1445" t="e">
        <f ca="1"/>
        <v>#NAME?</v>
      </c>
      <c r="Y33" s="1446" t="e">
        <f ca="1"/>
        <v>#NAME?</v>
      </c>
      <c r="AA33" s="1399"/>
      <c r="AB33" s="1399"/>
      <c r="AC33" s="1399"/>
      <c r="AD33" s="1399"/>
      <c r="AE33" s="1399"/>
    </row>
    <row r="34" spans="1:31">
      <c r="A34" s="1487"/>
      <c r="B34" s="1488"/>
      <c r="C34" s="1489"/>
      <c r="D34" s="1490"/>
      <c r="E34" s="1487"/>
      <c r="F34" s="1488"/>
      <c r="G34" s="1489"/>
      <c r="H34" s="1490"/>
      <c r="I34" s="1487"/>
      <c r="J34" s="1488"/>
      <c r="K34" s="1489"/>
      <c r="L34" s="1490"/>
      <c r="M34" s="1487"/>
      <c r="N34" s="1488"/>
      <c r="O34" s="1489"/>
      <c r="P34" s="1490"/>
      <c r="Q34" s="1399"/>
      <c r="R34" s="1399"/>
      <c r="S34" s="1399"/>
      <c r="T34" s="1399"/>
      <c r="U34" s="1399"/>
      <c r="V34" s="1399"/>
      <c r="W34" s="1399"/>
      <c r="X34" s="1445" t="e">
        <f ca="1"/>
        <v>#NAME?</v>
      </c>
      <c r="Y34" s="1446" t="e">
        <f ca="1"/>
        <v>#NAME?</v>
      </c>
      <c r="AA34" s="1399"/>
      <c r="AB34" s="1399"/>
      <c r="AC34" s="1399"/>
      <c r="AD34" s="1399"/>
      <c r="AE34" s="1399"/>
    </row>
    <row r="35" spans="1:31">
      <c r="A35" s="1487"/>
      <c r="B35" s="1488"/>
      <c r="C35" s="1489"/>
      <c r="D35" s="1490"/>
      <c r="E35" s="1487"/>
      <c r="F35" s="1488"/>
      <c r="G35" s="1489"/>
      <c r="H35" s="1490"/>
      <c r="I35" s="1487"/>
      <c r="J35" s="1488"/>
      <c r="K35" s="1489"/>
      <c r="L35" s="1490"/>
      <c r="M35" s="1487"/>
      <c r="N35" s="1488"/>
      <c r="O35" s="1489"/>
      <c r="P35" s="1490"/>
      <c r="Q35" s="1493"/>
      <c r="R35" s="1399"/>
      <c r="S35" s="1399"/>
      <c r="T35" s="1399"/>
      <c r="U35" s="1399"/>
      <c r="V35" s="1399"/>
      <c r="W35" s="1399"/>
      <c r="X35" s="1445" t="e">
        <f ca="1"/>
        <v>#NAME?</v>
      </c>
      <c r="Y35" s="1446" t="e">
        <f ca="1"/>
        <v>#NAME?</v>
      </c>
      <c r="AA35" s="1399"/>
      <c r="AB35" s="1399"/>
      <c r="AC35" s="1399"/>
      <c r="AD35" s="1399"/>
      <c r="AE35" s="1399"/>
    </row>
    <row r="36" spans="1:31">
      <c r="A36" s="1487"/>
      <c r="B36" s="1488"/>
      <c r="C36" s="1489"/>
      <c r="D36" s="1490"/>
      <c r="E36" s="1487"/>
      <c r="F36" s="1488"/>
      <c r="G36" s="1489"/>
      <c r="H36" s="1490"/>
      <c r="I36" s="1487"/>
      <c r="J36" s="1488"/>
      <c r="K36" s="1489"/>
      <c r="L36" s="1490"/>
      <c r="M36" s="1487"/>
      <c r="N36" s="1488"/>
      <c r="O36" s="1489"/>
      <c r="P36" s="1490"/>
      <c r="Q36" s="1399"/>
      <c r="R36" s="1399"/>
      <c r="S36" s="1486"/>
      <c r="T36" s="1399"/>
      <c r="U36" s="1399"/>
      <c r="V36" s="1399"/>
      <c r="W36" s="1399"/>
      <c r="X36" s="1445" t="e">
        <f ca="1"/>
        <v>#NAME?</v>
      </c>
      <c r="Y36" s="1446" t="e">
        <f ca="1"/>
        <v>#NAME?</v>
      </c>
      <c r="AA36" s="1399"/>
      <c r="AB36" s="1399"/>
      <c r="AC36" s="1399"/>
      <c r="AD36" s="1399"/>
      <c r="AE36" s="1399"/>
    </row>
    <row r="37" spans="1:31">
      <c r="A37" s="1487"/>
      <c r="B37" s="1488"/>
      <c r="C37" s="1489"/>
      <c r="D37" s="1490"/>
      <c r="E37" s="1487"/>
      <c r="F37" s="1488"/>
      <c r="G37" s="1489"/>
      <c r="H37" s="1490"/>
      <c r="I37" s="1487"/>
      <c r="J37" s="1488"/>
      <c r="K37" s="1489"/>
      <c r="L37" s="1490"/>
      <c r="M37" s="1487"/>
      <c r="N37" s="1488"/>
      <c r="O37" s="1489"/>
      <c r="P37" s="1490"/>
      <c r="Q37" s="1493"/>
      <c r="R37" s="1399"/>
      <c r="S37" s="1399"/>
      <c r="T37" s="1399"/>
      <c r="U37" s="1399"/>
      <c r="V37" s="1399"/>
      <c r="W37" s="1399"/>
      <c r="X37" s="1445" t="e">
        <f ca="1"/>
        <v>#NAME?</v>
      </c>
      <c r="Y37" s="1446" t="e">
        <f ca="1"/>
        <v>#NAME?</v>
      </c>
      <c r="AA37" s="1399"/>
      <c r="AB37" s="1399"/>
      <c r="AC37" s="1399"/>
      <c r="AD37" s="1399"/>
      <c r="AE37" s="1399"/>
    </row>
    <row r="38" spans="1:31">
      <c r="A38" s="1487"/>
      <c r="B38" s="1488"/>
      <c r="C38" s="1489"/>
      <c r="D38" s="1490"/>
      <c r="E38" s="1487"/>
      <c r="F38" s="1488"/>
      <c r="G38" s="1489"/>
      <c r="H38" s="1490"/>
      <c r="I38" s="1487"/>
      <c r="J38" s="1488"/>
      <c r="K38" s="1489"/>
      <c r="L38" s="1490"/>
      <c r="M38" s="1487"/>
      <c r="N38" s="1488"/>
      <c r="O38" s="1489"/>
      <c r="P38" s="1490"/>
      <c r="Q38" s="1399"/>
      <c r="R38" s="1399"/>
      <c r="S38" s="1399"/>
      <c r="T38" s="1399"/>
      <c r="U38" s="1399"/>
      <c r="V38" s="1399"/>
      <c r="W38" s="1399"/>
      <c r="X38" s="1445" t="e">
        <f ca="1"/>
        <v>#NAME?</v>
      </c>
      <c r="Y38" s="1446" t="e">
        <f ca="1"/>
        <v>#NAME?</v>
      </c>
      <c r="AA38" s="1399"/>
      <c r="AB38" s="1399"/>
      <c r="AC38" s="1399"/>
      <c r="AD38" s="1399"/>
      <c r="AE38" s="1399"/>
    </row>
    <row r="39" spans="1:31">
      <c r="A39" s="1487"/>
      <c r="B39" s="1488"/>
      <c r="C39" s="1489"/>
      <c r="D39" s="1490"/>
      <c r="E39" s="1487"/>
      <c r="F39" s="1488"/>
      <c r="G39" s="1489"/>
      <c r="H39" s="1490"/>
      <c r="I39" s="1487"/>
      <c r="J39" s="1488"/>
      <c r="K39" s="1489"/>
      <c r="L39" s="1490"/>
      <c r="M39" s="1487"/>
      <c r="N39" s="1488"/>
      <c r="O39" s="1489"/>
      <c r="P39" s="1490"/>
      <c r="Q39" s="1399"/>
      <c r="R39" s="1399"/>
      <c r="S39" s="1399"/>
      <c r="T39" s="1399"/>
      <c r="U39" s="1399"/>
      <c r="V39" s="1399"/>
      <c r="W39" s="1399"/>
      <c r="X39" s="1445" t="e">
        <f ca="1"/>
        <v>#NAME?</v>
      </c>
      <c r="Y39" s="1446" t="e">
        <f ca="1"/>
        <v>#NAME?</v>
      </c>
      <c r="AA39" s="1399"/>
      <c r="AB39" s="1399"/>
      <c r="AC39" s="1399"/>
      <c r="AD39" s="1399"/>
      <c r="AE39" s="1399"/>
    </row>
    <row r="40" spans="1:31">
      <c r="A40" s="1487"/>
      <c r="B40" s="1488"/>
      <c r="C40" s="1489"/>
      <c r="D40" s="1490"/>
      <c r="E40" s="1487"/>
      <c r="F40" s="1488"/>
      <c r="G40" s="1489"/>
      <c r="H40" s="1490"/>
      <c r="I40" s="1487"/>
      <c r="J40" s="1488"/>
      <c r="K40" s="1489"/>
      <c r="L40" s="1490"/>
      <c r="M40" s="1487"/>
      <c r="N40" s="1488"/>
      <c r="O40" s="1489"/>
      <c r="P40" s="1490"/>
      <c r="Q40" s="1399"/>
      <c r="R40" s="1399"/>
      <c r="S40" s="1399"/>
      <c r="T40" s="1399"/>
      <c r="U40" s="1399"/>
      <c r="V40" s="1399"/>
      <c r="W40" s="1399"/>
      <c r="X40" s="1445" t="e">
        <f ca="1"/>
        <v>#NAME?</v>
      </c>
      <c r="Y40" s="1446" t="e">
        <f ca="1"/>
        <v>#NAME?</v>
      </c>
      <c r="AA40" s="1399"/>
      <c r="AB40" s="1399"/>
      <c r="AC40" s="1399"/>
      <c r="AD40" s="1399"/>
      <c r="AE40" s="1399"/>
    </row>
    <row r="41" spans="1:31">
      <c r="A41" s="1487"/>
      <c r="B41" s="1488"/>
      <c r="C41" s="1489"/>
      <c r="D41" s="1490"/>
      <c r="E41" s="1487"/>
      <c r="F41" s="1488"/>
      <c r="G41" s="1489"/>
      <c r="H41" s="1490"/>
      <c r="I41" s="1487"/>
      <c r="J41" s="1488"/>
      <c r="K41" s="1489"/>
      <c r="L41" s="1490"/>
      <c r="M41" s="1487"/>
      <c r="N41" s="1488"/>
      <c r="O41" s="1489"/>
      <c r="P41" s="1490"/>
      <c r="Q41" s="1399"/>
      <c r="R41" s="1399"/>
      <c r="S41" s="1399"/>
      <c r="T41" s="1399"/>
      <c r="U41" s="1399"/>
      <c r="V41" s="1399"/>
      <c r="W41" s="1399"/>
      <c r="X41" s="1445" t="e">
        <f ca="1"/>
        <v>#NAME?</v>
      </c>
      <c r="Y41" s="1446" t="e">
        <f ca="1"/>
        <v>#NAME?</v>
      </c>
      <c r="AA41" s="1399"/>
      <c r="AB41" s="1399"/>
      <c r="AC41" s="1399"/>
      <c r="AD41" s="1399"/>
      <c r="AE41" s="1399"/>
    </row>
    <row r="42" spans="1:31">
      <c r="A42" s="1487"/>
      <c r="B42" s="1488"/>
      <c r="C42" s="1489"/>
      <c r="D42" s="1490"/>
      <c r="E42" s="1487"/>
      <c r="F42" s="1488"/>
      <c r="G42" s="1489"/>
      <c r="H42" s="1490"/>
      <c r="I42" s="1487"/>
      <c r="J42" s="1488"/>
      <c r="K42" s="1489"/>
      <c r="L42" s="1490"/>
      <c r="M42" s="1487"/>
      <c r="N42" s="1488"/>
      <c r="O42" s="1489"/>
      <c r="P42" s="1490"/>
      <c r="Q42" s="1399"/>
      <c r="R42" s="1399"/>
      <c r="S42" s="1399"/>
      <c r="T42" s="1399"/>
      <c r="U42" s="1399"/>
      <c r="V42" s="1399"/>
      <c r="W42" s="1399"/>
      <c r="X42" s="1445" t="e">
        <f ca="1"/>
        <v>#NAME?</v>
      </c>
      <c r="Y42" s="1446" t="e">
        <f ca="1"/>
        <v>#NAME?</v>
      </c>
      <c r="AA42" s="1399"/>
      <c r="AB42" s="1399"/>
      <c r="AC42" s="1399"/>
      <c r="AD42" s="1399"/>
      <c r="AE42" s="1399"/>
    </row>
    <row r="43" spans="1:31">
      <c r="A43" s="1487"/>
      <c r="B43" s="1488"/>
      <c r="C43" s="1489"/>
      <c r="D43" s="1490"/>
      <c r="E43" s="1487"/>
      <c r="F43" s="1488"/>
      <c r="G43" s="1489"/>
      <c r="H43" s="1490"/>
      <c r="I43" s="1487"/>
      <c r="J43" s="1488"/>
      <c r="K43" s="1489"/>
      <c r="L43" s="1490"/>
      <c r="M43" s="1487"/>
      <c r="N43" s="1488"/>
      <c r="O43" s="1489"/>
      <c r="P43" s="1490"/>
      <c r="Q43" s="1399"/>
      <c r="R43" s="1399"/>
      <c r="S43" s="1399"/>
      <c r="T43" s="1399"/>
      <c r="U43" s="1399"/>
      <c r="V43" s="1399"/>
      <c r="W43" s="1399"/>
      <c r="X43" s="1445" t="e">
        <f ca="1"/>
        <v>#NAME?</v>
      </c>
      <c r="Y43" s="1446" t="e">
        <f ca="1"/>
        <v>#NAME?</v>
      </c>
      <c r="AA43" s="1399"/>
      <c r="AB43" s="1399"/>
      <c r="AC43" s="1399"/>
      <c r="AD43" s="1399"/>
      <c r="AE43" s="1399"/>
    </row>
    <row r="44" spans="1:31">
      <c r="A44" s="1487"/>
      <c r="B44" s="1488"/>
      <c r="C44" s="1489"/>
      <c r="D44" s="1490"/>
      <c r="E44" s="1487"/>
      <c r="F44" s="1488"/>
      <c r="G44" s="1489"/>
      <c r="H44" s="1490"/>
      <c r="I44" s="1487"/>
      <c r="J44" s="1488"/>
      <c r="K44" s="1489"/>
      <c r="L44" s="1490"/>
      <c r="M44" s="1487"/>
      <c r="N44" s="1488"/>
      <c r="O44" s="1489"/>
      <c r="P44" s="1490"/>
      <c r="Q44" s="1399"/>
      <c r="R44" s="1399"/>
      <c r="S44" s="1399"/>
      <c r="T44" s="1399"/>
      <c r="U44" s="1399"/>
      <c r="V44" s="1399"/>
      <c r="W44" s="1399"/>
      <c r="X44" s="1445" t="e">
        <f ca="1"/>
        <v>#NAME?</v>
      </c>
      <c r="Y44" s="1446" t="e">
        <f ca="1"/>
        <v>#NAME?</v>
      </c>
      <c r="AA44" s="1399"/>
      <c r="AB44" s="1399"/>
      <c r="AC44" s="1399"/>
      <c r="AD44" s="1399"/>
      <c r="AE44" s="1399"/>
    </row>
    <row r="45" spans="1:31">
      <c r="A45" s="1487"/>
      <c r="B45" s="1488"/>
      <c r="C45" s="1489"/>
      <c r="D45" s="1490"/>
      <c r="E45" s="1487"/>
      <c r="F45" s="1488"/>
      <c r="G45" s="1489"/>
      <c r="H45" s="1490"/>
      <c r="I45" s="1487"/>
      <c r="J45" s="1488"/>
      <c r="K45" s="1489"/>
      <c r="L45" s="1490"/>
      <c r="M45" s="1487"/>
      <c r="N45" s="1488"/>
      <c r="O45" s="1489"/>
      <c r="P45" s="1490"/>
      <c r="Q45" s="1399"/>
      <c r="R45" s="1399"/>
      <c r="S45" s="1399"/>
      <c r="T45" s="1399"/>
      <c r="U45" s="1399"/>
      <c r="V45" s="1399"/>
      <c r="W45" s="1399"/>
      <c r="X45" s="1445" t="e">
        <f ca="1"/>
        <v>#NAME?</v>
      </c>
      <c r="Y45" s="1446" t="e">
        <f ca="1"/>
        <v>#NAME?</v>
      </c>
      <c r="AA45" s="1399"/>
      <c r="AB45" s="1399"/>
      <c r="AC45" s="1399"/>
      <c r="AD45" s="1399"/>
      <c r="AE45" s="1399"/>
    </row>
    <row r="46" spans="1:31">
      <c r="A46" s="1487"/>
      <c r="B46" s="1488"/>
      <c r="C46" s="1489"/>
      <c r="D46" s="1490"/>
      <c r="E46" s="1487"/>
      <c r="F46" s="1488"/>
      <c r="G46" s="1489"/>
      <c r="H46" s="1490"/>
      <c r="I46" s="1487"/>
      <c r="J46" s="1488"/>
      <c r="K46" s="1489"/>
      <c r="L46" s="1490"/>
      <c r="M46" s="1487"/>
      <c r="N46" s="1488"/>
      <c r="O46" s="1489"/>
      <c r="P46" s="1490"/>
      <c r="Q46" s="1399"/>
      <c r="R46" s="1399"/>
      <c r="S46" s="1399"/>
      <c r="T46" s="1399"/>
      <c r="U46" s="1399"/>
      <c r="V46" s="1399"/>
      <c r="W46" s="1399"/>
      <c r="X46" s="1445" t="e">
        <f ca="1"/>
        <v>#NAME?</v>
      </c>
      <c r="Y46" s="1446" t="e">
        <f ca="1"/>
        <v>#NAME?</v>
      </c>
      <c r="AA46" s="1399"/>
      <c r="AB46" s="1399"/>
      <c r="AC46" s="1399"/>
      <c r="AD46" s="1399"/>
      <c r="AE46" s="1399"/>
    </row>
    <row r="47" spans="1:31">
      <c r="A47" s="1487"/>
      <c r="B47" s="1488"/>
      <c r="C47" s="1489"/>
      <c r="D47" s="1490"/>
      <c r="E47" s="1487"/>
      <c r="F47" s="1488"/>
      <c r="G47" s="1489"/>
      <c r="H47" s="1490"/>
      <c r="I47" s="1487"/>
      <c r="J47" s="1488"/>
      <c r="K47" s="1489"/>
      <c r="L47" s="1490"/>
      <c r="M47" s="1487"/>
      <c r="N47" s="1488"/>
      <c r="O47" s="1489"/>
      <c r="P47" s="1490"/>
      <c r="Q47" s="1399"/>
      <c r="R47" s="1399"/>
      <c r="S47" s="1399"/>
      <c r="T47" s="1399"/>
      <c r="U47" s="1399"/>
      <c r="V47" s="1399"/>
      <c r="W47" s="1399"/>
      <c r="X47" s="1445" t="e">
        <f ca="1"/>
        <v>#NAME?</v>
      </c>
      <c r="Y47" s="1446" t="e">
        <f ca="1"/>
        <v>#NAME?</v>
      </c>
      <c r="AA47" s="1399"/>
      <c r="AB47" s="1399"/>
      <c r="AC47" s="1399"/>
      <c r="AD47" s="1399"/>
      <c r="AE47" s="1399"/>
    </row>
    <row r="48" spans="1:31">
      <c r="A48" s="1487"/>
      <c r="B48" s="1488"/>
      <c r="C48" s="1489"/>
      <c r="D48" s="1490"/>
      <c r="E48" s="1487"/>
      <c r="F48" s="1488"/>
      <c r="G48" s="1489"/>
      <c r="H48" s="1490"/>
      <c r="I48" s="1487"/>
      <c r="J48" s="1488"/>
      <c r="K48" s="1489"/>
      <c r="L48" s="1490"/>
      <c r="M48" s="1487"/>
      <c r="N48" s="1488"/>
      <c r="O48" s="1489"/>
      <c r="P48" s="1490"/>
      <c r="Q48" s="1399"/>
      <c r="R48" s="1399"/>
      <c r="S48" s="1399"/>
      <c r="T48" s="1399"/>
      <c r="U48" s="1399"/>
      <c r="V48" s="1399"/>
      <c r="W48" s="1399"/>
      <c r="X48" s="1445" t="e">
        <f ca="1"/>
        <v>#NAME?</v>
      </c>
      <c r="Y48" s="1446" t="e">
        <f ca="1"/>
        <v>#NAME?</v>
      </c>
      <c r="AA48" s="1399"/>
      <c r="AB48" s="1399"/>
      <c r="AC48" s="1399"/>
      <c r="AD48" s="1399"/>
      <c r="AE48" s="1399"/>
    </row>
    <row r="49" spans="1:31">
      <c r="A49" s="1487"/>
      <c r="B49" s="1488"/>
      <c r="C49" s="1489"/>
      <c r="D49" s="1490"/>
      <c r="E49" s="1487"/>
      <c r="F49" s="1488"/>
      <c r="G49" s="1489"/>
      <c r="H49" s="1490"/>
      <c r="I49" s="1487"/>
      <c r="J49" s="1488"/>
      <c r="K49" s="1489"/>
      <c r="L49" s="1490"/>
      <c r="M49" s="1487"/>
      <c r="N49" s="1488"/>
      <c r="O49" s="1489"/>
      <c r="P49" s="1490"/>
      <c r="Q49" s="1399"/>
      <c r="R49" s="1399"/>
      <c r="S49" s="1399"/>
      <c r="T49" s="1399"/>
      <c r="U49" s="1399"/>
      <c r="V49" s="1399"/>
      <c r="W49" s="1399"/>
      <c r="X49" s="1445" t="e">
        <f ca="1"/>
        <v>#NAME?</v>
      </c>
      <c r="Y49" s="1446" t="e">
        <f ca="1"/>
        <v>#NAME?</v>
      </c>
      <c r="AA49" s="1399"/>
      <c r="AB49" s="1399"/>
      <c r="AC49" s="1399"/>
      <c r="AD49" s="1399"/>
      <c r="AE49" s="1399"/>
    </row>
    <row r="50" spans="1:31">
      <c r="A50" s="1487"/>
      <c r="B50" s="1488"/>
      <c r="C50" s="1489"/>
      <c r="D50" s="1490"/>
      <c r="E50" s="1487"/>
      <c r="F50" s="1488"/>
      <c r="G50" s="1489"/>
      <c r="H50" s="1490"/>
      <c r="I50" s="1487"/>
      <c r="J50" s="1488"/>
      <c r="K50" s="1489"/>
      <c r="L50" s="1490"/>
      <c r="M50" s="1487"/>
      <c r="N50" s="1488"/>
      <c r="O50" s="1489"/>
      <c r="P50" s="1490"/>
      <c r="Q50" s="1399"/>
      <c r="R50" s="1399"/>
      <c r="S50" s="1399"/>
      <c r="T50" s="1399"/>
      <c r="U50" s="1399"/>
      <c r="V50" s="1399"/>
      <c r="W50" s="1399"/>
      <c r="X50" s="1445" t="e">
        <f ca="1"/>
        <v>#NAME?</v>
      </c>
      <c r="Y50" s="1446" t="e">
        <f ca="1"/>
        <v>#NAME?</v>
      </c>
      <c r="AA50" s="1399"/>
      <c r="AB50" s="1399"/>
      <c r="AC50" s="1399"/>
      <c r="AD50" s="1399"/>
      <c r="AE50" s="1399"/>
    </row>
    <row r="51" spans="1:31">
      <c r="A51" s="1487"/>
      <c r="B51" s="1488"/>
      <c r="C51" s="1489"/>
      <c r="D51" s="1490"/>
      <c r="E51" s="1487"/>
      <c r="F51" s="1488"/>
      <c r="G51" s="1489"/>
      <c r="H51" s="1490"/>
      <c r="I51" s="1487"/>
      <c r="J51" s="1488"/>
      <c r="K51" s="1489"/>
      <c r="L51" s="1490"/>
      <c r="M51" s="1487"/>
      <c r="N51" s="1488"/>
      <c r="O51" s="1489"/>
      <c r="P51" s="1490"/>
      <c r="Q51" s="1399"/>
      <c r="R51" s="1399"/>
      <c r="S51" s="1399"/>
      <c r="T51" s="1399"/>
      <c r="U51" s="1399"/>
      <c r="V51" s="1399"/>
      <c r="W51" s="1399"/>
      <c r="X51" s="1445" t="e">
        <f ca="1"/>
        <v>#NAME?</v>
      </c>
      <c r="Y51" s="1446" t="e">
        <f ca="1"/>
        <v>#NAME?</v>
      </c>
      <c r="AA51" s="1399"/>
      <c r="AB51" s="1399"/>
      <c r="AC51" s="1399"/>
      <c r="AD51" s="1399"/>
      <c r="AE51" s="1399"/>
    </row>
    <row r="52" spans="1:31">
      <c r="A52" s="1487"/>
      <c r="B52" s="1488"/>
      <c r="C52" s="1489"/>
      <c r="D52" s="1490"/>
      <c r="E52" s="1487"/>
      <c r="F52" s="1488"/>
      <c r="G52" s="1489"/>
      <c r="H52" s="1490"/>
      <c r="I52" s="1487"/>
      <c r="J52" s="1488"/>
      <c r="K52" s="1489"/>
      <c r="L52" s="1490"/>
      <c r="M52" s="1487"/>
      <c r="N52" s="1488"/>
      <c r="O52" s="1489"/>
      <c r="P52" s="1490"/>
      <c r="Q52" s="1399"/>
      <c r="R52" s="1399"/>
      <c r="S52" s="1399"/>
      <c r="T52" s="1399"/>
      <c r="U52" s="1399"/>
      <c r="V52" s="1399"/>
      <c r="W52" s="1399"/>
      <c r="X52" s="1445" t="e">
        <f ca="1"/>
        <v>#NAME?</v>
      </c>
      <c r="Y52" s="1446" t="e">
        <f ca="1"/>
        <v>#NAME?</v>
      </c>
      <c r="AA52" s="1399"/>
      <c r="AB52" s="1399"/>
      <c r="AC52" s="1399"/>
      <c r="AD52" s="1399"/>
      <c r="AE52" s="1399"/>
    </row>
    <row r="53" spans="1:31">
      <c r="A53" s="1487"/>
      <c r="B53" s="1488"/>
      <c r="C53" s="1489"/>
      <c r="D53" s="1490"/>
      <c r="E53" s="1487"/>
      <c r="F53" s="1488"/>
      <c r="G53" s="1489"/>
      <c r="H53" s="1490"/>
      <c r="I53" s="1487"/>
      <c r="J53" s="1488"/>
      <c r="K53" s="1489"/>
      <c r="L53" s="1490"/>
      <c r="M53" s="1487"/>
      <c r="N53" s="1488"/>
      <c r="O53" s="1489"/>
      <c r="P53" s="1490"/>
      <c r="Q53" s="1399"/>
      <c r="R53" s="1399"/>
      <c r="S53" s="1399"/>
      <c r="T53" s="1399"/>
      <c r="U53" s="1399"/>
      <c r="V53" s="1399"/>
      <c r="W53" s="1399"/>
      <c r="X53" s="1445" t="e">
        <f ca="1"/>
        <v>#NAME?</v>
      </c>
      <c r="Y53" s="1446" t="e">
        <f ca="1"/>
        <v>#NAME?</v>
      </c>
      <c r="AA53" s="1399"/>
      <c r="AB53" s="1399"/>
      <c r="AC53" s="1399"/>
      <c r="AD53" s="1399"/>
      <c r="AE53" s="1399"/>
    </row>
    <row r="54" spans="1:31">
      <c r="A54" s="1487"/>
      <c r="B54" s="1488"/>
      <c r="C54" s="1489"/>
      <c r="D54" s="1490"/>
      <c r="E54" s="1487"/>
      <c r="F54" s="1488"/>
      <c r="G54" s="1489"/>
      <c r="H54" s="1490"/>
      <c r="I54" s="1487"/>
      <c r="J54" s="1488"/>
      <c r="K54" s="1489"/>
      <c r="L54" s="1490"/>
      <c r="M54" s="1487"/>
      <c r="N54" s="1488"/>
      <c r="O54" s="1489"/>
      <c r="P54" s="1490"/>
      <c r="Q54" s="1399"/>
      <c r="R54" s="1399"/>
      <c r="S54" s="1399"/>
      <c r="T54" s="1399"/>
      <c r="U54" s="1399"/>
      <c r="V54" s="1399"/>
      <c r="W54" s="1399"/>
      <c r="X54" s="1445" t="e">
        <f ca="1"/>
        <v>#NAME?</v>
      </c>
      <c r="Y54" s="1446" t="e">
        <f ca="1"/>
        <v>#NAME?</v>
      </c>
      <c r="AA54" s="1399"/>
      <c r="AB54" s="1399"/>
      <c r="AC54" s="1399"/>
      <c r="AD54" s="1399"/>
      <c r="AE54" s="1399"/>
    </row>
    <row r="55" spans="1:31">
      <c r="A55" s="1487"/>
      <c r="B55" s="1488"/>
      <c r="C55" s="1489"/>
      <c r="D55" s="1490"/>
      <c r="E55" s="1487"/>
      <c r="F55" s="1488"/>
      <c r="G55" s="1489"/>
      <c r="H55" s="1490"/>
      <c r="I55" s="1487"/>
      <c r="J55" s="1488"/>
      <c r="K55" s="1489"/>
      <c r="L55" s="1490"/>
      <c r="M55" s="1487"/>
      <c r="N55" s="1488"/>
      <c r="O55" s="1489"/>
      <c r="P55" s="1490"/>
      <c r="Q55" s="1399"/>
      <c r="R55" s="1399"/>
      <c r="S55" s="1399"/>
      <c r="T55" s="1399"/>
      <c r="U55" s="1399"/>
      <c r="V55" s="1399"/>
      <c r="W55" s="1399"/>
      <c r="X55" s="1445" t="e">
        <f ca="1"/>
        <v>#NAME?</v>
      </c>
      <c r="Y55" s="1446" t="e">
        <f ca="1"/>
        <v>#NAME?</v>
      </c>
      <c r="AA55" s="1399"/>
      <c r="AB55" s="1399"/>
      <c r="AC55" s="1399"/>
      <c r="AD55" s="1399"/>
      <c r="AE55" s="1399"/>
    </row>
    <row r="56" spans="1:31">
      <c r="A56" s="1487"/>
      <c r="B56" s="1488"/>
      <c r="C56" s="1489"/>
      <c r="D56" s="1490"/>
      <c r="E56" s="1487"/>
      <c r="F56" s="1488"/>
      <c r="G56" s="1489"/>
      <c r="H56" s="1490"/>
      <c r="I56" s="1487"/>
      <c r="J56" s="1488"/>
      <c r="K56" s="1489"/>
      <c r="L56" s="1490"/>
      <c r="M56" s="1487"/>
      <c r="N56" s="1488"/>
      <c r="O56" s="1489"/>
      <c r="P56" s="1490"/>
      <c r="Q56" s="1399"/>
      <c r="R56" s="1399"/>
      <c r="S56" s="1399"/>
      <c r="T56" s="1399"/>
      <c r="U56" s="1399"/>
      <c r="V56" s="1399"/>
      <c r="W56" s="1399"/>
      <c r="X56" s="1445" t="e">
        <f ca="1"/>
        <v>#NAME?</v>
      </c>
      <c r="Y56" s="1446" t="e">
        <f ca="1"/>
        <v>#NAME?</v>
      </c>
      <c r="AA56" s="1399"/>
      <c r="AB56" s="1399"/>
      <c r="AC56" s="1399"/>
      <c r="AD56" s="1399"/>
      <c r="AE56" s="1399"/>
    </row>
    <row r="57" spans="1:31">
      <c r="A57" s="1487"/>
      <c r="B57" s="1488"/>
      <c r="C57" s="1489"/>
      <c r="D57" s="1490"/>
      <c r="E57" s="1487"/>
      <c r="F57" s="1488"/>
      <c r="G57" s="1489"/>
      <c r="H57" s="1490"/>
      <c r="I57" s="1487"/>
      <c r="J57" s="1488"/>
      <c r="K57" s="1489"/>
      <c r="L57" s="1490"/>
      <c r="M57" s="1487"/>
      <c r="N57" s="1488"/>
      <c r="O57" s="1489"/>
      <c r="P57" s="1490"/>
      <c r="Q57" s="1399"/>
      <c r="R57" s="1399"/>
      <c r="S57" s="1399"/>
      <c r="T57" s="1399"/>
      <c r="U57" s="1399"/>
      <c r="V57" s="1399"/>
      <c r="W57" s="1399"/>
      <c r="X57" s="1445" t="e">
        <f ca="1"/>
        <v>#NAME?</v>
      </c>
      <c r="Y57" s="1446" t="e">
        <f ca="1"/>
        <v>#NAME?</v>
      </c>
      <c r="AA57" s="1399"/>
      <c r="AB57" s="1399"/>
      <c r="AC57" s="1399"/>
      <c r="AD57" s="1399"/>
      <c r="AE57" s="1399"/>
    </row>
    <row r="58" spans="1:31">
      <c r="A58" s="1487"/>
      <c r="B58" s="1488"/>
      <c r="C58" s="1489"/>
      <c r="D58" s="1490"/>
      <c r="E58" s="1487"/>
      <c r="F58" s="1488"/>
      <c r="G58" s="1489"/>
      <c r="H58" s="1490"/>
      <c r="I58" s="1487"/>
      <c r="J58" s="1488"/>
      <c r="K58" s="1489"/>
      <c r="L58" s="1490"/>
      <c r="M58" s="1487"/>
      <c r="N58" s="1488"/>
      <c r="O58" s="1489"/>
      <c r="P58" s="1490"/>
      <c r="Q58" s="1399"/>
      <c r="R58" s="1399"/>
      <c r="S58" s="1399"/>
      <c r="T58" s="1399"/>
      <c r="U58" s="1399"/>
      <c r="V58" s="1399"/>
      <c r="W58" s="1399"/>
      <c r="X58" s="1445" t="e">
        <f ca="1"/>
        <v>#NAME?</v>
      </c>
      <c r="Y58" s="1446" t="e">
        <f ca="1"/>
        <v>#NAME?</v>
      </c>
      <c r="AA58" s="1399"/>
      <c r="AB58" s="1399"/>
      <c r="AC58" s="1399"/>
      <c r="AD58" s="1399"/>
      <c r="AE58" s="1399"/>
    </row>
    <row r="59" spans="1:31">
      <c r="A59" s="1487"/>
      <c r="B59" s="1488"/>
      <c r="C59" s="1489"/>
      <c r="D59" s="1490"/>
      <c r="E59" s="1487"/>
      <c r="F59" s="1488"/>
      <c r="G59" s="1489"/>
      <c r="H59" s="1490"/>
      <c r="I59" s="1487"/>
      <c r="J59" s="1488"/>
      <c r="K59" s="1489"/>
      <c r="L59" s="1490"/>
      <c r="M59" s="1487"/>
      <c r="N59" s="1488"/>
      <c r="O59" s="1489"/>
      <c r="P59" s="1490"/>
      <c r="Q59" s="1399"/>
      <c r="R59" s="1399"/>
      <c r="S59" s="1399"/>
      <c r="T59" s="1399"/>
      <c r="U59" s="1399"/>
      <c r="V59" s="1399"/>
      <c r="W59" s="1399"/>
      <c r="X59" s="1445" t="e">
        <f ca="1"/>
        <v>#NAME?</v>
      </c>
      <c r="Y59" s="1446" t="e">
        <f ca="1"/>
        <v>#NAME?</v>
      </c>
      <c r="AA59" s="1399"/>
      <c r="AB59" s="1399"/>
      <c r="AC59" s="1399"/>
      <c r="AD59" s="1399"/>
      <c r="AE59" s="1399"/>
    </row>
    <row r="60" spans="1:31">
      <c r="A60" s="1487"/>
      <c r="B60" s="1488"/>
      <c r="C60" s="1489"/>
      <c r="D60" s="1490"/>
      <c r="E60" s="1487"/>
      <c r="F60" s="1488"/>
      <c r="G60" s="1489"/>
      <c r="H60" s="1490"/>
      <c r="I60" s="1487"/>
      <c r="J60" s="1488"/>
      <c r="K60" s="1489"/>
      <c r="L60" s="1490"/>
      <c r="M60" s="1487"/>
      <c r="N60" s="1488"/>
      <c r="O60" s="1489"/>
      <c r="P60" s="1490"/>
      <c r="Q60" s="1399"/>
      <c r="X60" s="1445" t="e">
        <f ca="1"/>
        <v>#NAME?</v>
      </c>
      <c r="Y60" s="1446" t="e">
        <f ca="1"/>
        <v>#NAME?</v>
      </c>
      <c r="Z60" s="1408"/>
      <c r="AB60" s="1399"/>
      <c r="AC60" s="1399"/>
      <c r="AD60" s="1399"/>
      <c r="AE60" s="1399"/>
    </row>
    <row r="61" spans="1:31">
      <c r="A61" s="1487"/>
      <c r="B61" s="1488"/>
      <c r="C61" s="1489"/>
      <c r="D61" s="1490"/>
      <c r="E61" s="1487"/>
      <c r="F61" s="1488"/>
      <c r="G61" s="1489"/>
      <c r="H61" s="1490"/>
      <c r="I61" s="1487"/>
      <c r="J61" s="1488"/>
      <c r="K61" s="1489"/>
      <c r="L61" s="1490"/>
      <c r="M61" s="1487"/>
      <c r="N61" s="1488"/>
      <c r="O61" s="1489"/>
      <c r="P61" s="1490"/>
      <c r="Q61" s="1399"/>
      <c r="X61" s="1445" t="e">
        <f ca="1"/>
        <v>#NAME?</v>
      </c>
      <c r="Y61" s="1446" t="e">
        <f ca="1"/>
        <v>#NAME?</v>
      </c>
      <c r="Z61" s="1408"/>
      <c r="AB61" s="1399"/>
      <c r="AC61" s="1399"/>
      <c r="AD61" s="1399"/>
      <c r="AE61" s="1399"/>
    </row>
    <row r="62" spans="1:31">
      <c r="A62" s="1487"/>
      <c r="B62" s="1488"/>
      <c r="C62" s="1489"/>
      <c r="D62" s="1490"/>
      <c r="E62" s="1487"/>
      <c r="F62" s="1488"/>
      <c r="G62" s="1489"/>
      <c r="H62" s="1490"/>
      <c r="I62" s="1487"/>
      <c r="J62" s="1488"/>
      <c r="K62" s="1489"/>
      <c r="L62" s="1490"/>
      <c r="M62" s="1487"/>
      <c r="N62" s="1488"/>
      <c r="O62" s="1489"/>
      <c r="P62" s="1490"/>
      <c r="Q62" s="1399"/>
      <c r="X62" s="1445" t="e">
        <f ca="1"/>
        <v>#NAME?</v>
      </c>
      <c r="Y62" s="1446" t="e">
        <f ca="1"/>
        <v>#NAME?</v>
      </c>
      <c r="Z62" s="1408"/>
      <c r="AB62" s="1399"/>
      <c r="AC62" s="1399"/>
      <c r="AD62" s="1399"/>
      <c r="AE62" s="1399"/>
    </row>
    <row r="63" spans="1:31">
      <c r="A63" s="1487"/>
      <c r="B63" s="1488"/>
      <c r="C63" s="1489"/>
      <c r="D63" s="1490"/>
      <c r="E63" s="1487"/>
      <c r="F63" s="1488"/>
      <c r="G63" s="1489"/>
      <c r="H63" s="1490"/>
      <c r="I63" s="1487"/>
      <c r="J63" s="1488"/>
      <c r="K63" s="1489"/>
      <c r="L63" s="1490"/>
      <c r="M63" s="1487"/>
      <c r="N63" s="1488"/>
      <c r="O63" s="1489"/>
      <c r="P63" s="1490"/>
      <c r="Q63" s="1399"/>
      <c r="X63" s="1445" t="e">
        <f ca="1"/>
        <v>#NAME?</v>
      </c>
      <c r="Y63" s="1446" t="e">
        <f ca="1"/>
        <v>#NAME?</v>
      </c>
      <c r="Z63" s="1408"/>
      <c r="AB63" s="1399"/>
      <c r="AC63" s="1399"/>
      <c r="AD63" s="1399"/>
      <c r="AE63" s="1399"/>
    </row>
    <row r="64" spans="1:31">
      <c r="A64" s="1487"/>
      <c r="B64" s="1488"/>
      <c r="C64" s="1489"/>
      <c r="D64" s="1490"/>
      <c r="E64" s="1487"/>
      <c r="F64" s="1488"/>
      <c r="G64" s="1489"/>
      <c r="H64" s="1490"/>
      <c r="I64" s="1487"/>
      <c r="J64" s="1488"/>
      <c r="K64" s="1489"/>
      <c r="L64" s="1490"/>
      <c r="M64" s="1487"/>
      <c r="N64" s="1488"/>
      <c r="O64" s="1489"/>
      <c r="P64" s="1490"/>
      <c r="Q64" s="1399"/>
      <c r="X64" s="1445" t="e">
        <f ca="1"/>
        <v>#NAME?</v>
      </c>
      <c r="Y64" s="1446" t="e">
        <f ca="1"/>
        <v>#NAME?</v>
      </c>
      <c r="Z64" s="1408"/>
      <c r="AB64" s="1399"/>
      <c r="AC64" s="1399"/>
      <c r="AD64" s="1399"/>
      <c r="AE64" s="1399"/>
    </row>
    <row r="65" spans="1:31">
      <c r="A65" s="1487"/>
      <c r="B65" s="1488"/>
      <c r="C65" s="1489"/>
      <c r="D65" s="1490"/>
      <c r="E65" s="1487"/>
      <c r="F65" s="1488"/>
      <c r="G65" s="1489"/>
      <c r="H65" s="1490"/>
      <c r="I65" s="1487"/>
      <c r="J65" s="1488"/>
      <c r="K65" s="1489"/>
      <c r="L65" s="1490"/>
      <c r="M65" s="1487"/>
      <c r="N65" s="1488"/>
      <c r="O65" s="1489"/>
      <c r="P65" s="1490"/>
      <c r="Q65" s="1399"/>
      <c r="X65" s="1445" t="e">
        <f ca="1"/>
        <v>#NAME?</v>
      </c>
      <c r="Y65" s="1446" t="e">
        <f ca="1"/>
        <v>#NAME?</v>
      </c>
      <c r="Z65" s="1408"/>
      <c r="AB65" s="1399"/>
      <c r="AC65" s="1399"/>
      <c r="AD65" s="1399"/>
      <c r="AE65" s="1399"/>
    </row>
    <row r="66" spans="1:31">
      <c r="A66" s="1487"/>
      <c r="B66" s="1488"/>
      <c r="C66" s="1489"/>
      <c r="D66" s="1490"/>
      <c r="E66" s="1487"/>
      <c r="F66" s="1488"/>
      <c r="G66" s="1489"/>
      <c r="H66" s="1490"/>
      <c r="I66" s="1487"/>
      <c r="J66" s="1488"/>
      <c r="K66" s="1489"/>
      <c r="L66" s="1490"/>
      <c r="M66" s="1487"/>
      <c r="N66" s="1488"/>
      <c r="O66" s="1489"/>
      <c r="P66" s="1490"/>
      <c r="Q66" s="1399"/>
      <c r="X66" s="1445" t="e">
        <f ca="1"/>
        <v>#NAME?</v>
      </c>
      <c r="Y66" s="1446" t="e">
        <f ca="1"/>
        <v>#NAME?</v>
      </c>
      <c r="Z66" s="1408"/>
      <c r="AB66" s="1399"/>
      <c r="AC66" s="1399"/>
      <c r="AD66" s="1399"/>
      <c r="AE66" s="1399"/>
    </row>
    <row r="67" spans="1:31">
      <c r="A67" s="1487"/>
      <c r="B67" s="1488"/>
      <c r="C67" s="1489"/>
      <c r="D67" s="1490"/>
      <c r="E67" s="1487"/>
      <c r="F67" s="1488"/>
      <c r="G67" s="1489"/>
      <c r="H67" s="1490"/>
      <c r="I67" s="1487"/>
      <c r="J67" s="1488"/>
      <c r="K67" s="1489"/>
      <c r="L67" s="1490"/>
      <c r="M67" s="1487"/>
      <c r="N67" s="1488"/>
      <c r="O67" s="1489"/>
      <c r="P67" s="1490"/>
      <c r="Q67" s="1399"/>
      <c r="X67" s="1445" t="e">
        <f ca="1"/>
        <v>#NAME?</v>
      </c>
      <c r="Y67" s="1446" t="e">
        <f ca="1"/>
        <v>#NAME?</v>
      </c>
      <c r="Z67" s="1408"/>
      <c r="AB67" s="1399"/>
      <c r="AC67" s="1399"/>
      <c r="AD67" s="1399"/>
      <c r="AE67" s="1399"/>
    </row>
    <row r="68" spans="1:31">
      <c r="A68" s="1487"/>
      <c r="B68" s="1488"/>
      <c r="C68" s="1489"/>
      <c r="D68" s="1490"/>
      <c r="E68" s="1487"/>
      <c r="F68" s="1488"/>
      <c r="G68" s="1489"/>
      <c r="H68" s="1490"/>
      <c r="I68" s="1487"/>
      <c r="J68" s="1488"/>
      <c r="K68" s="1489"/>
      <c r="L68" s="1490"/>
      <c r="M68" s="1487"/>
      <c r="N68" s="1488"/>
      <c r="O68" s="1489"/>
      <c r="P68" s="1490"/>
      <c r="Q68" s="1399"/>
      <c r="X68" s="1445" t="e">
        <f ca="1"/>
        <v>#NAME?</v>
      </c>
      <c r="Y68" s="1446" t="e">
        <f ca="1"/>
        <v>#NAME?</v>
      </c>
      <c r="Z68" s="1408"/>
      <c r="AB68" s="1399"/>
      <c r="AC68" s="1399"/>
      <c r="AD68" s="1399"/>
      <c r="AE68" s="1399"/>
    </row>
    <row r="69" spans="1:31">
      <c r="A69" s="1487"/>
      <c r="B69" s="1488"/>
      <c r="C69" s="1489"/>
      <c r="D69" s="1490"/>
      <c r="E69" s="1487"/>
      <c r="F69" s="1488"/>
      <c r="G69" s="1489"/>
      <c r="H69" s="1490"/>
      <c r="I69" s="1487"/>
      <c r="J69" s="1488"/>
      <c r="K69" s="1489"/>
      <c r="L69" s="1490"/>
      <c r="M69" s="1487"/>
      <c r="N69" s="1488"/>
      <c r="O69" s="1489"/>
      <c r="P69" s="1490"/>
      <c r="Q69" s="1399"/>
      <c r="X69" s="1445" t="e">
        <f ca="1"/>
        <v>#NAME?</v>
      </c>
      <c r="Y69" s="1446" t="e">
        <f ca="1"/>
        <v>#NAME?</v>
      </c>
      <c r="Z69" s="1408"/>
      <c r="AB69" s="1399"/>
      <c r="AC69" s="1399"/>
      <c r="AD69" s="1399"/>
      <c r="AE69" s="1399"/>
    </row>
    <row r="70" spans="1:31">
      <c r="A70" s="1487"/>
      <c r="B70" s="1488"/>
      <c r="C70" s="1489"/>
      <c r="D70" s="1490"/>
      <c r="E70" s="1487"/>
      <c r="F70" s="1488"/>
      <c r="G70" s="1489"/>
      <c r="H70" s="1490"/>
      <c r="I70" s="1487"/>
      <c r="J70" s="1488"/>
      <c r="K70" s="1489"/>
      <c r="L70" s="1490"/>
      <c r="M70" s="1487"/>
      <c r="N70" s="1488"/>
      <c r="O70" s="1489"/>
      <c r="P70" s="1490"/>
      <c r="Q70" s="1399"/>
      <c r="X70" s="1445" t="e">
        <f ca="1"/>
        <v>#NAME?</v>
      </c>
      <c r="Y70" s="1446" t="e">
        <f ca="1"/>
        <v>#NAME?</v>
      </c>
      <c r="Z70" s="1408"/>
      <c r="AB70" s="1399"/>
      <c r="AC70" s="1399"/>
      <c r="AD70" s="1399"/>
      <c r="AE70" s="1399"/>
    </row>
    <row r="71" spans="1:31">
      <c r="A71" s="1487"/>
      <c r="B71" s="1488"/>
      <c r="C71" s="1489"/>
      <c r="D71" s="1490"/>
      <c r="E71" s="1487"/>
      <c r="F71" s="1488"/>
      <c r="G71" s="1489"/>
      <c r="H71" s="1490"/>
      <c r="I71" s="1487"/>
      <c r="J71" s="1488"/>
      <c r="K71" s="1489"/>
      <c r="L71" s="1490"/>
      <c r="M71" s="1487"/>
      <c r="N71" s="1488"/>
      <c r="O71" s="1489"/>
      <c r="P71" s="1490"/>
      <c r="Q71" s="1399"/>
      <c r="X71" s="1445" t="e">
        <f ca="1"/>
        <v>#NAME?</v>
      </c>
      <c r="Y71" s="1446" t="e">
        <f ca="1"/>
        <v>#NAME?</v>
      </c>
      <c r="Z71" s="1408"/>
      <c r="AB71" s="1399"/>
      <c r="AC71" s="1399"/>
      <c r="AD71" s="1399"/>
      <c r="AE71" s="1399"/>
    </row>
    <row r="72" spans="1:31">
      <c r="A72" s="1487"/>
      <c r="B72" s="1488"/>
      <c r="C72" s="1489"/>
      <c r="D72" s="1490"/>
      <c r="E72" s="1487"/>
      <c r="F72" s="1488"/>
      <c r="G72" s="1489"/>
      <c r="H72" s="1490"/>
      <c r="I72" s="1487"/>
      <c r="J72" s="1488"/>
      <c r="K72" s="1489"/>
      <c r="L72" s="1490"/>
      <c r="M72" s="1487"/>
      <c r="N72" s="1488"/>
      <c r="O72" s="1489"/>
      <c r="P72" s="1490"/>
      <c r="Q72" s="1399"/>
      <c r="X72" s="1445" t="e">
        <f ca="1"/>
        <v>#NAME?</v>
      </c>
      <c r="Y72" s="1446" t="e">
        <f ca="1"/>
        <v>#NAME?</v>
      </c>
      <c r="Z72" s="1408"/>
      <c r="AB72" s="1399"/>
      <c r="AC72" s="1399"/>
      <c r="AD72" s="1399"/>
      <c r="AE72" s="1399"/>
    </row>
    <row r="73" spans="1:31">
      <c r="A73" s="1487"/>
      <c r="B73" s="1488"/>
      <c r="C73" s="1489"/>
      <c r="D73" s="1490"/>
      <c r="E73" s="1487"/>
      <c r="F73" s="1488"/>
      <c r="G73" s="1489"/>
      <c r="H73" s="1490"/>
      <c r="I73" s="1487"/>
      <c r="J73" s="1488"/>
      <c r="K73" s="1489"/>
      <c r="L73" s="1490"/>
      <c r="M73" s="1487"/>
      <c r="N73" s="1488"/>
      <c r="O73" s="1489"/>
      <c r="P73" s="1490"/>
      <c r="Q73" s="1399"/>
      <c r="X73" s="1445" t="e">
        <f ca="1"/>
        <v>#NAME?</v>
      </c>
      <c r="Y73" s="1446" t="e">
        <f ca="1"/>
        <v>#NAME?</v>
      </c>
      <c r="Z73" s="1408"/>
      <c r="AB73" s="1399"/>
      <c r="AC73" s="1399"/>
      <c r="AD73" s="1399"/>
      <c r="AE73" s="1399"/>
    </row>
    <row r="74" spans="1:31">
      <c r="A74" s="1487"/>
      <c r="B74" s="1488"/>
      <c r="C74" s="1489"/>
      <c r="D74" s="1490"/>
      <c r="E74" s="1487"/>
      <c r="F74" s="1488"/>
      <c r="G74" s="1489"/>
      <c r="H74" s="1490"/>
      <c r="I74" s="1487"/>
      <c r="J74" s="1488"/>
      <c r="K74" s="1489"/>
      <c r="L74" s="1490"/>
      <c r="M74" s="1487"/>
      <c r="N74" s="1488"/>
      <c r="O74" s="1489"/>
      <c r="P74" s="1490"/>
      <c r="Q74" s="1399"/>
      <c r="X74" s="1445" t="e">
        <f ca="1"/>
        <v>#NAME?</v>
      </c>
      <c r="Y74" s="1446" t="e">
        <f ca="1"/>
        <v>#NAME?</v>
      </c>
      <c r="Z74" s="1408"/>
      <c r="AB74" s="1399"/>
      <c r="AC74" s="1399"/>
      <c r="AD74" s="1399"/>
      <c r="AE74" s="1399"/>
    </row>
    <row r="75" spans="1:31">
      <c r="A75" s="1487"/>
      <c r="B75" s="1488"/>
      <c r="C75" s="1489"/>
      <c r="D75" s="1490"/>
      <c r="E75" s="1487"/>
      <c r="F75" s="1488"/>
      <c r="G75" s="1489"/>
      <c r="H75" s="1490"/>
      <c r="I75" s="1487"/>
      <c r="J75" s="1488"/>
      <c r="K75" s="1489"/>
      <c r="L75" s="1490"/>
      <c r="M75" s="1487"/>
      <c r="N75" s="1488"/>
      <c r="O75" s="1489"/>
      <c r="P75" s="1490"/>
      <c r="Q75" s="1399"/>
      <c r="X75" s="1445" t="e">
        <f ca="1"/>
        <v>#NAME?</v>
      </c>
      <c r="Y75" s="1446" t="e">
        <f ca="1"/>
        <v>#NAME?</v>
      </c>
      <c r="Z75" s="1408"/>
      <c r="AB75" s="1399"/>
      <c r="AC75" s="1399"/>
      <c r="AD75" s="1399"/>
      <c r="AE75" s="1399"/>
    </row>
    <row r="76" spans="1:31">
      <c r="A76" s="1487"/>
      <c r="B76" s="1488"/>
      <c r="C76" s="1489"/>
      <c r="D76" s="1490"/>
      <c r="E76" s="1487"/>
      <c r="F76" s="1488"/>
      <c r="G76" s="1489"/>
      <c r="H76" s="1490"/>
      <c r="I76" s="1487"/>
      <c r="J76" s="1488"/>
      <c r="K76" s="1489"/>
      <c r="L76" s="1490"/>
      <c r="M76" s="1487"/>
      <c r="N76" s="1488"/>
      <c r="O76" s="1489"/>
      <c r="P76" s="1490"/>
      <c r="Q76" s="1399"/>
      <c r="X76" s="1445" t="e">
        <f ca="1"/>
        <v>#NAME?</v>
      </c>
      <c r="Y76" s="1446" t="e">
        <f ca="1"/>
        <v>#NAME?</v>
      </c>
      <c r="Z76" s="1408"/>
      <c r="AB76" s="1399"/>
      <c r="AC76" s="1399"/>
      <c r="AD76" s="1399"/>
      <c r="AE76" s="1399"/>
    </row>
    <row r="77" spans="1:31">
      <c r="A77" s="1487"/>
      <c r="B77" s="1488"/>
      <c r="C77" s="1489"/>
      <c r="D77" s="1490"/>
      <c r="E77" s="1487"/>
      <c r="F77" s="1488"/>
      <c r="G77" s="1489"/>
      <c r="H77" s="1490"/>
      <c r="I77" s="1487"/>
      <c r="J77" s="1488"/>
      <c r="K77" s="1489"/>
      <c r="L77" s="1490"/>
      <c r="M77" s="1487"/>
      <c r="N77" s="1488"/>
      <c r="O77" s="1489"/>
      <c r="P77" s="1490"/>
      <c r="Q77" s="1399"/>
      <c r="X77" s="1445" t="e">
        <f ca="1"/>
        <v>#NAME?</v>
      </c>
      <c r="Y77" s="1446" t="e">
        <f ca="1"/>
        <v>#NAME?</v>
      </c>
      <c r="Z77" s="1408"/>
      <c r="AB77" s="1399"/>
      <c r="AC77" s="1399"/>
      <c r="AD77" s="1399"/>
      <c r="AE77" s="1399"/>
    </row>
    <row r="78" spans="1:31">
      <c r="A78" s="1487"/>
      <c r="B78" s="1488"/>
      <c r="C78" s="1489"/>
      <c r="D78" s="1490"/>
      <c r="E78" s="1487"/>
      <c r="F78" s="1488"/>
      <c r="G78" s="1489"/>
      <c r="H78" s="1490"/>
      <c r="I78" s="1487"/>
      <c r="J78" s="1488"/>
      <c r="K78" s="1489"/>
      <c r="L78" s="1490"/>
      <c r="M78" s="1487"/>
      <c r="N78" s="1488"/>
      <c r="O78" s="1489"/>
      <c r="P78" s="1490"/>
      <c r="Q78" s="1399"/>
      <c r="X78" s="1445" t="e">
        <f ca="1"/>
        <v>#NAME?</v>
      </c>
      <c r="Y78" s="1446" t="e">
        <f ca="1"/>
        <v>#NAME?</v>
      </c>
      <c r="Z78" s="1408"/>
      <c r="AB78" s="1399"/>
      <c r="AC78" s="1399"/>
      <c r="AD78" s="1399"/>
      <c r="AE78" s="1399"/>
    </row>
    <row r="79" spans="1:31">
      <c r="A79" s="1487"/>
      <c r="B79" s="1488"/>
      <c r="C79" s="1489"/>
      <c r="D79" s="1490"/>
      <c r="E79" s="1487"/>
      <c r="F79" s="1488"/>
      <c r="G79" s="1489"/>
      <c r="H79" s="1490"/>
      <c r="I79" s="1487"/>
      <c r="J79" s="1488"/>
      <c r="K79" s="1489"/>
      <c r="L79" s="1490"/>
      <c r="M79" s="1487"/>
      <c r="N79" s="1488"/>
      <c r="O79" s="1489"/>
      <c r="P79" s="1490"/>
      <c r="Q79" s="1399"/>
      <c r="X79" s="1445" t="e">
        <f ca="1"/>
        <v>#NAME?</v>
      </c>
      <c r="Y79" s="1446" t="e">
        <f ca="1"/>
        <v>#NAME?</v>
      </c>
      <c r="Z79" s="1408"/>
      <c r="AB79" s="1399"/>
      <c r="AC79" s="1399"/>
      <c r="AD79" s="1399"/>
      <c r="AE79" s="1399"/>
    </row>
    <row r="80" spans="1:31">
      <c r="A80" s="1487"/>
      <c r="B80" s="1488"/>
      <c r="C80" s="1489"/>
      <c r="D80" s="1490"/>
      <c r="E80" s="1487"/>
      <c r="F80" s="1488"/>
      <c r="G80" s="1489"/>
      <c r="H80" s="1490"/>
      <c r="I80" s="1487"/>
      <c r="J80" s="1488"/>
      <c r="K80" s="1489"/>
      <c r="L80" s="1490"/>
      <c r="M80" s="1487"/>
      <c r="N80" s="1488"/>
      <c r="O80" s="1489"/>
      <c r="P80" s="1490"/>
      <c r="Q80" s="1399"/>
      <c r="X80" s="1445" t="e">
        <f ca="1"/>
        <v>#NAME?</v>
      </c>
      <c r="Y80" s="1446" t="e">
        <f ca="1"/>
        <v>#NAME?</v>
      </c>
      <c r="Z80" s="1408"/>
      <c r="AB80" s="1399"/>
      <c r="AC80" s="1399"/>
      <c r="AD80" s="1399"/>
      <c r="AE80" s="1399"/>
    </row>
    <row r="81" spans="1:31">
      <c r="A81" s="1487"/>
      <c r="B81" s="1488"/>
      <c r="C81" s="1489"/>
      <c r="D81" s="1490"/>
      <c r="E81" s="1487"/>
      <c r="F81" s="1488"/>
      <c r="G81" s="1489"/>
      <c r="H81" s="1490"/>
      <c r="I81" s="1487"/>
      <c r="J81" s="1488"/>
      <c r="K81" s="1489"/>
      <c r="L81" s="1490"/>
      <c r="M81" s="1487"/>
      <c r="N81" s="1488"/>
      <c r="O81" s="1489"/>
      <c r="P81" s="1490"/>
      <c r="Q81" s="1399"/>
      <c r="X81" s="1445" t="e">
        <f ca="1"/>
        <v>#NAME?</v>
      </c>
      <c r="Y81" s="1446" t="e">
        <f ca="1"/>
        <v>#NAME?</v>
      </c>
      <c r="Z81" s="1408"/>
      <c r="AB81" s="1399"/>
      <c r="AC81" s="1399"/>
      <c r="AD81" s="1399"/>
      <c r="AE81" s="1399"/>
    </row>
    <row r="82" spans="1:31">
      <c r="A82" s="1487"/>
      <c r="B82" s="1488"/>
      <c r="C82" s="1489"/>
      <c r="D82" s="1490"/>
      <c r="E82" s="1487"/>
      <c r="F82" s="1488"/>
      <c r="G82" s="1489"/>
      <c r="H82" s="1490"/>
      <c r="I82" s="1487"/>
      <c r="J82" s="1488"/>
      <c r="K82" s="1489"/>
      <c r="L82" s="1490"/>
      <c r="M82" s="1487"/>
      <c r="N82" s="1488"/>
      <c r="O82" s="1489"/>
      <c r="P82" s="1490"/>
      <c r="Q82" s="1399"/>
      <c r="X82" s="1445" t="e">
        <f ca="1"/>
        <v>#NAME?</v>
      </c>
      <c r="Y82" s="1446" t="e">
        <f ca="1"/>
        <v>#NAME?</v>
      </c>
      <c r="Z82" s="1408"/>
      <c r="AB82" s="1399"/>
      <c r="AC82" s="1399"/>
      <c r="AD82" s="1399"/>
      <c r="AE82" s="1399"/>
    </row>
    <row r="83" spans="1:31">
      <c r="A83" s="1487"/>
      <c r="B83" s="1488"/>
      <c r="C83" s="1489"/>
      <c r="D83" s="1490"/>
      <c r="E83" s="1487"/>
      <c r="F83" s="1488"/>
      <c r="G83" s="1489"/>
      <c r="H83" s="1490"/>
      <c r="I83" s="1487"/>
      <c r="J83" s="1488"/>
      <c r="K83" s="1489"/>
      <c r="L83" s="1490"/>
      <c r="M83" s="1487"/>
      <c r="N83" s="1488"/>
      <c r="O83" s="1489"/>
      <c r="P83" s="1490"/>
      <c r="Q83" s="1399"/>
      <c r="X83" s="1445" t="e">
        <f ca="1"/>
        <v>#NAME?</v>
      </c>
      <c r="Y83" s="1446" t="e">
        <f ca="1"/>
        <v>#NAME?</v>
      </c>
      <c r="Z83" s="1408"/>
      <c r="AB83" s="1399"/>
      <c r="AC83" s="1399"/>
      <c r="AD83" s="1399"/>
      <c r="AE83" s="1399"/>
    </row>
    <row r="84" spans="1:31">
      <c r="A84" s="1487"/>
      <c r="B84" s="1488"/>
      <c r="C84" s="1489"/>
      <c r="D84" s="1490"/>
      <c r="E84" s="1487"/>
      <c r="F84" s="1488"/>
      <c r="G84" s="1489"/>
      <c r="H84" s="1490"/>
      <c r="I84" s="1487"/>
      <c r="J84" s="1488"/>
      <c r="K84" s="1489"/>
      <c r="L84" s="1490"/>
      <c r="M84" s="1487"/>
      <c r="N84" s="1488"/>
      <c r="O84" s="1489"/>
      <c r="P84" s="1490"/>
      <c r="Q84" s="1399"/>
      <c r="X84" s="1445" t="e">
        <f ca="1"/>
        <v>#NAME?</v>
      </c>
      <c r="Y84" s="1446" t="e">
        <f ca="1"/>
        <v>#NAME?</v>
      </c>
      <c r="Z84" s="1408"/>
      <c r="AB84" s="1399"/>
      <c r="AC84" s="1399"/>
      <c r="AD84" s="1399"/>
      <c r="AE84" s="1399"/>
    </row>
    <row r="85" spans="1:31">
      <c r="A85" s="1487"/>
      <c r="B85" s="1488"/>
      <c r="C85" s="1489"/>
      <c r="D85" s="1490"/>
      <c r="E85" s="1487"/>
      <c r="F85" s="1488"/>
      <c r="G85" s="1489"/>
      <c r="H85" s="1490"/>
      <c r="I85" s="1487"/>
      <c r="J85" s="1488"/>
      <c r="K85" s="1489"/>
      <c r="L85" s="1490"/>
      <c r="M85" s="1487"/>
      <c r="N85" s="1488"/>
      <c r="O85" s="1489"/>
      <c r="P85" s="1490"/>
      <c r="Q85" s="1399"/>
      <c r="X85" s="1445" t="e">
        <f ca="1"/>
        <v>#NAME?</v>
      </c>
      <c r="Y85" s="1446" t="e">
        <f ca="1"/>
        <v>#NAME?</v>
      </c>
      <c r="Z85" s="1408"/>
      <c r="AB85" s="1399"/>
      <c r="AC85" s="1399"/>
      <c r="AD85" s="1399"/>
      <c r="AE85" s="1399"/>
    </row>
    <row r="86" spans="1:31">
      <c r="A86" s="1487"/>
      <c r="B86" s="1488"/>
      <c r="C86" s="1489"/>
      <c r="D86" s="1490"/>
      <c r="E86" s="1487"/>
      <c r="F86" s="1488"/>
      <c r="G86" s="1489"/>
      <c r="H86" s="1490"/>
      <c r="I86" s="1487"/>
      <c r="J86" s="1488"/>
      <c r="K86" s="1489"/>
      <c r="L86" s="1490"/>
      <c r="M86" s="1487"/>
      <c r="N86" s="1488"/>
      <c r="O86" s="1489"/>
      <c r="P86" s="1490"/>
      <c r="Q86" s="1399"/>
      <c r="X86" s="1445" t="e">
        <f ca="1"/>
        <v>#NAME?</v>
      </c>
      <c r="Y86" s="1446" t="e">
        <f ca="1"/>
        <v>#NAME?</v>
      </c>
      <c r="Z86" s="1408"/>
      <c r="AB86" s="1399"/>
      <c r="AC86" s="1399"/>
      <c r="AD86" s="1399"/>
      <c r="AE86" s="1399"/>
    </row>
    <row r="87" spans="1:31">
      <c r="A87" s="1487"/>
      <c r="B87" s="1488"/>
      <c r="C87" s="1489"/>
      <c r="D87" s="1490"/>
      <c r="E87" s="1487"/>
      <c r="F87" s="1488"/>
      <c r="G87" s="1489"/>
      <c r="H87" s="1490"/>
      <c r="I87" s="1487"/>
      <c r="J87" s="1488"/>
      <c r="K87" s="1489"/>
      <c r="L87" s="1490"/>
      <c r="M87" s="1487"/>
      <c r="N87" s="1488"/>
      <c r="O87" s="1489"/>
      <c r="P87" s="1490"/>
      <c r="Q87" s="1399"/>
      <c r="X87" s="1445" t="e">
        <f ca="1"/>
        <v>#NAME?</v>
      </c>
      <c r="Y87" s="1446" t="e">
        <f ca="1"/>
        <v>#NAME?</v>
      </c>
      <c r="Z87" s="1408"/>
      <c r="AB87" s="1399"/>
      <c r="AC87" s="1399"/>
      <c r="AD87" s="1399"/>
      <c r="AE87" s="1399"/>
    </row>
    <row r="88" spans="1:31">
      <c r="A88" s="1487"/>
      <c r="B88" s="1488"/>
      <c r="C88" s="1489"/>
      <c r="D88" s="1490"/>
      <c r="E88" s="1487"/>
      <c r="F88" s="1488"/>
      <c r="G88" s="1489"/>
      <c r="H88" s="1490"/>
      <c r="I88" s="1487"/>
      <c r="J88" s="1488"/>
      <c r="K88" s="1489"/>
      <c r="L88" s="1490"/>
      <c r="M88" s="1487"/>
      <c r="N88" s="1488"/>
      <c r="O88" s="1489"/>
      <c r="P88" s="1490"/>
      <c r="Q88" s="1399"/>
      <c r="X88" s="1445" t="e">
        <f ca="1"/>
        <v>#NAME?</v>
      </c>
      <c r="Y88" s="1446" t="e">
        <f ca="1"/>
        <v>#NAME?</v>
      </c>
      <c r="Z88" s="1408"/>
      <c r="AB88" s="1399"/>
      <c r="AC88" s="1399"/>
      <c r="AD88" s="1399"/>
      <c r="AE88" s="1399"/>
    </row>
    <row r="89" spans="1:31">
      <c r="A89" s="1487"/>
      <c r="B89" s="1488"/>
      <c r="C89" s="1489"/>
      <c r="D89" s="1490"/>
      <c r="E89" s="1487"/>
      <c r="F89" s="1488"/>
      <c r="G89" s="1489"/>
      <c r="H89" s="1490"/>
      <c r="I89" s="1487"/>
      <c r="J89" s="1488"/>
      <c r="K89" s="1489"/>
      <c r="L89" s="1490"/>
      <c r="M89" s="1487"/>
      <c r="N89" s="1488"/>
      <c r="O89" s="1489"/>
      <c r="P89" s="1490"/>
      <c r="Q89" s="1399"/>
      <c r="X89" s="1445" t="e">
        <f ca="1"/>
        <v>#NAME?</v>
      </c>
      <c r="Y89" s="1446" t="e">
        <f ca="1"/>
        <v>#NAME?</v>
      </c>
      <c r="Z89" s="1408"/>
      <c r="AB89" s="1399"/>
      <c r="AC89" s="1399"/>
      <c r="AD89" s="1399"/>
      <c r="AE89" s="1399"/>
    </row>
    <row r="90" spans="1:31">
      <c r="A90" s="1487"/>
      <c r="B90" s="1488"/>
      <c r="C90" s="1489"/>
      <c r="D90" s="1490"/>
      <c r="E90" s="1487"/>
      <c r="F90" s="1488"/>
      <c r="G90" s="1489"/>
      <c r="H90" s="1490"/>
      <c r="I90" s="1487"/>
      <c r="J90" s="1488"/>
      <c r="K90" s="1489"/>
      <c r="L90" s="1490"/>
      <c r="M90" s="1487"/>
      <c r="N90" s="1488"/>
      <c r="O90" s="1489"/>
      <c r="P90" s="1490"/>
      <c r="Q90" s="1399"/>
      <c r="X90" s="1445" t="e">
        <f ca="1"/>
        <v>#NAME?</v>
      </c>
      <c r="Y90" s="1446" t="e">
        <f ca="1"/>
        <v>#NAME?</v>
      </c>
      <c r="Z90" s="1408"/>
      <c r="AB90" s="1399"/>
      <c r="AC90" s="1399"/>
      <c r="AD90" s="1399"/>
      <c r="AE90" s="1399"/>
    </row>
    <row r="91" spans="1:31">
      <c r="A91" s="1487"/>
      <c r="B91" s="1488"/>
      <c r="C91" s="1489"/>
      <c r="D91" s="1490"/>
      <c r="E91" s="1487"/>
      <c r="F91" s="1488"/>
      <c r="G91" s="1489"/>
      <c r="H91" s="1490"/>
      <c r="I91" s="1487"/>
      <c r="J91" s="1488"/>
      <c r="K91" s="1489"/>
      <c r="L91" s="1490"/>
      <c r="M91" s="1487"/>
      <c r="N91" s="1488"/>
      <c r="O91" s="1489"/>
      <c r="P91" s="1490"/>
      <c r="Q91" s="1399"/>
      <c r="X91" s="1445" t="e">
        <f ca="1"/>
        <v>#NAME?</v>
      </c>
      <c r="Y91" s="1446" t="e">
        <f ca="1"/>
        <v>#NAME?</v>
      </c>
      <c r="Z91" s="1408"/>
      <c r="AB91" s="1399"/>
      <c r="AC91" s="1399"/>
      <c r="AD91" s="1399"/>
      <c r="AE91" s="1399"/>
    </row>
    <row r="92" spans="1:31">
      <c r="A92" s="1487"/>
      <c r="B92" s="1488"/>
      <c r="C92" s="1489"/>
      <c r="D92" s="1490"/>
      <c r="E92" s="1487"/>
      <c r="F92" s="1488"/>
      <c r="G92" s="1489"/>
      <c r="H92" s="1490"/>
      <c r="I92" s="1487"/>
      <c r="J92" s="1488"/>
      <c r="K92" s="1489"/>
      <c r="L92" s="1490"/>
      <c r="M92" s="1487"/>
      <c r="N92" s="1488"/>
      <c r="O92" s="1489"/>
      <c r="P92" s="1490"/>
      <c r="Q92" s="1399"/>
      <c r="X92" s="1445" t="e">
        <f ca="1"/>
        <v>#NAME?</v>
      </c>
      <c r="Y92" s="1446" t="e">
        <f ca="1"/>
        <v>#NAME?</v>
      </c>
      <c r="Z92" s="1408"/>
      <c r="AB92" s="1399"/>
      <c r="AC92" s="1399"/>
      <c r="AD92" s="1399"/>
      <c r="AE92" s="1399"/>
    </row>
    <row r="93" spans="1:31">
      <c r="A93" s="1487"/>
      <c r="B93" s="1488"/>
      <c r="C93" s="1489"/>
      <c r="D93" s="1490"/>
      <c r="E93" s="1487"/>
      <c r="F93" s="1488"/>
      <c r="G93" s="1489"/>
      <c r="H93" s="1490"/>
      <c r="I93" s="1487"/>
      <c r="J93" s="1488"/>
      <c r="K93" s="1489"/>
      <c r="L93" s="1490"/>
      <c r="M93" s="1487"/>
      <c r="N93" s="1488"/>
      <c r="O93" s="1489"/>
      <c r="P93" s="1490"/>
      <c r="Q93" s="1399"/>
      <c r="X93" s="1445" t="e">
        <f ca="1"/>
        <v>#NAME?</v>
      </c>
      <c r="Y93" s="1446" t="e">
        <f ca="1"/>
        <v>#NAME?</v>
      </c>
      <c r="Z93" s="1408"/>
      <c r="AB93" s="1399"/>
      <c r="AC93" s="1399"/>
      <c r="AD93" s="1399"/>
      <c r="AE93" s="1399"/>
    </row>
    <row r="94" spans="1:31">
      <c r="A94" s="1487"/>
      <c r="B94" s="1488"/>
      <c r="C94" s="1489"/>
      <c r="D94" s="1490"/>
      <c r="E94" s="1487"/>
      <c r="F94" s="1488"/>
      <c r="G94" s="1489"/>
      <c r="H94" s="1490"/>
      <c r="I94" s="1487"/>
      <c r="J94" s="1488"/>
      <c r="K94" s="1489"/>
      <c r="L94" s="1490"/>
      <c r="M94" s="1487"/>
      <c r="N94" s="1488"/>
      <c r="O94" s="1489"/>
      <c r="P94" s="1490"/>
      <c r="Q94" s="1399"/>
      <c r="X94" s="1445" t="e">
        <f ca="1"/>
        <v>#NAME?</v>
      </c>
      <c r="Y94" s="1446" t="e">
        <f ca="1"/>
        <v>#NAME?</v>
      </c>
      <c r="Z94" s="1408"/>
      <c r="AB94" s="1399"/>
      <c r="AC94" s="1399"/>
      <c r="AD94" s="1399"/>
      <c r="AE94" s="1399"/>
    </row>
    <row r="95" spans="1:31">
      <c r="A95" s="1487"/>
      <c r="B95" s="1488"/>
      <c r="C95" s="1489"/>
      <c r="D95" s="1490"/>
      <c r="E95" s="1487"/>
      <c r="F95" s="1488"/>
      <c r="G95" s="1489"/>
      <c r="H95" s="1490"/>
      <c r="I95" s="1487"/>
      <c r="J95" s="1488"/>
      <c r="K95" s="1489"/>
      <c r="L95" s="1490"/>
      <c r="M95" s="1487"/>
      <c r="N95" s="1488"/>
      <c r="O95" s="1489"/>
      <c r="P95" s="1490"/>
      <c r="Q95" s="1399"/>
      <c r="X95" s="1445" t="e">
        <f ca="1"/>
        <v>#NAME?</v>
      </c>
      <c r="Y95" s="1446" t="e">
        <f ca="1"/>
        <v>#NAME?</v>
      </c>
      <c r="Z95" s="1408"/>
      <c r="AB95" s="1399"/>
      <c r="AC95" s="1399"/>
      <c r="AD95" s="1399"/>
      <c r="AE95" s="1399"/>
    </row>
    <row r="96" spans="1:31">
      <c r="A96" s="1487"/>
      <c r="B96" s="1488"/>
      <c r="C96" s="1489"/>
      <c r="D96" s="1490"/>
      <c r="E96" s="1487"/>
      <c r="F96" s="1488"/>
      <c r="G96" s="1489"/>
      <c r="H96" s="1490"/>
      <c r="I96" s="1487"/>
      <c r="J96" s="1488"/>
      <c r="K96" s="1489"/>
      <c r="L96" s="1490"/>
      <c r="M96" s="1487"/>
      <c r="N96" s="1488"/>
      <c r="O96" s="1489"/>
      <c r="P96" s="1490"/>
      <c r="Q96" s="1399"/>
      <c r="X96" s="1445" t="e">
        <f ca="1"/>
        <v>#NAME?</v>
      </c>
      <c r="Y96" s="1446" t="e">
        <f ca="1"/>
        <v>#NAME?</v>
      </c>
      <c r="Z96" s="1408"/>
      <c r="AB96" s="1399"/>
      <c r="AC96" s="1399"/>
      <c r="AD96" s="1399"/>
      <c r="AE96" s="1399"/>
    </row>
    <row r="97" spans="1:31">
      <c r="A97" s="1487"/>
      <c r="B97" s="1488"/>
      <c r="C97" s="1489"/>
      <c r="D97" s="1490"/>
      <c r="E97" s="1487"/>
      <c r="F97" s="1488"/>
      <c r="G97" s="1489"/>
      <c r="H97" s="1490"/>
      <c r="I97" s="1487"/>
      <c r="J97" s="1488"/>
      <c r="K97" s="1489"/>
      <c r="L97" s="1490"/>
      <c r="M97" s="1487"/>
      <c r="N97" s="1488"/>
      <c r="O97" s="1489"/>
      <c r="P97" s="1490"/>
      <c r="Q97" s="1399"/>
      <c r="X97" s="1445" t="e">
        <f ca="1"/>
        <v>#NAME?</v>
      </c>
      <c r="Y97" s="1446" t="e">
        <f ca="1"/>
        <v>#NAME?</v>
      </c>
      <c r="Z97" s="1408"/>
      <c r="AB97" s="1399"/>
      <c r="AC97" s="1399"/>
      <c r="AD97" s="1399"/>
      <c r="AE97" s="1399"/>
    </row>
    <row r="98" spans="1:31">
      <c r="A98" s="1487"/>
      <c r="B98" s="1488"/>
      <c r="C98" s="1489"/>
      <c r="D98" s="1490"/>
      <c r="E98" s="1487"/>
      <c r="F98" s="1488"/>
      <c r="G98" s="1489"/>
      <c r="H98" s="1490"/>
      <c r="I98" s="1487"/>
      <c r="J98" s="1488"/>
      <c r="K98" s="1489"/>
      <c r="L98" s="1490"/>
      <c r="M98" s="1487"/>
      <c r="N98" s="1488"/>
      <c r="O98" s="1489"/>
      <c r="P98" s="1490"/>
      <c r="Q98" s="1399"/>
      <c r="X98" s="1445" t="e">
        <f ca="1"/>
        <v>#NAME?</v>
      </c>
      <c r="Y98" s="1446" t="e">
        <f ca="1"/>
        <v>#NAME?</v>
      </c>
      <c r="Z98" s="1408"/>
      <c r="AB98" s="1399"/>
      <c r="AC98" s="1399"/>
      <c r="AD98" s="1399"/>
      <c r="AE98" s="1399"/>
    </row>
    <row r="99" spans="1:31">
      <c r="A99" s="1487"/>
      <c r="B99" s="1488"/>
      <c r="C99" s="1489"/>
      <c r="D99" s="1490"/>
      <c r="E99" s="1487"/>
      <c r="F99" s="1488"/>
      <c r="G99" s="1489"/>
      <c r="H99" s="1490"/>
      <c r="I99" s="1487"/>
      <c r="J99" s="1488"/>
      <c r="K99" s="1489"/>
      <c r="L99" s="1490"/>
      <c r="M99" s="1487"/>
      <c r="N99" s="1488"/>
      <c r="O99" s="1489"/>
      <c r="P99" s="1490"/>
      <c r="Q99" s="1399"/>
      <c r="X99" s="1445" t="e">
        <f ca="1"/>
        <v>#NAME?</v>
      </c>
      <c r="Y99" s="1446" t="e">
        <f ca="1"/>
        <v>#NAME?</v>
      </c>
      <c r="Z99" s="1408"/>
      <c r="AB99" s="1399"/>
      <c r="AC99" s="1399"/>
      <c r="AD99" s="1399"/>
      <c r="AE99" s="1399"/>
    </row>
    <row r="100" spans="1:31">
      <c r="A100" s="1487"/>
      <c r="B100" s="1488"/>
      <c r="C100" s="1489"/>
      <c r="D100" s="1490"/>
      <c r="E100" s="1487"/>
      <c r="F100" s="1488"/>
      <c r="G100" s="1489"/>
      <c r="H100" s="1490"/>
      <c r="I100" s="1487"/>
      <c r="J100" s="1488"/>
      <c r="K100" s="1489"/>
      <c r="L100" s="1490"/>
      <c r="M100" s="1487"/>
      <c r="N100" s="1488"/>
      <c r="O100" s="1489"/>
      <c r="P100" s="1490"/>
      <c r="Q100" s="1399"/>
      <c r="X100" s="1445" t="e">
        <f ca="1"/>
        <v>#NAME?</v>
      </c>
      <c r="Y100" s="1446" t="e">
        <f ca="1"/>
        <v>#NAME?</v>
      </c>
      <c r="Z100" s="1408"/>
      <c r="AB100" s="1399"/>
      <c r="AC100" s="1399"/>
      <c r="AD100" s="1399"/>
      <c r="AE100" s="1399"/>
    </row>
    <row r="101" spans="1:31">
      <c r="A101" s="1487"/>
      <c r="B101" s="1488"/>
      <c r="C101" s="1489"/>
      <c r="D101" s="1490"/>
      <c r="E101" s="1487"/>
      <c r="F101" s="1488"/>
      <c r="G101" s="1489"/>
      <c r="H101" s="1490"/>
      <c r="I101" s="1487"/>
      <c r="J101" s="1488"/>
      <c r="K101" s="1489"/>
      <c r="L101" s="1490"/>
      <c r="M101" s="1487"/>
      <c r="N101" s="1488"/>
      <c r="O101" s="1489"/>
      <c r="P101" s="1490"/>
      <c r="Q101" s="1399"/>
      <c r="X101" s="1445" t="e">
        <f ca="1"/>
        <v>#NAME?</v>
      </c>
      <c r="Y101" s="1446" t="e">
        <f ca="1"/>
        <v>#NAME?</v>
      </c>
      <c r="Z101" s="1408"/>
      <c r="AB101" s="1399"/>
      <c r="AC101" s="1399"/>
      <c r="AD101" s="1399"/>
      <c r="AE101" s="1399"/>
    </row>
    <row r="102" spans="1:31">
      <c r="A102" s="1487"/>
      <c r="B102" s="1488"/>
      <c r="C102" s="1489"/>
      <c r="D102" s="1490"/>
      <c r="E102" s="1487"/>
      <c r="F102" s="1488"/>
      <c r="G102" s="1489"/>
      <c r="H102" s="1490"/>
      <c r="I102" s="1487"/>
      <c r="J102" s="1488"/>
      <c r="K102" s="1489"/>
      <c r="L102" s="1490"/>
      <c r="M102" s="1487"/>
      <c r="N102" s="1488"/>
      <c r="O102" s="1489"/>
      <c r="P102" s="1490"/>
      <c r="Q102" s="1399"/>
      <c r="X102" s="1445" t="e">
        <f ca="1"/>
        <v>#NAME?</v>
      </c>
      <c r="Y102" s="1446" t="e">
        <f ca="1"/>
        <v>#NAME?</v>
      </c>
      <c r="Z102" s="1408"/>
      <c r="AB102" s="1399"/>
      <c r="AC102" s="1399"/>
      <c r="AD102" s="1399"/>
      <c r="AE102" s="1399"/>
    </row>
    <row r="103" spans="1:31">
      <c r="A103" s="1487"/>
      <c r="B103" s="1488"/>
      <c r="C103" s="1489"/>
      <c r="D103" s="1490"/>
      <c r="E103" s="1487"/>
      <c r="F103" s="1488"/>
      <c r="G103" s="1489"/>
      <c r="H103" s="1490"/>
      <c r="I103" s="1487"/>
      <c r="J103" s="1488"/>
      <c r="K103" s="1489"/>
      <c r="L103" s="1490"/>
      <c r="M103" s="1487"/>
      <c r="N103" s="1488"/>
      <c r="O103" s="1489"/>
      <c r="P103" s="1490"/>
      <c r="Q103" s="1399"/>
      <c r="X103" s="1445" t="e">
        <f ca="1"/>
        <v>#NAME?</v>
      </c>
      <c r="Y103" s="1446" t="e">
        <f ca="1"/>
        <v>#NAME?</v>
      </c>
      <c r="Z103" s="1408"/>
      <c r="AB103" s="1399"/>
      <c r="AC103" s="1399"/>
      <c r="AD103" s="1399"/>
      <c r="AE103" s="1399"/>
    </row>
    <row r="104" spans="1:31">
      <c r="A104" s="1487"/>
      <c r="B104" s="1488"/>
      <c r="C104" s="1489"/>
      <c r="D104" s="1490"/>
      <c r="E104" s="1487"/>
      <c r="F104" s="1488"/>
      <c r="G104" s="1489"/>
      <c r="H104" s="1490"/>
      <c r="I104" s="1487"/>
      <c r="J104" s="1488"/>
      <c r="K104" s="1489"/>
      <c r="L104" s="1490"/>
      <c r="M104" s="1487"/>
      <c r="N104" s="1488"/>
      <c r="O104" s="1489"/>
      <c r="P104" s="1490"/>
      <c r="Q104" s="1399"/>
      <c r="X104" s="1445" t="e">
        <f ca="1"/>
        <v>#NAME?</v>
      </c>
      <c r="Y104" s="1446" t="e">
        <f ca="1"/>
        <v>#NAME?</v>
      </c>
      <c r="Z104" s="1408"/>
      <c r="AB104" s="1399"/>
      <c r="AC104" s="1399"/>
      <c r="AD104" s="1399"/>
      <c r="AE104" s="1399"/>
    </row>
    <row r="105" spans="1:31">
      <c r="A105" s="1487"/>
      <c r="B105" s="1488"/>
      <c r="C105" s="1489"/>
      <c r="D105" s="1490"/>
      <c r="E105" s="1487"/>
      <c r="F105" s="1488"/>
      <c r="G105" s="1489"/>
      <c r="H105" s="1490"/>
      <c r="I105" s="1487"/>
      <c r="J105" s="1488"/>
      <c r="K105" s="1489"/>
      <c r="L105" s="1490"/>
      <c r="M105" s="1487"/>
      <c r="N105" s="1488"/>
      <c r="O105" s="1489"/>
      <c r="P105" s="1490"/>
      <c r="Q105" s="1399"/>
      <c r="X105" s="1445" t="e">
        <f ca="1"/>
        <v>#NAME?</v>
      </c>
      <c r="Y105" s="1446" t="e">
        <f ca="1"/>
        <v>#NAME?</v>
      </c>
      <c r="Z105" s="1408"/>
      <c r="AB105" s="1399"/>
      <c r="AC105" s="1399"/>
      <c r="AD105" s="1399"/>
      <c r="AE105" s="1399"/>
    </row>
    <row r="106" spans="1:31">
      <c r="A106" s="1487"/>
      <c r="B106" s="1488"/>
      <c r="C106" s="1489"/>
      <c r="D106" s="1490"/>
      <c r="E106" s="1487"/>
      <c r="F106" s="1488"/>
      <c r="G106" s="1489"/>
      <c r="H106" s="1490"/>
      <c r="I106" s="1487"/>
      <c r="J106" s="1488"/>
      <c r="K106" s="1489"/>
      <c r="L106" s="1490"/>
      <c r="M106" s="1487"/>
      <c r="N106" s="1488"/>
      <c r="O106" s="1489"/>
      <c r="P106" s="1490"/>
      <c r="Q106" s="1399"/>
      <c r="X106" s="1445" t="e">
        <f ca="1"/>
        <v>#NAME?</v>
      </c>
      <c r="Y106" s="1446" t="e">
        <f ca="1"/>
        <v>#NAME?</v>
      </c>
      <c r="Z106" s="1408"/>
      <c r="AB106" s="1399"/>
      <c r="AC106" s="1399"/>
      <c r="AD106" s="1399"/>
      <c r="AE106" s="1399"/>
    </row>
    <row r="107" spans="1:31">
      <c r="A107" s="1487"/>
      <c r="B107" s="1488"/>
      <c r="C107" s="1489"/>
      <c r="D107" s="1490"/>
      <c r="E107" s="1487"/>
      <c r="F107" s="1488"/>
      <c r="G107" s="1489"/>
      <c r="H107" s="1490"/>
      <c r="I107" s="1487"/>
      <c r="J107" s="1488"/>
      <c r="K107" s="1489"/>
      <c r="L107" s="1490"/>
      <c r="M107" s="1487"/>
      <c r="N107" s="1488"/>
      <c r="O107" s="1489"/>
      <c r="P107" s="1490"/>
      <c r="Q107" s="1399"/>
      <c r="X107" s="1445" t="e">
        <f ca="1"/>
        <v>#NAME?</v>
      </c>
      <c r="Y107" s="1446" t="e">
        <f ca="1"/>
        <v>#NAME?</v>
      </c>
      <c r="Z107" s="1408"/>
      <c r="AB107" s="1399"/>
      <c r="AC107" s="1399"/>
      <c r="AD107" s="1399"/>
      <c r="AE107" s="1399"/>
    </row>
    <row r="108" spans="1:31">
      <c r="A108" s="1487"/>
      <c r="B108" s="1488"/>
      <c r="C108" s="1489"/>
      <c r="D108" s="1490"/>
      <c r="E108" s="1487"/>
      <c r="F108" s="1488"/>
      <c r="G108" s="1489"/>
      <c r="H108" s="1490"/>
      <c r="I108" s="1487"/>
      <c r="J108" s="1488"/>
      <c r="K108" s="1489"/>
      <c r="L108" s="1490"/>
      <c r="M108" s="1487"/>
      <c r="N108" s="1488"/>
      <c r="O108" s="1489"/>
      <c r="P108" s="1490"/>
      <c r="Q108" s="1399"/>
      <c r="X108" s="1445" t="e">
        <f ca="1"/>
        <v>#NAME?</v>
      </c>
      <c r="Y108" s="1446" t="e">
        <f ca="1"/>
        <v>#NAME?</v>
      </c>
      <c r="Z108" s="1408"/>
      <c r="AB108" s="1399"/>
      <c r="AC108" s="1399"/>
      <c r="AD108" s="1399"/>
      <c r="AE108" s="1399"/>
    </row>
    <row r="109" spans="1:31">
      <c r="A109" s="1487"/>
      <c r="B109" s="1488"/>
      <c r="C109" s="1489"/>
      <c r="D109" s="1490"/>
      <c r="E109" s="1487"/>
      <c r="F109" s="1488"/>
      <c r="G109" s="1489"/>
      <c r="H109" s="1490"/>
      <c r="I109" s="1487"/>
      <c r="J109" s="1488"/>
      <c r="K109" s="1489"/>
      <c r="L109" s="1490"/>
      <c r="M109" s="1487"/>
      <c r="N109" s="1488"/>
      <c r="O109" s="1489"/>
      <c r="P109" s="1490"/>
      <c r="Q109" s="1399"/>
      <c r="X109" s="1445" t="e">
        <f ca="1"/>
        <v>#NAME?</v>
      </c>
      <c r="Y109" s="1446" t="e">
        <f ca="1"/>
        <v>#NAME?</v>
      </c>
      <c r="Z109" s="1408"/>
      <c r="AB109" s="1399"/>
      <c r="AC109" s="1399"/>
      <c r="AD109" s="1399"/>
      <c r="AE109" s="1399"/>
    </row>
    <row r="110" spans="1:31">
      <c r="A110" s="1487"/>
      <c r="B110" s="1488"/>
      <c r="C110" s="1489"/>
      <c r="D110" s="1490"/>
      <c r="E110" s="1487"/>
      <c r="F110" s="1488"/>
      <c r="G110" s="1489"/>
      <c r="H110" s="1490"/>
      <c r="I110" s="1487"/>
      <c r="J110" s="1488"/>
      <c r="K110" s="1489"/>
      <c r="L110" s="1490"/>
      <c r="M110" s="1487"/>
      <c r="N110" s="1488"/>
      <c r="O110" s="1489"/>
      <c r="P110" s="1490"/>
      <c r="Q110" s="1399"/>
      <c r="X110" s="1445" t="e">
        <f ca="1"/>
        <v>#NAME?</v>
      </c>
      <c r="Y110" s="1446" t="e">
        <f ca="1"/>
        <v>#NAME?</v>
      </c>
      <c r="Z110" s="1408"/>
      <c r="AB110" s="1399"/>
      <c r="AC110" s="1399"/>
      <c r="AD110" s="1399"/>
      <c r="AE110" s="1399"/>
    </row>
    <row r="111" spans="1:31">
      <c r="A111" s="1487"/>
      <c r="B111" s="1488"/>
      <c r="C111" s="1489"/>
      <c r="D111" s="1490"/>
      <c r="E111" s="1487"/>
      <c r="F111" s="1488"/>
      <c r="G111" s="1489"/>
      <c r="H111" s="1490"/>
      <c r="I111" s="1487"/>
      <c r="J111" s="1488"/>
      <c r="K111" s="1489"/>
      <c r="L111" s="1490"/>
      <c r="M111" s="1487"/>
      <c r="N111" s="1488"/>
      <c r="O111" s="1489"/>
      <c r="P111" s="1490"/>
      <c r="Q111" s="1399"/>
      <c r="X111" s="1445" t="e">
        <f ca="1"/>
        <v>#NAME?</v>
      </c>
      <c r="Y111" s="1446" t="e">
        <f ca="1"/>
        <v>#NAME?</v>
      </c>
      <c r="Z111" s="1408"/>
      <c r="AB111" s="1399"/>
      <c r="AC111" s="1399"/>
      <c r="AD111" s="1399"/>
      <c r="AE111" s="1399"/>
    </row>
    <row r="112" spans="1:31">
      <c r="A112" s="1487"/>
      <c r="B112" s="1488"/>
      <c r="C112" s="1489"/>
      <c r="D112" s="1490"/>
      <c r="E112" s="1487"/>
      <c r="F112" s="1488"/>
      <c r="G112" s="1489"/>
      <c r="H112" s="1490"/>
      <c r="I112" s="1487"/>
      <c r="J112" s="1488"/>
      <c r="K112" s="1489"/>
      <c r="L112" s="1490"/>
      <c r="M112" s="1487"/>
      <c r="N112" s="1488"/>
      <c r="O112" s="1489"/>
      <c r="P112" s="1490"/>
      <c r="Q112" s="1399"/>
      <c r="X112" s="1445" t="e">
        <f ca="1"/>
        <v>#NAME?</v>
      </c>
      <c r="Y112" s="1446" t="e">
        <f ca="1"/>
        <v>#NAME?</v>
      </c>
      <c r="Z112" s="1408"/>
      <c r="AB112" s="1399"/>
      <c r="AC112" s="1399"/>
      <c r="AD112" s="1399"/>
      <c r="AE112" s="1399"/>
    </row>
    <row r="113" spans="1:31">
      <c r="A113" s="1487"/>
      <c r="B113" s="1488"/>
      <c r="C113" s="1489"/>
      <c r="D113" s="1490"/>
      <c r="E113" s="1487"/>
      <c r="F113" s="1488"/>
      <c r="G113" s="1489"/>
      <c r="H113" s="1490"/>
      <c r="I113" s="1487"/>
      <c r="J113" s="1488"/>
      <c r="K113" s="1489"/>
      <c r="L113" s="1490"/>
      <c r="M113" s="1487"/>
      <c r="N113" s="1488"/>
      <c r="O113" s="1489"/>
      <c r="P113" s="1490"/>
      <c r="Q113" s="1399"/>
      <c r="X113" s="1445" t="e">
        <f ca="1"/>
        <v>#NAME?</v>
      </c>
      <c r="Y113" s="1446" t="e">
        <f ca="1"/>
        <v>#NAME?</v>
      </c>
      <c r="Z113" s="1408"/>
      <c r="AB113" s="1399"/>
      <c r="AC113" s="1399"/>
      <c r="AD113" s="1399"/>
      <c r="AE113" s="1399"/>
    </row>
    <row r="114" spans="1:31">
      <c r="A114" s="1487"/>
      <c r="B114" s="1488"/>
      <c r="C114" s="1489"/>
      <c r="D114" s="1490"/>
      <c r="E114" s="1487"/>
      <c r="F114" s="1488"/>
      <c r="G114" s="1489"/>
      <c r="H114" s="1490"/>
      <c r="I114" s="1487"/>
      <c r="J114" s="1488"/>
      <c r="K114" s="1489"/>
      <c r="L114" s="1490"/>
      <c r="M114" s="1487"/>
      <c r="N114" s="1488"/>
      <c r="O114" s="1489"/>
      <c r="P114" s="1490"/>
      <c r="Q114" s="1399"/>
      <c r="X114" s="1445" t="e">
        <f ca="1"/>
        <v>#NAME?</v>
      </c>
      <c r="Y114" s="1446" t="e">
        <f ca="1"/>
        <v>#NAME?</v>
      </c>
      <c r="Z114" s="1408"/>
      <c r="AB114" s="1399"/>
      <c r="AC114" s="1399"/>
      <c r="AD114" s="1399"/>
      <c r="AE114" s="1399"/>
    </row>
    <row r="115" spans="1:31">
      <c r="A115" s="1487"/>
      <c r="B115" s="1488"/>
      <c r="C115" s="1489"/>
      <c r="D115" s="1490"/>
      <c r="E115" s="1487"/>
      <c r="F115" s="1488"/>
      <c r="G115" s="1489"/>
      <c r="H115" s="1490"/>
      <c r="I115" s="1487"/>
      <c r="J115" s="1488"/>
      <c r="K115" s="1489"/>
      <c r="L115" s="1490"/>
      <c r="M115" s="1487"/>
      <c r="N115" s="1488"/>
      <c r="O115" s="1489"/>
      <c r="P115" s="1490"/>
      <c r="Q115" s="1399"/>
      <c r="X115" s="1445" t="e">
        <f ca="1"/>
        <v>#NAME?</v>
      </c>
      <c r="Y115" s="1446" t="e">
        <f ca="1"/>
        <v>#NAME?</v>
      </c>
      <c r="Z115" s="1408"/>
      <c r="AB115" s="1399"/>
      <c r="AC115" s="1399"/>
      <c r="AD115" s="1399"/>
      <c r="AE115" s="1399"/>
    </row>
    <row r="116" spans="1:31">
      <c r="A116" s="1487"/>
      <c r="B116" s="1488"/>
      <c r="C116" s="1489"/>
      <c r="D116" s="1490"/>
      <c r="E116" s="1487"/>
      <c r="F116" s="1488"/>
      <c r="G116" s="1489"/>
      <c r="H116" s="1490"/>
      <c r="I116" s="1487"/>
      <c r="J116" s="1488"/>
      <c r="K116" s="1489"/>
      <c r="L116" s="1490"/>
      <c r="M116" s="1487"/>
      <c r="N116" s="1488"/>
      <c r="O116" s="1489"/>
      <c r="P116" s="1490"/>
      <c r="Q116" s="1399"/>
      <c r="X116" s="1445" t="e">
        <f ca="1"/>
        <v>#NAME?</v>
      </c>
      <c r="Y116" s="1446" t="e">
        <f ca="1"/>
        <v>#NAME?</v>
      </c>
      <c r="Z116" s="1408"/>
      <c r="AB116" s="1399"/>
      <c r="AC116" s="1399"/>
      <c r="AD116" s="1399"/>
      <c r="AE116" s="1399"/>
    </row>
    <row r="117" spans="1:31">
      <c r="A117" s="1487"/>
      <c r="B117" s="1488"/>
      <c r="C117" s="1489"/>
      <c r="D117" s="1490"/>
      <c r="E117" s="1487"/>
      <c r="F117" s="1488"/>
      <c r="G117" s="1489"/>
      <c r="H117" s="1490"/>
      <c r="I117" s="1487"/>
      <c r="J117" s="1488"/>
      <c r="K117" s="1489"/>
      <c r="L117" s="1490"/>
      <c r="M117" s="1487"/>
      <c r="N117" s="1488"/>
      <c r="O117" s="1489"/>
      <c r="P117" s="1490"/>
      <c r="Q117" s="1399"/>
      <c r="X117" s="1445" t="e">
        <f ca="1"/>
        <v>#NAME?</v>
      </c>
      <c r="Y117" s="1446" t="e">
        <f ca="1"/>
        <v>#NAME?</v>
      </c>
      <c r="Z117" s="1408"/>
      <c r="AB117" s="1399"/>
      <c r="AC117" s="1399"/>
      <c r="AD117" s="1399"/>
      <c r="AE117" s="1399"/>
    </row>
    <row r="118" spans="1:31">
      <c r="A118" s="1487"/>
      <c r="B118" s="1488"/>
      <c r="C118" s="1489"/>
      <c r="D118" s="1490"/>
      <c r="E118" s="1487"/>
      <c r="F118" s="1488"/>
      <c r="G118" s="1489"/>
      <c r="H118" s="1490"/>
      <c r="I118" s="1487"/>
      <c r="J118" s="1488"/>
      <c r="K118" s="1489"/>
      <c r="L118" s="1490"/>
      <c r="M118" s="1487"/>
      <c r="N118" s="1488"/>
      <c r="O118" s="1489"/>
      <c r="P118" s="1490"/>
      <c r="Q118" s="1399"/>
      <c r="X118" s="1445" t="e">
        <f ca="1"/>
        <v>#NAME?</v>
      </c>
      <c r="Y118" s="1446" t="e">
        <f ca="1"/>
        <v>#NAME?</v>
      </c>
      <c r="Z118" s="1408"/>
      <c r="AB118" s="1399"/>
      <c r="AC118" s="1399"/>
      <c r="AD118" s="1399"/>
      <c r="AE118" s="1399"/>
    </row>
    <row r="119" spans="1:31">
      <c r="A119" s="1487"/>
      <c r="B119" s="1488"/>
      <c r="C119" s="1489"/>
      <c r="D119" s="1490"/>
      <c r="E119" s="1487"/>
      <c r="F119" s="1488"/>
      <c r="G119" s="1489"/>
      <c r="H119" s="1490"/>
      <c r="I119" s="1487"/>
      <c r="J119" s="1488"/>
      <c r="K119" s="1489"/>
      <c r="L119" s="1490"/>
      <c r="M119" s="1487"/>
      <c r="N119" s="1488"/>
      <c r="O119" s="1489"/>
      <c r="P119" s="1490"/>
      <c r="Q119" s="1399"/>
      <c r="X119" s="1445" t="e">
        <f ca="1"/>
        <v>#NAME?</v>
      </c>
      <c r="Y119" s="1446" t="e">
        <f ca="1"/>
        <v>#NAME?</v>
      </c>
      <c r="Z119" s="1408"/>
      <c r="AB119" s="1399"/>
      <c r="AC119" s="1399"/>
      <c r="AD119" s="1399"/>
      <c r="AE119" s="1399"/>
    </row>
    <row r="120" spans="1:31">
      <c r="A120" s="1487"/>
      <c r="B120" s="1488"/>
      <c r="C120" s="1489"/>
      <c r="D120" s="1490"/>
      <c r="E120" s="1487"/>
      <c r="F120" s="1488"/>
      <c r="G120" s="1489"/>
      <c r="H120" s="1490"/>
      <c r="I120" s="1487"/>
      <c r="J120" s="1488"/>
      <c r="K120" s="1489"/>
      <c r="L120" s="1490"/>
      <c r="M120" s="1487"/>
      <c r="N120" s="1488"/>
      <c r="O120" s="1489"/>
      <c r="P120" s="1490"/>
      <c r="Q120" s="1399"/>
      <c r="X120" s="1445" t="e">
        <f ca="1"/>
        <v>#NAME?</v>
      </c>
      <c r="Y120" s="1446" t="e">
        <f ca="1"/>
        <v>#NAME?</v>
      </c>
      <c r="Z120" s="1408"/>
      <c r="AB120" s="1399"/>
      <c r="AC120" s="1399"/>
      <c r="AD120" s="1399"/>
      <c r="AE120" s="1399"/>
    </row>
    <row r="121" spans="1:31">
      <c r="A121" s="1487"/>
      <c r="B121" s="1488"/>
      <c r="C121" s="1489"/>
      <c r="D121" s="1490"/>
      <c r="E121" s="1487"/>
      <c r="F121" s="1488"/>
      <c r="G121" s="1489"/>
      <c r="H121" s="1490"/>
      <c r="I121" s="1487"/>
      <c r="J121" s="1488"/>
      <c r="K121" s="1489"/>
      <c r="L121" s="1490"/>
      <c r="M121" s="1487"/>
      <c r="N121" s="1488"/>
      <c r="O121" s="1489"/>
      <c r="P121" s="1490"/>
      <c r="Q121" s="1399"/>
      <c r="X121" s="1445" t="e">
        <f ca="1"/>
        <v>#NAME?</v>
      </c>
      <c r="Y121" s="1446" t="e">
        <f ca="1"/>
        <v>#NAME?</v>
      </c>
      <c r="Z121" s="1408"/>
      <c r="AB121" s="1399"/>
      <c r="AC121" s="1399"/>
      <c r="AD121" s="1399"/>
      <c r="AE121" s="1399"/>
    </row>
    <row r="122" spans="1:31">
      <c r="A122" s="1487"/>
      <c r="B122" s="1488"/>
      <c r="C122" s="1489"/>
      <c r="D122" s="1490"/>
      <c r="E122" s="1487"/>
      <c r="F122" s="1488"/>
      <c r="G122" s="1489"/>
      <c r="H122" s="1490"/>
      <c r="I122" s="1487"/>
      <c r="J122" s="1488"/>
      <c r="K122" s="1489"/>
      <c r="L122" s="1490"/>
      <c r="M122" s="1487"/>
      <c r="N122" s="1488"/>
      <c r="O122" s="1489"/>
      <c r="P122" s="1490"/>
      <c r="Q122" s="1399"/>
      <c r="X122" s="1445" t="e">
        <f ca="1"/>
        <v>#NAME?</v>
      </c>
      <c r="Y122" s="1446" t="e">
        <f ca="1"/>
        <v>#NAME?</v>
      </c>
      <c r="Z122" s="1408"/>
      <c r="AB122" s="1399"/>
      <c r="AC122" s="1399"/>
      <c r="AD122" s="1399"/>
      <c r="AE122" s="1399"/>
    </row>
    <row r="123" spans="1:31">
      <c r="A123" s="1487"/>
      <c r="B123" s="1488"/>
      <c r="C123" s="1489"/>
      <c r="D123" s="1490"/>
      <c r="E123" s="1487"/>
      <c r="F123" s="1488"/>
      <c r="G123" s="1489"/>
      <c r="H123" s="1490"/>
      <c r="I123" s="1487"/>
      <c r="J123" s="1488"/>
      <c r="K123" s="1489"/>
      <c r="L123" s="1490"/>
      <c r="M123" s="1487"/>
      <c r="N123" s="1488"/>
      <c r="O123" s="1489"/>
      <c r="P123" s="1490"/>
      <c r="Q123" s="1399"/>
      <c r="X123" s="1445" t="e">
        <f ca="1"/>
        <v>#NAME?</v>
      </c>
      <c r="Y123" s="1446" t="e">
        <f ca="1"/>
        <v>#NAME?</v>
      </c>
      <c r="Z123" s="1408"/>
      <c r="AB123" s="1399"/>
      <c r="AC123" s="1399"/>
      <c r="AD123" s="1399"/>
      <c r="AE123" s="1399"/>
    </row>
    <row r="124" spans="1:31">
      <c r="A124" s="1487"/>
      <c r="B124" s="1488"/>
      <c r="C124" s="1489"/>
      <c r="D124" s="1490"/>
      <c r="E124" s="1487"/>
      <c r="F124" s="1488"/>
      <c r="G124" s="1489"/>
      <c r="H124" s="1490"/>
      <c r="I124" s="1487"/>
      <c r="J124" s="1488"/>
      <c r="K124" s="1489"/>
      <c r="L124" s="1490"/>
      <c r="M124" s="1487"/>
      <c r="N124" s="1488"/>
      <c r="O124" s="1489"/>
      <c r="P124" s="1490"/>
      <c r="Q124" s="1399"/>
      <c r="X124" s="1445" t="e">
        <f ca="1"/>
        <v>#NAME?</v>
      </c>
      <c r="Y124" s="1446" t="e">
        <f ca="1"/>
        <v>#NAME?</v>
      </c>
      <c r="Z124" s="1408"/>
      <c r="AB124" s="1399"/>
      <c r="AC124" s="1399"/>
      <c r="AD124" s="1399"/>
      <c r="AE124" s="1399"/>
    </row>
    <row r="125" spans="1:31">
      <c r="A125" s="1487"/>
      <c r="B125" s="1488"/>
      <c r="C125" s="1489"/>
      <c r="D125" s="1490"/>
      <c r="E125" s="1487"/>
      <c r="F125" s="1488"/>
      <c r="G125" s="1489"/>
      <c r="H125" s="1490"/>
      <c r="I125" s="1487"/>
      <c r="J125" s="1488"/>
      <c r="K125" s="1489"/>
      <c r="L125" s="1490"/>
      <c r="M125" s="1487"/>
      <c r="N125" s="1488"/>
      <c r="O125" s="1489"/>
      <c r="P125" s="1490"/>
      <c r="Q125" s="1399"/>
      <c r="X125" s="1445" t="e">
        <f ca="1"/>
        <v>#NAME?</v>
      </c>
      <c r="Y125" s="1446" t="e">
        <f ca="1"/>
        <v>#NAME?</v>
      </c>
      <c r="Z125" s="1408"/>
      <c r="AB125" s="1399"/>
      <c r="AC125" s="1399"/>
      <c r="AD125" s="1399"/>
      <c r="AE125" s="1399"/>
    </row>
    <row r="126" spans="1:31">
      <c r="A126" s="1487"/>
      <c r="B126" s="1488"/>
      <c r="C126" s="1489"/>
      <c r="D126" s="1490"/>
      <c r="E126" s="1487"/>
      <c r="F126" s="1488"/>
      <c r="G126" s="1489"/>
      <c r="H126" s="1490"/>
      <c r="I126" s="1487"/>
      <c r="J126" s="1488"/>
      <c r="K126" s="1489"/>
      <c r="L126" s="1490"/>
      <c r="M126" s="1487"/>
      <c r="N126" s="1488"/>
      <c r="O126" s="1489"/>
      <c r="P126" s="1490"/>
      <c r="Q126" s="1399"/>
      <c r="X126" s="1445" t="e">
        <f ca="1"/>
        <v>#NAME?</v>
      </c>
      <c r="Y126" s="1446" t="e">
        <f ca="1"/>
        <v>#NAME?</v>
      </c>
      <c r="Z126" s="1408"/>
      <c r="AB126" s="1399"/>
      <c r="AC126" s="1399"/>
      <c r="AD126" s="1399"/>
      <c r="AE126" s="1399"/>
    </row>
    <row r="127" spans="1:31">
      <c r="A127" s="1487"/>
      <c r="B127" s="1488"/>
      <c r="C127" s="1489"/>
      <c r="D127" s="1490"/>
      <c r="E127" s="1487"/>
      <c r="F127" s="1488"/>
      <c r="G127" s="1489"/>
      <c r="H127" s="1490"/>
      <c r="I127" s="1487"/>
      <c r="J127" s="1488"/>
      <c r="K127" s="1489"/>
      <c r="L127" s="1490"/>
      <c r="M127" s="1487"/>
      <c r="N127" s="1488"/>
      <c r="O127" s="1489"/>
      <c r="P127" s="1490"/>
      <c r="Q127" s="1399"/>
      <c r="X127" s="1445" t="e">
        <f ca="1"/>
        <v>#NAME?</v>
      </c>
      <c r="Y127" s="1446" t="e">
        <f ca="1"/>
        <v>#NAME?</v>
      </c>
      <c r="Z127" s="1408"/>
      <c r="AB127" s="1399"/>
      <c r="AC127" s="1399"/>
      <c r="AD127" s="1399"/>
      <c r="AE127" s="1399"/>
    </row>
    <row r="128" spans="1:31">
      <c r="A128" s="1487"/>
      <c r="B128" s="1488"/>
      <c r="C128" s="1489"/>
      <c r="D128" s="1490"/>
      <c r="E128" s="1487"/>
      <c r="F128" s="1488"/>
      <c r="G128" s="1489"/>
      <c r="H128" s="1490"/>
      <c r="I128" s="1487"/>
      <c r="J128" s="1488"/>
      <c r="K128" s="1489"/>
      <c r="L128" s="1490"/>
      <c r="M128" s="1487"/>
      <c r="N128" s="1488"/>
      <c r="O128" s="1489"/>
      <c r="P128" s="1490"/>
      <c r="Q128" s="1399"/>
      <c r="X128" s="1445" t="e">
        <f ca="1"/>
        <v>#NAME?</v>
      </c>
      <c r="Y128" s="1446" t="e">
        <f ca="1"/>
        <v>#NAME?</v>
      </c>
      <c r="Z128" s="1408"/>
      <c r="AB128" s="1399"/>
      <c r="AC128" s="1399"/>
      <c r="AD128" s="1399"/>
      <c r="AE128" s="1399"/>
    </row>
    <row r="129" spans="1:31">
      <c r="A129" s="1487"/>
      <c r="B129" s="1488"/>
      <c r="C129" s="1489"/>
      <c r="D129" s="1490"/>
      <c r="E129" s="1487"/>
      <c r="F129" s="1488"/>
      <c r="G129" s="1489"/>
      <c r="H129" s="1490"/>
      <c r="I129" s="1487"/>
      <c r="J129" s="1488"/>
      <c r="K129" s="1489"/>
      <c r="L129" s="1490"/>
      <c r="M129" s="1487"/>
      <c r="N129" s="1488"/>
      <c r="O129" s="1489"/>
      <c r="P129" s="1490"/>
      <c r="Q129" s="1399"/>
      <c r="X129" s="1445" t="e">
        <f ca="1"/>
        <v>#NAME?</v>
      </c>
      <c r="Y129" s="1446" t="e">
        <f ca="1"/>
        <v>#NAME?</v>
      </c>
      <c r="Z129" s="1408"/>
      <c r="AB129" s="1399"/>
      <c r="AC129" s="1399"/>
      <c r="AD129" s="1399"/>
      <c r="AE129" s="1399"/>
    </row>
    <row r="130" spans="1:31">
      <c r="A130" s="1487"/>
      <c r="B130" s="1488"/>
      <c r="C130" s="1489"/>
      <c r="D130" s="1490"/>
      <c r="E130" s="1487"/>
      <c r="F130" s="1488"/>
      <c r="G130" s="1489"/>
      <c r="H130" s="1490"/>
      <c r="I130" s="1487"/>
      <c r="J130" s="1488"/>
      <c r="K130" s="1489"/>
      <c r="L130" s="1490"/>
      <c r="M130" s="1487"/>
      <c r="N130" s="1488"/>
      <c r="O130" s="1489"/>
      <c r="P130" s="1490"/>
      <c r="Q130" s="1399"/>
      <c r="X130" s="1445" t="e">
        <f ca="1"/>
        <v>#NAME?</v>
      </c>
      <c r="Y130" s="1446" t="e">
        <f ca="1"/>
        <v>#NAME?</v>
      </c>
      <c r="Z130" s="1408"/>
      <c r="AB130" s="1399"/>
      <c r="AC130" s="1399"/>
      <c r="AD130" s="1399"/>
      <c r="AE130" s="1399"/>
    </row>
    <row r="131" spans="1:31">
      <c r="A131" s="1487"/>
      <c r="B131" s="1488"/>
      <c r="C131" s="1489"/>
      <c r="D131" s="1490"/>
      <c r="E131" s="1487"/>
      <c r="F131" s="1488"/>
      <c r="G131" s="1489"/>
      <c r="H131" s="1490"/>
      <c r="I131" s="1487"/>
      <c r="J131" s="1488"/>
      <c r="K131" s="1489"/>
      <c r="L131" s="1490"/>
      <c r="M131" s="1487"/>
      <c r="N131" s="1488"/>
      <c r="O131" s="1489"/>
      <c r="P131" s="1490"/>
      <c r="Q131" s="1399"/>
      <c r="X131" s="1445" t="e">
        <f ca="1"/>
        <v>#NAME?</v>
      </c>
      <c r="Y131" s="1446" t="e">
        <f ca="1"/>
        <v>#NAME?</v>
      </c>
      <c r="Z131" s="1408"/>
      <c r="AB131" s="1399"/>
      <c r="AC131" s="1399"/>
      <c r="AD131" s="1399"/>
      <c r="AE131" s="1399"/>
    </row>
    <row r="132" spans="1:31">
      <c r="A132" s="1487"/>
      <c r="B132" s="1488"/>
      <c r="C132" s="1489"/>
      <c r="D132" s="1490"/>
      <c r="E132" s="1487"/>
      <c r="F132" s="1488"/>
      <c r="G132" s="1489"/>
      <c r="H132" s="1490"/>
      <c r="I132" s="1487"/>
      <c r="J132" s="1488"/>
      <c r="K132" s="1489"/>
      <c r="L132" s="1490"/>
      <c r="M132" s="1487"/>
      <c r="N132" s="1488"/>
      <c r="O132" s="1489"/>
      <c r="P132" s="1490"/>
      <c r="Q132" s="1399"/>
      <c r="X132" s="1445" t="e">
        <f ca="1"/>
        <v>#NAME?</v>
      </c>
      <c r="Y132" s="1446" t="e">
        <f ca="1"/>
        <v>#NAME?</v>
      </c>
      <c r="Z132" s="1408"/>
      <c r="AB132" s="1399"/>
      <c r="AC132" s="1399"/>
      <c r="AD132" s="1399"/>
      <c r="AE132" s="1399"/>
    </row>
    <row r="133" spans="1:31">
      <c r="A133" s="1487"/>
      <c r="B133" s="1488"/>
      <c r="C133" s="1489"/>
      <c r="D133" s="1490"/>
      <c r="E133" s="1487"/>
      <c r="F133" s="1488"/>
      <c r="G133" s="1489"/>
      <c r="H133" s="1490"/>
      <c r="I133" s="1487"/>
      <c r="J133" s="1488"/>
      <c r="K133" s="1489"/>
      <c r="L133" s="1490"/>
      <c r="M133" s="1487"/>
      <c r="N133" s="1488"/>
      <c r="O133" s="1489"/>
      <c r="P133" s="1490"/>
      <c r="Q133" s="1399"/>
      <c r="X133" s="1445" t="e">
        <f ca="1"/>
        <v>#NAME?</v>
      </c>
      <c r="Y133" s="1446" t="e">
        <f ca="1"/>
        <v>#NAME?</v>
      </c>
      <c r="Z133" s="1408"/>
      <c r="AB133" s="1399"/>
      <c r="AC133" s="1399"/>
      <c r="AD133" s="1399"/>
      <c r="AE133" s="1399"/>
    </row>
    <row r="134" spans="1:31">
      <c r="A134" s="1487"/>
      <c r="B134" s="1488"/>
      <c r="C134" s="1489"/>
      <c r="D134" s="1490"/>
      <c r="E134" s="1487"/>
      <c r="F134" s="1488"/>
      <c r="G134" s="1489"/>
      <c r="H134" s="1490"/>
      <c r="I134" s="1487"/>
      <c r="J134" s="1488"/>
      <c r="K134" s="1489"/>
      <c r="L134" s="1490"/>
      <c r="M134" s="1487"/>
      <c r="N134" s="1488"/>
      <c r="O134" s="1489"/>
      <c r="P134" s="1490"/>
      <c r="Q134" s="1399"/>
      <c r="X134" s="1445" t="e">
        <f ca="1"/>
        <v>#NAME?</v>
      </c>
      <c r="Y134" s="1446" t="e">
        <f ca="1"/>
        <v>#NAME?</v>
      </c>
      <c r="Z134" s="1408"/>
      <c r="AB134" s="1399"/>
      <c r="AC134" s="1399"/>
      <c r="AD134" s="1399"/>
      <c r="AE134" s="1399"/>
    </row>
    <row r="135" spans="1:31">
      <c r="A135" s="1487"/>
      <c r="B135" s="1488"/>
      <c r="C135" s="1489"/>
      <c r="D135" s="1490"/>
      <c r="E135" s="1487"/>
      <c r="F135" s="1488"/>
      <c r="G135" s="1489"/>
      <c r="H135" s="1490"/>
      <c r="I135" s="1487"/>
      <c r="J135" s="1488"/>
      <c r="K135" s="1489"/>
      <c r="L135" s="1490"/>
      <c r="M135" s="1487"/>
      <c r="N135" s="1488"/>
      <c r="O135" s="1489"/>
      <c r="P135" s="1490"/>
      <c r="Q135" s="1399"/>
      <c r="X135" s="1445" t="e">
        <f ca="1"/>
        <v>#NAME?</v>
      </c>
      <c r="Y135" s="1446" t="e">
        <f ca="1"/>
        <v>#NAME?</v>
      </c>
      <c r="Z135" s="1408"/>
      <c r="AB135" s="1399"/>
      <c r="AC135" s="1399"/>
      <c r="AD135" s="1399"/>
      <c r="AE135" s="1399"/>
    </row>
    <row r="136" spans="1:31">
      <c r="A136" s="1487"/>
      <c r="B136" s="1488"/>
      <c r="C136" s="1489"/>
      <c r="D136" s="1490"/>
      <c r="E136" s="1487"/>
      <c r="F136" s="1488"/>
      <c r="G136" s="1489"/>
      <c r="H136" s="1490"/>
      <c r="I136" s="1487"/>
      <c r="J136" s="1488"/>
      <c r="K136" s="1489"/>
      <c r="L136" s="1490"/>
      <c r="M136" s="1487"/>
      <c r="N136" s="1488"/>
      <c r="O136" s="1489"/>
      <c r="P136" s="1490"/>
      <c r="Q136" s="1399"/>
      <c r="X136" s="1445" t="e">
        <f ca="1"/>
        <v>#NAME?</v>
      </c>
      <c r="Y136" s="1446" t="e">
        <f ca="1"/>
        <v>#NAME?</v>
      </c>
      <c r="Z136" s="1408"/>
      <c r="AB136" s="1399"/>
      <c r="AC136" s="1399"/>
      <c r="AD136" s="1399"/>
      <c r="AE136" s="1399"/>
    </row>
    <row r="137" spans="1:31">
      <c r="A137" s="1487"/>
      <c r="B137" s="1488"/>
      <c r="C137" s="1489"/>
      <c r="D137" s="1490"/>
      <c r="E137" s="1487"/>
      <c r="F137" s="1488"/>
      <c r="G137" s="1489"/>
      <c r="H137" s="1490"/>
      <c r="I137" s="1487"/>
      <c r="J137" s="1488"/>
      <c r="K137" s="1489"/>
      <c r="L137" s="1490"/>
      <c r="M137" s="1487"/>
      <c r="N137" s="1488"/>
      <c r="O137" s="1489"/>
      <c r="P137" s="1490"/>
      <c r="Q137" s="1399"/>
      <c r="X137" s="1445" t="e">
        <f ca="1"/>
        <v>#NAME?</v>
      </c>
      <c r="Y137" s="1446" t="e">
        <f ca="1"/>
        <v>#NAME?</v>
      </c>
      <c r="Z137" s="1408"/>
      <c r="AB137" s="1399"/>
      <c r="AC137" s="1399"/>
      <c r="AD137" s="1399"/>
      <c r="AE137" s="1399"/>
    </row>
    <row r="138" spans="1:31">
      <c r="A138" s="1487"/>
      <c r="B138" s="1488"/>
      <c r="C138" s="1489"/>
      <c r="D138" s="1490"/>
      <c r="E138" s="1487"/>
      <c r="F138" s="1488"/>
      <c r="G138" s="1489"/>
      <c r="H138" s="1490"/>
      <c r="I138" s="1487"/>
      <c r="J138" s="1488"/>
      <c r="K138" s="1489"/>
      <c r="L138" s="1490"/>
      <c r="M138" s="1487"/>
      <c r="N138" s="1488"/>
      <c r="O138" s="1489"/>
      <c r="P138" s="1490"/>
      <c r="Q138" s="1399"/>
      <c r="X138" s="1445" t="e">
        <f ca="1"/>
        <v>#NAME?</v>
      </c>
      <c r="Y138" s="1446" t="e">
        <f ca="1"/>
        <v>#NAME?</v>
      </c>
      <c r="Z138" s="1408"/>
      <c r="AB138" s="1399"/>
      <c r="AC138" s="1399"/>
      <c r="AD138" s="1399"/>
      <c r="AE138" s="1399"/>
    </row>
    <row r="139" spans="1:31">
      <c r="A139" s="1487"/>
      <c r="B139" s="1488"/>
      <c r="C139" s="1489"/>
      <c r="D139" s="1490"/>
      <c r="E139" s="1487"/>
      <c r="F139" s="1488"/>
      <c r="G139" s="1489"/>
      <c r="H139" s="1490"/>
      <c r="I139" s="1487"/>
      <c r="J139" s="1488"/>
      <c r="K139" s="1489"/>
      <c r="L139" s="1490"/>
      <c r="M139" s="1487"/>
      <c r="N139" s="1488"/>
      <c r="O139" s="1489"/>
      <c r="P139" s="1490"/>
      <c r="Q139" s="1399"/>
      <c r="X139" s="1445" t="e">
        <f ca="1"/>
        <v>#NAME?</v>
      </c>
      <c r="Y139" s="1446" t="e">
        <f ca="1"/>
        <v>#NAME?</v>
      </c>
      <c r="Z139" s="1408"/>
      <c r="AB139" s="1399"/>
      <c r="AC139" s="1399"/>
      <c r="AD139" s="1399"/>
      <c r="AE139" s="1399"/>
    </row>
    <row r="140" spans="1:31">
      <c r="A140" s="1487"/>
      <c r="B140" s="1488"/>
      <c r="C140" s="1489"/>
      <c r="D140" s="1490"/>
      <c r="E140" s="1487"/>
      <c r="F140" s="1488"/>
      <c r="G140" s="1489"/>
      <c r="H140" s="1490"/>
      <c r="I140" s="1487"/>
      <c r="J140" s="1488"/>
      <c r="K140" s="1489"/>
      <c r="L140" s="1490"/>
      <c r="M140" s="1487"/>
      <c r="N140" s="1488"/>
      <c r="O140" s="1489"/>
      <c r="P140" s="1490"/>
      <c r="Q140" s="1399"/>
      <c r="X140" s="1445" t="e">
        <f ca="1"/>
        <v>#NAME?</v>
      </c>
      <c r="Y140" s="1446" t="e">
        <f ca="1"/>
        <v>#NAME?</v>
      </c>
      <c r="Z140" s="1408"/>
      <c r="AB140" s="1399"/>
      <c r="AC140" s="1399"/>
      <c r="AD140" s="1399"/>
      <c r="AE140" s="1399"/>
    </row>
    <row r="141" spans="1:31">
      <c r="A141" s="1487"/>
      <c r="B141" s="1488"/>
      <c r="C141" s="1489"/>
      <c r="D141" s="1490"/>
      <c r="E141" s="1487"/>
      <c r="F141" s="1488"/>
      <c r="G141" s="1489"/>
      <c r="H141" s="1490"/>
      <c r="I141" s="1487"/>
      <c r="J141" s="1488"/>
      <c r="K141" s="1489"/>
      <c r="L141" s="1490"/>
      <c r="M141" s="1487"/>
      <c r="N141" s="1488"/>
      <c r="O141" s="1489"/>
      <c r="P141" s="1490"/>
      <c r="Q141" s="1399"/>
      <c r="X141" s="1445" t="e">
        <f ca="1"/>
        <v>#NAME?</v>
      </c>
      <c r="Y141" s="1446" t="e">
        <f ca="1"/>
        <v>#NAME?</v>
      </c>
      <c r="Z141" s="1408"/>
      <c r="AB141" s="1399"/>
      <c r="AC141" s="1399"/>
      <c r="AD141" s="1399"/>
      <c r="AE141" s="1399"/>
    </row>
    <row r="142" spans="1:31">
      <c r="A142" s="1487"/>
      <c r="B142" s="1488"/>
      <c r="C142" s="1489"/>
      <c r="D142" s="1490"/>
      <c r="E142" s="1487"/>
      <c r="F142" s="1488"/>
      <c r="G142" s="1489"/>
      <c r="H142" s="1490"/>
      <c r="I142" s="1487"/>
      <c r="J142" s="1488"/>
      <c r="K142" s="1489"/>
      <c r="L142" s="1490"/>
      <c r="M142" s="1487"/>
      <c r="N142" s="1488"/>
      <c r="O142" s="1489"/>
      <c r="P142" s="1490"/>
      <c r="Q142" s="1399"/>
      <c r="X142" s="1445" t="e">
        <f ca="1"/>
        <v>#NAME?</v>
      </c>
      <c r="Y142" s="1446" t="e">
        <f ca="1"/>
        <v>#NAME?</v>
      </c>
      <c r="Z142" s="1408"/>
      <c r="AB142" s="1399"/>
      <c r="AC142" s="1399"/>
      <c r="AD142" s="1399"/>
      <c r="AE142" s="1399"/>
    </row>
    <row r="143" spans="1:31">
      <c r="A143" s="1487"/>
      <c r="B143" s="1488"/>
      <c r="C143" s="1489"/>
      <c r="D143" s="1490"/>
      <c r="E143" s="1487"/>
      <c r="F143" s="1488"/>
      <c r="G143" s="1489"/>
      <c r="H143" s="1490"/>
      <c r="I143" s="1487"/>
      <c r="J143" s="1488"/>
      <c r="K143" s="1489"/>
      <c r="L143" s="1490"/>
      <c r="M143" s="1487"/>
      <c r="N143" s="1488"/>
      <c r="O143" s="1489"/>
      <c r="P143" s="1490"/>
      <c r="Q143" s="1399"/>
      <c r="X143" s="1445" t="e">
        <f ca="1"/>
        <v>#NAME?</v>
      </c>
      <c r="Y143" s="1446" t="e">
        <f ca="1"/>
        <v>#NAME?</v>
      </c>
      <c r="Z143" s="1408"/>
      <c r="AB143" s="1399"/>
      <c r="AC143" s="1399"/>
      <c r="AD143" s="1399"/>
      <c r="AE143" s="1399"/>
    </row>
    <row r="144" spans="1:31">
      <c r="A144" s="1487"/>
      <c r="B144" s="1488"/>
      <c r="C144" s="1489"/>
      <c r="D144" s="1490"/>
      <c r="E144" s="1487"/>
      <c r="F144" s="1488"/>
      <c r="G144" s="1489"/>
      <c r="H144" s="1490"/>
      <c r="I144" s="1487"/>
      <c r="J144" s="1488"/>
      <c r="K144" s="1489"/>
      <c r="L144" s="1490"/>
      <c r="M144" s="1487"/>
      <c r="N144" s="1488"/>
      <c r="O144" s="1489"/>
      <c r="P144" s="1490"/>
      <c r="Q144" s="1399"/>
      <c r="X144" s="1445" t="e">
        <f ca="1"/>
        <v>#NAME?</v>
      </c>
      <c r="Y144" s="1446" t="e">
        <f ca="1"/>
        <v>#NAME?</v>
      </c>
      <c r="Z144" s="1408"/>
      <c r="AB144" s="1399"/>
      <c r="AC144" s="1399"/>
      <c r="AD144" s="1399"/>
      <c r="AE144" s="1399"/>
    </row>
    <row r="145" spans="1:31">
      <c r="A145" s="1487"/>
      <c r="B145" s="1488"/>
      <c r="C145" s="1489"/>
      <c r="D145" s="1490"/>
      <c r="E145" s="1487"/>
      <c r="F145" s="1488"/>
      <c r="G145" s="1489"/>
      <c r="H145" s="1490"/>
      <c r="I145" s="1487"/>
      <c r="J145" s="1488"/>
      <c r="K145" s="1489"/>
      <c r="L145" s="1490"/>
      <c r="M145" s="1487"/>
      <c r="N145" s="1488"/>
      <c r="O145" s="1489"/>
      <c r="P145" s="1490"/>
      <c r="Q145" s="1399"/>
      <c r="X145" s="1445" t="e">
        <f ca="1"/>
        <v>#NAME?</v>
      </c>
      <c r="Y145" s="1446" t="e">
        <f ca="1"/>
        <v>#NAME?</v>
      </c>
      <c r="Z145" s="1408"/>
      <c r="AB145" s="1399"/>
      <c r="AC145" s="1399"/>
      <c r="AD145" s="1399"/>
      <c r="AE145" s="1399"/>
    </row>
    <row r="146" spans="1:31">
      <c r="A146" s="1487"/>
      <c r="B146" s="1488"/>
      <c r="C146" s="1489"/>
      <c r="D146" s="1490"/>
      <c r="E146" s="1487"/>
      <c r="F146" s="1488"/>
      <c r="G146" s="1489"/>
      <c r="H146" s="1490"/>
      <c r="I146" s="1487"/>
      <c r="J146" s="1488"/>
      <c r="K146" s="1489"/>
      <c r="L146" s="1490"/>
      <c r="M146" s="1487"/>
      <c r="N146" s="1488"/>
      <c r="O146" s="1489"/>
      <c r="P146" s="1490"/>
      <c r="Q146" s="1399"/>
      <c r="X146" s="1445" t="e">
        <f ca="1"/>
        <v>#NAME?</v>
      </c>
      <c r="Y146" s="1446" t="e">
        <f ca="1"/>
        <v>#NAME?</v>
      </c>
      <c r="Z146" s="1408"/>
      <c r="AB146" s="1399"/>
      <c r="AC146" s="1399"/>
      <c r="AD146" s="1399"/>
      <c r="AE146" s="1399"/>
    </row>
    <row r="147" spans="1:31">
      <c r="A147" s="1487"/>
      <c r="B147" s="1488"/>
      <c r="C147" s="1489"/>
      <c r="D147" s="1490"/>
      <c r="E147" s="1487"/>
      <c r="F147" s="1488"/>
      <c r="G147" s="1489"/>
      <c r="H147" s="1490"/>
      <c r="I147" s="1487"/>
      <c r="J147" s="1488"/>
      <c r="K147" s="1489"/>
      <c r="L147" s="1490"/>
      <c r="M147" s="1487"/>
      <c r="N147" s="1488"/>
      <c r="O147" s="1489"/>
      <c r="P147" s="1490"/>
      <c r="Q147" s="1399"/>
      <c r="X147" s="1445" t="e">
        <f ca="1"/>
        <v>#NAME?</v>
      </c>
      <c r="Y147" s="1446" t="e">
        <f ca="1"/>
        <v>#NAME?</v>
      </c>
      <c r="Z147" s="1408"/>
      <c r="AB147" s="1399"/>
      <c r="AC147" s="1399"/>
      <c r="AD147" s="1399"/>
      <c r="AE147" s="1399"/>
    </row>
    <row r="148" spans="1:31">
      <c r="A148" s="1487"/>
      <c r="B148" s="1488"/>
      <c r="C148" s="1489"/>
      <c r="D148" s="1490"/>
      <c r="E148" s="1487"/>
      <c r="F148" s="1488"/>
      <c r="G148" s="1489"/>
      <c r="H148" s="1490"/>
      <c r="I148" s="1487"/>
      <c r="J148" s="1488"/>
      <c r="K148" s="1489"/>
      <c r="L148" s="1490"/>
      <c r="M148" s="1487"/>
      <c r="N148" s="1488"/>
      <c r="O148" s="1489"/>
      <c r="P148" s="1490"/>
      <c r="Q148" s="1399"/>
      <c r="X148" s="1445" t="e">
        <f ca="1"/>
        <v>#NAME?</v>
      </c>
      <c r="Y148" s="1446" t="e">
        <f ca="1"/>
        <v>#NAME?</v>
      </c>
      <c r="Z148" s="1408"/>
      <c r="AB148" s="1399"/>
      <c r="AC148" s="1399"/>
      <c r="AD148" s="1399"/>
      <c r="AE148" s="1399"/>
    </row>
    <row r="149" spans="1:31">
      <c r="A149" s="1487"/>
      <c r="B149" s="1488"/>
      <c r="C149" s="1489"/>
      <c r="D149" s="1490"/>
      <c r="E149" s="1487"/>
      <c r="F149" s="1488"/>
      <c r="G149" s="1489"/>
      <c r="H149" s="1490"/>
      <c r="I149" s="1487"/>
      <c r="J149" s="1488"/>
      <c r="K149" s="1489"/>
      <c r="L149" s="1490"/>
      <c r="M149" s="1487"/>
      <c r="N149" s="1488"/>
      <c r="O149" s="1489"/>
      <c r="P149" s="1490"/>
      <c r="Q149" s="1399"/>
      <c r="X149" s="1445" t="e">
        <f ca="1"/>
        <v>#NAME?</v>
      </c>
      <c r="Y149" s="1446" t="e">
        <f ca="1"/>
        <v>#NAME?</v>
      </c>
      <c r="Z149" s="1408"/>
      <c r="AB149" s="1399"/>
      <c r="AC149" s="1399"/>
      <c r="AD149" s="1399"/>
      <c r="AE149" s="1399"/>
    </row>
    <row r="150" spans="1:31">
      <c r="A150" s="1487"/>
      <c r="B150" s="1488"/>
      <c r="C150" s="1489"/>
      <c r="D150" s="1490"/>
      <c r="E150" s="1487"/>
      <c r="F150" s="1488"/>
      <c r="G150" s="1489"/>
      <c r="H150" s="1490"/>
      <c r="I150" s="1487"/>
      <c r="J150" s="1488"/>
      <c r="K150" s="1489"/>
      <c r="L150" s="1490"/>
      <c r="M150" s="1487"/>
      <c r="N150" s="1488"/>
      <c r="O150" s="1489"/>
      <c r="P150" s="1490"/>
      <c r="Q150" s="1399"/>
      <c r="X150" s="1445" t="e">
        <f ca="1"/>
        <v>#NAME?</v>
      </c>
      <c r="Y150" s="1446" t="e">
        <f ca="1"/>
        <v>#NAME?</v>
      </c>
      <c r="Z150" s="1408"/>
      <c r="AB150" s="1399"/>
      <c r="AC150" s="1399"/>
      <c r="AD150" s="1399"/>
      <c r="AE150" s="1399"/>
    </row>
    <row r="151" spans="1:31">
      <c r="A151" s="1487"/>
      <c r="B151" s="1488"/>
      <c r="C151" s="1489"/>
      <c r="D151" s="1490"/>
      <c r="E151" s="1487"/>
      <c r="F151" s="1488"/>
      <c r="G151" s="1489"/>
      <c r="H151" s="1490"/>
      <c r="I151" s="1487"/>
      <c r="J151" s="1488"/>
      <c r="K151" s="1489"/>
      <c r="L151" s="1490"/>
      <c r="M151" s="1487"/>
      <c r="N151" s="1488"/>
      <c r="O151" s="1489"/>
      <c r="P151" s="1490"/>
      <c r="Q151" s="1399"/>
      <c r="X151" s="1445" t="e">
        <f ca="1"/>
        <v>#NAME?</v>
      </c>
      <c r="Y151" s="1446" t="e">
        <f ca="1"/>
        <v>#NAME?</v>
      </c>
      <c r="Z151" s="1408"/>
      <c r="AB151" s="1399"/>
      <c r="AC151" s="1399"/>
      <c r="AD151" s="1399"/>
      <c r="AE151" s="1399"/>
    </row>
    <row r="152" spans="1:31">
      <c r="A152" s="1487"/>
      <c r="B152" s="1488"/>
      <c r="C152" s="1489"/>
      <c r="D152" s="1490"/>
      <c r="E152" s="1487"/>
      <c r="F152" s="1488"/>
      <c r="G152" s="1489"/>
      <c r="H152" s="1490"/>
      <c r="I152" s="1487"/>
      <c r="J152" s="1488"/>
      <c r="K152" s="1489"/>
      <c r="L152" s="1490"/>
      <c r="M152" s="1487"/>
      <c r="N152" s="1488"/>
      <c r="O152" s="1489"/>
      <c r="P152" s="1490"/>
      <c r="Q152" s="1399"/>
      <c r="X152" s="1445" t="e">
        <f ca="1"/>
        <v>#NAME?</v>
      </c>
      <c r="Y152" s="1446" t="e">
        <f ca="1"/>
        <v>#NAME?</v>
      </c>
      <c r="Z152" s="1408"/>
      <c r="AB152" s="1399"/>
      <c r="AC152" s="1399"/>
      <c r="AD152" s="1399"/>
      <c r="AE152" s="1399"/>
    </row>
    <row r="153" spans="1:31">
      <c r="A153" s="1487"/>
      <c r="B153" s="1488"/>
      <c r="C153" s="1489"/>
      <c r="D153" s="1490"/>
      <c r="E153" s="1487"/>
      <c r="F153" s="1488"/>
      <c r="G153" s="1489"/>
      <c r="H153" s="1490"/>
      <c r="I153" s="1487"/>
      <c r="J153" s="1488"/>
      <c r="K153" s="1489"/>
      <c r="L153" s="1490"/>
      <c r="M153" s="1487"/>
      <c r="N153" s="1488"/>
      <c r="O153" s="1489"/>
      <c r="P153" s="1490"/>
      <c r="Q153" s="1399"/>
      <c r="X153" s="1445" t="e">
        <f ca="1"/>
        <v>#NAME?</v>
      </c>
      <c r="Y153" s="1446" t="e">
        <f ca="1"/>
        <v>#NAME?</v>
      </c>
      <c r="Z153" s="1408"/>
      <c r="AB153" s="1399"/>
      <c r="AC153" s="1399"/>
      <c r="AD153" s="1399"/>
      <c r="AE153" s="1399"/>
    </row>
    <row r="154" spans="1:31">
      <c r="A154" s="1487"/>
      <c r="B154" s="1488"/>
      <c r="C154" s="1489"/>
      <c r="D154" s="1490"/>
      <c r="E154" s="1487"/>
      <c r="F154" s="1488"/>
      <c r="G154" s="1489"/>
      <c r="H154" s="1490"/>
      <c r="I154" s="1487"/>
      <c r="J154" s="1488"/>
      <c r="K154" s="1489"/>
      <c r="L154" s="1490"/>
      <c r="M154" s="1487"/>
      <c r="N154" s="1488"/>
      <c r="O154" s="1489"/>
      <c r="P154" s="1490"/>
      <c r="Q154" s="1399"/>
      <c r="X154" s="1445" t="e">
        <f ca="1"/>
        <v>#NAME?</v>
      </c>
      <c r="Y154" s="1446" t="e">
        <f ca="1"/>
        <v>#NAME?</v>
      </c>
      <c r="Z154" s="1408"/>
      <c r="AB154" s="1399"/>
      <c r="AC154" s="1399"/>
      <c r="AD154" s="1399"/>
      <c r="AE154" s="1399"/>
    </row>
    <row r="155" spans="1:31">
      <c r="A155" s="1487"/>
      <c r="B155" s="1488"/>
      <c r="C155" s="1489"/>
      <c r="D155" s="1490"/>
      <c r="E155" s="1487"/>
      <c r="F155" s="1488"/>
      <c r="G155" s="1489"/>
      <c r="H155" s="1490"/>
      <c r="I155" s="1487"/>
      <c r="J155" s="1488"/>
      <c r="K155" s="1489"/>
      <c r="L155" s="1490"/>
      <c r="M155" s="1487"/>
      <c r="N155" s="1488"/>
      <c r="O155" s="1489"/>
      <c r="P155" s="1490"/>
      <c r="Q155" s="1399"/>
      <c r="X155" s="1445" t="e">
        <f ca="1"/>
        <v>#NAME?</v>
      </c>
      <c r="Y155" s="1446" t="e">
        <f ca="1"/>
        <v>#NAME?</v>
      </c>
      <c r="Z155" s="1408"/>
      <c r="AB155" s="1399"/>
      <c r="AC155" s="1399"/>
      <c r="AD155" s="1399"/>
      <c r="AE155" s="1399"/>
    </row>
    <row r="156" spans="1:31">
      <c r="A156" s="1487"/>
      <c r="B156" s="1488"/>
      <c r="C156" s="1489"/>
      <c r="D156" s="1490"/>
      <c r="E156" s="1487"/>
      <c r="F156" s="1488"/>
      <c r="G156" s="1489"/>
      <c r="H156" s="1490"/>
      <c r="I156" s="1487"/>
      <c r="J156" s="1488"/>
      <c r="K156" s="1489"/>
      <c r="L156" s="1490"/>
      <c r="M156" s="1487"/>
      <c r="N156" s="1488"/>
      <c r="O156" s="1489"/>
      <c r="P156" s="1490"/>
      <c r="Q156" s="1399"/>
      <c r="X156" s="1445" t="e">
        <f ca="1"/>
        <v>#NAME?</v>
      </c>
      <c r="Y156" s="1446" t="e">
        <f ca="1"/>
        <v>#NAME?</v>
      </c>
      <c r="Z156" s="1408"/>
      <c r="AB156" s="1399"/>
      <c r="AC156" s="1399"/>
      <c r="AD156" s="1399"/>
      <c r="AE156" s="1399"/>
    </row>
    <row r="157" spans="1:31">
      <c r="A157" s="1487"/>
      <c r="B157" s="1488"/>
      <c r="C157" s="1489"/>
      <c r="D157" s="1490"/>
      <c r="E157" s="1487"/>
      <c r="F157" s="1488"/>
      <c r="G157" s="1489"/>
      <c r="H157" s="1490"/>
      <c r="I157" s="1487"/>
      <c r="J157" s="1488"/>
      <c r="K157" s="1489"/>
      <c r="L157" s="1490"/>
      <c r="M157" s="1487"/>
      <c r="N157" s="1488"/>
      <c r="O157" s="1489"/>
      <c r="P157" s="1490"/>
      <c r="Q157" s="1399"/>
      <c r="X157" s="1445" t="e">
        <f ca="1"/>
        <v>#NAME?</v>
      </c>
      <c r="Y157" s="1446" t="e">
        <f ca="1"/>
        <v>#NAME?</v>
      </c>
      <c r="Z157" s="1408"/>
      <c r="AB157" s="1399"/>
      <c r="AC157" s="1399"/>
      <c r="AD157" s="1399"/>
      <c r="AE157" s="1399"/>
    </row>
    <row r="158" spans="1:31">
      <c r="A158" s="1487"/>
      <c r="B158" s="1488"/>
      <c r="C158" s="1489"/>
      <c r="D158" s="1490"/>
      <c r="E158" s="1487"/>
      <c r="F158" s="1488"/>
      <c r="G158" s="1489"/>
      <c r="H158" s="1490"/>
      <c r="I158" s="1487"/>
      <c r="J158" s="1488"/>
      <c r="K158" s="1489"/>
      <c r="L158" s="1490"/>
      <c r="M158" s="1487"/>
      <c r="N158" s="1488"/>
      <c r="O158" s="1489"/>
      <c r="P158" s="1490"/>
      <c r="Q158" s="1399"/>
      <c r="X158" s="1445" t="e">
        <f ca="1"/>
        <v>#NAME?</v>
      </c>
      <c r="Y158" s="1446" t="e">
        <f ca="1"/>
        <v>#NAME?</v>
      </c>
      <c r="Z158" s="1408"/>
      <c r="AB158" s="1399"/>
      <c r="AC158" s="1399"/>
      <c r="AD158" s="1399"/>
      <c r="AE158" s="1399"/>
    </row>
    <row r="159" spans="1:31">
      <c r="A159" s="1487"/>
      <c r="B159" s="1488"/>
      <c r="C159" s="1489"/>
      <c r="D159" s="1490"/>
      <c r="E159" s="1487"/>
      <c r="F159" s="1488"/>
      <c r="G159" s="1489"/>
      <c r="H159" s="1490"/>
      <c r="I159" s="1487"/>
      <c r="J159" s="1488"/>
      <c r="K159" s="1489"/>
      <c r="L159" s="1490"/>
      <c r="M159" s="1487"/>
      <c r="N159" s="1488"/>
      <c r="O159" s="1489"/>
      <c r="P159" s="1490"/>
      <c r="Q159" s="1399"/>
      <c r="X159" s="1445" t="e">
        <f ca="1"/>
        <v>#NAME?</v>
      </c>
      <c r="Y159" s="1446" t="e">
        <f ca="1"/>
        <v>#NAME?</v>
      </c>
      <c r="Z159" s="1408"/>
      <c r="AB159" s="1399"/>
      <c r="AC159" s="1399"/>
      <c r="AD159" s="1399"/>
      <c r="AE159" s="1399"/>
    </row>
    <row r="160" spans="1:31">
      <c r="A160" s="1487"/>
      <c r="B160" s="1488"/>
      <c r="C160" s="1489"/>
      <c r="D160" s="1490"/>
      <c r="E160" s="1487"/>
      <c r="F160" s="1488"/>
      <c r="G160" s="1489"/>
      <c r="H160" s="1490"/>
      <c r="I160" s="1487"/>
      <c r="J160" s="1488"/>
      <c r="K160" s="1489"/>
      <c r="L160" s="1490"/>
      <c r="M160" s="1487"/>
      <c r="N160" s="1488"/>
      <c r="O160" s="1489"/>
      <c r="P160" s="1490"/>
      <c r="Q160" s="1399"/>
      <c r="X160" s="1445" t="e">
        <f ca="1"/>
        <v>#NAME?</v>
      </c>
      <c r="Y160" s="1446" t="e">
        <f ca="1"/>
        <v>#NAME?</v>
      </c>
      <c r="Z160" s="1408"/>
      <c r="AB160" s="1399"/>
      <c r="AC160" s="1399"/>
      <c r="AD160" s="1399"/>
      <c r="AE160" s="1399"/>
    </row>
    <row r="161" spans="1:31">
      <c r="A161" s="1487"/>
      <c r="B161" s="1488"/>
      <c r="C161" s="1489"/>
      <c r="D161" s="1490"/>
      <c r="E161" s="1487"/>
      <c r="F161" s="1488"/>
      <c r="G161" s="1489"/>
      <c r="H161" s="1490"/>
      <c r="I161" s="1487"/>
      <c r="J161" s="1488"/>
      <c r="K161" s="1489"/>
      <c r="L161" s="1490"/>
      <c r="M161" s="1487"/>
      <c r="N161" s="1488"/>
      <c r="O161" s="1489"/>
      <c r="P161" s="1490"/>
      <c r="Q161" s="1399"/>
      <c r="X161" s="1445" t="e">
        <f ca="1"/>
        <v>#NAME?</v>
      </c>
      <c r="Y161" s="1446" t="e">
        <f ca="1"/>
        <v>#NAME?</v>
      </c>
      <c r="Z161" s="1408"/>
      <c r="AB161" s="1399"/>
      <c r="AC161" s="1399"/>
      <c r="AD161" s="1399"/>
      <c r="AE161" s="1399"/>
    </row>
    <row r="162" spans="1:31">
      <c r="A162" s="1487"/>
      <c r="B162" s="1488"/>
      <c r="C162" s="1489"/>
      <c r="D162" s="1490"/>
      <c r="E162" s="1487"/>
      <c r="F162" s="1488"/>
      <c r="G162" s="1489"/>
      <c r="H162" s="1490"/>
      <c r="I162" s="1487"/>
      <c r="J162" s="1488"/>
      <c r="K162" s="1489"/>
      <c r="L162" s="1490"/>
      <c r="M162" s="1487"/>
      <c r="N162" s="1488"/>
      <c r="O162" s="1489"/>
      <c r="P162" s="1490"/>
      <c r="Q162" s="1399"/>
      <c r="X162" s="1445" t="e">
        <f ca="1"/>
        <v>#NAME?</v>
      </c>
      <c r="Y162" s="1446" t="e">
        <f ca="1"/>
        <v>#NAME?</v>
      </c>
      <c r="Z162" s="1408"/>
      <c r="AB162" s="1399"/>
      <c r="AC162" s="1399"/>
      <c r="AD162" s="1399"/>
      <c r="AE162" s="1399"/>
    </row>
    <row r="163" spans="1:31">
      <c r="A163" s="1487"/>
      <c r="B163" s="1488"/>
      <c r="C163" s="1489"/>
      <c r="D163" s="1490"/>
      <c r="E163" s="1487"/>
      <c r="F163" s="1488"/>
      <c r="G163" s="1489"/>
      <c r="H163" s="1490"/>
      <c r="I163" s="1487"/>
      <c r="J163" s="1488"/>
      <c r="K163" s="1489"/>
      <c r="L163" s="1490"/>
      <c r="M163" s="1487"/>
      <c r="N163" s="1488"/>
      <c r="O163" s="1489"/>
      <c r="P163" s="1490"/>
      <c r="Q163" s="1399"/>
      <c r="X163" s="1445" t="e">
        <f ca="1"/>
        <v>#NAME?</v>
      </c>
      <c r="Y163" s="1446" t="e">
        <f ca="1"/>
        <v>#NAME?</v>
      </c>
      <c r="Z163" s="1408"/>
      <c r="AB163" s="1399"/>
      <c r="AC163" s="1399"/>
      <c r="AD163" s="1399"/>
      <c r="AE163" s="1399"/>
    </row>
    <row r="164" spans="1:31">
      <c r="A164" s="1487"/>
      <c r="B164" s="1488"/>
      <c r="C164" s="1489"/>
      <c r="D164" s="1490"/>
      <c r="E164" s="1487"/>
      <c r="F164" s="1488"/>
      <c r="G164" s="1489"/>
      <c r="H164" s="1490"/>
      <c r="I164" s="1487"/>
      <c r="J164" s="1488"/>
      <c r="K164" s="1489"/>
      <c r="L164" s="1490"/>
      <c r="M164" s="1487"/>
      <c r="N164" s="1488"/>
      <c r="O164" s="1489"/>
      <c r="P164" s="1490"/>
      <c r="Q164" s="1399"/>
      <c r="X164" s="1445" t="e">
        <f ca="1"/>
        <v>#NAME?</v>
      </c>
      <c r="Y164" s="1446" t="e">
        <f ca="1"/>
        <v>#NAME?</v>
      </c>
      <c r="Z164" s="1408"/>
      <c r="AB164" s="1399"/>
      <c r="AC164" s="1399"/>
      <c r="AD164" s="1399"/>
      <c r="AE164" s="1399"/>
    </row>
    <row r="165" spans="1:31">
      <c r="A165" s="1487"/>
      <c r="B165" s="1488"/>
      <c r="C165" s="1489"/>
      <c r="D165" s="1490"/>
      <c r="E165" s="1487"/>
      <c r="F165" s="1488"/>
      <c r="G165" s="1489"/>
      <c r="H165" s="1490"/>
      <c r="I165" s="1487"/>
      <c r="J165" s="1488"/>
      <c r="K165" s="1489"/>
      <c r="L165" s="1490"/>
      <c r="M165" s="1487"/>
      <c r="N165" s="1488"/>
      <c r="O165" s="1489"/>
      <c r="P165" s="1490"/>
      <c r="Q165" s="1399"/>
      <c r="X165" s="1445" t="e">
        <f ca="1"/>
        <v>#NAME?</v>
      </c>
      <c r="Y165" s="1446" t="e">
        <f ca="1"/>
        <v>#NAME?</v>
      </c>
      <c r="Z165" s="1408"/>
      <c r="AB165" s="1399"/>
      <c r="AC165" s="1399"/>
      <c r="AD165" s="1399"/>
      <c r="AE165" s="1399"/>
    </row>
    <row r="166" spans="1:31">
      <c r="A166" s="1487"/>
      <c r="B166" s="1488"/>
      <c r="C166" s="1489"/>
      <c r="D166" s="1490"/>
      <c r="E166" s="1487"/>
      <c r="F166" s="1488"/>
      <c r="G166" s="1489"/>
      <c r="H166" s="1490"/>
      <c r="I166" s="1487"/>
      <c r="J166" s="1488"/>
      <c r="K166" s="1489"/>
      <c r="L166" s="1490"/>
      <c r="M166" s="1487"/>
      <c r="N166" s="1488"/>
      <c r="O166" s="1489"/>
      <c r="P166" s="1490"/>
      <c r="Q166" s="1399"/>
      <c r="X166" s="1445" t="e">
        <f ca="1"/>
        <v>#NAME?</v>
      </c>
      <c r="Y166" s="1446" t="e">
        <f ca="1"/>
        <v>#NAME?</v>
      </c>
      <c r="Z166" s="1408"/>
      <c r="AB166" s="1399"/>
      <c r="AC166" s="1399"/>
      <c r="AD166" s="1399"/>
      <c r="AE166" s="1399"/>
    </row>
    <row r="167" spans="1:31">
      <c r="A167" s="1487"/>
      <c r="B167" s="1488"/>
      <c r="C167" s="1489"/>
      <c r="D167" s="1490"/>
      <c r="E167" s="1487"/>
      <c r="F167" s="1488"/>
      <c r="G167" s="1489"/>
      <c r="H167" s="1490"/>
      <c r="I167" s="1487"/>
      <c r="J167" s="1488"/>
      <c r="K167" s="1489"/>
      <c r="L167" s="1490"/>
      <c r="M167" s="1487"/>
      <c r="N167" s="1488"/>
      <c r="O167" s="1489"/>
      <c r="P167" s="1490"/>
      <c r="Q167" s="1399"/>
      <c r="X167" s="1445" t="e">
        <f ca="1"/>
        <v>#NAME?</v>
      </c>
      <c r="Y167" s="1446" t="e">
        <f ca="1"/>
        <v>#NAME?</v>
      </c>
      <c r="Z167" s="1408"/>
      <c r="AB167" s="1399"/>
      <c r="AC167" s="1399"/>
      <c r="AD167" s="1399"/>
      <c r="AE167" s="1399"/>
    </row>
    <row r="168" spans="1:31">
      <c r="A168" s="1487"/>
      <c r="B168" s="1488"/>
      <c r="C168" s="1489"/>
      <c r="D168" s="1490"/>
      <c r="E168" s="1487"/>
      <c r="F168" s="1488"/>
      <c r="G168" s="1489"/>
      <c r="H168" s="1490"/>
      <c r="I168" s="1487"/>
      <c r="J168" s="1488"/>
      <c r="K168" s="1489"/>
      <c r="L168" s="1490"/>
      <c r="M168" s="1487"/>
      <c r="N168" s="1488"/>
      <c r="O168" s="1489"/>
      <c r="P168" s="1490"/>
      <c r="Q168" s="1399"/>
      <c r="X168" s="1445" t="e">
        <f ca="1"/>
        <v>#NAME?</v>
      </c>
      <c r="Y168" s="1446" t="e">
        <f ca="1"/>
        <v>#NAME?</v>
      </c>
      <c r="Z168" s="1408"/>
      <c r="AB168" s="1399"/>
      <c r="AC168" s="1399"/>
      <c r="AD168" s="1399"/>
      <c r="AE168" s="1399"/>
    </row>
    <row r="169" spans="1:31">
      <c r="A169" s="1487"/>
      <c r="B169" s="1488"/>
      <c r="C169" s="1489"/>
      <c r="D169" s="1490"/>
      <c r="E169" s="1487"/>
      <c r="F169" s="1488"/>
      <c r="G169" s="1489"/>
      <c r="H169" s="1490"/>
      <c r="I169" s="1487"/>
      <c r="J169" s="1488"/>
      <c r="K169" s="1489"/>
      <c r="L169" s="1490"/>
      <c r="M169" s="1487"/>
      <c r="N169" s="1488"/>
      <c r="O169" s="1489"/>
      <c r="P169" s="1490"/>
      <c r="Q169" s="1399"/>
      <c r="X169" s="1445" t="e">
        <f ca="1"/>
        <v>#NAME?</v>
      </c>
      <c r="Y169" s="1446" t="e">
        <f ca="1"/>
        <v>#NAME?</v>
      </c>
      <c r="Z169" s="1408"/>
      <c r="AB169" s="1399"/>
      <c r="AC169" s="1399"/>
      <c r="AD169" s="1399"/>
      <c r="AE169" s="1399"/>
    </row>
    <row r="170" spans="1:31">
      <c r="A170" s="1487"/>
      <c r="B170" s="1488"/>
      <c r="C170" s="1489"/>
      <c r="D170" s="1490"/>
      <c r="E170" s="1487"/>
      <c r="F170" s="1488"/>
      <c r="G170" s="1489"/>
      <c r="H170" s="1490"/>
      <c r="I170" s="1487"/>
      <c r="J170" s="1488"/>
      <c r="K170" s="1489"/>
      <c r="L170" s="1490"/>
      <c r="M170" s="1487"/>
      <c r="N170" s="1488"/>
      <c r="O170" s="1489"/>
      <c r="P170" s="1490"/>
      <c r="Q170" s="1399"/>
      <c r="X170" s="1445" t="e">
        <f ca="1"/>
        <v>#NAME?</v>
      </c>
      <c r="Y170" s="1446" t="e">
        <f ca="1"/>
        <v>#NAME?</v>
      </c>
      <c r="Z170" s="1408"/>
      <c r="AB170" s="1399"/>
      <c r="AC170" s="1399"/>
      <c r="AD170" s="1399"/>
      <c r="AE170" s="1399"/>
    </row>
    <row r="171" spans="1:31">
      <c r="A171" s="1487"/>
      <c r="B171" s="1488"/>
      <c r="C171" s="1489"/>
      <c r="D171" s="1490"/>
      <c r="E171" s="1487"/>
      <c r="F171" s="1488"/>
      <c r="G171" s="1489"/>
      <c r="H171" s="1490"/>
      <c r="I171" s="1487"/>
      <c r="J171" s="1488"/>
      <c r="K171" s="1489"/>
      <c r="L171" s="1490"/>
      <c r="M171" s="1487"/>
      <c r="N171" s="1488"/>
      <c r="O171" s="1489"/>
      <c r="P171" s="1490"/>
      <c r="Q171" s="1399"/>
      <c r="X171" s="1445" t="e">
        <f ca="1"/>
        <v>#NAME?</v>
      </c>
      <c r="Y171" s="1446" t="e">
        <f ca="1"/>
        <v>#NAME?</v>
      </c>
      <c r="Z171" s="1408"/>
      <c r="AB171" s="1399"/>
      <c r="AC171" s="1399"/>
      <c r="AD171" s="1399"/>
      <c r="AE171" s="1399"/>
    </row>
    <row r="172" spans="1:31">
      <c r="A172" s="1487"/>
      <c r="B172" s="1488"/>
      <c r="C172" s="1489"/>
      <c r="D172" s="1490"/>
      <c r="E172" s="1487"/>
      <c r="F172" s="1488"/>
      <c r="G172" s="1489"/>
      <c r="H172" s="1490"/>
      <c r="I172" s="1487"/>
      <c r="J172" s="1488"/>
      <c r="K172" s="1489"/>
      <c r="L172" s="1490"/>
      <c r="M172" s="1487"/>
      <c r="N172" s="1488"/>
      <c r="O172" s="1489"/>
      <c r="P172" s="1490"/>
      <c r="Q172" s="1399"/>
      <c r="X172" s="1445" t="e">
        <f ca="1"/>
        <v>#NAME?</v>
      </c>
      <c r="Y172" s="1446" t="e">
        <f ca="1"/>
        <v>#NAME?</v>
      </c>
      <c r="Z172" s="1408"/>
      <c r="AB172" s="1399"/>
      <c r="AC172" s="1399"/>
      <c r="AD172" s="1399"/>
      <c r="AE172" s="1399"/>
    </row>
    <row r="173" spans="1:31">
      <c r="A173" s="1487"/>
      <c r="B173" s="1488"/>
      <c r="C173" s="1489"/>
      <c r="D173" s="1490"/>
      <c r="E173" s="1487"/>
      <c r="F173" s="1488"/>
      <c r="G173" s="1489"/>
      <c r="H173" s="1490"/>
      <c r="I173" s="1487"/>
      <c r="J173" s="1488"/>
      <c r="K173" s="1489"/>
      <c r="L173" s="1490"/>
      <c r="M173" s="1487"/>
      <c r="N173" s="1488"/>
      <c r="O173" s="1489"/>
      <c r="P173" s="1490"/>
      <c r="Q173" s="1399"/>
      <c r="X173" s="1445" t="e">
        <f ca="1"/>
        <v>#NAME?</v>
      </c>
      <c r="Y173" s="1446" t="e">
        <f ca="1"/>
        <v>#NAME?</v>
      </c>
      <c r="Z173" s="1408"/>
      <c r="AB173" s="1399"/>
      <c r="AC173" s="1399"/>
      <c r="AD173" s="1399"/>
      <c r="AE173" s="1399"/>
    </row>
    <row r="174" spans="1:31">
      <c r="A174" s="1487"/>
      <c r="B174" s="1488"/>
      <c r="C174" s="1489"/>
      <c r="D174" s="1490"/>
      <c r="E174" s="1487"/>
      <c r="F174" s="1488"/>
      <c r="G174" s="1489"/>
      <c r="H174" s="1490"/>
      <c r="I174" s="1487"/>
      <c r="J174" s="1488"/>
      <c r="K174" s="1489"/>
      <c r="L174" s="1490"/>
      <c r="M174" s="1487"/>
      <c r="N174" s="1488"/>
      <c r="O174" s="1489"/>
      <c r="P174" s="1490"/>
      <c r="Q174" s="1399"/>
      <c r="X174" s="1445" t="e">
        <f ca="1"/>
        <v>#NAME?</v>
      </c>
      <c r="Y174" s="1446" t="e">
        <f ca="1"/>
        <v>#NAME?</v>
      </c>
      <c r="Z174" s="1408"/>
      <c r="AB174" s="1399"/>
      <c r="AC174" s="1399"/>
      <c r="AD174" s="1399"/>
      <c r="AE174" s="1399"/>
    </row>
    <row r="175" spans="1:31">
      <c r="A175" s="1487"/>
      <c r="B175" s="1488"/>
      <c r="C175" s="1489"/>
      <c r="D175" s="1490"/>
      <c r="E175" s="1487"/>
      <c r="F175" s="1488"/>
      <c r="G175" s="1489"/>
      <c r="H175" s="1490"/>
      <c r="I175" s="1487"/>
      <c r="J175" s="1488"/>
      <c r="K175" s="1489"/>
      <c r="L175" s="1490"/>
      <c r="M175" s="1487"/>
      <c r="N175" s="1488"/>
      <c r="O175" s="1489"/>
      <c r="P175" s="1490"/>
      <c r="Q175" s="1399"/>
      <c r="X175" s="1445" t="e">
        <f ca="1"/>
        <v>#NAME?</v>
      </c>
      <c r="Y175" s="1446" t="e">
        <f ca="1"/>
        <v>#NAME?</v>
      </c>
      <c r="Z175" s="1408"/>
      <c r="AB175" s="1399"/>
      <c r="AC175" s="1399"/>
      <c r="AD175" s="1399"/>
      <c r="AE175" s="1399"/>
    </row>
    <row r="176" spans="1:31">
      <c r="A176" s="1487"/>
      <c r="B176" s="1488"/>
      <c r="C176" s="1489"/>
      <c r="D176" s="1490"/>
      <c r="E176" s="1487"/>
      <c r="F176" s="1488"/>
      <c r="G176" s="1489"/>
      <c r="H176" s="1490"/>
      <c r="I176" s="1487"/>
      <c r="J176" s="1488"/>
      <c r="K176" s="1489"/>
      <c r="L176" s="1490"/>
      <c r="M176" s="1487"/>
      <c r="N176" s="1488"/>
      <c r="O176" s="1489"/>
      <c r="P176" s="1490"/>
      <c r="Q176" s="1399"/>
      <c r="X176" s="1445" t="e">
        <f ca="1"/>
        <v>#NAME?</v>
      </c>
      <c r="Y176" s="1446" t="e">
        <f ca="1"/>
        <v>#NAME?</v>
      </c>
      <c r="Z176" s="1408"/>
      <c r="AB176" s="1399"/>
      <c r="AC176" s="1399"/>
      <c r="AD176" s="1399"/>
      <c r="AE176" s="1399"/>
    </row>
    <row r="177" spans="1:31">
      <c r="A177" s="1487"/>
      <c r="B177" s="1488"/>
      <c r="C177" s="1489"/>
      <c r="D177" s="1490"/>
      <c r="E177" s="1487"/>
      <c r="F177" s="1488"/>
      <c r="G177" s="1489"/>
      <c r="H177" s="1490"/>
      <c r="I177" s="1487"/>
      <c r="J177" s="1488"/>
      <c r="K177" s="1489"/>
      <c r="L177" s="1490"/>
      <c r="M177" s="1487"/>
      <c r="N177" s="1488"/>
      <c r="O177" s="1489"/>
      <c r="P177" s="1490"/>
      <c r="Q177" s="1399"/>
      <c r="X177" s="1445" t="e">
        <f ca="1"/>
        <v>#NAME?</v>
      </c>
      <c r="Y177" s="1446" t="e">
        <f ca="1"/>
        <v>#NAME?</v>
      </c>
      <c r="Z177" s="1408"/>
      <c r="AB177" s="1399"/>
      <c r="AC177" s="1399"/>
      <c r="AD177" s="1399"/>
      <c r="AE177" s="1399"/>
    </row>
    <row r="178" spans="1:31">
      <c r="A178" s="1487"/>
      <c r="B178" s="1488"/>
      <c r="C178" s="1489"/>
      <c r="D178" s="1490"/>
      <c r="E178" s="1487"/>
      <c r="F178" s="1488"/>
      <c r="G178" s="1489"/>
      <c r="H178" s="1490"/>
      <c r="I178" s="1487"/>
      <c r="J178" s="1488"/>
      <c r="K178" s="1489"/>
      <c r="L178" s="1490"/>
      <c r="M178" s="1487"/>
      <c r="N178" s="1488"/>
      <c r="O178" s="1489"/>
      <c r="P178" s="1490"/>
      <c r="Q178" s="1399"/>
      <c r="X178" s="1445" t="e">
        <f ca="1"/>
        <v>#NAME?</v>
      </c>
      <c r="Y178" s="1446" t="e">
        <f ca="1"/>
        <v>#NAME?</v>
      </c>
      <c r="Z178" s="1408"/>
      <c r="AB178" s="1399"/>
      <c r="AC178" s="1399"/>
      <c r="AD178" s="1399"/>
      <c r="AE178" s="1399"/>
    </row>
    <row r="179" spans="1:31">
      <c r="A179" s="1487"/>
      <c r="B179" s="1488"/>
      <c r="C179" s="1489"/>
      <c r="D179" s="1490"/>
      <c r="E179" s="1487"/>
      <c r="F179" s="1488"/>
      <c r="G179" s="1489"/>
      <c r="H179" s="1490"/>
      <c r="I179" s="1487"/>
      <c r="J179" s="1488"/>
      <c r="K179" s="1489"/>
      <c r="L179" s="1490"/>
      <c r="M179" s="1487"/>
      <c r="N179" s="1488"/>
      <c r="O179" s="1489"/>
      <c r="P179" s="1490"/>
      <c r="Q179" s="1399"/>
      <c r="X179" s="1445" t="e">
        <f ca="1"/>
        <v>#NAME?</v>
      </c>
      <c r="Y179" s="1446" t="e">
        <f ca="1"/>
        <v>#NAME?</v>
      </c>
      <c r="Z179" s="1408"/>
      <c r="AB179" s="1399"/>
      <c r="AC179" s="1399"/>
      <c r="AD179" s="1399"/>
      <c r="AE179" s="1399"/>
    </row>
    <row r="180" spans="1:31">
      <c r="A180" s="1487"/>
      <c r="B180" s="1488"/>
      <c r="C180" s="1489"/>
      <c r="D180" s="1490"/>
      <c r="E180" s="1487"/>
      <c r="F180" s="1488"/>
      <c r="G180" s="1489"/>
      <c r="H180" s="1490"/>
      <c r="I180" s="1487"/>
      <c r="J180" s="1488"/>
      <c r="K180" s="1489"/>
      <c r="L180" s="1490"/>
      <c r="M180" s="1487"/>
      <c r="N180" s="1488"/>
      <c r="O180" s="1489"/>
      <c r="P180" s="1490"/>
      <c r="Q180" s="1399"/>
      <c r="X180" s="1445" t="e">
        <f ca="1"/>
        <v>#NAME?</v>
      </c>
      <c r="Y180" s="1446" t="e">
        <f ca="1"/>
        <v>#NAME?</v>
      </c>
      <c r="Z180" s="1408"/>
      <c r="AB180" s="1399"/>
      <c r="AC180" s="1399"/>
      <c r="AD180" s="1399"/>
      <c r="AE180" s="1399"/>
    </row>
    <row r="181" spans="1:31">
      <c r="A181" s="1487"/>
      <c r="B181" s="1488"/>
      <c r="C181" s="1489"/>
      <c r="D181" s="1490"/>
      <c r="E181" s="1487"/>
      <c r="F181" s="1488"/>
      <c r="G181" s="1489"/>
      <c r="H181" s="1490"/>
      <c r="I181" s="1487"/>
      <c r="J181" s="1488"/>
      <c r="K181" s="1489"/>
      <c r="L181" s="1490"/>
      <c r="M181" s="1487"/>
      <c r="N181" s="1488"/>
      <c r="O181" s="1489"/>
      <c r="P181" s="1490"/>
      <c r="Q181" s="1399"/>
      <c r="X181" s="1445" t="e">
        <f ca="1"/>
        <v>#NAME?</v>
      </c>
      <c r="Y181" s="1446" t="e">
        <f ca="1"/>
        <v>#NAME?</v>
      </c>
      <c r="Z181" s="1408"/>
      <c r="AB181" s="1399"/>
      <c r="AC181" s="1399"/>
      <c r="AD181" s="1399"/>
      <c r="AE181" s="1399"/>
    </row>
    <row r="182" spans="1:31">
      <c r="A182" s="1487"/>
      <c r="B182" s="1488"/>
      <c r="C182" s="1489"/>
      <c r="D182" s="1490"/>
      <c r="E182" s="1487"/>
      <c r="F182" s="1488"/>
      <c r="G182" s="1489"/>
      <c r="H182" s="1490"/>
      <c r="I182" s="1487"/>
      <c r="J182" s="1488"/>
      <c r="K182" s="1489"/>
      <c r="L182" s="1490"/>
      <c r="M182" s="1487"/>
      <c r="N182" s="1488"/>
      <c r="O182" s="1489"/>
      <c r="P182" s="1490"/>
      <c r="Q182" s="1399"/>
      <c r="X182" s="1445" t="e">
        <f ca="1"/>
        <v>#NAME?</v>
      </c>
      <c r="Y182" s="1446" t="e">
        <f ca="1"/>
        <v>#NAME?</v>
      </c>
      <c r="Z182" s="1408"/>
      <c r="AB182" s="1399"/>
      <c r="AC182" s="1399"/>
      <c r="AD182" s="1399"/>
      <c r="AE182" s="1399"/>
    </row>
    <row r="183" spans="1:31">
      <c r="A183" s="1487"/>
      <c r="B183" s="1488"/>
      <c r="C183" s="1489"/>
      <c r="D183" s="1490"/>
      <c r="E183" s="1487"/>
      <c r="F183" s="1488"/>
      <c r="G183" s="1489"/>
      <c r="H183" s="1490"/>
      <c r="I183" s="1487"/>
      <c r="J183" s="1488"/>
      <c r="K183" s="1489"/>
      <c r="L183" s="1490"/>
      <c r="M183" s="1487"/>
      <c r="N183" s="1488"/>
      <c r="O183" s="1489"/>
      <c r="P183" s="1490"/>
      <c r="Q183" s="1399"/>
      <c r="X183" s="1445" t="e">
        <f ca="1"/>
        <v>#NAME?</v>
      </c>
      <c r="Y183" s="1446" t="e">
        <f ca="1"/>
        <v>#NAME?</v>
      </c>
      <c r="Z183" s="1408"/>
      <c r="AB183" s="1399"/>
      <c r="AC183" s="1399"/>
      <c r="AD183" s="1399"/>
      <c r="AE183" s="1399"/>
    </row>
    <row r="184" spans="1:31">
      <c r="A184" s="1487"/>
      <c r="B184" s="1488"/>
      <c r="C184" s="1489"/>
      <c r="D184" s="1490"/>
      <c r="E184" s="1487"/>
      <c r="F184" s="1488"/>
      <c r="G184" s="1489"/>
      <c r="H184" s="1490"/>
      <c r="I184" s="1487"/>
      <c r="J184" s="1488"/>
      <c r="K184" s="1489"/>
      <c r="L184" s="1490"/>
      <c r="M184" s="1487"/>
      <c r="N184" s="1488"/>
      <c r="O184" s="1489"/>
      <c r="P184" s="1490"/>
      <c r="Q184" s="1399"/>
      <c r="X184" s="1445" t="e">
        <f ca="1"/>
        <v>#NAME?</v>
      </c>
      <c r="Y184" s="1446" t="e">
        <f ca="1"/>
        <v>#NAME?</v>
      </c>
      <c r="Z184" s="1408"/>
      <c r="AB184" s="1399"/>
      <c r="AC184" s="1399"/>
      <c r="AD184" s="1399"/>
      <c r="AE184" s="1399"/>
    </row>
    <row r="185" spans="1:31">
      <c r="A185" s="1487"/>
      <c r="B185" s="1488"/>
      <c r="C185" s="1489"/>
      <c r="D185" s="1490"/>
      <c r="E185" s="1487"/>
      <c r="F185" s="1488"/>
      <c r="G185" s="1489"/>
      <c r="H185" s="1490"/>
      <c r="I185" s="1487"/>
      <c r="J185" s="1488"/>
      <c r="K185" s="1489"/>
      <c r="L185" s="1490"/>
      <c r="M185" s="1487"/>
      <c r="N185" s="1488"/>
      <c r="O185" s="1489"/>
      <c r="P185" s="1490"/>
      <c r="Q185" s="1399"/>
      <c r="X185" s="1445" t="e">
        <f ca="1"/>
        <v>#NAME?</v>
      </c>
      <c r="Y185" s="1446" t="e">
        <f ca="1"/>
        <v>#NAME?</v>
      </c>
      <c r="Z185" s="1408"/>
      <c r="AB185" s="1399"/>
      <c r="AC185" s="1399"/>
      <c r="AD185" s="1399"/>
      <c r="AE185" s="1399"/>
    </row>
    <row r="186" spans="1:31">
      <c r="A186" s="1487"/>
      <c r="B186" s="1488"/>
      <c r="C186" s="1489"/>
      <c r="D186" s="1490"/>
      <c r="E186" s="1487"/>
      <c r="F186" s="1488"/>
      <c r="G186" s="1489"/>
      <c r="H186" s="1490"/>
      <c r="I186" s="1487"/>
      <c r="J186" s="1488"/>
      <c r="K186" s="1489"/>
      <c r="L186" s="1490"/>
      <c r="M186" s="1487"/>
      <c r="N186" s="1488"/>
      <c r="O186" s="1489"/>
      <c r="P186" s="1490"/>
      <c r="Q186" s="1399"/>
      <c r="X186" s="1445" t="e">
        <f ca="1"/>
        <v>#NAME?</v>
      </c>
      <c r="Y186" s="1446" t="e">
        <f ca="1"/>
        <v>#NAME?</v>
      </c>
      <c r="Z186" s="1408"/>
      <c r="AB186" s="1399"/>
      <c r="AC186" s="1399"/>
      <c r="AD186" s="1399"/>
      <c r="AE186" s="1399"/>
    </row>
    <row r="187" spans="1:31">
      <c r="A187" s="1487"/>
      <c r="B187" s="1488"/>
      <c r="C187" s="1489"/>
      <c r="D187" s="1490"/>
      <c r="E187" s="1487"/>
      <c r="F187" s="1488"/>
      <c r="G187" s="1489"/>
      <c r="H187" s="1490"/>
      <c r="I187" s="1487"/>
      <c r="J187" s="1488"/>
      <c r="K187" s="1489"/>
      <c r="L187" s="1490"/>
      <c r="M187" s="1487"/>
      <c r="N187" s="1488"/>
      <c r="O187" s="1489"/>
      <c r="P187" s="1490"/>
      <c r="Q187" s="1399"/>
      <c r="X187" s="1445" t="e">
        <f ca="1"/>
        <v>#NAME?</v>
      </c>
      <c r="Y187" s="1446" t="e">
        <f ca="1"/>
        <v>#NAME?</v>
      </c>
      <c r="Z187" s="1408"/>
      <c r="AB187" s="1399"/>
      <c r="AC187" s="1399"/>
      <c r="AD187" s="1399"/>
      <c r="AE187" s="1399"/>
    </row>
    <row r="188" spans="1:31">
      <c r="A188" s="1487"/>
      <c r="B188" s="1488"/>
      <c r="C188" s="1489"/>
      <c r="D188" s="1490"/>
      <c r="E188" s="1487"/>
      <c r="F188" s="1488"/>
      <c r="G188" s="1489"/>
      <c r="H188" s="1490"/>
      <c r="I188" s="1487"/>
      <c r="J188" s="1488"/>
      <c r="K188" s="1489"/>
      <c r="L188" s="1490"/>
      <c r="M188" s="1487"/>
      <c r="N188" s="1488"/>
      <c r="O188" s="1489"/>
      <c r="P188" s="1490"/>
      <c r="Q188" s="1399"/>
      <c r="X188" s="1445" t="e">
        <f ca="1"/>
        <v>#NAME?</v>
      </c>
      <c r="Y188" s="1446" t="e">
        <f ca="1"/>
        <v>#NAME?</v>
      </c>
      <c r="Z188" s="1408"/>
      <c r="AB188" s="1399"/>
      <c r="AC188" s="1399"/>
      <c r="AD188" s="1399"/>
      <c r="AE188" s="1399"/>
    </row>
    <row r="189" spans="1:31">
      <c r="A189" s="1487"/>
      <c r="B189" s="1488"/>
      <c r="C189" s="1489"/>
      <c r="D189" s="1490"/>
      <c r="E189" s="1487"/>
      <c r="F189" s="1488"/>
      <c r="G189" s="1489"/>
      <c r="H189" s="1490"/>
      <c r="I189" s="1487"/>
      <c r="J189" s="1488"/>
      <c r="K189" s="1489"/>
      <c r="L189" s="1490"/>
      <c r="M189" s="1487"/>
      <c r="N189" s="1488"/>
      <c r="O189" s="1489"/>
      <c r="P189" s="1490"/>
      <c r="Q189" s="1399"/>
      <c r="X189" s="1445" t="e">
        <f ca="1"/>
        <v>#NAME?</v>
      </c>
      <c r="Y189" s="1446" t="e">
        <f ca="1"/>
        <v>#NAME?</v>
      </c>
      <c r="Z189" s="1408"/>
      <c r="AB189" s="1399"/>
      <c r="AC189" s="1399"/>
      <c r="AD189" s="1399"/>
      <c r="AE189" s="1399"/>
    </row>
    <row r="190" spans="1:31">
      <c r="A190" s="1487"/>
      <c r="B190" s="1488"/>
      <c r="C190" s="1489"/>
      <c r="D190" s="1490"/>
      <c r="E190" s="1487"/>
      <c r="F190" s="1488"/>
      <c r="G190" s="1489"/>
      <c r="H190" s="1490"/>
      <c r="I190" s="1487"/>
      <c r="J190" s="1488"/>
      <c r="K190" s="1489"/>
      <c r="L190" s="1490"/>
      <c r="M190" s="1487"/>
      <c r="N190" s="1488"/>
      <c r="O190" s="1489"/>
      <c r="P190" s="1490"/>
      <c r="Q190" s="1399"/>
      <c r="X190" s="1445" t="e">
        <f ca="1"/>
        <v>#NAME?</v>
      </c>
      <c r="Y190" s="1446" t="e">
        <f ca="1"/>
        <v>#NAME?</v>
      </c>
      <c r="Z190" s="1408"/>
      <c r="AB190" s="1399"/>
      <c r="AC190" s="1399"/>
      <c r="AD190" s="1399"/>
      <c r="AE190" s="1399"/>
    </row>
    <row r="191" spans="1:31">
      <c r="A191" s="1487"/>
      <c r="B191" s="1488"/>
      <c r="C191" s="1489"/>
      <c r="D191" s="1490"/>
      <c r="E191" s="1487"/>
      <c r="F191" s="1488"/>
      <c r="G191" s="1489"/>
      <c r="H191" s="1490"/>
      <c r="I191" s="1487"/>
      <c r="J191" s="1488"/>
      <c r="K191" s="1489"/>
      <c r="L191" s="1490"/>
      <c r="M191" s="1487"/>
      <c r="N191" s="1488"/>
      <c r="O191" s="1489"/>
      <c r="P191" s="1490"/>
      <c r="Q191" s="1399"/>
      <c r="X191" s="1445" t="e">
        <f ca="1"/>
        <v>#NAME?</v>
      </c>
      <c r="Y191" s="1446" t="e">
        <f ca="1"/>
        <v>#NAME?</v>
      </c>
      <c r="Z191" s="1408"/>
      <c r="AB191" s="1399"/>
      <c r="AC191" s="1399"/>
      <c r="AD191" s="1399"/>
      <c r="AE191" s="1399"/>
    </row>
    <row r="192" spans="1:31">
      <c r="A192" s="1487"/>
      <c r="B192" s="1488"/>
      <c r="C192" s="1489"/>
      <c r="D192" s="1490"/>
      <c r="E192" s="1487"/>
      <c r="F192" s="1488"/>
      <c r="G192" s="1489"/>
      <c r="H192" s="1490"/>
      <c r="I192" s="1487"/>
      <c r="J192" s="1488"/>
      <c r="K192" s="1489"/>
      <c r="L192" s="1490"/>
      <c r="M192" s="1487"/>
      <c r="N192" s="1488"/>
      <c r="O192" s="1489"/>
      <c r="P192" s="1490"/>
      <c r="Q192" s="1399"/>
      <c r="X192" s="1445" t="e">
        <f ca="1"/>
        <v>#NAME?</v>
      </c>
      <c r="Y192" s="1446" t="e">
        <f ca="1"/>
        <v>#NAME?</v>
      </c>
      <c r="Z192" s="1408"/>
      <c r="AB192" s="1399"/>
      <c r="AC192" s="1399"/>
      <c r="AD192" s="1399"/>
      <c r="AE192" s="1399"/>
    </row>
    <row r="193" spans="1:31">
      <c r="A193" s="1487"/>
      <c r="B193" s="1488"/>
      <c r="C193" s="1489"/>
      <c r="D193" s="1490"/>
      <c r="E193" s="1487"/>
      <c r="F193" s="1488"/>
      <c r="G193" s="1489"/>
      <c r="H193" s="1490"/>
      <c r="I193" s="1487"/>
      <c r="J193" s="1488"/>
      <c r="K193" s="1489"/>
      <c r="L193" s="1490"/>
      <c r="M193" s="1487"/>
      <c r="N193" s="1488"/>
      <c r="O193" s="1489"/>
      <c r="P193" s="1490"/>
      <c r="Q193" s="1399"/>
      <c r="X193" s="1445" t="e">
        <f ca="1"/>
        <v>#NAME?</v>
      </c>
      <c r="Y193" s="1446" t="e">
        <f ca="1"/>
        <v>#NAME?</v>
      </c>
      <c r="Z193" s="1408"/>
      <c r="AB193" s="1399"/>
      <c r="AC193" s="1399"/>
      <c r="AD193" s="1399"/>
      <c r="AE193" s="1399"/>
    </row>
    <row r="194" spans="1:31">
      <c r="A194" s="1487"/>
      <c r="B194" s="1488"/>
      <c r="C194" s="1489"/>
      <c r="D194" s="1490"/>
      <c r="E194" s="1487"/>
      <c r="F194" s="1488"/>
      <c r="G194" s="1489"/>
      <c r="H194" s="1490"/>
      <c r="I194" s="1487"/>
      <c r="J194" s="1488"/>
      <c r="K194" s="1489"/>
      <c r="L194" s="1490"/>
      <c r="M194" s="1487"/>
      <c r="N194" s="1488"/>
      <c r="O194" s="1489"/>
      <c r="P194" s="1490"/>
      <c r="Q194" s="1399"/>
      <c r="X194" s="1445" t="e">
        <f ca="1"/>
        <v>#NAME?</v>
      </c>
      <c r="Y194" s="1446" t="e">
        <f ca="1"/>
        <v>#NAME?</v>
      </c>
      <c r="Z194" s="1408"/>
      <c r="AB194" s="1399"/>
      <c r="AC194" s="1399"/>
      <c r="AD194" s="1399"/>
      <c r="AE194" s="1399"/>
    </row>
    <row r="195" spans="1:31">
      <c r="A195" s="1487"/>
      <c r="B195" s="1488"/>
      <c r="C195" s="1489"/>
      <c r="D195" s="1490"/>
      <c r="E195" s="1487"/>
      <c r="F195" s="1488"/>
      <c r="G195" s="1489"/>
      <c r="H195" s="1490"/>
      <c r="I195" s="1487"/>
      <c r="J195" s="1488"/>
      <c r="K195" s="1489"/>
      <c r="L195" s="1490"/>
      <c r="M195" s="1487"/>
      <c r="N195" s="1488"/>
      <c r="O195" s="1489"/>
      <c r="P195" s="1490"/>
      <c r="Q195" s="1399"/>
      <c r="X195" s="1445" t="e">
        <f ca="1"/>
        <v>#NAME?</v>
      </c>
      <c r="Y195" s="1446" t="e">
        <f ca="1"/>
        <v>#NAME?</v>
      </c>
      <c r="Z195" s="1408"/>
      <c r="AB195" s="1399"/>
      <c r="AC195" s="1399"/>
      <c r="AD195" s="1399"/>
      <c r="AE195" s="1399"/>
    </row>
    <row r="196" spans="1:31">
      <c r="A196" s="1487"/>
      <c r="B196" s="1488"/>
      <c r="C196" s="1489"/>
      <c r="D196" s="1490"/>
      <c r="E196" s="1487"/>
      <c r="F196" s="1488"/>
      <c r="G196" s="1489"/>
      <c r="H196" s="1490"/>
      <c r="I196" s="1487"/>
      <c r="J196" s="1488"/>
      <c r="K196" s="1489"/>
      <c r="L196" s="1490"/>
      <c r="M196" s="1487"/>
      <c r="N196" s="1488"/>
      <c r="O196" s="1489"/>
      <c r="P196" s="1490"/>
      <c r="Q196" s="1399"/>
      <c r="X196" s="1445" t="e">
        <f ca="1"/>
        <v>#NAME?</v>
      </c>
      <c r="Y196" s="1446" t="e">
        <f ca="1"/>
        <v>#NAME?</v>
      </c>
      <c r="Z196" s="1408"/>
      <c r="AB196" s="1399"/>
      <c r="AC196" s="1399"/>
      <c r="AD196" s="1399"/>
      <c r="AE196" s="1399"/>
    </row>
    <row r="197" spans="1:31">
      <c r="A197" s="1487"/>
      <c r="B197" s="1488"/>
      <c r="C197" s="1489"/>
      <c r="D197" s="1490"/>
      <c r="E197" s="1487"/>
      <c r="F197" s="1488"/>
      <c r="G197" s="1489"/>
      <c r="H197" s="1490"/>
      <c r="I197" s="1487"/>
      <c r="J197" s="1488"/>
      <c r="K197" s="1489"/>
      <c r="L197" s="1490"/>
      <c r="M197" s="1487"/>
      <c r="N197" s="1488"/>
      <c r="O197" s="1489"/>
      <c r="P197" s="1490"/>
      <c r="Q197" s="1399"/>
      <c r="X197" s="1445" t="e">
        <f ca="1"/>
        <v>#NAME?</v>
      </c>
      <c r="Y197" s="1446" t="e">
        <f ca="1"/>
        <v>#NAME?</v>
      </c>
      <c r="Z197" s="1408"/>
      <c r="AB197" s="1399"/>
      <c r="AC197" s="1399"/>
      <c r="AD197" s="1399"/>
      <c r="AE197" s="1399"/>
    </row>
    <row r="198" spans="1:31">
      <c r="A198" s="1487"/>
      <c r="B198" s="1488"/>
      <c r="C198" s="1489"/>
      <c r="D198" s="1490"/>
      <c r="E198" s="1487"/>
      <c r="F198" s="1488"/>
      <c r="G198" s="1489"/>
      <c r="H198" s="1490"/>
      <c r="I198" s="1487"/>
      <c r="J198" s="1488"/>
      <c r="K198" s="1489"/>
      <c r="L198" s="1490"/>
      <c r="M198" s="1487"/>
      <c r="N198" s="1488"/>
      <c r="O198" s="1489"/>
      <c r="P198" s="1490"/>
      <c r="Q198" s="1399"/>
      <c r="X198" s="1445" t="e">
        <f ca="1"/>
        <v>#NAME?</v>
      </c>
      <c r="Y198" s="1446" t="e">
        <f ca="1"/>
        <v>#NAME?</v>
      </c>
      <c r="Z198" s="1408"/>
      <c r="AB198" s="1399"/>
      <c r="AC198" s="1399"/>
      <c r="AD198" s="1399"/>
      <c r="AE198" s="1399"/>
    </row>
    <row r="199" spans="1:31">
      <c r="A199" s="1487"/>
      <c r="B199" s="1488"/>
      <c r="C199" s="1489"/>
      <c r="D199" s="1490"/>
      <c r="E199" s="1487"/>
      <c r="F199" s="1488"/>
      <c r="G199" s="1489"/>
      <c r="H199" s="1490"/>
      <c r="I199" s="1487"/>
      <c r="J199" s="1488"/>
      <c r="K199" s="1489"/>
      <c r="L199" s="1490"/>
      <c r="M199" s="1487"/>
      <c r="N199" s="1488"/>
      <c r="O199" s="1489"/>
      <c r="P199" s="1490"/>
      <c r="Q199" s="1399"/>
      <c r="X199" s="1445" t="e">
        <f ca="1"/>
        <v>#NAME?</v>
      </c>
      <c r="Y199" s="1446" t="e">
        <f ca="1"/>
        <v>#NAME?</v>
      </c>
      <c r="Z199" s="1408"/>
      <c r="AB199" s="1399"/>
      <c r="AC199" s="1399"/>
      <c r="AD199" s="1399"/>
      <c r="AE199" s="1399"/>
    </row>
    <row r="200" spans="1:31">
      <c r="A200" s="1487"/>
      <c r="B200" s="1488"/>
      <c r="C200" s="1489"/>
      <c r="D200" s="1490"/>
      <c r="E200" s="1487"/>
      <c r="F200" s="1488"/>
      <c r="G200" s="1489"/>
      <c r="H200" s="1490"/>
      <c r="I200" s="1487"/>
      <c r="J200" s="1488"/>
      <c r="K200" s="1489"/>
      <c r="L200" s="1490"/>
      <c r="M200" s="1487"/>
      <c r="N200" s="1488"/>
      <c r="O200" s="1489"/>
      <c r="P200" s="1490"/>
      <c r="Q200" s="1399"/>
      <c r="X200" s="1445" t="e">
        <f ca="1"/>
        <v>#NAME?</v>
      </c>
      <c r="Y200" s="1446" t="e">
        <f ca="1"/>
        <v>#NAME?</v>
      </c>
      <c r="Z200" s="1408"/>
      <c r="AB200" s="1399"/>
      <c r="AC200" s="1399"/>
      <c r="AD200" s="1399"/>
      <c r="AE200" s="1399"/>
    </row>
    <row r="201" spans="1:31">
      <c r="A201" s="1487"/>
      <c r="B201" s="1488"/>
      <c r="C201" s="1489"/>
      <c r="D201" s="1490"/>
      <c r="E201" s="1487"/>
      <c r="F201" s="1488"/>
      <c r="G201" s="1489"/>
      <c r="H201" s="1490"/>
      <c r="I201" s="1487"/>
      <c r="J201" s="1488"/>
      <c r="K201" s="1489"/>
      <c r="L201" s="1490"/>
      <c r="M201" s="1487"/>
      <c r="N201" s="1488"/>
      <c r="O201" s="1489"/>
      <c r="P201" s="1490"/>
      <c r="Q201" s="1399"/>
      <c r="X201" s="1445" t="e">
        <f ca="1"/>
        <v>#NAME?</v>
      </c>
      <c r="Y201" s="1446" t="e">
        <f ca="1"/>
        <v>#NAME?</v>
      </c>
      <c r="Z201" s="1408"/>
      <c r="AB201" s="1399"/>
      <c r="AC201" s="1399"/>
      <c r="AD201" s="1399"/>
      <c r="AE201" s="1399"/>
    </row>
    <row r="202" spans="1:31">
      <c r="A202" s="1487"/>
      <c r="B202" s="1488"/>
      <c r="C202" s="1489"/>
      <c r="D202" s="1490"/>
      <c r="E202" s="1487"/>
      <c r="F202" s="1488"/>
      <c r="G202" s="1489"/>
      <c r="H202" s="1490"/>
      <c r="I202" s="1487"/>
      <c r="J202" s="1488"/>
      <c r="K202" s="1489"/>
      <c r="L202" s="1490"/>
      <c r="M202" s="1487"/>
      <c r="N202" s="1488"/>
      <c r="O202" s="1489"/>
      <c r="P202" s="1490"/>
      <c r="Q202" s="1399"/>
      <c r="X202" s="1445" t="e">
        <f ca="1"/>
        <v>#NAME?</v>
      </c>
      <c r="Y202" s="1446" t="e">
        <f ca="1"/>
        <v>#NAME?</v>
      </c>
      <c r="Z202" s="1408"/>
      <c r="AB202" s="1399"/>
      <c r="AC202" s="1399"/>
      <c r="AD202" s="1399"/>
      <c r="AE202" s="1399"/>
    </row>
    <row r="203" spans="1:31">
      <c r="A203" s="1487"/>
      <c r="B203" s="1488"/>
      <c r="C203" s="1489"/>
      <c r="D203" s="1490"/>
      <c r="E203" s="1487"/>
      <c r="F203" s="1488"/>
      <c r="G203" s="1489"/>
      <c r="H203" s="1490"/>
      <c r="I203" s="1487"/>
      <c r="J203" s="1488"/>
      <c r="K203" s="1489"/>
      <c r="L203" s="1490"/>
      <c r="M203" s="1487"/>
      <c r="N203" s="1488"/>
      <c r="O203" s="1489"/>
      <c r="P203" s="1490"/>
      <c r="Q203" s="1399"/>
      <c r="X203" s="1445" t="e">
        <f ca="1"/>
        <v>#NAME?</v>
      </c>
      <c r="Y203" s="1446" t="e">
        <f ca="1"/>
        <v>#NAME?</v>
      </c>
      <c r="Z203" s="1408"/>
      <c r="AB203" s="1399"/>
      <c r="AC203" s="1399"/>
      <c r="AD203" s="1399"/>
      <c r="AE203" s="1399"/>
    </row>
    <row r="204" spans="1:31">
      <c r="A204" s="1487"/>
      <c r="B204" s="1488"/>
      <c r="C204" s="1489"/>
      <c r="D204" s="1490"/>
      <c r="E204" s="1487"/>
      <c r="F204" s="1488"/>
      <c r="G204" s="1489"/>
      <c r="H204" s="1490"/>
      <c r="I204" s="1487"/>
      <c r="J204" s="1488"/>
      <c r="K204" s="1489"/>
      <c r="L204" s="1490"/>
      <c r="M204" s="1487"/>
      <c r="N204" s="1488"/>
      <c r="O204" s="1489"/>
      <c r="P204" s="1490"/>
      <c r="Q204" s="1399"/>
      <c r="X204" s="1445" t="e">
        <f ca="1"/>
        <v>#NAME?</v>
      </c>
      <c r="Y204" s="1446" t="e">
        <f ca="1"/>
        <v>#NAME?</v>
      </c>
      <c r="Z204" s="1408"/>
      <c r="AB204" s="1399"/>
      <c r="AC204" s="1399"/>
      <c r="AD204" s="1399"/>
      <c r="AE204" s="1399"/>
    </row>
    <row r="205" spans="1:31">
      <c r="A205" s="1487"/>
      <c r="B205" s="1488"/>
      <c r="C205" s="1489"/>
      <c r="D205" s="1490"/>
      <c r="E205" s="1487"/>
      <c r="F205" s="1488"/>
      <c r="G205" s="1489"/>
      <c r="H205" s="1490"/>
      <c r="I205" s="1487"/>
      <c r="J205" s="1488"/>
      <c r="K205" s="1489"/>
      <c r="L205" s="1490"/>
      <c r="M205" s="1487"/>
      <c r="N205" s="1488"/>
      <c r="O205" s="1489"/>
      <c r="P205" s="1490"/>
      <c r="Q205" s="1399"/>
      <c r="X205" s="1445" t="e">
        <f ca="1"/>
        <v>#NAME?</v>
      </c>
      <c r="Y205" s="1446" t="e">
        <f ca="1"/>
        <v>#NAME?</v>
      </c>
      <c r="Z205" s="1408"/>
      <c r="AB205" s="1399"/>
      <c r="AC205" s="1399"/>
      <c r="AD205" s="1399"/>
      <c r="AE205" s="1399"/>
    </row>
    <row r="206" spans="1:31">
      <c r="A206" s="1487"/>
      <c r="B206" s="1488"/>
      <c r="C206" s="1489"/>
      <c r="D206" s="1490"/>
      <c r="E206" s="1487"/>
      <c r="F206" s="1488"/>
      <c r="G206" s="1489"/>
      <c r="H206" s="1490"/>
      <c r="I206" s="1487"/>
      <c r="J206" s="1488"/>
      <c r="K206" s="1489"/>
      <c r="L206" s="1490"/>
      <c r="M206" s="1487"/>
      <c r="N206" s="1488"/>
      <c r="O206" s="1489"/>
      <c r="P206" s="1490"/>
      <c r="Q206" s="1399"/>
      <c r="X206" s="1445" t="e">
        <f ca="1"/>
        <v>#NAME?</v>
      </c>
      <c r="Y206" s="1446" t="e">
        <f ca="1"/>
        <v>#NAME?</v>
      </c>
      <c r="Z206" s="1408"/>
      <c r="AB206" s="1399"/>
      <c r="AC206" s="1399"/>
      <c r="AD206" s="1399"/>
      <c r="AE206" s="1399"/>
    </row>
    <row r="207" spans="1:31">
      <c r="A207" s="1487"/>
      <c r="B207" s="1488"/>
      <c r="C207" s="1489"/>
      <c r="D207" s="1490"/>
      <c r="E207" s="1487"/>
      <c r="F207" s="1488"/>
      <c r="G207" s="1489"/>
      <c r="H207" s="1490"/>
      <c r="I207" s="1487"/>
      <c r="J207" s="1488"/>
      <c r="K207" s="1489"/>
      <c r="L207" s="1490"/>
      <c r="M207" s="1487"/>
      <c r="N207" s="1488"/>
      <c r="O207" s="1489"/>
      <c r="P207" s="1490"/>
      <c r="Q207" s="1399"/>
      <c r="X207" s="1445" t="e">
        <f ca="1"/>
        <v>#NAME?</v>
      </c>
      <c r="Y207" s="1446" t="e">
        <f ca="1"/>
        <v>#NAME?</v>
      </c>
      <c r="Z207" s="1408"/>
      <c r="AB207" s="1399"/>
      <c r="AC207" s="1399"/>
      <c r="AD207" s="1399"/>
      <c r="AE207" s="1399"/>
    </row>
    <row r="208" spans="1:31">
      <c r="A208" s="1487"/>
      <c r="B208" s="1488"/>
      <c r="C208" s="1489"/>
      <c r="D208" s="1490"/>
      <c r="E208" s="1487"/>
      <c r="F208" s="1488"/>
      <c r="G208" s="1489"/>
      <c r="H208" s="1490"/>
      <c r="I208" s="1487"/>
      <c r="J208" s="1488"/>
      <c r="K208" s="1489"/>
      <c r="L208" s="1490"/>
      <c r="M208" s="1487"/>
      <c r="N208" s="1488"/>
      <c r="O208" s="1489"/>
      <c r="P208" s="1490"/>
      <c r="Q208" s="1399"/>
      <c r="X208" s="1445" t="e">
        <f ca="1"/>
        <v>#NAME?</v>
      </c>
      <c r="Y208" s="1446" t="e">
        <f ca="1"/>
        <v>#NAME?</v>
      </c>
      <c r="Z208" s="1408"/>
      <c r="AB208" s="1399"/>
      <c r="AC208" s="1399"/>
      <c r="AD208" s="1399"/>
      <c r="AE208" s="1399"/>
    </row>
    <row r="209" spans="1:31">
      <c r="A209" s="1487"/>
      <c r="B209" s="1488"/>
      <c r="C209" s="1489"/>
      <c r="D209" s="1490"/>
      <c r="E209" s="1487"/>
      <c r="F209" s="1488"/>
      <c r="G209" s="1489"/>
      <c r="H209" s="1490"/>
      <c r="I209" s="1487"/>
      <c r="J209" s="1488"/>
      <c r="K209" s="1489"/>
      <c r="L209" s="1490"/>
      <c r="M209" s="1487"/>
      <c r="N209" s="1488"/>
      <c r="O209" s="1489"/>
      <c r="P209" s="1490"/>
      <c r="Q209" s="1399"/>
      <c r="X209" s="1445" t="e">
        <f ca="1"/>
        <v>#NAME?</v>
      </c>
      <c r="Y209" s="1446" t="e">
        <f ca="1"/>
        <v>#NAME?</v>
      </c>
      <c r="Z209" s="1408"/>
      <c r="AB209" s="1399"/>
      <c r="AC209" s="1399"/>
      <c r="AD209" s="1399"/>
      <c r="AE209" s="1399"/>
    </row>
    <row r="210" spans="1:31">
      <c r="A210" s="1487"/>
      <c r="B210" s="1488"/>
      <c r="C210" s="1489"/>
      <c r="D210" s="1490"/>
      <c r="E210" s="1487"/>
      <c r="F210" s="1488"/>
      <c r="G210" s="1489"/>
      <c r="H210" s="1490"/>
      <c r="I210" s="1487"/>
      <c r="J210" s="1488"/>
      <c r="K210" s="1489"/>
      <c r="L210" s="1490"/>
      <c r="M210" s="1487"/>
      <c r="N210" s="1488"/>
      <c r="O210" s="1489"/>
      <c r="P210" s="1490"/>
      <c r="Q210" s="1399"/>
      <c r="X210" s="1445" t="e">
        <f ca="1"/>
        <v>#NAME?</v>
      </c>
      <c r="Y210" s="1446" t="e">
        <f ca="1"/>
        <v>#NAME?</v>
      </c>
      <c r="Z210" s="1408"/>
      <c r="AB210" s="1399"/>
      <c r="AC210" s="1399"/>
      <c r="AD210" s="1399"/>
      <c r="AE210" s="1399"/>
    </row>
    <row r="211" spans="1:31">
      <c r="A211" s="1487"/>
      <c r="B211" s="1488"/>
      <c r="C211" s="1489"/>
      <c r="D211" s="1490"/>
      <c r="E211" s="1487"/>
      <c r="F211" s="1488"/>
      <c r="G211" s="1489"/>
      <c r="H211" s="1490"/>
      <c r="I211" s="1487"/>
      <c r="J211" s="1488"/>
      <c r="K211" s="1489"/>
      <c r="L211" s="1490"/>
      <c r="M211" s="1487"/>
      <c r="N211" s="1488"/>
      <c r="O211" s="1489"/>
      <c r="P211" s="1490"/>
      <c r="Q211" s="1399"/>
      <c r="X211" s="1445" t="e">
        <f ca="1"/>
        <v>#NAME?</v>
      </c>
      <c r="Y211" s="1446" t="e">
        <f ca="1"/>
        <v>#NAME?</v>
      </c>
      <c r="Z211" s="1408"/>
      <c r="AB211" s="1399"/>
      <c r="AC211" s="1399"/>
      <c r="AD211" s="1399"/>
      <c r="AE211" s="1399"/>
    </row>
    <row r="212" spans="1:31">
      <c r="A212" s="1487"/>
      <c r="B212" s="1488"/>
      <c r="C212" s="1489"/>
      <c r="D212" s="1490"/>
      <c r="E212" s="1487"/>
      <c r="F212" s="1488"/>
      <c r="G212" s="1489"/>
      <c r="H212" s="1490"/>
      <c r="I212" s="1487"/>
      <c r="J212" s="1488"/>
      <c r="K212" s="1489"/>
      <c r="L212" s="1490"/>
      <c r="M212" s="1487"/>
      <c r="N212" s="1488"/>
      <c r="O212" s="1489"/>
      <c r="P212" s="1490"/>
      <c r="Q212" s="1399"/>
      <c r="X212" s="1445" t="e">
        <f ca="1"/>
        <v>#NAME?</v>
      </c>
      <c r="Y212" s="1446" t="e">
        <f ca="1"/>
        <v>#NAME?</v>
      </c>
      <c r="Z212" s="1408"/>
      <c r="AB212" s="1399"/>
      <c r="AC212" s="1399"/>
      <c r="AD212" s="1399"/>
      <c r="AE212" s="1399"/>
    </row>
    <row r="213" spans="1:31">
      <c r="A213" s="1487"/>
      <c r="B213" s="1488"/>
      <c r="C213" s="1489"/>
      <c r="D213" s="1490"/>
      <c r="E213" s="1487"/>
      <c r="F213" s="1488"/>
      <c r="G213" s="1489"/>
      <c r="H213" s="1490"/>
      <c r="I213" s="1487"/>
      <c r="J213" s="1488"/>
      <c r="K213" s="1489"/>
      <c r="L213" s="1490"/>
      <c r="M213" s="1487"/>
      <c r="N213" s="1488"/>
      <c r="O213" s="1489"/>
      <c r="P213" s="1490"/>
      <c r="Q213" s="1399"/>
      <c r="X213" s="1445" t="e">
        <f ca="1"/>
        <v>#NAME?</v>
      </c>
      <c r="Y213" s="1446" t="e">
        <f ca="1"/>
        <v>#NAME?</v>
      </c>
      <c r="Z213" s="1408"/>
      <c r="AB213" s="1399"/>
      <c r="AC213" s="1399"/>
      <c r="AD213" s="1399"/>
      <c r="AE213" s="1399"/>
    </row>
    <row r="214" spans="1:31">
      <c r="A214" s="1487"/>
      <c r="B214" s="1488"/>
      <c r="C214" s="1489"/>
      <c r="D214" s="1490"/>
      <c r="E214" s="1487"/>
      <c r="F214" s="1488"/>
      <c r="G214" s="1489"/>
      <c r="H214" s="1490"/>
      <c r="I214" s="1487"/>
      <c r="J214" s="1488"/>
      <c r="K214" s="1489"/>
      <c r="L214" s="1490"/>
      <c r="M214" s="1487"/>
      <c r="N214" s="1488"/>
      <c r="O214" s="1489"/>
      <c r="P214" s="1490"/>
      <c r="Q214" s="1399"/>
      <c r="X214" s="1445" t="e">
        <f ca="1"/>
        <v>#NAME?</v>
      </c>
      <c r="Y214" s="1446" t="e">
        <f ca="1"/>
        <v>#NAME?</v>
      </c>
      <c r="Z214" s="1408"/>
      <c r="AB214" s="1399"/>
      <c r="AC214" s="1399"/>
      <c r="AD214" s="1399"/>
      <c r="AE214" s="1399"/>
    </row>
    <row r="215" spans="1:31">
      <c r="A215" s="1487"/>
      <c r="B215" s="1488"/>
      <c r="C215" s="1489"/>
      <c r="D215" s="1490"/>
      <c r="E215" s="1487"/>
      <c r="F215" s="1488"/>
      <c r="G215" s="1489"/>
      <c r="H215" s="1490"/>
      <c r="I215" s="1487"/>
      <c r="J215" s="1488"/>
      <c r="K215" s="1489"/>
      <c r="L215" s="1490"/>
      <c r="M215" s="1487"/>
      <c r="N215" s="1488"/>
      <c r="O215" s="1489"/>
      <c r="P215" s="1490"/>
      <c r="Q215" s="1399"/>
      <c r="X215" s="1445" t="e">
        <f ca="1"/>
        <v>#NAME?</v>
      </c>
      <c r="Y215" s="1446" t="e">
        <f ca="1"/>
        <v>#NAME?</v>
      </c>
      <c r="Z215" s="1408"/>
      <c r="AB215" s="1399"/>
      <c r="AC215" s="1399"/>
      <c r="AD215" s="1399"/>
      <c r="AE215" s="1399"/>
    </row>
    <row r="216" spans="1:31">
      <c r="A216" s="1487"/>
      <c r="B216" s="1488"/>
      <c r="C216" s="1489"/>
      <c r="D216" s="1490"/>
      <c r="E216" s="1487"/>
      <c r="F216" s="1488"/>
      <c r="G216" s="1489"/>
      <c r="H216" s="1490"/>
      <c r="I216" s="1487"/>
      <c r="J216" s="1488"/>
      <c r="K216" s="1489"/>
      <c r="L216" s="1490"/>
      <c r="M216" s="1487"/>
      <c r="N216" s="1488"/>
      <c r="O216" s="1489"/>
      <c r="P216" s="1490"/>
      <c r="Q216" s="1399"/>
      <c r="X216" s="1445" t="e">
        <f ca="1"/>
        <v>#NAME?</v>
      </c>
      <c r="Y216" s="1446" t="e">
        <f ca="1"/>
        <v>#NAME?</v>
      </c>
      <c r="Z216" s="1408"/>
      <c r="AB216" s="1399"/>
      <c r="AC216" s="1399"/>
      <c r="AD216" s="1399"/>
      <c r="AE216" s="1399"/>
    </row>
    <row r="217" spans="1:31">
      <c r="A217" s="1487"/>
      <c r="B217" s="1488"/>
      <c r="C217" s="1489"/>
      <c r="D217" s="1490"/>
      <c r="E217" s="1487"/>
      <c r="F217" s="1488"/>
      <c r="G217" s="1489"/>
      <c r="H217" s="1490"/>
      <c r="I217" s="1487"/>
      <c r="J217" s="1488"/>
      <c r="K217" s="1489"/>
      <c r="L217" s="1490"/>
      <c r="M217" s="1487"/>
      <c r="N217" s="1488"/>
      <c r="O217" s="1489"/>
      <c r="P217" s="1490"/>
      <c r="Q217" s="1399"/>
      <c r="X217" s="1445" t="e">
        <f ca="1"/>
        <v>#NAME?</v>
      </c>
      <c r="Y217" s="1446" t="e">
        <f ca="1"/>
        <v>#NAME?</v>
      </c>
      <c r="Z217" s="1408"/>
      <c r="AB217" s="1399"/>
      <c r="AC217" s="1399"/>
      <c r="AD217" s="1399"/>
      <c r="AE217" s="1399"/>
    </row>
    <row r="218" spans="1:31">
      <c r="A218" s="1487"/>
      <c r="B218" s="1488"/>
      <c r="C218" s="1489"/>
      <c r="D218" s="1490"/>
      <c r="E218" s="1487"/>
      <c r="F218" s="1488"/>
      <c r="G218" s="1489"/>
      <c r="H218" s="1490"/>
      <c r="I218" s="1487"/>
      <c r="J218" s="1488"/>
      <c r="K218" s="1489"/>
      <c r="L218" s="1490"/>
      <c r="M218" s="1487"/>
      <c r="N218" s="1488"/>
      <c r="O218" s="1489"/>
      <c r="P218" s="1490"/>
      <c r="Q218" s="1399"/>
      <c r="X218" s="1445" t="e">
        <f ca="1"/>
        <v>#NAME?</v>
      </c>
      <c r="Y218" s="1446" t="e">
        <f ca="1"/>
        <v>#NAME?</v>
      </c>
      <c r="Z218" s="1408"/>
      <c r="AB218" s="1399"/>
      <c r="AC218" s="1399"/>
      <c r="AD218" s="1399"/>
      <c r="AE218" s="1399"/>
    </row>
    <row r="219" spans="1:31">
      <c r="A219" s="1487"/>
      <c r="B219" s="1488"/>
      <c r="C219" s="1489"/>
      <c r="D219" s="1490"/>
      <c r="E219" s="1487"/>
      <c r="F219" s="1488"/>
      <c r="G219" s="1489"/>
      <c r="H219" s="1490"/>
      <c r="I219" s="1487"/>
      <c r="J219" s="1488"/>
      <c r="K219" s="1489"/>
      <c r="L219" s="1490"/>
      <c r="M219" s="1487"/>
      <c r="N219" s="1488"/>
      <c r="O219" s="1489"/>
      <c r="P219" s="1490"/>
      <c r="Q219" s="1399"/>
      <c r="X219" s="1445" t="e">
        <f ca="1"/>
        <v>#NAME?</v>
      </c>
      <c r="Y219" s="1446" t="e">
        <f ca="1"/>
        <v>#NAME?</v>
      </c>
      <c r="Z219" s="1408"/>
      <c r="AB219" s="1399"/>
      <c r="AC219" s="1399"/>
      <c r="AD219" s="1399"/>
      <c r="AE219" s="1399"/>
    </row>
    <row r="220" spans="1:31">
      <c r="A220" s="1487"/>
      <c r="B220" s="1488"/>
      <c r="C220" s="1489"/>
      <c r="D220" s="1490"/>
      <c r="E220" s="1487"/>
      <c r="F220" s="1488"/>
      <c r="G220" s="1489"/>
      <c r="H220" s="1490"/>
      <c r="I220" s="1487"/>
      <c r="J220" s="1488"/>
      <c r="K220" s="1489"/>
      <c r="L220" s="1490"/>
      <c r="M220" s="1487"/>
      <c r="N220" s="1488"/>
      <c r="O220" s="1489"/>
      <c r="P220" s="1490"/>
      <c r="Q220" s="1399"/>
      <c r="X220" s="1445" t="e">
        <f ca="1"/>
        <v>#NAME?</v>
      </c>
      <c r="Y220" s="1446" t="e">
        <f ca="1"/>
        <v>#NAME?</v>
      </c>
      <c r="Z220" s="1408"/>
      <c r="AB220" s="1399"/>
      <c r="AC220" s="1399"/>
      <c r="AD220" s="1399"/>
      <c r="AE220" s="1399"/>
    </row>
    <row r="221" spans="1:31">
      <c r="A221" s="1487"/>
      <c r="B221" s="1488"/>
      <c r="C221" s="1489"/>
      <c r="D221" s="1490"/>
      <c r="E221" s="1487"/>
      <c r="F221" s="1488"/>
      <c r="G221" s="1489"/>
      <c r="H221" s="1490"/>
      <c r="I221" s="1487"/>
      <c r="J221" s="1488"/>
      <c r="K221" s="1489"/>
      <c r="L221" s="1490"/>
      <c r="M221" s="1487"/>
      <c r="N221" s="1488"/>
      <c r="O221" s="1489"/>
      <c r="P221" s="1490"/>
      <c r="Q221" s="1399"/>
      <c r="X221" s="1445" t="e">
        <f ca="1"/>
        <v>#NAME?</v>
      </c>
      <c r="Y221" s="1446" t="e">
        <f ca="1"/>
        <v>#NAME?</v>
      </c>
      <c r="Z221" s="1408"/>
      <c r="AB221" s="1399"/>
      <c r="AC221" s="1399"/>
      <c r="AD221" s="1399"/>
      <c r="AE221" s="1399"/>
    </row>
    <row r="222" spans="1:31">
      <c r="A222" s="1487"/>
      <c r="B222" s="1488"/>
      <c r="C222" s="1489"/>
      <c r="D222" s="1490"/>
      <c r="E222" s="1487"/>
      <c r="F222" s="1488"/>
      <c r="G222" s="1489"/>
      <c r="H222" s="1490"/>
      <c r="I222" s="1487"/>
      <c r="J222" s="1488"/>
      <c r="K222" s="1489"/>
      <c r="L222" s="1490"/>
      <c r="M222" s="1487"/>
      <c r="N222" s="1488"/>
      <c r="O222" s="1489"/>
      <c r="P222" s="1490"/>
      <c r="Q222" s="1399"/>
      <c r="X222" s="1445" t="e">
        <f ca="1"/>
        <v>#NAME?</v>
      </c>
      <c r="Y222" s="1446" t="e">
        <f ca="1"/>
        <v>#NAME?</v>
      </c>
      <c r="Z222" s="1408"/>
      <c r="AB222" s="1399"/>
      <c r="AC222" s="1399"/>
      <c r="AD222" s="1399"/>
      <c r="AE222" s="1399"/>
    </row>
    <row r="223" spans="1:31">
      <c r="A223" s="1487"/>
      <c r="B223" s="1488"/>
      <c r="C223" s="1489"/>
      <c r="D223" s="1490"/>
      <c r="E223" s="1487"/>
      <c r="F223" s="1488"/>
      <c r="G223" s="1489"/>
      <c r="H223" s="1490"/>
      <c r="I223" s="1487"/>
      <c r="J223" s="1488"/>
      <c r="K223" s="1489"/>
      <c r="L223" s="1490"/>
      <c r="M223" s="1487"/>
      <c r="N223" s="1488"/>
      <c r="O223" s="1489"/>
      <c r="P223" s="1490"/>
      <c r="Q223" s="1399"/>
      <c r="X223" s="1445" t="e">
        <f ca="1"/>
        <v>#NAME?</v>
      </c>
      <c r="Y223" s="1446" t="e">
        <f ca="1"/>
        <v>#NAME?</v>
      </c>
      <c r="Z223" s="1408"/>
      <c r="AB223" s="1399"/>
      <c r="AC223" s="1399"/>
      <c r="AD223" s="1399"/>
      <c r="AE223" s="1399"/>
    </row>
    <row r="224" spans="1:31">
      <c r="A224" s="1487"/>
      <c r="B224" s="1488"/>
      <c r="C224" s="1489"/>
      <c r="D224" s="1490"/>
      <c r="E224" s="1487"/>
      <c r="F224" s="1488"/>
      <c r="G224" s="1489"/>
      <c r="H224" s="1490"/>
      <c r="I224" s="1487"/>
      <c r="J224" s="1488"/>
      <c r="K224" s="1489"/>
      <c r="L224" s="1490"/>
      <c r="M224" s="1487"/>
      <c r="N224" s="1488"/>
      <c r="O224" s="1489"/>
      <c r="P224" s="1490"/>
      <c r="Q224" s="1399"/>
      <c r="X224" s="1445" t="e">
        <f ca="1"/>
        <v>#NAME?</v>
      </c>
      <c r="Y224" s="1446" t="e">
        <f ca="1"/>
        <v>#NAME?</v>
      </c>
      <c r="Z224" s="1408"/>
      <c r="AB224" s="1399"/>
      <c r="AC224" s="1399"/>
      <c r="AD224" s="1399"/>
      <c r="AE224" s="1399"/>
    </row>
    <row r="225" spans="1:31">
      <c r="A225" s="1487"/>
      <c r="B225" s="1488"/>
      <c r="C225" s="1489"/>
      <c r="D225" s="1490"/>
      <c r="E225" s="1487"/>
      <c r="F225" s="1488"/>
      <c r="G225" s="1489"/>
      <c r="H225" s="1490"/>
      <c r="I225" s="1487"/>
      <c r="J225" s="1488"/>
      <c r="K225" s="1489"/>
      <c r="L225" s="1490"/>
      <c r="M225" s="1487"/>
      <c r="N225" s="1488"/>
      <c r="O225" s="1489"/>
      <c r="P225" s="1490"/>
      <c r="Q225" s="1399"/>
      <c r="X225" s="1445" t="e">
        <f ca="1"/>
        <v>#NAME?</v>
      </c>
      <c r="Y225" s="1446" t="e">
        <f ca="1"/>
        <v>#NAME?</v>
      </c>
      <c r="Z225" s="1408"/>
      <c r="AB225" s="1399"/>
      <c r="AC225" s="1399"/>
      <c r="AD225" s="1399"/>
      <c r="AE225" s="1399"/>
    </row>
    <row r="226" spans="1:31">
      <c r="A226" s="1487"/>
      <c r="B226" s="1488"/>
      <c r="C226" s="1489"/>
      <c r="D226" s="1490"/>
      <c r="E226" s="1487"/>
      <c r="F226" s="1488"/>
      <c r="G226" s="1489"/>
      <c r="H226" s="1490"/>
      <c r="I226" s="1487"/>
      <c r="J226" s="1488"/>
      <c r="K226" s="1489"/>
      <c r="L226" s="1490"/>
      <c r="M226" s="1487"/>
      <c r="N226" s="1488"/>
      <c r="O226" s="1489"/>
      <c r="P226" s="1490"/>
      <c r="Q226" s="1399"/>
      <c r="X226" s="1445" t="e">
        <f ca="1"/>
        <v>#NAME?</v>
      </c>
      <c r="Y226" s="1446" t="e">
        <f ca="1"/>
        <v>#NAME?</v>
      </c>
      <c r="Z226" s="1408"/>
      <c r="AB226" s="1399"/>
      <c r="AC226" s="1399"/>
      <c r="AD226" s="1399"/>
      <c r="AE226" s="1399"/>
    </row>
    <row r="227" spans="1:31">
      <c r="A227" s="1487"/>
      <c r="B227" s="1488"/>
      <c r="C227" s="1489"/>
      <c r="D227" s="1490"/>
      <c r="E227" s="1487"/>
      <c r="F227" s="1488"/>
      <c r="G227" s="1489"/>
      <c r="H227" s="1490"/>
      <c r="I227" s="1487"/>
      <c r="J227" s="1488"/>
      <c r="K227" s="1489"/>
      <c r="L227" s="1490"/>
      <c r="M227" s="1487"/>
      <c r="N227" s="1488"/>
      <c r="O227" s="1489"/>
      <c r="P227" s="1490"/>
      <c r="Q227" s="1399"/>
      <c r="X227" s="1445" t="e">
        <f ca="1"/>
        <v>#NAME?</v>
      </c>
      <c r="Y227" s="1446" t="e">
        <f ca="1"/>
        <v>#NAME?</v>
      </c>
      <c r="Z227" s="1408"/>
      <c r="AB227" s="1399"/>
      <c r="AC227" s="1399"/>
      <c r="AD227" s="1399"/>
      <c r="AE227" s="1399"/>
    </row>
    <row r="228" spans="1:31">
      <c r="A228" s="1487"/>
      <c r="B228" s="1488"/>
      <c r="C228" s="1489"/>
      <c r="D228" s="1490"/>
      <c r="E228" s="1487"/>
      <c r="F228" s="1488"/>
      <c r="G228" s="1489"/>
      <c r="H228" s="1490"/>
      <c r="I228" s="1487"/>
      <c r="J228" s="1488"/>
      <c r="K228" s="1489"/>
      <c r="L228" s="1490"/>
      <c r="M228" s="1487"/>
      <c r="N228" s="1488"/>
      <c r="O228" s="1489"/>
      <c r="P228" s="1490"/>
      <c r="Q228" s="1399"/>
      <c r="X228" s="1445" t="e">
        <f ca="1"/>
        <v>#NAME?</v>
      </c>
      <c r="Y228" s="1446" t="e">
        <f ca="1"/>
        <v>#NAME?</v>
      </c>
      <c r="Z228" s="1408"/>
      <c r="AB228" s="1399"/>
      <c r="AC228" s="1399"/>
      <c r="AD228" s="1399"/>
      <c r="AE228" s="1399"/>
    </row>
    <row r="229" spans="1:31">
      <c r="A229" s="1487"/>
      <c r="B229" s="1488"/>
      <c r="C229" s="1489"/>
      <c r="D229" s="1490"/>
      <c r="E229" s="1487"/>
      <c r="F229" s="1488"/>
      <c r="G229" s="1489"/>
      <c r="H229" s="1490"/>
      <c r="I229" s="1487"/>
      <c r="J229" s="1488"/>
      <c r="K229" s="1489"/>
      <c r="L229" s="1490"/>
      <c r="M229" s="1487"/>
      <c r="N229" s="1488"/>
      <c r="O229" s="1489"/>
      <c r="P229" s="1490"/>
      <c r="Q229" s="1399"/>
      <c r="X229" s="1445" t="e">
        <f ca="1"/>
        <v>#NAME?</v>
      </c>
      <c r="Y229" s="1446" t="e">
        <f ca="1"/>
        <v>#NAME?</v>
      </c>
      <c r="Z229" s="1408"/>
      <c r="AB229" s="1399"/>
      <c r="AC229" s="1399"/>
      <c r="AD229" s="1399"/>
      <c r="AE229" s="1399"/>
    </row>
    <row r="230" spans="1:31">
      <c r="A230" s="1487"/>
      <c r="B230" s="1488"/>
      <c r="C230" s="1489"/>
      <c r="D230" s="1490"/>
      <c r="E230" s="1487"/>
      <c r="F230" s="1488"/>
      <c r="G230" s="1489"/>
      <c r="H230" s="1490"/>
      <c r="I230" s="1487"/>
      <c r="J230" s="1488"/>
      <c r="K230" s="1489"/>
      <c r="L230" s="1490"/>
      <c r="M230" s="1487"/>
      <c r="N230" s="1488"/>
      <c r="O230" s="1489"/>
      <c r="P230" s="1490"/>
      <c r="Q230" s="1399"/>
      <c r="X230" s="1445" t="e">
        <f ca="1"/>
        <v>#NAME?</v>
      </c>
      <c r="Y230" s="1446" t="e">
        <f ca="1"/>
        <v>#NAME?</v>
      </c>
      <c r="Z230" s="1408"/>
      <c r="AB230" s="1399"/>
      <c r="AC230" s="1399"/>
      <c r="AD230" s="1399"/>
      <c r="AE230" s="1399"/>
    </row>
    <row r="231" spans="1:31">
      <c r="A231" s="1487"/>
      <c r="B231" s="1488"/>
      <c r="C231" s="1489"/>
      <c r="D231" s="1490"/>
      <c r="E231" s="1487"/>
      <c r="F231" s="1488"/>
      <c r="G231" s="1489"/>
      <c r="H231" s="1490"/>
      <c r="I231" s="1487"/>
      <c r="J231" s="1488"/>
      <c r="K231" s="1489"/>
      <c r="L231" s="1490"/>
      <c r="M231" s="1487"/>
      <c r="N231" s="1488"/>
      <c r="O231" s="1489"/>
      <c r="P231" s="1490"/>
      <c r="Q231" s="1399"/>
      <c r="X231" s="1445" t="e">
        <f ca="1"/>
        <v>#NAME?</v>
      </c>
      <c r="Y231" s="1446" t="e">
        <f ca="1"/>
        <v>#NAME?</v>
      </c>
      <c r="Z231" s="1408"/>
      <c r="AB231" s="1399"/>
      <c r="AC231" s="1399"/>
      <c r="AD231" s="1399"/>
      <c r="AE231" s="1399"/>
    </row>
    <row r="232" spans="1:31">
      <c r="A232" s="1487"/>
      <c r="B232" s="1488"/>
      <c r="C232" s="1489"/>
      <c r="D232" s="1490"/>
      <c r="E232" s="1487"/>
      <c r="F232" s="1488"/>
      <c r="G232" s="1489"/>
      <c r="H232" s="1490"/>
      <c r="I232" s="1487"/>
      <c r="J232" s="1488"/>
      <c r="K232" s="1489"/>
      <c r="L232" s="1490"/>
      <c r="M232" s="1487"/>
      <c r="N232" s="1488"/>
      <c r="O232" s="1489"/>
      <c r="P232" s="1490"/>
      <c r="Q232" s="1399"/>
      <c r="X232" s="1445" t="e">
        <f ca="1"/>
        <v>#NAME?</v>
      </c>
      <c r="Y232" s="1446" t="e">
        <f ca="1"/>
        <v>#NAME?</v>
      </c>
      <c r="Z232" s="1408"/>
      <c r="AB232" s="1399"/>
      <c r="AC232" s="1399"/>
      <c r="AD232" s="1399"/>
      <c r="AE232" s="1399"/>
    </row>
    <row r="233" spans="1:31">
      <c r="A233" s="1487"/>
      <c r="B233" s="1488"/>
      <c r="C233" s="1489"/>
      <c r="D233" s="1490"/>
      <c r="E233" s="1487"/>
      <c r="F233" s="1488"/>
      <c r="G233" s="1489"/>
      <c r="H233" s="1490"/>
      <c r="I233" s="1487"/>
      <c r="J233" s="1488"/>
      <c r="K233" s="1489"/>
      <c r="L233" s="1490"/>
      <c r="M233" s="1487"/>
      <c r="N233" s="1488"/>
      <c r="O233" s="1489"/>
      <c r="P233" s="1490"/>
      <c r="Q233" s="1399"/>
      <c r="X233" s="1445" t="e">
        <f ca="1"/>
        <v>#NAME?</v>
      </c>
      <c r="Y233" s="1446" t="e">
        <f ca="1"/>
        <v>#NAME?</v>
      </c>
      <c r="Z233" s="1408"/>
      <c r="AB233" s="1399"/>
      <c r="AC233" s="1399"/>
      <c r="AD233" s="1399"/>
      <c r="AE233" s="1399"/>
    </row>
    <row r="234" spans="1:31">
      <c r="A234" s="1487"/>
      <c r="B234" s="1488"/>
      <c r="C234" s="1489"/>
      <c r="D234" s="1490"/>
      <c r="E234" s="1487"/>
      <c r="F234" s="1488"/>
      <c r="G234" s="1489"/>
      <c r="H234" s="1490"/>
      <c r="I234" s="1487"/>
      <c r="J234" s="1488"/>
      <c r="K234" s="1489"/>
      <c r="L234" s="1490"/>
      <c r="M234" s="1487"/>
      <c r="N234" s="1488"/>
      <c r="O234" s="1489"/>
      <c r="P234" s="1490"/>
      <c r="Q234" s="1399"/>
      <c r="X234" s="1445" t="e">
        <f ca="1"/>
        <v>#NAME?</v>
      </c>
      <c r="Y234" s="1446" t="e">
        <f ca="1"/>
        <v>#NAME?</v>
      </c>
      <c r="Z234" s="1408"/>
      <c r="AB234" s="1399"/>
      <c r="AC234" s="1399"/>
      <c r="AD234" s="1399"/>
      <c r="AE234" s="1399"/>
    </row>
    <row r="235" spans="1:31">
      <c r="A235" s="1487"/>
      <c r="B235" s="1488"/>
      <c r="C235" s="1489"/>
      <c r="D235" s="1490"/>
      <c r="E235" s="1487"/>
      <c r="F235" s="1488"/>
      <c r="G235" s="1489"/>
      <c r="H235" s="1490"/>
      <c r="I235" s="1487"/>
      <c r="J235" s="1488"/>
      <c r="K235" s="1489"/>
      <c r="L235" s="1490"/>
      <c r="M235" s="1487"/>
      <c r="N235" s="1488"/>
      <c r="O235" s="1489"/>
      <c r="P235" s="1490"/>
      <c r="Q235" s="1399"/>
      <c r="X235" s="1445" t="e">
        <f ca="1"/>
        <v>#NAME?</v>
      </c>
      <c r="Y235" s="1446" t="e">
        <f ca="1"/>
        <v>#NAME?</v>
      </c>
      <c r="Z235" s="1408"/>
      <c r="AB235" s="1399"/>
      <c r="AC235" s="1399"/>
      <c r="AD235" s="1399"/>
      <c r="AE235" s="1399"/>
    </row>
    <row r="236" spans="1:31">
      <c r="A236" s="1487"/>
      <c r="B236" s="1488"/>
      <c r="C236" s="1489"/>
      <c r="D236" s="1490"/>
      <c r="E236" s="1487"/>
      <c r="F236" s="1488"/>
      <c r="G236" s="1489"/>
      <c r="H236" s="1490"/>
      <c r="I236" s="1487"/>
      <c r="J236" s="1488"/>
      <c r="K236" s="1489"/>
      <c r="L236" s="1490"/>
      <c r="M236" s="1487"/>
      <c r="N236" s="1488"/>
      <c r="O236" s="1489"/>
      <c r="P236" s="1490"/>
      <c r="Q236" s="1399"/>
      <c r="X236" s="1445" t="e">
        <f ca="1"/>
        <v>#NAME?</v>
      </c>
      <c r="Y236" s="1446" t="e">
        <f ca="1"/>
        <v>#NAME?</v>
      </c>
      <c r="Z236" s="1408"/>
      <c r="AB236" s="1399"/>
      <c r="AC236" s="1399"/>
      <c r="AD236" s="1399"/>
      <c r="AE236" s="1399"/>
    </row>
    <row r="237" spans="1:31">
      <c r="A237" s="1487"/>
      <c r="B237" s="1488"/>
      <c r="C237" s="1489"/>
      <c r="D237" s="1490"/>
      <c r="E237" s="1487"/>
      <c r="F237" s="1488"/>
      <c r="G237" s="1489"/>
      <c r="H237" s="1490"/>
      <c r="I237" s="1487"/>
      <c r="J237" s="1488"/>
      <c r="K237" s="1489"/>
      <c r="L237" s="1490"/>
      <c r="M237" s="1487"/>
      <c r="N237" s="1488"/>
      <c r="O237" s="1489"/>
      <c r="P237" s="1490"/>
      <c r="Q237" s="1399"/>
      <c r="X237" s="1445" t="e">
        <f ca="1"/>
        <v>#NAME?</v>
      </c>
      <c r="Y237" s="1446" t="e">
        <f ca="1"/>
        <v>#NAME?</v>
      </c>
      <c r="Z237" s="1408"/>
      <c r="AB237" s="1399"/>
      <c r="AC237" s="1399"/>
      <c r="AD237" s="1399"/>
      <c r="AE237" s="1399"/>
    </row>
    <row r="238" spans="1:31">
      <c r="A238" s="1487"/>
      <c r="B238" s="1488"/>
      <c r="C238" s="1489"/>
      <c r="D238" s="1490"/>
      <c r="E238" s="1487"/>
      <c r="F238" s="1488"/>
      <c r="G238" s="1489"/>
      <c r="H238" s="1490"/>
      <c r="I238" s="1487"/>
      <c r="J238" s="1488"/>
      <c r="K238" s="1489"/>
      <c r="L238" s="1490"/>
      <c r="M238" s="1487"/>
      <c r="N238" s="1488"/>
      <c r="O238" s="1489"/>
      <c r="P238" s="1490"/>
      <c r="Q238" s="1399"/>
      <c r="X238" s="1445" t="e">
        <f ca="1"/>
        <v>#NAME?</v>
      </c>
      <c r="Y238" s="1446" t="e">
        <f ca="1"/>
        <v>#NAME?</v>
      </c>
      <c r="Z238" s="1408"/>
      <c r="AB238" s="1399"/>
      <c r="AC238" s="1399"/>
      <c r="AD238" s="1399"/>
      <c r="AE238" s="1399"/>
    </row>
    <row r="239" spans="1:31">
      <c r="A239" s="1487"/>
      <c r="B239" s="1488"/>
      <c r="C239" s="1489"/>
      <c r="D239" s="1490"/>
      <c r="E239" s="1487"/>
      <c r="F239" s="1488"/>
      <c r="G239" s="1489"/>
      <c r="H239" s="1490"/>
      <c r="I239" s="1487"/>
      <c r="J239" s="1488"/>
      <c r="K239" s="1489"/>
      <c r="L239" s="1490"/>
      <c r="M239" s="1487"/>
      <c r="N239" s="1488"/>
      <c r="O239" s="1489"/>
      <c r="P239" s="1490"/>
      <c r="Q239" s="1399"/>
      <c r="X239" s="1445" t="e">
        <f ca="1"/>
        <v>#NAME?</v>
      </c>
      <c r="Y239" s="1446" t="e">
        <f ca="1"/>
        <v>#NAME?</v>
      </c>
      <c r="Z239" s="1408"/>
      <c r="AB239" s="1399"/>
      <c r="AC239" s="1399"/>
      <c r="AD239" s="1399"/>
      <c r="AE239" s="1399"/>
    </row>
    <row r="240" spans="1:31">
      <c r="A240" s="1487"/>
      <c r="B240" s="1488"/>
      <c r="C240" s="1489"/>
      <c r="D240" s="1490"/>
      <c r="E240" s="1487"/>
      <c r="F240" s="1488"/>
      <c r="G240" s="1489"/>
      <c r="H240" s="1490"/>
      <c r="I240" s="1487"/>
      <c r="J240" s="1488"/>
      <c r="K240" s="1489"/>
      <c r="L240" s="1490"/>
      <c r="M240" s="1487"/>
      <c r="N240" s="1488"/>
      <c r="O240" s="1489"/>
      <c r="P240" s="1490"/>
      <c r="Q240" s="1399"/>
      <c r="X240" s="1445" t="e">
        <f ca="1"/>
        <v>#NAME?</v>
      </c>
      <c r="Y240" s="1446" t="e">
        <f ca="1"/>
        <v>#NAME?</v>
      </c>
      <c r="Z240" s="1408"/>
      <c r="AB240" s="1399"/>
      <c r="AC240" s="1399"/>
      <c r="AD240" s="1399"/>
      <c r="AE240" s="1399"/>
    </row>
    <row r="241" spans="1:31">
      <c r="A241" s="1487"/>
      <c r="B241" s="1488"/>
      <c r="C241" s="1489"/>
      <c r="D241" s="1490"/>
      <c r="E241" s="1487"/>
      <c r="F241" s="1488"/>
      <c r="G241" s="1489"/>
      <c r="H241" s="1490"/>
      <c r="I241" s="1487"/>
      <c r="J241" s="1488"/>
      <c r="K241" s="1489"/>
      <c r="L241" s="1490"/>
      <c r="M241" s="1487"/>
      <c r="N241" s="1488"/>
      <c r="O241" s="1489"/>
      <c r="P241" s="1490"/>
      <c r="Q241" s="1399"/>
      <c r="X241" s="1445" t="e">
        <f ca="1"/>
        <v>#NAME?</v>
      </c>
      <c r="Y241" s="1446" t="e">
        <f ca="1"/>
        <v>#NAME?</v>
      </c>
      <c r="Z241" s="1408"/>
      <c r="AB241" s="1399"/>
      <c r="AC241" s="1399"/>
      <c r="AD241" s="1399"/>
      <c r="AE241" s="1399"/>
    </row>
    <row r="242" spans="1:31">
      <c r="A242" s="1487"/>
      <c r="B242" s="1488"/>
      <c r="C242" s="1489"/>
      <c r="D242" s="1490"/>
      <c r="E242" s="1487"/>
      <c r="F242" s="1488"/>
      <c r="G242" s="1489"/>
      <c r="H242" s="1490"/>
      <c r="I242" s="1487"/>
      <c r="J242" s="1488"/>
      <c r="K242" s="1489"/>
      <c r="L242" s="1490"/>
      <c r="M242" s="1487"/>
      <c r="N242" s="1488"/>
      <c r="O242" s="1489"/>
      <c r="P242" s="1490"/>
      <c r="Q242" s="1399"/>
      <c r="X242" s="1445" t="e">
        <f ca="1"/>
        <v>#NAME?</v>
      </c>
      <c r="Y242" s="1446" t="e">
        <f ca="1"/>
        <v>#NAME?</v>
      </c>
      <c r="Z242" s="1408"/>
      <c r="AB242" s="1399"/>
      <c r="AC242" s="1399"/>
      <c r="AD242" s="1399"/>
      <c r="AE242" s="1399"/>
    </row>
    <row r="243" spans="1:31">
      <c r="A243" s="1487"/>
      <c r="B243" s="1488"/>
      <c r="C243" s="1489"/>
      <c r="D243" s="1490"/>
      <c r="E243" s="1487"/>
      <c r="F243" s="1488"/>
      <c r="G243" s="1489"/>
      <c r="H243" s="1490"/>
      <c r="I243" s="1487"/>
      <c r="J243" s="1488"/>
      <c r="K243" s="1489"/>
      <c r="L243" s="1490"/>
      <c r="M243" s="1487"/>
      <c r="N243" s="1488"/>
      <c r="O243" s="1489"/>
      <c r="P243" s="1490"/>
      <c r="Q243" s="1399"/>
      <c r="X243" s="1445" t="e">
        <f ca="1"/>
        <v>#NAME?</v>
      </c>
      <c r="Y243" s="1446" t="e">
        <f ca="1"/>
        <v>#NAME?</v>
      </c>
      <c r="Z243" s="1408"/>
      <c r="AB243" s="1399"/>
      <c r="AC243" s="1399"/>
      <c r="AD243" s="1399"/>
      <c r="AE243" s="1399"/>
    </row>
    <row r="244" spans="1:31">
      <c r="A244" s="1487"/>
      <c r="B244" s="1488"/>
      <c r="C244" s="1489"/>
      <c r="D244" s="1490"/>
      <c r="E244" s="1487"/>
      <c r="F244" s="1488"/>
      <c r="G244" s="1489"/>
      <c r="H244" s="1490"/>
      <c r="I244" s="1487"/>
      <c r="J244" s="1488"/>
      <c r="K244" s="1489"/>
      <c r="L244" s="1490"/>
      <c r="M244" s="1487"/>
      <c r="N244" s="1488"/>
      <c r="O244" s="1489"/>
      <c r="P244" s="1490"/>
      <c r="Q244" s="1399"/>
      <c r="X244" s="1445" t="e">
        <f ca="1"/>
        <v>#NAME?</v>
      </c>
      <c r="Y244" s="1446" t="e">
        <f ca="1"/>
        <v>#NAME?</v>
      </c>
      <c r="Z244" s="1408"/>
      <c r="AB244" s="1399"/>
      <c r="AC244" s="1399"/>
      <c r="AD244" s="1399"/>
      <c r="AE244" s="1399"/>
    </row>
    <row r="245" spans="1:31">
      <c r="A245" s="1487"/>
      <c r="B245" s="1488"/>
      <c r="C245" s="1489"/>
      <c r="D245" s="1490"/>
      <c r="E245" s="1487"/>
      <c r="F245" s="1488"/>
      <c r="G245" s="1489"/>
      <c r="H245" s="1490"/>
      <c r="I245" s="1487"/>
      <c r="J245" s="1488"/>
      <c r="K245" s="1489"/>
      <c r="L245" s="1490"/>
      <c r="M245" s="1487"/>
      <c r="N245" s="1488"/>
      <c r="O245" s="1489"/>
      <c r="P245" s="1490"/>
      <c r="Q245" s="1399"/>
      <c r="X245" s="1445" t="e">
        <f ca="1"/>
        <v>#NAME?</v>
      </c>
      <c r="Y245" s="1446" t="e">
        <f ca="1"/>
        <v>#NAME?</v>
      </c>
      <c r="Z245" s="1408"/>
      <c r="AB245" s="1399"/>
      <c r="AC245" s="1399"/>
      <c r="AD245" s="1399"/>
      <c r="AE245" s="1399"/>
    </row>
    <row r="246" spans="1:31">
      <c r="A246" s="1487"/>
      <c r="B246" s="1488"/>
      <c r="C246" s="1489"/>
      <c r="D246" s="1490"/>
      <c r="E246" s="1487"/>
      <c r="F246" s="1488"/>
      <c r="G246" s="1489"/>
      <c r="H246" s="1490"/>
      <c r="I246" s="1487"/>
      <c r="J246" s="1488"/>
      <c r="K246" s="1489"/>
      <c r="L246" s="1490"/>
      <c r="M246" s="1487"/>
      <c r="N246" s="1488"/>
      <c r="O246" s="1489"/>
      <c r="P246" s="1490"/>
      <c r="Q246" s="1399"/>
      <c r="X246" s="1445" t="e">
        <f ca="1"/>
        <v>#NAME?</v>
      </c>
      <c r="Y246" s="1446" t="e">
        <f ca="1"/>
        <v>#NAME?</v>
      </c>
      <c r="Z246" s="1408"/>
      <c r="AB246" s="1399"/>
      <c r="AC246" s="1399"/>
      <c r="AD246" s="1399"/>
      <c r="AE246" s="1399"/>
    </row>
    <row r="247" spans="1:31">
      <c r="A247" s="1487"/>
      <c r="B247" s="1488"/>
      <c r="C247" s="1489"/>
      <c r="D247" s="1490"/>
      <c r="E247" s="1487"/>
      <c r="F247" s="1488"/>
      <c r="G247" s="1489"/>
      <c r="H247" s="1490"/>
      <c r="I247" s="1487"/>
      <c r="J247" s="1488"/>
      <c r="K247" s="1489"/>
      <c r="L247" s="1490"/>
      <c r="M247" s="1487"/>
      <c r="N247" s="1488"/>
      <c r="O247" s="1489"/>
      <c r="P247" s="1490"/>
      <c r="Q247" s="1399"/>
      <c r="X247" s="1445" t="e">
        <f ca="1"/>
        <v>#NAME?</v>
      </c>
      <c r="Y247" s="1446" t="e">
        <f ca="1"/>
        <v>#NAME?</v>
      </c>
      <c r="Z247" s="1408"/>
      <c r="AB247" s="1399"/>
      <c r="AC247" s="1399"/>
      <c r="AD247" s="1399"/>
      <c r="AE247" s="1399"/>
    </row>
    <row r="248" spans="1:31">
      <c r="A248" s="1487"/>
      <c r="B248" s="1488"/>
      <c r="C248" s="1489"/>
      <c r="D248" s="1490"/>
      <c r="E248" s="1487"/>
      <c r="F248" s="1488"/>
      <c r="G248" s="1489"/>
      <c r="H248" s="1490"/>
      <c r="I248" s="1487"/>
      <c r="J248" s="1488"/>
      <c r="K248" s="1489"/>
      <c r="L248" s="1490"/>
      <c r="M248" s="1487"/>
      <c r="N248" s="1488"/>
      <c r="O248" s="1489"/>
      <c r="P248" s="1490"/>
      <c r="Q248" s="1399"/>
      <c r="X248" s="1445" t="e">
        <f ca="1"/>
        <v>#NAME?</v>
      </c>
      <c r="Y248" s="1446" t="e">
        <f ca="1"/>
        <v>#NAME?</v>
      </c>
      <c r="Z248" s="1408"/>
      <c r="AB248" s="1399"/>
      <c r="AC248" s="1399"/>
      <c r="AD248" s="1399"/>
      <c r="AE248" s="1399"/>
    </row>
    <row r="249" spans="1:31">
      <c r="A249" s="1487"/>
      <c r="B249" s="1488"/>
      <c r="C249" s="1489"/>
      <c r="D249" s="1490"/>
      <c r="E249" s="1487"/>
      <c r="F249" s="1488"/>
      <c r="G249" s="1489"/>
      <c r="H249" s="1490"/>
      <c r="I249" s="1487"/>
      <c r="J249" s="1488"/>
      <c r="K249" s="1489"/>
      <c r="L249" s="1490"/>
      <c r="M249" s="1487"/>
      <c r="N249" s="1488"/>
      <c r="O249" s="1489"/>
      <c r="P249" s="1490"/>
      <c r="Q249" s="1399"/>
      <c r="X249" s="1445" t="e">
        <f ca="1"/>
        <v>#NAME?</v>
      </c>
      <c r="Y249" s="1446" t="e">
        <f ca="1"/>
        <v>#NAME?</v>
      </c>
      <c r="Z249" s="1408"/>
      <c r="AB249" s="1399"/>
      <c r="AC249" s="1399"/>
      <c r="AD249" s="1399"/>
      <c r="AE249" s="1399"/>
    </row>
    <row r="250" spans="1:31">
      <c r="A250" s="1487"/>
      <c r="B250" s="1488"/>
      <c r="C250" s="1489"/>
      <c r="D250" s="1490"/>
      <c r="E250" s="1487"/>
      <c r="F250" s="1488"/>
      <c r="G250" s="1489"/>
      <c r="H250" s="1490"/>
      <c r="I250" s="1487"/>
      <c r="J250" s="1488"/>
      <c r="K250" s="1489"/>
      <c r="L250" s="1490"/>
      <c r="M250" s="1487"/>
      <c r="N250" s="1488"/>
      <c r="O250" s="1489"/>
      <c r="P250" s="1490"/>
      <c r="Q250" s="1399"/>
      <c r="X250" s="1445" t="e">
        <f ca="1"/>
        <v>#NAME?</v>
      </c>
      <c r="Y250" s="1446" t="e">
        <f ca="1"/>
        <v>#NAME?</v>
      </c>
      <c r="Z250" s="1408"/>
      <c r="AB250" s="1399"/>
      <c r="AC250" s="1399"/>
      <c r="AD250" s="1399"/>
      <c r="AE250" s="1399"/>
    </row>
    <row r="251" spans="1:31">
      <c r="A251" s="1487"/>
      <c r="B251" s="1488"/>
      <c r="C251" s="1489"/>
      <c r="D251" s="1490"/>
      <c r="E251" s="1487"/>
      <c r="F251" s="1488"/>
      <c r="G251" s="1489"/>
      <c r="H251" s="1490"/>
      <c r="I251" s="1487"/>
      <c r="J251" s="1488"/>
      <c r="K251" s="1489"/>
      <c r="L251" s="1490"/>
      <c r="M251" s="1487"/>
      <c r="N251" s="1488"/>
      <c r="O251" s="1489"/>
      <c r="P251" s="1490"/>
      <c r="Q251" s="1399"/>
      <c r="X251" s="1445" t="e">
        <f ca="1"/>
        <v>#NAME?</v>
      </c>
      <c r="Y251" s="1446" t="e">
        <f ca="1"/>
        <v>#NAME?</v>
      </c>
      <c r="Z251" s="1408"/>
      <c r="AB251" s="1399"/>
      <c r="AC251" s="1399"/>
      <c r="AD251" s="1399"/>
      <c r="AE251" s="1399"/>
    </row>
    <row r="252" spans="1:31">
      <c r="A252" s="1487"/>
      <c r="B252" s="1488"/>
      <c r="C252" s="1489"/>
      <c r="D252" s="1490"/>
      <c r="E252" s="1487"/>
      <c r="F252" s="1488"/>
      <c r="G252" s="1489"/>
      <c r="H252" s="1490"/>
      <c r="I252" s="1487"/>
      <c r="J252" s="1488"/>
      <c r="K252" s="1489"/>
      <c r="L252" s="1490"/>
      <c r="M252" s="1487"/>
      <c r="N252" s="1488"/>
      <c r="O252" s="1489"/>
      <c r="P252" s="1490"/>
      <c r="Q252" s="1399"/>
      <c r="X252" s="1445" t="e">
        <f ca="1"/>
        <v>#NAME?</v>
      </c>
      <c r="Y252" s="1446" t="e">
        <f ca="1"/>
        <v>#NAME?</v>
      </c>
      <c r="Z252" s="1408"/>
      <c r="AB252" s="1399"/>
      <c r="AC252" s="1399"/>
      <c r="AD252" s="1399"/>
      <c r="AE252" s="1399"/>
    </row>
    <row r="253" spans="1:31">
      <c r="A253" s="1487"/>
      <c r="B253" s="1488"/>
      <c r="C253" s="1489"/>
      <c r="D253" s="1490"/>
      <c r="E253" s="1487"/>
      <c r="F253" s="1488"/>
      <c r="G253" s="1489"/>
      <c r="H253" s="1490"/>
      <c r="I253" s="1487"/>
      <c r="J253" s="1488"/>
      <c r="K253" s="1489"/>
      <c r="L253" s="1490"/>
      <c r="M253" s="1487"/>
      <c r="N253" s="1488"/>
      <c r="O253" s="1489"/>
      <c r="P253" s="1490"/>
      <c r="Q253" s="1399"/>
      <c r="X253" s="1445" t="e">
        <f ca="1"/>
        <v>#NAME?</v>
      </c>
      <c r="Y253" s="1446" t="e">
        <f ca="1"/>
        <v>#NAME?</v>
      </c>
      <c r="Z253" s="1408"/>
      <c r="AB253" s="1399"/>
      <c r="AC253" s="1399"/>
      <c r="AD253" s="1399"/>
      <c r="AE253" s="1399"/>
    </row>
    <row r="254" spans="1:31">
      <c r="A254" s="1487"/>
      <c r="B254" s="1488"/>
      <c r="C254" s="1489"/>
      <c r="D254" s="1490"/>
      <c r="E254" s="1487"/>
      <c r="F254" s="1488"/>
      <c r="G254" s="1489"/>
      <c r="H254" s="1490"/>
      <c r="I254" s="1487"/>
      <c r="J254" s="1488"/>
      <c r="K254" s="1489"/>
      <c r="L254" s="1490"/>
      <c r="M254" s="1487"/>
      <c r="N254" s="1488"/>
      <c r="O254" s="1489"/>
      <c r="P254" s="1490"/>
      <c r="Q254" s="1399"/>
      <c r="X254" s="1445" t="e">
        <f ca="1"/>
        <v>#NAME?</v>
      </c>
      <c r="Y254" s="1446" t="e">
        <f ca="1"/>
        <v>#NAME?</v>
      </c>
      <c r="Z254" s="1408"/>
      <c r="AB254" s="1399"/>
      <c r="AC254" s="1399"/>
      <c r="AD254" s="1399"/>
      <c r="AE254" s="1399"/>
    </row>
    <row r="255" spans="1:31">
      <c r="A255" s="1487"/>
      <c r="B255" s="1488"/>
      <c r="C255" s="1489"/>
      <c r="D255" s="1490"/>
      <c r="E255" s="1487"/>
      <c r="F255" s="1488"/>
      <c r="G255" s="1489"/>
      <c r="H255" s="1490"/>
      <c r="I255" s="1487"/>
      <c r="J255" s="1488"/>
      <c r="K255" s="1489"/>
      <c r="L255" s="1490"/>
      <c r="M255" s="1487"/>
      <c r="N255" s="1488"/>
      <c r="O255" s="1489"/>
      <c r="P255" s="1490"/>
      <c r="Q255" s="1399"/>
      <c r="X255" s="1445" t="e">
        <f ca="1"/>
        <v>#NAME?</v>
      </c>
      <c r="Y255" s="1446" t="e">
        <f ca="1"/>
        <v>#NAME?</v>
      </c>
      <c r="Z255" s="1408"/>
      <c r="AB255" s="1399"/>
      <c r="AC255" s="1399"/>
      <c r="AD255" s="1399"/>
      <c r="AE255" s="1399"/>
    </row>
    <row r="256" spans="1:31">
      <c r="A256" s="1487"/>
      <c r="B256" s="1488"/>
      <c r="C256" s="1489"/>
      <c r="D256" s="1490"/>
      <c r="E256" s="1487"/>
      <c r="F256" s="1488"/>
      <c r="G256" s="1489"/>
      <c r="H256" s="1490"/>
      <c r="I256" s="1487"/>
      <c r="J256" s="1488"/>
      <c r="K256" s="1489"/>
      <c r="L256" s="1490"/>
      <c r="M256" s="1487"/>
      <c r="N256" s="1488"/>
      <c r="O256" s="1489"/>
      <c r="P256" s="1490"/>
      <c r="Q256" s="1399"/>
      <c r="X256" s="1445" t="e">
        <f ca="1"/>
        <v>#NAME?</v>
      </c>
      <c r="Y256" s="1446" t="e">
        <f ca="1"/>
        <v>#NAME?</v>
      </c>
      <c r="Z256" s="1408"/>
      <c r="AB256" s="1399"/>
      <c r="AC256" s="1399"/>
      <c r="AD256" s="1399"/>
      <c r="AE256" s="1399"/>
    </row>
    <row r="257" spans="1:31">
      <c r="A257" s="1487"/>
      <c r="B257" s="1488"/>
      <c r="C257" s="1489"/>
      <c r="D257" s="1490"/>
      <c r="E257" s="1487"/>
      <c r="F257" s="1488"/>
      <c r="G257" s="1489"/>
      <c r="H257" s="1490"/>
      <c r="I257" s="1487"/>
      <c r="J257" s="1488"/>
      <c r="K257" s="1489"/>
      <c r="L257" s="1490"/>
      <c r="M257" s="1487"/>
      <c r="N257" s="1488"/>
      <c r="O257" s="1489"/>
      <c r="P257" s="1490"/>
      <c r="Q257" s="1399"/>
      <c r="X257" s="1445" t="e">
        <f ca="1"/>
        <v>#NAME?</v>
      </c>
      <c r="Y257" s="1446" t="e">
        <f ca="1"/>
        <v>#NAME?</v>
      </c>
      <c r="Z257" s="1408"/>
      <c r="AB257" s="1399"/>
      <c r="AC257" s="1399"/>
      <c r="AD257" s="1399"/>
      <c r="AE257" s="1399"/>
    </row>
    <row r="258" spans="1:31">
      <c r="A258" s="1487"/>
      <c r="B258" s="1488"/>
      <c r="C258" s="1489"/>
      <c r="D258" s="1490"/>
      <c r="E258" s="1487"/>
      <c r="F258" s="1488"/>
      <c r="G258" s="1489"/>
      <c r="H258" s="1490"/>
      <c r="I258" s="1487"/>
      <c r="J258" s="1488"/>
      <c r="K258" s="1489"/>
      <c r="L258" s="1490"/>
      <c r="M258" s="1487"/>
      <c r="N258" s="1488"/>
      <c r="O258" s="1489"/>
      <c r="P258" s="1490"/>
      <c r="Q258" s="1399"/>
      <c r="X258" s="1445" t="e">
        <f ca="1"/>
        <v>#NAME?</v>
      </c>
      <c r="Y258" s="1446" t="e">
        <f ca="1"/>
        <v>#NAME?</v>
      </c>
      <c r="Z258" s="1408"/>
      <c r="AB258" s="1399"/>
      <c r="AC258" s="1399"/>
      <c r="AD258" s="1399"/>
      <c r="AE258" s="1399"/>
    </row>
    <row r="259" spans="1:31">
      <c r="A259" s="1487"/>
      <c r="B259" s="1488"/>
      <c r="C259" s="1489"/>
      <c r="D259" s="1490"/>
      <c r="E259" s="1487"/>
      <c r="F259" s="1488"/>
      <c r="G259" s="1489"/>
      <c r="H259" s="1490"/>
      <c r="I259" s="1487"/>
      <c r="J259" s="1488"/>
      <c r="K259" s="1489"/>
      <c r="L259" s="1490"/>
      <c r="M259" s="1487"/>
      <c r="N259" s="1488"/>
      <c r="O259" s="1489"/>
      <c r="P259" s="1490"/>
      <c r="Q259" s="1399"/>
      <c r="X259" s="1445" t="e">
        <f ca="1"/>
        <v>#NAME?</v>
      </c>
      <c r="Y259" s="1446" t="e">
        <f ca="1"/>
        <v>#NAME?</v>
      </c>
      <c r="Z259" s="1408"/>
      <c r="AB259" s="1399"/>
      <c r="AC259" s="1399"/>
      <c r="AD259" s="1399"/>
      <c r="AE259" s="1399"/>
    </row>
    <row r="260" spans="1:31">
      <c r="A260" s="1487"/>
      <c r="B260" s="1488"/>
      <c r="C260" s="1489"/>
      <c r="D260" s="1490"/>
      <c r="E260" s="1487"/>
      <c r="F260" s="1488"/>
      <c r="G260" s="1489"/>
      <c r="H260" s="1490"/>
      <c r="I260" s="1487"/>
      <c r="J260" s="1488"/>
      <c r="K260" s="1489"/>
      <c r="L260" s="1490"/>
      <c r="M260" s="1487"/>
      <c r="N260" s="1488"/>
      <c r="O260" s="1489"/>
      <c r="P260" s="1490"/>
      <c r="Q260" s="1399"/>
      <c r="X260" s="1445" t="e">
        <f ca="1"/>
        <v>#NAME?</v>
      </c>
      <c r="Y260" s="1446" t="e">
        <f ca="1"/>
        <v>#NAME?</v>
      </c>
      <c r="Z260" s="1408"/>
      <c r="AB260" s="1399"/>
      <c r="AC260" s="1399"/>
      <c r="AD260" s="1399"/>
      <c r="AE260" s="1399"/>
    </row>
    <row r="261" spans="1:31">
      <c r="A261" s="1487"/>
      <c r="B261" s="1488"/>
      <c r="C261" s="1489"/>
      <c r="D261" s="1490"/>
      <c r="E261" s="1487"/>
      <c r="F261" s="1488"/>
      <c r="G261" s="1489"/>
      <c r="H261" s="1490"/>
      <c r="I261" s="1487"/>
      <c r="J261" s="1488"/>
      <c r="K261" s="1489"/>
      <c r="L261" s="1490"/>
      <c r="M261" s="1487"/>
      <c r="N261" s="1488"/>
      <c r="O261" s="1489"/>
      <c r="P261" s="1490"/>
      <c r="Q261" s="1399"/>
      <c r="X261" s="1445" t="e">
        <f ca="1"/>
        <v>#NAME?</v>
      </c>
      <c r="Y261" s="1446" t="e">
        <f ca="1"/>
        <v>#NAME?</v>
      </c>
      <c r="Z261" s="1408"/>
      <c r="AB261" s="1399"/>
      <c r="AC261" s="1399"/>
      <c r="AD261" s="1399"/>
      <c r="AE261" s="1399"/>
    </row>
    <row r="262" spans="1:31">
      <c r="A262" s="1487"/>
      <c r="B262" s="1488"/>
      <c r="C262" s="1489"/>
      <c r="D262" s="1490"/>
      <c r="E262" s="1487"/>
      <c r="F262" s="1488"/>
      <c r="G262" s="1489"/>
      <c r="H262" s="1490"/>
      <c r="I262" s="1487"/>
      <c r="J262" s="1488"/>
      <c r="K262" s="1489"/>
      <c r="L262" s="1490"/>
      <c r="M262" s="1487"/>
      <c r="N262" s="1488"/>
      <c r="O262" s="1489"/>
      <c r="P262" s="1490"/>
      <c r="Q262" s="1399"/>
      <c r="X262" s="1445" t="e">
        <f ca="1"/>
        <v>#NAME?</v>
      </c>
      <c r="Y262" s="1446" t="e">
        <f ca="1"/>
        <v>#NAME?</v>
      </c>
      <c r="Z262" s="1408"/>
      <c r="AB262" s="1399"/>
      <c r="AC262" s="1399"/>
      <c r="AD262" s="1399"/>
      <c r="AE262" s="1399"/>
    </row>
    <row r="263" spans="1:31">
      <c r="A263" s="1487"/>
      <c r="B263" s="1488"/>
      <c r="C263" s="1489"/>
      <c r="D263" s="1490"/>
      <c r="E263" s="1487"/>
      <c r="F263" s="1488"/>
      <c r="G263" s="1489"/>
      <c r="H263" s="1490"/>
      <c r="I263" s="1487"/>
      <c r="J263" s="1488"/>
      <c r="K263" s="1489"/>
      <c r="L263" s="1490"/>
      <c r="M263" s="1487"/>
      <c r="N263" s="1488"/>
      <c r="O263" s="1489"/>
      <c r="P263" s="1490"/>
      <c r="Q263" s="1399"/>
      <c r="X263" s="1445" t="e">
        <f ca="1"/>
        <v>#NAME?</v>
      </c>
      <c r="Y263" s="1446" t="e">
        <f ca="1"/>
        <v>#NAME?</v>
      </c>
      <c r="Z263" s="1408"/>
      <c r="AB263" s="1399"/>
      <c r="AC263" s="1399"/>
      <c r="AD263" s="1399"/>
      <c r="AE263" s="1399"/>
    </row>
    <row r="264" spans="1:31">
      <c r="A264" s="1487"/>
      <c r="B264" s="1488"/>
      <c r="C264" s="1489"/>
      <c r="D264" s="1490"/>
      <c r="E264" s="1487"/>
      <c r="F264" s="1488"/>
      <c r="G264" s="1489"/>
      <c r="H264" s="1490"/>
      <c r="I264" s="1487"/>
      <c r="J264" s="1488"/>
      <c r="K264" s="1489"/>
      <c r="L264" s="1490"/>
      <c r="M264" s="1487"/>
      <c r="N264" s="1488"/>
      <c r="O264" s="1489"/>
      <c r="P264" s="1490"/>
      <c r="Q264" s="1399"/>
      <c r="X264" s="1445" t="e">
        <f ca="1"/>
        <v>#NAME?</v>
      </c>
      <c r="Y264" s="1446" t="e">
        <f ca="1"/>
        <v>#NAME?</v>
      </c>
      <c r="Z264" s="1408"/>
      <c r="AB264" s="1399"/>
      <c r="AC264" s="1399"/>
      <c r="AD264" s="1399"/>
      <c r="AE264" s="1399"/>
    </row>
    <row r="265" spans="1:31">
      <c r="A265" s="1487"/>
      <c r="B265" s="1488"/>
      <c r="C265" s="1489"/>
      <c r="D265" s="1490"/>
      <c r="E265" s="1487"/>
      <c r="F265" s="1488"/>
      <c r="G265" s="1489"/>
      <c r="H265" s="1490"/>
      <c r="I265" s="1487"/>
      <c r="J265" s="1488"/>
      <c r="K265" s="1489"/>
      <c r="L265" s="1490"/>
      <c r="M265" s="1487"/>
      <c r="N265" s="1488"/>
      <c r="O265" s="1489"/>
      <c r="P265" s="1490"/>
      <c r="Q265" s="1399"/>
      <c r="X265" s="1445" t="e">
        <f ca="1"/>
        <v>#NAME?</v>
      </c>
      <c r="Y265" s="1446" t="e">
        <f ca="1"/>
        <v>#NAME?</v>
      </c>
      <c r="Z265" s="1408"/>
      <c r="AB265" s="1399"/>
      <c r="AC265" s="1399"/>
      <c r="AD265" s="1399"/>
      <c r="AE265" s="1399"/>
    </row>
    <row r="266" spans="1:31">
      <c r="A266" s="1487"/>
      <c r="B266" s="1488"/>
      <c r="C266" s="1489"/>
      <c r="D266" s="1490"/>
      <c r="E266" s="1487"/>
      <c r="F266" s="1488"/>
      <c r="G266" s="1489"/>
      <c r="H266" s="1490"/>
      <c r="I266" s="1487"/>
      <c r="J266" s="1488"/>
      <c r="K266" s="1489"/>
      <c r="L266" s="1490"/>
      <c r="M266" s="1487"/>
      <c r="N266" s="1488"/>
      <c r="O266" s="1489"/>
      <c r="P266" s="1490"/>
      <c r="Q266" s="1399"/>
      <c r="X266" s="1445" t="e">
        <f ca="1"/>
        <v>#NAME?</v>
      </c>
      <c r="Y266" s="1446" t="e">
        <f ca="1"/>
        <v>#NAME?</v>
      </c>
      <c r="Z266" s="1408"/>
      <c r="AB266" s="1399"/>
      <c r="AC266" s="1399"/>
      <c r="AD266" s="1399"/>
      <c r="AE266" s="1399"/>
    </row>
    <row r="267" spans="1:31">
      <c r="A267" s="1487"/>
      <c r="B267" s="1488"/>
      <c r="C267" s="1489"/>
      <c r="D267" s="1490"/>
      <c r="E267" s="1487"/>
      <c r="F267" s="1488"/>
      <c r="G267" s="1489"/>
      <c r="H267" s="1490"/>
      <c r="I267" s="1487"/>
      <c r="J267" s="1488"/>
      <c r="K267" s="1489"/>
      <c r="L267" s="1490"/>
      <c r="M267" s="1487"/>
      <c r="N267" s="1488"/>
      <c r="O267" s="1489"/>
      <c r="P267" s="1490"/>
      <c r="Q267" s="1399"/>
      <c r="X267" s="1445" t="e">
        <f ca="1"/>
        <v>#NAME?</v>
      </c>
      <c r="Y267" s="1446" t="e">
        <f ca="1"/>
        <v>#NAME?</v>
      </c>
      <c r="Z267" s="1408"/>
      <c r="AB267" s="1399"/>
      <c r="AC267" s="1399"/>
      <c r="AD267" s="1399"/>
      <c r="AE267" s="1399"/>
    </row>
    <row r="268" spans="1:31">
      <c r="A268" s="1487"/>
      <c r="B268" s="1488"/>
      <c r="C268" s="1489"/>
      <c r="D268" s="1490"/>
      <c r="E268" s="1487"/>
      <c r="F268" s="1488"/>
      <c r="G268" s="1489"/>
      <c r="H268" s="1490"/>
      <c r="I268" s="1487"/>
      <c r="J268" s="1488"/>
      <c r="K268" s="1489"/>
      <c r="L268" s="1490"/>
      <c r="M268" s="1487"/>
      <c r="N268" s="1488"/>
      <c r="O268" s="1489"/>
      <c r="P268" s="1490"/>
      <c r="Q268" s="1399"/>
      <c r="X268" s="1445" t="e">
        <f ca="1"/>
        <v>#NAME?</v>
      </c>
      <c r="Y268" s="1446" t="e">
        <f ca="1"/>
        <v>#NAME?</v>
      </c>
      <c r="Z268" s="1408"/>
      <c r="AB268" s="1399"/>
      <c r="AC268" s="1399"/>
      <c r="AD268" s="1399"/>
      <c r="AE268" s="1399"/>
    </row>
    <row r="269" spans="1:31">
      <c r="A269" s="1487"/>
      <c r="B269" s="1488"/>
      <c r="C269" s="1489"/>
      <c r="D269" s="1490"/>
      <c r="E269" s="1487"/>
      <c r="F269" s="1488"/>
      <c r="G269" s="1489"/>
      <c r="H269" s="1490"/>
      <c r="I269" s="1487"/>
      <c r="J269" s="1488"/>
      <c r="K269" s="1489"/>
      <c r="L269" s="1490"/>
      <c r="M269" s="1487"/>
      <c r="N269" s="1488"/>
      <c r="O269" s="1489"/>
      <c r="P269" s="1490"/>
      <c r="Q269" s="1399"/>
      <c r="X269" s="1445" t="e">
        <f ca="1"/>
        <v>#NAME?</v>
      </c>
      <c r="Y269" s="1446" t="e">
        <f ca="1"/>
        <v>#NAME?</v>
      </c>
      <c r="Z269" s="1408"/>
      <c r="AB269" s="1399"/>
      <c r="AC269" s="1399"/>
      <c r="AD269" s="1399"/>
      <c r="AE269" s="1399"/>
    </row>
    <row r="270" spans="1:31">
      <c r="A270" s="1487"/>
      <c r="B270" s="1488"/>
      <c r="C270" s="1489"/>
      <c r="D270" s="1490"/>
      <c r="E270" s="1487"/>
      <c r="F270" s="1488"/>
      <c r="G270" s="1489"/>
      <c r="H270" s="1490"/>
      <c r="I270" s="1487"/>
      <c r="J270" s="1488"/>
      <c r="K270" s="1489"/>
      <c r="L270" s="1490"/>
      <c r="M270" s="1487"/>
      <c r="N270" s="1488"/>
      <c r="O270" s="1489"/>
      <c r="P270" s="1490"/>
      <c r="Q270" s="1399"/>
      <c r="X270" s="1445" t="e">
        <f ca="1"/>
        <v>#NAME?</v>
      </c>
      <c r="Y270" s="1446" t="e">
        <f ca="1"/>
        <v>#NAME?</v>
      </c>
      <c r="Z270" s="1408"/>
      <c r="AB270" s="1399"/>
      <c r="AC270" s="1399"/>
      <c r="AD270" s="1399"/>
      <c r="AE270" s="1399"/>
    </row>
    <row r="271" spans="1:31">
      <c r="A271" s="1487"/>
      <c r="B271" s="1488"/>
      <c r="C271" s="1489"/>
      <c r="D271" s="1490"/>
      <c r="E271" s="1487"/>
      <c r="F271" s="1488"/>
      <c r="G271" s="1489"/>
      <c r="H271" s="1490"/>
      <c r="I271" s="1487"/>
      <c r="J271" s="1488"/>
      <c r="K271" s="1489"/>
      <c r="L271" s="1490"/>
      <c r="M271" s="1487"/>
      <c r="N271" s="1488"/>
      <c r="O271" s="1489"/>
      <c r="P271" s="1490"/>
      <c r="Q271" s="1399"/>
      <c r="X271" s="1445" t="e">
        <f ca="1"/>
        <v>#NAME?</v>
      </c>
      <c r="Y271" s="1446" t="e">
        <f ca="1"/>
        <v>#NAME?</v>
      </c>
      <c r="Z271" s="1408"/>
      <c r="AB271" s="1399"/>
      <c r="AC271" s="1399"/>
      <c r="AD271" s="1399"/>
      <c r="AE271" s="1399"/>
    </row>
    <row r="272" spans="1:31">
      <c r="A272" s="1487"/>
      <c r="B272" s="1488"/>
      <c r="C272" s="1489"/>
      <c r="D272" s="1490"/>
      <c r="E272" s="1487"/>
      <c r="F272" s="1488"/>
      <c r="G272" s="1489"/>
      <c r="H272" s="1490"/>
      <c r="I272" s="1487"/>
      <c r="J272" s="1488"/>
      <c r="K272" s="1489"/>
      <c r="L272" s="1490"/>
      <c r="M272" s="1487"/>
      <c r="N272" s="1488"/>
      <c r="O272" s="1489"/>
      <c r="P272" s="1490"/>
      <c r="Q272" s="1399"/>
      <c r="X272" s="1445" t="e">
        <f ca="1"/>
        <v>#NAME?</v>
      </c>
      <c r="Y272" s="1446" t="e">
        <f ca="1"/>
        <v>#NAME?</v>
      </c>
      <c r="Z272" s="1408"/>
      <c r="AB272" s="1399"/>
      <c r="AC272" s="1399"/>
      <c r="AD272" s="1399"/>
      <c r="AE272" s="1399"/>
    </row>
    <row r="273" spans="1:31">
      <c r="A273" s="1487"/>
      <c r="B273" s="1488"/>
      <c r="C273" s="1489"/>
      <c r="D273" s="1490"/>
      <c r="E273" s="1487"/>
      <c r="F273" s="1488"/>
      <c r="G273" s="1489"/>
      <c r="H273" s="1490"/>
      <c r="I273" s="1487"/>
      <c r="J273" s="1488"/>
      <c r="K273" s="1489"/>
      <c r="L273" s="1490"/>
      <c r="M273" s="1487"/>
      <c r="N273" s="1488"/>
      <c r="O273" s="1489"/>
      <c r="P273" s="1490"/>
      <c r="Q273" s="1399"/>
      <c r="X273" s="1445" t="e">
        <f ca="1"/>
        <v>#NAME?</v>
      </c>
      <c r="Y273" s="1446" t="e">
        <f ca="1"/>
        <v>#NAME?</v>
      </c>
      <c r="Z273" s="1408"/>
      <c r="AB273" s="1399"/>
      <c r="AC273" s="1399"/>
      <c r="AD273" s="1399"/>
      <c r="AE273" s="1399"/>
    </row>
    <row r="274" spans="1:31">
      <c r="A274" s="1487"/>
      <c r="B274" s="1488"/>
      <c r="C274" s="1489"/>
      <c r="D274" s="1490"/>
      <c r="E274" s="1487"/>
      <c r="F274" s="1488"/>
      <c r="G274" s="1489"/>
      <c r="H274" s="1490"/>
      <c r="I274" s="1487"/>
      <c r="J274" s="1488"/>
      <c r="K274" s="1489"/>
      <c r="L274" s="1490"/>
      <c r="M274" s="1487"/>
      <c r="N274" s="1488"/>
      <c r="O274" s="1489"/>
      <c r="P274" s="1490"/>
      <c r="Q274" s="1399"/>
      <c r="X274" s="1445" t="e">
        <f ca="1"/>
        <v>#NAME?</v>
      </c>
      <c r="Y274" s="1446" t="e">
        <f ca="1"/>
        <v>#NAME?</v>
      </c>
      <c r="Z274" s="1408"/>
      <c r="AB274" s="1399"/>
      <c r="AC274" s="1399"/>
      <c r="AD274" s="1399"/>
      <c r="AE274" s="1399"/>
    </row>
    <row r="275" spans="1:31">
      <c r="A275" s="1487"/>
      <c r="B275" s="1488"/>
      <c r="C275" s="1489"/>
      <c r="D275" s="1490"/>
      <c r="E275" s="1487"/>
      <c r="F275" s="1488"/>
      <c r="G275" s="1489"/>
      <c r="H275" s="1490"/>
      <c r="I275" s="1487"/>
      <c r="J275" s="1488"/>
      <c r="K275" s="1489"/>
      <c r="L275" s="1490"/>
      <c r="M275" s="1487"/>
      <c r="N275" s="1488"/>
      <c r="O275" s="1489"/>
      <c r="P275" s="1490"/>
      <c r="Q275" s="1399"/>
      <c r="X275" s="1445" t="e">
        <f ca="1"/>
        <v>#NAME?</v>
      </c>
      <c r="Y275" s="1446" t="e">
        <f ca="1"/>
        <v>#NAME?</v>
      </c>
      <c r="Z275" s="1408"/>
      <c r="AB275" s="1399"/>
      <c r="AC275" s="1399"/>
      <c r="AD275" s="1399"/>
      <c r="AE275" s="1399"/>
    </row>
    <row r="276" spans="1:31">
      <c r="A276" s="1487"/>
      <c r="B276" s="1488"/>
      <c r="C276" s="1489"/>
      <c r="D276" s="1490"/>
      <c r="E276" s="1487"/>
      <c r="F276" s="1488"/>
      <c r="G276" s="1489"/>
      <c r="H276" s="1490"/>
      <c r="I276" s="1487"/>
      <c r="J276" s="1488"/>
      <c r="K276" s="1489"/>
      <c r="L276" s="1490"/>
      <c r="M276" s="1487"/>
      <c r="N276" s="1488"/>
      <c r="O276" s="1489"/>
      <c r="P276" s="1490"/>
      <c r="Q276" s="1399"/>
      <c r="X276" s="1445" t="e">
        <f ca="1"/>
        <v>#NAME?</v>
      </c>
      <c r="Y276" s="1446" t="e">
        <f ca="1"/>
        <v>#NAME?</v>
      </c>
      <c r="Z276" s="1408"/>
      <c r="AB276" s="1399"/>
      <c r="AC276" s="1399"/>
      <c r="AD276" s="1399"/>
      <c r="AE276" s="1399"/>
    </row>
    <row r="277" spans="1:31">
      <c r="A277" s="1487"/>
      <c r="B277" s="1488"/>
      <c r="C277" s="1489"/>
      <c r="D277" s="1490"/>
      <c r="E277" s="1487"/>
      <c r="F277" s="1488"/>
      <c r="G277" s="1489"/>
      <c r="H277" s="1490"/>
      <c r="I277" s="1487"/>
      <c r="J277" s="1488"/>
      <c r="K277" s="1489"/>
      <c r="L277" s="1490"/>
      <c r="M277" s="1487"/>
      <c r="N277" s="1488"/>
      <c r="O277" s="1489"/>
      <c r="P277" s="1490"/>
      <c r="Q277" s="1399"/>
      <c r="X277" s="1445" t="e">
        <f ca="1"/>
        <v>#NAME?</v>
      </c>
      <c r="Y277" s="1446" t="e">
        <f ca="1"/>
        <v>#NAME?</v>
      </c>
      <c r="Z277" s="1408"/>
      <c r="AB277" s="1399"/>
      <c r="AC277" s="1399"/>
      <c r="AD277" s="1399"/>
      <c r="AE277" s="1399"/>
    </row>
    <row r="278" spans="1:31">
      <c r="A278" s="1487"/>
      <c r="B278" s="1488"/>
      <c r="C278" s="1489"/>
      <c r="D278" s="1490"/>
      <c r="E278" s="1487"/>
      <c r="F278" s="1488"/>
      <c r="G278" s="1489"/>
      <c r="H278" s="1490"/>
      <c r="I278" s="1487"/>
      <c r="J278" s="1488"/>
      <c r="K278" s="1489"/>
      <c r="L278" s="1490"/>
      <c r="M278" s="1487"/>
      <c r="N278" s="1488"/>
      <c r="O278" s="1489"/>
      <c r="P278" s="1490"/>
      <c r="Q278" s="1399"/>
      <c r="X278" s="1445" t="e">
        <f ca="1"/>
        <v>#NAME?</v>
      </c>
      <c r="Y278" s="1446" t="e">
        <f ca="1"/>
        <v>#NAME?</v>
      </c>
      <c r="Z278" s="1408"/>
      <c r="AB278" s="1399"/>
      <c r="AC278" s="1399"/>
      <c r="AD278" s="1399"/>
      <c r="AE278" s="1399"/>
    </row>
    <row r="279" spans="1:31">
      <c r="A279" s="1487"/>
      <c r="B279" s="1488"/>
      <c r="C279" s="1489"/>
      <c r="D279" s="1490"/>
      <c r="E279" s="1487"/>
      <c r="F279" s="1488"/>
      <c r="G279" s="1489"/>
      <c r="H279" s="1490"/>
      <c r="I279" s="1487"/>
      <c r="J279" s="1488"/>
      <c r="K279" s="1489"/>
      <c r="L279" s="1490"/>
      <c r="M279" s="1487"/>
      <c r="N279" s="1488"/>
      <c r="O279" s="1489"/>
      <c r="P279" s="1490"/>
      <c r="Q279" s="1399"/>
      <c r="X279" s="1445" t="e">
        <f ca="1"/>
        <v>#NAME?</v>
      </c>
      <c r="Y279" s="1446" t="e">
        <f ca="1"/>
        <v>#NAME?</v>
      </c>
      <c r="Z279" s="1408"/>
      <c r="AB279" s="1399"/>
      <c r="AC279" s="1399"/>
      <c r="AD279" s="1399"/>
      <c r="AE279" s="1399"/>
    </row>
    <row r="280" spans="1:31">
      <c r="A280" s="1487"/>
      <c r="B280" s="1488"/>
      <c r="C280" s="1489"/>
      <c r="D280" s="1490"/>
      <c r="E280" s="1487"/>
      <c r="F280" s="1488"/>
      <c r="G280" s="1489"/>
      <c r="H280" s="1490"/>
      <c r="I280" s="1487"/>
      <c r="J280" s="1488"/>
      <c r="K280" s="1489"/>
      <c r="L280" s="1490"/>
      <c r="M280" s="1487"/>
      <c r="N280" s="1488"/>
      <c r="O280" s="1489"/>
      <c r="P280" s="1490"/>
      <c r="Q280" s="1399"/>
      <c r="X280" s="1445" t="e">
        <f ca="1"/>
        <v>#NAME?</v>
      </c>
      <c r="Y280" s="1446" t="e">
        <f ca="1"/>
        <v>#NAME?</v>
      </c>
      <c r="Z280" s="1408"/>
      <c r="AB280" s="1399"/>
      <c r="AC280" s="1399"/>
      <c r="AD280" s="1399"/>
      <c r="AE280" s="1399"/>
    </row>
    <row r="281" spans="1:31">
      <c r="A281" s="1487"/>
      <c r="B281" s="1488"/>
      <c r="C281" s="1489"/>
      <c r="D281" s="1490"/>
      <c r="E281" s="1487"/>
      <c r="F281" s="1488"/>
      <c r="G281" s="1489"/>
      <c r="H281" s="1490"/>
      <c r="I281" s="1487"/>
      <c r="J281" s="1488"/>
      <c r="K281" s="1489"/>
      <c r="L281" s="1490"/>
      <c r="M281" s="1487"/>
      <c r="N281" s="1488"/>
      <c r="O281" s="1489"/>
      <c r="P281" s="1490"/>
      <c r="Q281" s="1399"/>
      <c r="X281" s="1445" t="e">
        <f ca="1"/>
        <v>#NAME?</v>
      </c>
      <c r="Y281" s="1446" t="e">
        <f ca="1"/>
        <v>#NAME?</v>
      </c>
      <c r="Z281" s="1408"/>
      <c r="AB281" s="1399"/>
      <c r="AC281" s="1399"/>
      <c r="AD281" s="1399"/>
      <c r="AE281" s="1399"/>
    </row>
    <row r="282" spans="1:31">
      <c r="A282" s="1487"/>
      <c r="B282" s="1488"/>
      <c r="C282" s="1489"/>
      <c r="D282" s="1490"/>
      <c r="E282" s="1487"/>
      <c r="F282" s="1488"/>
      <c r="G282" s="1489"/>
      <c r="H282" s="1490"/>
      <c r="I282" s="1487"/>
      <c r="J282" s="1488"/>
      <c r="K282" s="1489"/>
      <c r="L282" s="1490"/>
      <c r="M282" s="1487"/>
      <c r="N282" s="1488"/>
      <c r="O282" s="1489"/>
      <c r="P282" s="1490"/>
      <c r="Q282" s="1399"/>
      <c r="X282" s="1445" t="e">
        <f ca="1"/>
        <v>#NAME?</v>
      </c>
      <c r="Y282" s="1446" t="e">
        <f ca="1"/>
        <v>#NAME?</v>
      </c>
      <c r="Z282" s="1408"/>
      <c r="AB282" s="1399"/>
      <c r="AC282" s="1399"/>
      <c r="AD282" s="1399"/>
      <c r="AE282" s="1399"/>
    </row>
    <row r="283" spans="1:31">
      <c r="A283" s="1487"/>
      <c r="B283" s="1488"/>
      <c r="C283" s="1489"/>
      <c r="D283" s="1490"/>
      <c r="E283" s="1487"/>
      <c r="F283" s="1488"/>
      <c r="G283" s="1489"/>
      <c r="H283" s="1490"/>
      <c r="I283" s="1487"/>
      <c r="J283" s="1488"/>
      <c r="K283" s="1489"/>
      <c r="L283" s="1490"/>
      <c r="M283" s="1487"/>
      <c r="N283" s="1488"/>
      <c r="O283" s="1489"/>
      <c r="P283" s="1490"/>
      <c r="Q283" s="1399"/>
      <c r="X283" s="1445" t="e">
        <f ca="1"/>
        <v>#NAME?</v>
      </c>
      <c r="Y283" s="1446" t="e">
        <f ca="1"/>
        <v>#NAME?</v>
      </c>
      <c r="Z283" s="1408"/>
      <c r="AB283" s="1399"/>
      <c r="AC283" s="1399"/>
      <c r="AD283" s="1399"/>
      <c r="AE283" s="1399"/>
    </row>
    <row r="284" spans="1:31">
      <c r="A284" s="1487"/>
      <c r="B284" s="1488"/>
      <c r="C284" s="1489"/>
      <c r="D284" s="1490"/>
      <c r="E284" s="1487"/>
      <c r="F284" s="1488"/>
      <c r="G284" s="1489"/>
      <c r="H284" s="1490"/>
      <c r="I284" s="1487"/>
      <c r="J284" s="1488"/>
      <c r="K284" s="1489"/>
      <c r="L284" s="1490"/>
      <c r="M284" s="1487"/>
      <c r="N284" s="1488"/>
      <c r="O284" s="1489"/>
      <c r="P284" s="1490"/>
      <c r="Q284" s="1399"/>
      <c r="X284" s="1445" t="e">
        <f ca="1"/>
        <v>#NAME?</v>
      </c>
      <c r="Y284" s="1446" t="e">
        <f ca="1"/>
        <v>#NAME?</v>
      </c>
      <c r="Z284" s="1408"/>
      <c r="AB284" s="1399"/>
      <c r="AC284" s="1399"/>
      <c r="AD284" s="1399"/>
      <c r="AE284" s="1399"/>
    </row>
    <row r="285" spans="1:31">
      <c r="A285" s="1487"/>
      <c r="B285" s="1488"/>
      <c r="C285" s="1489"/>
      <c r="D285" s="1490"/>
      <c r="E285" s="1487"/>
      <c r="F285" s="1488"/>
      <c r="G285" s="1489"/>
      <c r="H285" s="1490"/>
      <c r="I285" s="1487"/>
      <c r="J285" s="1488"/>
      <c r="K285" s="1489"/>
      <c r="L285" s="1490"/>
      <c r="M285" s="1487"/>
      <c r="N285" s="1488"/>
      <c r="O285" s="1489"/>
      <c r="P285" s="1490"/>
      <c r="Q285" s="1399"/>
      <c r="X285" s="1445" t="e">
        <f ca="1"/>
        <v>#NAME?</v>
      </c>
      <c r="Y285" s="1446" t="e">
        <f ca="1"/>
        <v>#NAME?</v>
      </c>
      <c r="Z285" s="1408"/>
      <c r="AB285" s="1399"/>
      <c r="AC285" s="1399"/>
      <c r="AD285" s="1399"/>
      <c r="AE285" s="1399"/>
    </row>
    <row r="286" spans="1:31">
      <c r="A286" s="1487"/>
      <c r="B286" s="1488"/>
      <c r="C286" s="1489"/>
      <c r="D286" s="1490"/>
      <c r="E286" s="1487"/>
      <c r="F286" s="1488"/>
      <c r="G286" s="1489"/>
      <c r="H286" s="1490"/>
      <c r="I286" s="1487"/>
      <c r="J286" s="1488"/>
      <c r="K286" s="1489"/>
      <c r="L286" s="1490"/>
      <c r="M286" s="1487"/>
      <c r="N286" s="1488"/>
      <c r="O286" s="1489"/>
      <c r="P286" s="1490"/>
      <c r="Q286" s="1399"/>
      <c r="X286" s="1445" t="e">
        <f ca="1"/>
        <v>#NAME?</v>
      </c>
      <c r="Y286" s="1446" t="e">
        <f ca="1"/>
        <v>#NAME?</v>
      </c>
      <c r="Z286" s="1408"/>
      <c r="AB286" s="1399"/>
      <c r="AC286" s="1399"/>
      <c r="AD286" s="1399"/>
      <c r="AE286" s="1399"/>
    </row>
    <row r="287" spans="1:31">
      <c r="A287" s="1487"/>
      <c r="B287" s="1488"/>
      <c r="C287" s="1489"/>
      <c r="D287" s="1490"/>
      <c r="E287" s="1487"/>
      <c r="F287" s="1488"/>
      <c r="G287" s="1489"/>
      <c r="H287" s="1490"/>
      <c r="I287" s="1487"/>
      <c r="J287" s="1488"/>
      <c r="K287" s="1489"/>
      <c r="L287" s="1490"/>
      <c r="M287" s="1487"/>
      <c r="N287" s="1488"/>
      <c r="O287" s="1489"/>
      <c r="P287" s="1490"/>
      <c r="Q287" s="1399"/>
      <c r="X287" s="1445" t="e">
        <f ca="1"/>
        <v>#NAME?</v>
      </c>
      <c r="Y287" s="1446" t="e">
        <f ca="1"/>
        <v>#NAME?</v>
      </c>
      <c r="Z287" s="1408"/>
      <c r="AB287" s="1399"/>
      <c r="AC287" s="1399"/>
      <c r="AD287" s="1399"/>
      <c r="AE287" s="1399"/>
    </row>
    <row r="288" spans="1:31">
      <c r="A288" s="1487"/>
      <c r="B288" s="1488"/>
      <c r="C288" s="1489"/>
      <c r="D288" s="1490"/>
      <c r="E288" s="1487"/>
      <c r="F288" s="1488"/>
      <c r="G288" s="1489"/>
      <c r="H288" s="1490"/>
      <c r="I288" s="1487"/>
      <c r="J288" s="1488"/>
      <c r="K288" s="1489"/>
      <c r="L288" s="1490"/>
      <c r="M288" s="1487"/>
      <c r="N288" s="1488"/>
      <c r="O288" s="1489"/>
      <c r="P288" s="1490"/>
      <c r="Q288" s="1399"/>
      <c r="X288" s="1445" t="e">
        <f ca="1"/>
        <v>#NAME?</v>
      </c>
      <c r="Y288" s="1446" t="e">
        <f ca="1"/>
        <v>#NAME?</v>
      </c>
      <c r="Z288" s="1408"/>
      <c r="AB288" s="1399"/>
      <c r="AC288" s="1399"/>
      <c r="AD288" s="1399"/>
      <c r="AE288" s="1399"/>
    </row>
    <row r="289" spans="1:31">
      <c r="A289" s="1487"/>
      <c r="B289" s="1488"/>
      <c r="C289" s="1489"/>
      <c r="D289" s="1490"/>
      <c r="E289" s="1487"/>
      <c r="F289" s="1488"/>
      <c r="G289" s="1489"/>
      <c r="H289" s="1490"/>
      <c r="I289" s="1487"/>
      <c r="J289" s="1488"/>
      <c r="K289" s="1489"/>
      <c r="L289" s="1490"/>
      <c r="M289" s="1487"/>
      <c r="N289" s="1488"/>
      <c r="O289" s="1489"/>
      <c r="P289" s="1490"/>
      <c r="Q289" s="1399"/>
      <c r="X289" s="1445" t="e">
        <f ca="1"/>
        <v>#NAME?</v>
      </c>
      <c r="Y289" s="1446" t="e">
        <f ca="1"/>
        <v>#NAME?</v>
      </c>
      <c r="Z289" s="1408"/>
      <c r="AB289" s="1399"/>
      <c r="AC289" s="1399"/>
      <c r="AD289" s="1399"/>
      <c r="AE289" s="1399"/>
    </row>
    <row r="290" spans="1:31">
      <c r="A290" s="1487"/>
      <c r="B290" s="1488"/>
      <c r="C290" s="1489"/>
      <c r="D290" s="1490"/>
      <c r="E290" s="1487"/>
      <c r="F290" s="1488"/>
      <c r="G290" s="1489"/>
      <c r="H290" s="1490"/>
      <c r="I290" s="1487"/>
      <c r="J290" s="1488"/>
      <c r="K290" s="1489"/>
      <c r="L290" s="1490"/>
      <c r="M290" s="1487"/>
      <c r="N290" s="1488"/>
      <c r="O290" s="1489"/>
      <c r="P290" s="1490"/>
      <c r="Q290" s="1399"/>
      <c r="X290" s="1445" t="e">
        <f ca="1"/>
        <v>#NAME?</v>
      </c>
      <c r="Y290" s="1446" t="e">
        <f ca="1"/>
        <v>#NAME?</v>
      </c>
      <c r="Z290" s="1408"/>
      <c r="AB290" s="1399"/>
      <c r="AC290" s="1399"/>
      <c r="AD290" s="1399"/>
      <c r="AE290" s="1399"/>
    </row>
    <row r="291" spans="1:31">
      <c r="A291" s="1487"/>
      <c r="B291" s="1488"/>
      <c r="C291" s="1489"/>
      <c r="D291" s="1490"/>
      <c r="E291" s="1487"/>
      <c r="F291" s="1488"/>
      <c r="G291" s="1489"/>
      <c r="H291" s="1490"/>
      <c r="I291" s="1487"/>
      <c r="J291" s="1488"/>
      <c r="K291" s="1489"/>
      <c r="L291" s="1490"/>
      <c r="M291" s="1487"/>
      <c r="N291" s="1488"/>
      <c r="O291" s="1489"/>
      <c r="P291" s="1490"/>
      <c r="Q291" s="1399"/>
      <c r="X291" s="1445" t="e">
        <f ca="1"/>
        <v>#NAME?</v>
      </c>
      <c r="Y291" s="1446" t="e">
        <f ca="1"/>
        <v>#NAME?</v>
      </c>
      <c r="Z291" s="1408"/>
      <c r="AB291" s="1399"/>
      <c r="AC291" s="1399"/>
      <c r="AD291" s="1399"/>
      <c r="AE291" s="1399"/>
    </row>
    <row r="292" spans="1:31">
      <c r="A292" s="1487"/>
      <c r="B292" s="1488"/>
      <c r="C292" s="1489"/>
      <c r="D292" s="1490"/>
      <c r="E292" s="1487"/>
      <c r="F292" s="1488"/>
      <c r="G292" s="1489"/>
      <c r="H292" s="1490"/>
      <c r="I292" s="1487"/>
      <c r="J292" s="1488"/>
      <c r="K292" s="1489"/>
      <c r="L292" s="1490"/>
      <c r="M292" s="1487"/>
      <c r="N292" s="1488"/>
      <c r="O292" s="1489"/>
      <c r="P292" s="1490"/>
      <c r="Q292" s="1399"/>
      <c r="X292" s="1445" t="e">
        <f ca="1"/>
        <v>#NAME?</v>
      </c>
      <c r="Y292" s="1446" t="e">
        <f ca="1"/>
        <v>#NAME?</v>
      </c>
      <c r="Z292" s="1408"/>
      <c r="AB292" s="1399"/>
      <c r="AC292" s="1399"/>
      <c r="AD292" s="1399"/>
      <c r="AE292" s="1399"/>
    </row>
    <row r="293" spans="1:31">
      <c r="A293" s="1487"/>
      <c r="B293" s="1488"/>
      <c r="C293" s="1489"/>
      <c r="D293" s="1490"/>
      <c r="E293" s="1487"/>
      <c r="F293" s="1488"/>
      <c r="G293" s="1489"/>
      <c r="H293" s="1490"/>
      <c r="I293" s="1487"/>
      <c r="J293" s="1488"/>
      <c r="K293" s="1489"/>
      <c r="L293" s="1490"/>
      <c r="M293" s="1487"/>
      <c r="N293" s="1488"/>
      <c r="O293" s="1489"/>
      <c r="P293" s="1490"/>
      <c r="Q293" s="1399"/>
      <c r="X293" s="1445" t="e">
        <f ca="1"/>
        <v>#NAME?</v>
      </c>
      <c r="Y293" s="1446" t="e">
        <f ca="1"/>
        <v>#NAME?</v>
      </c>
      <c r="Z293" s="1408"/>
      <c r="AB293" s="1399"/>
      <c r="AC293" s="1399"/>
      <c r="AD293" s="1399"/>
      <c r="AE293" s="1399"/>
    </row>
    <row r="294" spans="1:31">
      <c r="A294" s="1487"/>
      <c r="B294" s="1488"/>
      <c r="C294" s="1489"/>
      <c r="D294" s="1490"/>
      <c r="E294" s="1487"/>
      <c r="F294" s="1488"/>
      <c r="G294" s="1489"/>
      <c r="H294" s="1490"/>
      <c r="I294" s="1487"/>
      <c r="J294" s="1488"/>
      <c r="K294" s="1489"/>
      <c r="L294" s="1490"/>
      <c r="M294" s="1487"/>
      <c r="N294" s="1488"/>
      <c r="O294" s="1489"/>
      <c r="P294" s="1490"/>
      <c r="Q294" s="1399"/>
      <c r="X294" s="1445" t="e">
        <f ca="1"/>
        <v>#NAME?</v>
      </c>
      <c r="Y294" s="1446" t="e">
        <f ca="1"/>
        <v>#NAME?</v>
      </c>
      <c r="Z294" s="1408"/>
      <c r="AB294" s="1399"/>
      <c r="AC294" s="1399"/>
      <c r="AD294" s="1399"/>
      <c r="AE294" s="1399"/>
    </row>
    <row r="295" spans="1:31">
      <c r="A295" s="1487"/>
      <c r="B295" s="1488"/>
      <c r="C295" s="1489"/>
      <c r="D295" s="1490"/>
      <c r="E295" s="1487"/>
      <c r="F295" s="1488"/>
      <c r="G295" s="1489"/>
      <c r="H295" s="1490"/>
      <c r="I295" s="1487"/>
      <c r="J295" s="1488"/>
      <c r="K295" s="1489"/>
      <c r="L295" s="1490"/>
      <c r="M295" s="1487"/>
      <c r="N295" s="1488"/>
      <c r="O295" s="1489"/>
      <c r="P295" s="1490"/>
      <c r="Q295" s="1399"/>
      <c r="X295" s="1445" t="e">
        <f ca="1"/>
        <v>#NAME?</v>
      </c>
      <c r="Y295" s="1446" t="e">
        <f ca="1"/>
        <v>#NAME?</v>
      </c>
      <c r="Z295" s="1408"/>
      <c r="AB295" s="1399"/>
      <c r="AC295" s="1399"/>
      <c r="AD295" s="1399"/>
      <c r="AE295" s="1399"/>
    </row>
    <row r="296" spans="1:31">
      <c r="A296" s="1487"/>
      <c r="B296" s="1488"/>
      <c r="C296" s="1489"/>
      <c r="D296" s="1490"/>
      <c r="E296" s="1487"/>
      <c r="F296" s="1488"/>
      <c r="G296" s="1489"/>
      <c r="H296" s="1490"/>
      <c r="I296" s="1487"/>
      <c r="J296" s="1488"/>
      <c r="K296" s="1489"/>
      <c r="L296" s="1490"/>
      <c r="M296" s="1487"/>
      <c r="N296" s="1488"/>
      <c r="O296" s="1489"/>
      <c r="P296" s="1490"/>
      <c r="Q296" s="1399"/>
      <c r="X296" s="1445" t="e">
        <f ca="1"/>
        <v>#NAME?</v>
      </c>
      <c r="Y296" s="1446" t="e">
        <f ca="1"/>
        <v>#NAME?</v>
      </c>
      <c r="Z296" s="1408"/>
      <c r="AB296" s="1399"/>
      <c r="AC296" s="1399"/>
      <c r="AD296" s="1399"/>
      <c r="AE296" s="1399"/>
    </row>
    <row r="297" spans="1:31">
      <c r="A297" s="1487"/>
      <c r="B297" s="1488"/>
      <c r="C297" s="1489"/>
      <c r="D297" s="1490"/>
      <c r="E297" s="1487"/>
      <c r="F297" s="1488"/>
      <c r="G297" s="1489"/>
      <c r="H297" s="1490"/>
      <c r="I297" s="1487"/>
      <c r="J297" s="1488"/>
      <c r="K297" s="1489"/>
      <c r="L297" s="1490"/>
      <c r="M297" s="1487"/>
      <c r="N297" s="1488"/>
      <c r="O297" s="1489"/>
      <c r="P297" s="1490"/>
      <c r="Q297" s="1399"/>
      <c r="X297" s="1445" t="e">
        <f ca="1"/>
        <v>#NAME?</v>
      </c>
      <c r="Y297" s="1446" t="e">
        <f ca="1"/>
        <v>#NAME?</v>
      </c>
      <c r="Z297" s="1408"/>
      <c r="AB297" s="1399"/>
      <c r="AC297" s="1399"/>
      <c r="AD297" s="1399"/>
      <c r="AE297" s="1399"/>
    </row>
    <row r="298" spans="1:31">
      <c r="A298" s="1487"/>
      <c r="B298" s="1488"/>
      <c r="C298" s="1489"/>
      <c r="D298" s="1490"/>
      <c r="E298" s="1487"/>
      <c r="F298" s="1488"/>
      <c r="G298" s="1489"/>
      <c r="H298" s="1490"/>
      <c r="I298" s="1487"/>
      <c r="J298" s="1488"/>
      <c r="K298" s="1489"/>
      <c r="L298" s="1490"/>
      <c r="M298" s="1487"/>
      <c r="N298" s="1488"/>
      <c r="O298" s="1489"/>
      <c r="P298" s="1490"/>
      <c r="Q298" s="1399"/>
      <c r="X298" s="1445" t="e">
        <f ca="1"/>
        <v>#NAME?</v>
      </c>
      <c r="Y298" s="1446" t="e">
        <f ca="1"/>
        <v>#NAME?</v>
      </c>
      <c r="Z298" s="1408"/>
      <c r="AB298" s="1399"/>
      <c r="AC298" s="1399"/>
      <c r="AD298" s="1399"/>
      <c r="AE298" s="1399"/>
    </row>
    <row r="299" spans="1:31">
      <c r="A299" s="1487"/>
      <c r="B299" s="1488"/>
      <c r="C299" s="1489"/>
      <c r="D299" s="1490"/>
      <c r="E299" s="1487"/>
      <c r="F299" s="1488"/>
      <c r="G299" s="1489"/>
      <c r="H299" s="1490"/>
      <c r="I299" s="1487"/>
      <c r="J299" s="1488"/>
      <c r="K299" s="1489"/>
      <c r="L299" s="1490"/>
      <c r="M299" s="1487"/>
      <c r="N299" s="1488"/>
      <c r="O299" s="1489"/>
      <c r="P299" s="1490"/>
      <c r="Q299" s="1399"/>
      <c r="X299" s="1445" t="e">
        <f ca="1"/>
        <v>#NAME?</v>
      </c>
      <c r="Y299" s="1446" t="e">
        <f ca="1"/>
        <v>#NAME?</v>
      </c>
      <c r="Z299" s="1408"/>
      <c r="AB299" s="1399"/>
      <c r="AC299" s="1399"/>
      <c r="AD299" s="1399"/>
      <c r="AE299" s="1399"/>
    </row>
    <row r="300" spans="1:31">
      <c r="A300" s="1487"/>
      <c r="B300" s="1488"/>
      <c r="C300" s="1489"/>
      <c r="D300" s="1490"/>
      <c r="E300" s="1487"/>
      <c r="F300" s="1488"/>
      <c r="G300" s="1489"/>
      <c r="H300" s="1490"/>
      <c r="I300" s="1487"/>
      <c r="J300" s="1488"/>
      <c r="K300" s="1489"/>
      <c r="L300" s="1490"/>
      <c r="M300" s="1487"/>
      <c r="N300" s="1488"/>
      <c r="O300" s="1489"/>
      <c r="P300" s="1490"/>
      <c r="Q300" s="1399"/>
      <c r="X300" s="1445" t="e">
        <f ca="1"/>
        <v>#NAME?</v>
      </c>
      <c r="Y300" s="1446" t="e">
        <f ca="1"/>
        <v>#NAME?</v>
      </c>
      <c r="Z300" s="1408"/>
      <c r="AB300" s="1399"/>
      <c r="AC300" s="1399"/>
      <c r="AD300" s="1399"/>
      <c r="AE300" s="1399"/>
    </row>
    <row r="301" spans="1:31">
      <c r="A301" s="1487"/>
      <c r="B301" s="1488"/>
      <c r="C301" s="1489"/>
      <c r="D301" s="1490"/>
      <c r="E301" s="1487"/>
      <c r="F301" s="1488"/>
      <c r="G301" s="1489"/>
      <c r="H301" s="1490"/>
      <c r="I301" s="1487"/>
      <c r="J301" s="1488"/>
      <c r="K301" s="1489"/>
      <c r="L301" s="1490"/>
      <c r="M301" s="1487"/>
      <c r="N301" s="1488"/>
      <c r="O301" s="1489"/>
      <c r="P301" s="1490"/>
      <c r="Q301" s="1399"/>
      <c r="X301" s="1445" t="e">
        <f ca="1"/>
        <v>#NAME?</v>
      </c>
      <c r="Y301" s="1446" t="e">
        <f ca="1"/>
        <v>#NAME?</v>
      </c>
      <c r="Z301" s="1408"/>
      <c r="AB301" s="1399"/>
      <c r="AC301" s="1399"/>
      <c r="AD301" s="1399"/>
      <c r="AE301" s="1399"/>
    </row>
    <row r="302" spans="1:31">
      <c r="A302" s="1487"/>
      <c r="B302" s="1488"/>
      <c r="C302" s="1489"/>
      <c r="D302" s="1490"/>
      <c r="E302" s="1487"/>
      <c r="F302" s="1488"/>
      <c r="G302" s="1489"/>
      <c r="H302" s="1490"/>
      <c r="I302" s="1487"/>
      <c r="J302" s="1488"/>
      <c r="K302" s="1489"/>
      <c r="L302" s="1490"/>
      <c r="M302" s="1487"/>
      <c r="N302" s="1488"/>
      <c r="O302" s="1489"/>
      <c r="P302" s="1490"/>
      <c r="Q302" s="1399"/>
      <c r="X302" s="1445" t="e">
        <f ca="1"/>
        <v>#NAME?</v>
      </c>
      <c r="Y302" s="1446" t="e">
        <f ca="1"/>
        <v>#NAME?</v>
      </c>
      <c r="Z302" s="1408"/>
      <c r="AB302" s="1399"/>
      <c r="AC302" s="1399"/>
      <c r="AD302" s="1399"/>
      <c r="AE302" s="1399"/>
    </row>
    <row r="303" spans="1:31">
      <c r="A303" s="1487"/>
      <c r="B303" s="1488"/>
      <c r="C303" s="1489"/>
      <c r="D303" s="1490"/>
      <c r="E303" s="1487"/>
      <c r="F303" s="1488"/>
      <c r="G303" s="1489"/>
      <c r="H303" s="1490"/>
      <c r="I303" s="1487"/>
      <c r="J303" s="1488"/>
      <c r="K303" s="1489"/>
      <c r="L303" s="1490"/>
      <c r="M303" s="1487"/>
      <c r="N303" s="1488"/>
      <c r="O303" s="1489"/>
      <c r="P303" s="1490"/>
      <c r="Q303" s="1399"/>
      <c r="X303" s="1445" t="e">
        <f ca="1"/>
        <v>#NAME?</v>
      </c>
      <c r="Y303" s="1446" t="e">
        <f ca="1"/>
        <v>#NAME?</v>
      </c>
      <c r="Z303" s="1408"/>
      <c r="AB303" s="1399"/>
      <c r="AC303" s="1399"/>
      <c r="AD303" s="1399"/>
      <c r="AE303" s="1399"/>
    </row>
    <row r="304" spans="1:31">
      <c r="A304" s="1487"/>
      <c r="B304" s="1488"/>
      <c r="C304" s="1489"/>
      <c r="D304" s="1490"/>
      <c r="E304" s="1487"/>
      <c r="F304" s="1488"/>
      <c r="G304" s="1489"/>
      <c r="H304" s="1490"/>
      <c r="I304" s="1487"/>
      <c r="J304" s="1488"/>
      <c r="K304" s="1489"/>
      <c r="L304" s="1490"/>
      <c r="M304" s="1487"/>
      <c r="N304" s="1488"/>
      <c r="O304" s="1489"/>
      <c r="P304" s="1490"/>
      <c r="Q304" s="1399"/>
      <c r="X304" s="1445" t="e">
        <f ca="1"/>
        <v>#NAME?</v>
      </c>
      <c r="Y304" s="1446" t="e">
        <f ca="1"/>
        <v>#NAME?</v>
      </c>
      <c r="Z304" s="1408"/>
      <c r="AB304" s="1399"/>
      <c r="AC304" s="1399"/>
      <c r="AD304" s="1399"/>
      <c r="AE304" s="1399"/>
    </row>
    <row r="305" spans="1:31">
      <c r="A305" s="1487"/>
      <c r="B305" s="1488"/>
      <c r="C305" s="1489"/>
      <c r="D305" s="1490"/>
      <c r="E305" s="1487"/>
      <c r="F305" s="1488"/>
      <c r="G305" s="1489"/>
      <c r="H305" s="1490"/>
      <c r="I305" s="1487"/>
      <c r="J305" s="1488"/>
      <c r="K305" s="1489"/>
      <c r="L305" s="1490"/>
      <c r="M305" s="1487"/>
      <c r="N305" s="1488"/>
      <c r="O305" s="1489"/>
      <c r="P305" s="1490"/>
      <c r="Q305" s="1399"/>
      <c r="X305" s="1445" t="e">
        <f ca="1"/>
        <v>#NAME?</v>
      </c>
      <c r="Y305" s="1446" t="e">
        <f ca="1"/>
        <v>#NAME?</v>
      </c>
      <c r="Z305" s="1408"/>
      <c r="AB305" s="1399"/>
      <c r="AC305" s="1399"/>
      <c r="AD305" s="1399"/>
      <c r="AE305" s="1399"/>
    </row>
    <row r="306" spans="1:31">
      <c r="A306" s="1487"/>
      <c r="B306" s="1488"/>
      <c r="C306" s="1489"/>
      <c r="D306" s="1490"/>
      <c r="E306" s="1487"/>
      <c r="F306" s="1488"/>
      <c r="G306" s="1489"/>
      <c r="H306" s="1490"/>
      <c r="I306" s="1487"/>
      <c r="J306" s="1488"/>
      <c r="K306" s="1489"/>
      <c r="L306" s="1490"/>
      <c r="M306" s="1487"/>
      <c r="N306" s="1488"/>
      <c r="O306" s="1489"/>
      <c r="P306" s="1490"/>
      <c r="Q306" s="1399"/>
      <c r="X306" s="1445" t="e">
        <f ca="1"/>
        <v>#NAME?</v>
      </c>
      <c r="Y306" s="1446" t="e">
        <f ca="1"/>
        <v>#NAME?</v>
      </c>
      <c r="Z306" s="1408"/>
      <c r="AB306" s="1399"/>
      <c r="AC306" s="1399"/>
      <c r="AD306" s="1399"/>
      <c r="AE306" s="1399"/>
    </row>
    <row r="307" spans="1:31">
      <c r="A307" s="1487"/>
      <c r="B307" s="1488"/>
      <c r="C307" s="1489"/>
      <c r="D307" s="1490"/>
      <c r="E307" s="1487"/>
      <c r="F307" s="1488"/>
      <c r="G307" s="1489"/>
      <c r="H307" s="1490"/>
      <c r="I307" s="1487"/>
      <c r="J307" s="1488"/>
      <c r="K307" s="1489"/>
      <c r="L307" s="1490"/>
      <c r="M307" s="1487"/>
      <c r="N307" s="1488"/>
      <c r="O307" s="1489"/>
      <c r="P307" s="1490"/>
      <c r="Q307" s="1399"/>
      <c r="X307" s="1445" t="e">
        <f ca="1"/>
        <v>#NAME?</v>
      </c>
      <c r="Y307" s="1446" t="e">
        <f ca="1"/>
        <v>#NAME?</v>
      </c>
      <c r="Z307" s="1408"/>
      <c r="AB307" s="1399"/>
      <c r="AC307" s="1399"/>
      <c r="AD307" s="1399"/>
      <c r="AE307" s="1399"/>
    </row>
    <row r="308" spans="1:31">
      <c r="A308" s="1487"/>
      <c r="B308" s="1488"/>
      <c r="C308" s="1489"/>
      <c r="D308" s="1490"/>
      <c r="E308" s="1487"/>
      <c r="F308" s="1488"/>
      <c r="G308" s="1489"/>
      <c r="H308" s="1490"/>
      <c r="I308" s="1487"/>
      <c r="J308" s="1488"/>
      <c r="K308" s="1489"/>
      <c r="L308" s="1490"/>
      <c r="M308" s="1487"/>
      <c r="N308" s="1488"/>
      <c r="O308" s="1489"/>
      <c r="P308" s="1490"/>
      <c r="Q308" s="1399"/>
      <c r="X308" s="1445" t="e">
        <f ca="1"/>
        <v>#NAME?</v>
      </c>
      <c r="Y308" s="1446" t="e">
        <f ca="1"/>
        <v>#NAME?</v>
      </c>
      <c r="Z308" s="1408"/>
      <c r="AB308" s="1399"/>
      <c r="AC308" s="1399"/>
      <c r="AD308" s="1399"/>
      <c r="AE308" s="1399"/>
    </row>
    <row r="309" spans="1:31">
      <c r="A309" s="1487"/>
      <c r="B309" s="1488"/>
      <c r="C309" s="1489"/>
      <c r="D309" s="1490"/>
      <c r="E309" s="1487"/>
      <c r="F309" s="1488"/>
      <c r="G309" s="1489"/>
      <c r="H309" s="1490"/>
      <c r="I309" s="1487"/>
      <c r="J309" s="1488"/>
      <c r="K309" s="1489"/>
      <c r="L309" s="1490"/>
      <c r="M309" s="1487"/>
      <c r="N309" s="1488"/>
      <c r="O309" s="1489"/>
      <c r="P309" s="1490"/>
      <c r="Q309" s="1399"/>
      <c r="X309" s="1445" t="e">
        <f ca="1"/>
        <v>#NAME?</v>
      </c>
      <c r="Y309" s="1446" t="e">
        <f ca="1"/>
        <v>#NAME?</v>
      </c>
      <c r="Z309" s="1408"/>
      <c r="AB309" s="1399"/>
      <c r="AC309" s="1399"/>
      <c r="AD309" s="1399"/>
      <c r="AE309" s="1399"/>
    </row>
    <row r="310" spans="1:31">
      <c r="A310" s="1487"/>
      <c r="B310" s="1488"/>
      <c r="C310" s="1489"/>
      <c r="D310" s="1490"/>
      <c r="E310" s="1487"/>
      <c r="F310" s="1488"/>
      <c r="G310" s="1489"/>
      <c r="H310" s="1490"/>
      <c r="I310" s="1487"/>
      <c r="J310" s="1488"/>
      <c r="K310" s="1489"/>
      <c r="L310" s="1490"/>
      <c r="M310" s="1487"/>
      <c r="N310" s="1488"/>
      <c r="O310" s="1489"/>
      <c r="P310" s="1490"/>
      <c r="Q310" s="1399"/>
      <c r="X310" s="1445" t="e">
        <f ca="1"/>
        <v>#NAME?</v>
      </c>
      <c r="Y310" s="1446" t="e">
        <f ca="1"/>
        <v>#NAME?</v>
      </c>
      <c r="Z310" s="1408"/>
      <c r="AB310" s="1399"/>
      <c r="AC310" s="1399"/>
      <c r="AD310" s="1399"/>
      <c r="AE310" s="1399"/>
    </row>
    <row r="311" spans="1:31">
      <c r="A311" s="1487"/>
      <c r="B311" s="1488"/>
      <c r="C311" s="1489"/>
      <c r="D311" s="1490"/>
      <c r="E311" s="1487"/>
      <c r="F311" s="1488"/>
      <c r="G311" s="1489"/>
      <c r="H311" s="1490"/>
      <c r="I311" s="1487"/>
      <c r="J311" s="1488"/>
      <c r="K311" s="1489"/>
      <c r="L311" s="1490"/>
      <c r="M311" s="1487"/>
      <c r="N311" s="1488"/>
      <c r="O311" s="1489"/>
      <c r="P311" s="1490"/>
      <c r="Q311" s="1399"/>
      <c r="X311" s="1445" t="e">
        <f ca="1"/>
        <v>#NAME?</v>
      </c>
      <c r="Y311" s="1446" t="e">
        <f ca="1"/>
        <v>#NAME?</v>
      </c>
      <c r="Z311" s="1408"/>
      <c r="AB311" s="1399"/>
      <c r="AC311" s="1399"/>
      <c r="AD311" s="1399"/>
      <c r="AE311" s="1399"/>
    </row>
    <row r="312" spans="1:31">
      <c r="A312" s="1487"/>
      <c r="B312" s="1488"/>
      <c r="C312" s="1489"/>
      <c r="D312" s="1490"/>
      <c r="E312" s="1487"/>
      <c r="F312" s="1488"/>
      <c r="G312" s="1489"/>
      <c r="H312" s="1490"/>
      <c r="I312" s="1487"/>
      <c r="J312" s="1488"/>
      <c r="K312" s="1489"/>
      <c r="L312" s="1490"/>
      <c r="M312" s="1487"/>
      <c r="N312" s="1488"/>
      <c r="O312" s="1489"/>
      <c r="P312" s="1490"/>
      <c r="Q312" s="1399"/>
      <c r="X312" s="1445" t="e">
        <f ca="1"/>
        <v>#NAME?</v>
      </c>
      <c r="Y312" s="1446" t="e">
        <f ca="1"/>
        <v>#NAME?</v>
      </c>
      <c r="Z312" s="1408"/>
      <c r="AB312" s="1399"/>
      <c r="AC312" s="1399"/>
      <c r="AD312" s="1399"/>
      <c r="AE312" s="1399"/>
    </row>
    <row r="313" spans="1:31">
      <c r="A313" s="1487"/>
      <c r="B313" s="1488"/>
      <c r="C313" s="1489"/>
      <c r="D313" s="1490"/>
      <c r="E313" s="1487"/>
      <c r="F313" s="1488"/>
      <c r="G313" s="1489"/>
      <c r="H313" s="1490"/>
      <c r="I313" s="1487"/>
      <c r="J313" s="1488"/>
      <c r="K313" s="1489"/>
      <c r="L313" s="1490"/>
      <c r="M313" s="1487"/>
      <c r="N313" s="1488"/>
      <c r="O313" s="1489"/>
      <c r="P313" s="1490"/>
      <c r="Q313" s="1399"/>
      <c r="X313" s="1445" t="e">
        <f ca="1"/>
        <v>#NAME?</v>
      </c>
      <c r="Y313" s="1446" t="e">
        <f ca="1"/>
        <v>#NAME?</v>
      </c>
      <c r="Z313" s="1408"/>
      <c r="AB313" s="1399"/>
      <c r="AC313" s="1399"/>
      <c r="AD313" s="1399"/>
      <c r="AE313" s="1399"/>
    </row>
    <row r="314" spans="1:31">
      <c r="A314" s="1487"/>
      <c r="B314" s="1488"/>
      <c r="C314" s="1489"/>
      <c r="D314" s="1490"/>
      <c r="E314" s="1487"/>
      <c r="F314" s="1488"/>
      <c r="G314" s="1489"/>
      <c r="H314" s="1490"/>
      <c r="I314" s="1487"/>
      <c r="J314" s="1488"/>
      <c r="K314" s="1489"/>
      <c r="L314" s="1490"/>
      <c r="M314" s="1487"/>
      <c r="N314" s="1488"/>
      <c r="O314" s="1489"/>
      <c r="P314" s="1490"/>
      <c r="Q314" s="1399"/>
      <c r="X314" s="1445" t="e">
        <f ca="1"/>
        <v>#NAME?</v>
      </c>
      <c r="Y314" s="1446" t="e">
        <f ca="1"/>
        <v>#NAME?</v>
      </c>
      <c r="Z314" s="1408"/>
      <c r="AB314" s="1399"/>
      <c r="AC314" s="1399"/>
      <c r="AD314" s="1399"/>
      <c r="AE314" s="1399"/>
    </row>
    <row r="315" spans="1:31">
      <c r="A315" s="1487"/>
      <c r="B315" s="1488"/>
      <c r="C315" s="1489"/>
      <c r="D315" s="1490"/>
      <c r="E315" s="1487"/>
      <c r="F315" s="1488"/>
      <c r="G315" s="1489"/>
      <c r="H315" s="1490"/>
      <c r="I315" s="1487"/>
      <c r="J315" s="1488"/>
      <c r="K315" s="1489"/>
      <c r="L315" s="1490"/>
      <c r="M315" s="1487"/>
      <c r="N315" s="1488"/>
      <c r="O315" s="1489"/>
      <c r="P315" s="1490"/>
      <c r="Q315" s="1399"/>
      <c r="X315" s="1445" t="e">
        <f ca="1"/>
        <v>#NAME?</v>
      </c>
      <c r="Y315" s="1446" t="e">
        <f ca="1"/>
        <v>#NAME?</v>
      </c>
      <c r="Z315" s="1408"/>
      <c r="AB315" s="1399"/>
      <c r="AC315" s="1399"/>
      <c r="AD315" s="1399"/>
      <c r="AE315" s="1399"/>
    </row>
    <row r="316" spans="1:31">
      <c r="A316" s="1487"/>
      <c r="B316" s="1488"/>
      <c r="C316" s="1489"/>
      <c r="D316" s="1490"/>
      <c r="E316" s="1487"/>
      <c r="F316" s="1488"/>
      <c r="G316" s="1489"/>
      <c r="H316" s="1490"/>
      <c r="I316" s="1487"/>
      <c r="J316" s="1488"/>
      <c r="K316" s="1489"/>
      <c r="L316" s="1490"/>
      <c r="M316" s="1487"/>
      <c r="N316" s="1488"/>
      <c r="O316" s="1489"/>
      <c r="P316" s="1490"/>
      <c r="Q316" s="1399"/>
      <c r="X316" s="1445" t="e">
        <f ca="1"/>
        <v>#NAME?</v>
      </c>
      <c r="Y316" s="1446" t="e">
        <f ca="1"/>
        <v>#NAME?</v>
      </c>
      <c r="Z316" s="1408"/>
      <c r="AB316" s="1399"/>
      <c r="AC316" s="1399"/>
      <c r="AD316" s="1399"/>
      <c r="AE316" s="1399"/>
    </row>
    <row r="317" spans="1:31">
      <c r="A317" s="1487"/>
      <c r="B317" s="1488"/>
      <c r="C317" s="1489"/>
      <c r="D317" s="1490"/>
      <c r="E317" s="1487"/>
      <c r="F317" s="1488"/>
      <c r="G317" s="1489"/>
      <c r="H317" s="1490"/>
      <c r="I317" s="1487"/>
      <c r="J317" s="1488"/>
      <c r="K317" s="1489"/>
      <c r="L317" s="1490"/>
      <c r="M317" s="1487"/>
      <c r="N317" s="1488"/>
      <c r="O317" s="1489"/>
      <c r="P317" s="1490"/>
      <c r="Q317" s="1399"/>
      <c r="X317" s="1445" t="e">
        <f ca="1"/>
        <v>#NAME?</v>
      </c>
      <c r="Y317" s="1446" t="e">
        <f ca="1"/>
        <v>#NAME?</v>
      </c>
      <c r="Z317" s="1408"/>
      <c r="AB317" s="1399"/>
      <c r="AC317" s="1399"/>
      <c r="AD317" s="1399"/>
      <c r="AE317" s="1399"/>
    </row>
    <row r="318" spans="1:31">
      <c r="A318" s="1487"/>
      <c r="B318" s="1488"/>
      <c r="C318" s="1489"/>
      <c r="D318" s="1490"/>
      <c r="E318" s="1487"/>
      <c r="F318" s="1488"/>
      <c r="G318" s="1489"/>
      <c r="H318" s="1490"/>
      <c r="I318" s="1487"/>
      <c r="J318" s="1488"/>
      <c r="K318" s="1489"/>
      <c r="L318" s="1490"/>
      <c r="M318" s="1487"/>
      <c r="N318" s="1488"/>
      <c r="O318" s="1489"/>
      <c r="P318" s="1490"/>
      <c r="Q318" s="1399"/>
      <c r="X318" s="1445" t="e">
        <f ca="1"/>
        <v>#NAME?</v>
      </c>
      <c r="Y318" s="1446" t="e">
        <f ca="1"/>
        <v>#NAME?</v>
      </c>
      <c r="Z318" s="1408"/>
      <c r="AB318" s="1399"/>
      <c r="AC318" s="1399"/>
      <c r="AD318" s="1399"/>
      <c r="AE318" s="1399"/>
    </row>
    <row r="319" spans="1:31">
      <c r="A319" s="1487"/>
      <c r="B319" s="1488"/>
      <c r="C319" s="1489"/>
      <c r="D319" s="1490"/>
      <c r="E319" s="1487"/>
      <c r="F319" s="1488"/>
      <c r="G319" s="1489"/>
      <c r="H319" s="1490"/>
      <c r="I319" s="1487"/>
      <c r="J319" s="1488"/>
      <c r="K319" s="1489"/>
      <c r="L319" s="1490"/>
      <c r="M319" s="1487"/>
      <c r="N319" s="1488"/>
      <c r="O319" s="1489"/>
      <c r="P319" s="1490"/>
      <c r="Q319" s="1399"/>
      <c r="X319" s="1445" t="e">
        <f ca="1"/>
        <v>#NAME?</v>
      </c>
      <c r="Y319" s="1446" t="e">
        <f ca="1"/>
        <v>#NAME?</v>
      </c>
      <c r="Z319" s="1408"/>
      <c r="AB319" s="1399"/>
      <c r="AC319" s="1399"/>
      <c r="AD319" s="1399"/>
      <c r="AE319" s="1399"/>
    </row>
    <row r="320" spans="1:31">
      <c r="A320" s="1487"/>
      <c r="B320" s="1488"/>
      <c r="C320" s="1489"/>
      <c r="D320" s="1490"/>
      <c r="E320" s="1487"/>
      <c r="F320" s="1488"/>
      <c r="G320" s="1489"/>
      <c r="H320" s="1490"/>
      <c r="I320" s="1487"/>
      <c r="J320" s="1488"/>
      <c r="K320" s="1489"/>
      <c r="L320" s="1490"/>
      <c r="M320" s="1487"/>
      <c r="N320" s="1488"/>
      <c r="O320" s="1489"/>
      <c r="P320" s="1490"/>
      <c r="Q320" s="1399"/>
      <c r="X320" s="1445" t="e">
        <f ca="1"/>
        <v>#NAME?</v>
      </c>
      <c r="Y320" s="1446" t="e">
        <f ca="1"/>
        <v>#NAME?</v>
      </c>
      <c r="Z320" s="1408"/>
      <c r="AB320" s="1399"/>
      <c r="AC320" s="1399"/>
      <c r="AD320" s="1399"/>
      <c r="AE320" s="1399"/>
    </row>
    <row r="321" spans="1:31">
      <c r="A321" s="1487"/>
      <c r="B321" s="1488"/>
      <c r="C321" s="1489"/>
      <c r="D321" s="1490"/>
      <c r="E321" s="1487"/>
      <c r="F321" s="1488"/>
      <c r="G321" s="1489"/>
      <c r="H321" s="1490"/>
      <c r="I321" s="1487"/>
      <c r="J321" s="1488"/>
      <c r="K321" s="1489"/>
      <c r="L321" s="1490"/>
      <c r="M321" s="1487"/>
      <c r="N321" s="1488"/>
      <c r="O321" s="1489"/>
      <c r="P321" s="1490"/>
      <c r="Q321" s="1399"/>
      <c r="X321" s="1445" t="e">
        <f ca="1"/>
        <v>#NAME?</v>
      </c>
      <c r="Y321" s="1446" t="e">
        <f ca="1"/>
        <v>#NAME?</v>
      </c>
      <c r="Z321" s="1408"/>
      <c r="AB321" s="1399"/>
      <c r="AC321" s="1399"/>
      <c r="AD321" s="1399"/>
      <c r="AE321" s="1399"/>
    </row>
    <row r="322" spans="1:31">
      <c r="A322" s="1487"/>
      <c r="B322" s="1488"/>
      <c r="C322" s="1489"/>
      <c r="D322" s="1490"/>
      <c r="E322" s="1487"/>
      <c r="F322" s="1488"/>
      <c r="G322" s="1489"/>
      <c r="H322" s="1490"/>
      <c r="I322" s="1487"/>
      <c r="J322" s="1488"/>
      <c r="K322" s="1489"/>
      <c r="L322" s="1490"/>
      <c r="M322" s="1487"/>
      <c r="N322" s="1488"/>
      <c r="O322" s="1489"/>
      <c r="P322" s="1490"/>
      <c r="Q322" s="1399"/>
      <c r="X322" s="1445" t="e">
        <f ca="1"/>
        <v>#NAME?</v>
      </c>
      <c r="Y322" s="1446" t="e">
        <f ca="1"/>
        <v>#NAME?</v>
      </c>
      <c r="Z322" s="1408"/>
      <c r="AB322" s="1399"/>
      <c r="AC322" s="1399"/>
      <c r="AD322" s="1399"/>
      <c r="AE322" s="1399"/>
    </row>
    <row r="323" spans="1:31">
      <c r="A323" s="1487"/>
      <c r="B323" s="1488"/>
      <c r="C323" s="1489"/>
      <c r="D323" s="1490"/>
      <c r="E323" s="1487"/>
      <c r="F323" s="1488"/>
      <c r="G323" s="1489"/>
      <c r="H323" s="1490"/>
      <c r="I323" s="1487"/>
      <c r="J323" s="1488"/>
      <c r="K323" s="1489"/>
      <c r="L323" s="1490"/>
      <c r="M323" s="1487"/>
      <c r="N323" s="1488"/>
      <c r="O323" s="1489"/>
      <c r="P323" s="1490"/>
      <c r="Q323" s="1399"/>
      <c r="X323" s="1445" t="e">
        <f ca="1"/>
        <v>#NAME?</v>
      </c>
      <c r="Y323" s="1446" t="e">
        <f ca="1"/>
        <v>#NAME?</v>
      </c>
      <c r="Z323" s="1408"/>
      <c r="AB323" s="1399"/>
      <c r="AC323" s="1399"/>
      <c r="AD323" s="1399"/>
      <c r="AE323" s="1399"/>
    </row>
    <row r="324" spans="1:31">
      <c r="A324" s="1487"/>
      <c r="B324" s="1488"/>
      <c r="C324" s="1489"/>
      <c r="D324" s="1490"/>
      <c r="E324" s="1487"/>
      <c r="F324" s="1488"/>
      <c r="G324" s="1489"/>
      <c r="H324" s="1490"/>
      <c r="I324" s="1487"/>
      <c r="J324" s="1488"/>
      <c r="K324" s="1489"/>
      <c r="L324" s="1490"/>
      <c r="M324" s="1487"/>
      <c r="N324" s="1488"/>
      <c r="O324" s="1489"/>
      <c r="P324" s="1490"/>
      <c r="Q324" s="1399"/>
      <c r="X324" s="1445" t="e">
        <f ca="1"/>
        <v>#NAME?</v>
      </c>
      <c r="Y324" s="1446" t="e">
        <f ca="1"/>
        <v>#NAME?</v>
      </c>
      <c r="Z324" s="1408"/>
      <c r="AB324" s="1399"/>
      <c r="AC324" s="1399"/>
      <c r="AD324" s="1399"/>
      <c r="AE324" s="1399"/>
    </row>
    <row r="325" spans="1:31">
      <c r="A325" s="1487"/>
      <c r="B325" s="1488"/>
      <c r="C325" s="1489"/>
      <c r="D325" s="1490"/>
      <c r="E325" s="1487"/>
      <c r="F325" s="1488"/>
      <c r="G325" s="1489"/>
      <c r="H325" s="1490"/>
      <c r="I325" s="1487"/>
      <c r="J325" s="1488"/>
      <c r="K325" s="1489"/>
      <c r="L325" s="1490"/>
      <c r="M325" s="1487"/>
      <c r="N325" s="1488"/>
      <c r="O325" s="1489"/>
      <c r="P325" s="1490"/>
      <c r="Q325" s="1399"/>
      <c r="X325" s="1445" t="e">
        <f ca="1"/>
        <v>#NAME?</v>
      </c>
      <c r="Y325" s="1446" t="e">
        <f ca="1"/>
        <v>#NAME?</v>
      </c>
      <c r="Z325" s="1408"/>
      <c r="AB325" s="1399"/>
      <c r="AC325" s="1399"/>
      <c r="AD325" s="1399"/>
      <c r="AE325" s="1399"/>
    </row>
    <row r="326" spans="1:31">
      <c r="A326" s="1487"/>
      <c r="B326" s="1488"/>
      <c r="C326" s="1489"/>
      <c r="D326" s="1490"/>
      <c r="E326" s="1487"/>
      <c r="F326" s="1488"/>
      <c r="G326" s="1489"/>
      <c r="H326" s="1490"/>
      <c r="I326" s="1487"/>
      <c r="J326" s="1488"/>
      <c r="K326" s="1489"/>
      <c r="L326" s="1490"/>
      <c r="M326" s="1487"/>
      <c r="N326" s="1488"/>
      <c r="O326" s="1489"/>
      <c r="P326" s="1490"/>
      <c r="Q326" s="1399"/>
      <c r="X326" s="1445" t="e">
        <f ca="1"/>
        <v>#NAME?</v>
      </c>
      <c r="Y326" s="1446" t="e">
        <f ca="1"/>
        <v>#NAME?</v>
      </c>
      <c r="Z326" s="1408"/>
      <c r="AB326" s="1399"/>
      <c r="AC326" s="1399"/>
      <c r="AD326" s="1399"/>
      <c r="AE326" s="1399"/>
    </row>
    <row r="327" spans="1:31">
      <c r="A327" s="1487"/>
      <c r="B327" s="1488"/>
      <c r="C327" s="1489"/>
      <c r="D327" s="1490"/>
      <c r="E327" s="1487"/>
      <c r="F327" s="1488"/>
      <c r="G327" s="1489"/>
      <c r="H327" s="1490"/>
      <c r="I327" s="1487"/>
      <c r="J327" s="1488"/>
      <c r="K327" s="1489"/>
      <c r="L327" s="1490"/>
      <c r="M327" s="1487"/>
      <c r="N327" s="1488"/>
      <c r="O327" s="1489"/>
      <c r="P327" s="1490"/>
      <c r="Q327" s="1399"/>
      <c r="X327" s="1445" t="e">
        <f ca="1"/>
        <v>#NAME?</v>
      </c>
      <c r="Y327" s="1446" t="e">
        <f ca="1"/>
        <v>#NAME?</v>
      </c>
      <c r="Z327" s="1408"/>
      <c r="AB327" s="1399"/>
      <c r="AC327" s="1399"/>
      <c r="AD327" s="1399"/>
      <c r="AE327" s="1399"/>
    </row>
    <row r="328" spans="1:31">
      <c r="A328" s="1487"/>
      <c r="B328" s="1488"/>
      <c r="C328" s="1489"/>
      <c r="D328" s="1490"/>
      <c r="E328" s="1487"/>
      <c r="F328" s="1488"/>
      <c r="G328" s="1489"/>
      <c r="H328" s="1490"/>
      <c r="I328" s="1487"/>
      <c r="J328" s="1488"/>
      <c r="K328" s="1489"/>
      <c r="L328" s="1490"/>
      <c r="M328" s="1487"/>
      <c r="N328" s="1488"/>
      <c r="O328" s="1489"/>
      <c r="P328" s="1490"/>
      <c r="Q328" s="1399"/>
      <c r="X328" s="1445" t="e">
        <f ca="1"/>
        <v>#NAME?</v>
      </c>
      <c r="Y328" s="1446" t="e">
        <f ca="1"/>
        <v>#NAME?</v>
      </c>
      <c r="Z328" s="1408"/>
      <c r="AB328" s="1399"/>
      <c r="AC328" s="1399"/>
      <c r="AD328" s="1399"/>
      <c r="AE328" s="1399"/>
    </row>
    <row r="329" spans="1:31">
      <c r="A329" s="1487"/>
      <c r="B329" s="1488"/>
      <c r="C329" s="1489"/>
      <c r="D329" s="1490"/>
      <c r="E329" s="1487"/>
      <c r="F329" s="1488"/>
      <c r="G329" s="1489"/>
      <c r="H329" s="1490"/>
      <c r="I329" s="1487"/>
      <c r="J329" s="1488"/>
      <c r="K329" s="1489"/>
      <c r="L329" s="1490"/>
      <c r="M329" s="1487"/>
      <c r="N329" s="1488"/>
      <c r="O329" s="1489"/>
      <c r="P329" s="1490"/>
      <c r="Q329" s="1399"/>
      <c r="X329" s="1445" t="e">
        <f ca="1"/>
        <v>#NAME?</v>
      </c>
      <c r="Y329" s="1446" t="e">
        <f ca="1"/>
        <v>#NAME?</v>
      </c>
      <c r="Z329" s="1408"/>
      <c r="AB329" s="1399"/>
      <c r="AC329" s="1399"/>
      <c r="AD329" s="1399"/>
      <c r="AE329" s="1399"/>
    </row>
    <row r="330" spans="1:31">
      <c r="A330" s="1487"/>
      <c r="B330" s="1488"/>
      <c r="C330" s="1489"/>
      <c r="D330" s="1490"/>
      <c r="E330" s="1487"/>
      <c r="F330" s="1488"/>
      <c r="G330" s="1489"/>
      <c r="H330" s="1490"/>
      <c r="I330" s="1487"/>
      <c r="J330" s="1488"/>
      <c r="K330" s="1489"/>
      <c r="L330" s="1490"/>
      <c r="M330" s="1487"/>
      <c r="N330" s="1488"/>
      <c r="O330" s="1489"/>
      <c r="P330" s="1490"/>
      <c r="Q330" s="1399"/>
      <c r="X330" s="1445" t="e">
        <f ca="1"/>
        <v>#NAME?</v>
      </c>
      <c r="Y330" s="1446" t="e">
        <f ca="1"/>
        <v>#NAME?</v>
      </c>
      <c r="Z330" s="1408"/>
      <c r="AB330" s="1399"/>
      <c r="AC330" s="1399"/>
      <c r="AD330" s="1399"/>
      <c r="AE330" s="1399"/>
    </row>
    <row r="331" spans="1:31">
      <c r="A331" s="1487"/>
      <c r="B331" s="1488"/>
      <c r="C331" s="1489"/>
      <c r="D331" s="1490"/>
      <c r="E331" s="1487"/>
      <c r="F331" s="1488"/>
      <c r="G331" s="1489"/>
      <c r="H331" s="1490"/>
      <c r="I331" s="1487"/>
      <c r="J331" s="1488"/>
      <c r="K331" s="1489"/>
      <c r="L331" s="1490"/>
      <c r="M331" s="1487"/>
      <c r="N331" s="1488"/>
      <c r="O331" s="1489"/>
      <c r="P331" s="1490"/>
      <c r="Q331" s="1399"/>
      <c r="X331" s="1445" t="e">
        <f ca="1"/>
        <v>#NAME?</v>
      </c>
      <c r="Y331" s="1446" t="e">
        <f ca="1"/>
        <v>#NAME?</v>
      </c>
      <c r="Z331" s="1408"/>
      <c r="AB331" s="1399"/>
      <c r="AC331" s="1399"/>
      <c r="AD331" s="1399"/>
      <c r="AE331" s="1399"/>
    </row>
    <row r="332" spans="1:31">
      <c r="A332" s="1487"/>
      <c r="B332" s="1488"/>
      <c r="C332" s="1489"/>
      <c r="D332" s="1490"/>
      <c r="E332" s="1487"/>
      <c r="F332" s="1488"/>
      <c r="G332" s="1489"/>
      <c r="H332" s="1490"/>
      <c r="I332" s="1487"/>
      <c r="J332" s="1488"/>
      <c r="K332" s="1489"/>
      <c r="L332" s="1490"/>
      <c r="M332" s="1487"/>
      <c r="N332" s="1488"/>
      <c r="O332" s="1489"/>
      <c r="P332" s="1490"/>
      <c r="X332" s="1445" t="e">
        <f ca="1"/>
        <v>#NAME?</v>
      </c>
      <c r="Y332" s="1446" t="e">
        <f ca="1"/>
        <v>#NAME?</v>
      </c>
      <c r="Z332" s="1408"/>
    </row>
    <row r="333" spans="1:31">
      <c r="A333" s="1487"/>
      <c r="B333" s="1488"/>
      <c r="C333" s="1489"/>
      <c r="D333" s="1490"/>
      <c r="E333" s="1487"/>
      <c r="F333" s="1488"/>
      <c r="G333" s="1489"/>
      <c r="H333" s="1490"/>
      <c r="I333" s="1487"/>
      <c r="J333" s="1488"/>
      <c r="K333" s="1489"/>
      <c r="L333" s="1490"/>
      <c r="M333" s="1487"/>
      <c r="N333" s="1488"/>
      <c r="O333" s="1489"/>
      <c r="P333" s="1490"/>
      <c r="X333" s="1445" t="e">
        <f ca="1"/>
        <v>#NAME?</v>
      </c>
      <c r="Y333" s="1446" t="e">
        <f ca="1"/>
        <v>#NAME?</v>
      </c>
      <c r="Z333" s="1408"/>
    </row>
    <row r="334" spans="1:31">
      <c r="A334" s="1487"/>
      <c r="B334" s="1488"/>
      <c r="C334" s="1489"/>
      <c r="D334" s="1490"/>
      <c r="E334" s="1487"/>
      <c r="F334" s="1488"/>
      <c r="G334" s="1489"/>
      <c r="H334" s="1490"/>
      <c r="I334" s="1487"/>
      <c r="J334" s="1488"/>
      <c r="K334" s="1489"/>
      <c r="L334" s="1490"/>
      <c r="M334" s="1487"/>
      <c r="N334" s="1488"/>
      <c r="O334" s="1489"/>
      <c r="P334" s="1490"/>
      <c r="X334" s="1445" t="e">
        <f ca="1"/>
        <v>#NAME?</v>
      </c>
      <c r="Y334" s="1446" t="e">
        <f ca="1"/>
        <v>#NAME?</v>
      </c>
      <c r="Z334" s="1408"/>
    </row>
    <row r="335" spans="1:31">
      <c r="A335" s="1487"/>
      <c r="B335" s="1488"/>
      <c r="C335" s="1489"/>
      <c r="D335" s="1490"/>
      <c r="E335" s="1487"/>
      <c r="F335" s="1488"/>
      <c r="G335" s="1489"/>
      <c r="H335" s="1490"/>
      <c r="I335" s="1487"/>
      <c r="J335" s="1488"/>
      <c r="K335" s="1489"/>
      <c r="L335" s="1490"/>
      <c r="M335" s="1487"/>
      <c r="N335" s="1488"/>
      <c r="O335" s="1489"/>
      <c r="P335" s="1490"/>
      <c r="X335" s="1445" t="e">
        <f ca="1"/>
        <v>#NAME?</v>
      </c>
      <c r="Y335" s="1446" t="e">
        <f ca="1"/>
        <v>#NAME?</v>
      </c>
      <c r="Z335" s="1408"/>
    </row>
    <row r="336" spans="1:31">
      <c r="A336" s="1487"/>
      <c r="B336" s="1488"/>
      <c r="C336" s="1489"/>
      <c r="D336" s="1490"/>
      <c r="E336" s="1487"/>
      <c r="F336" s="1488"/>
      <c r="G336" s="1489"/>
      <c r="H336" s="1490"/>
      <c r="I336" s="1487"/>
      <c r="J336" s="1488"/>
      <c r="K336" s="1489"/>
      <c r="L336" s="1490"/>
      <c r="M336" s="1487"/>
      <c r="N336" s="1488"/>
      <c r="O336" s="1489"/>
      <c r="P336" s="1490"/>
      <c r="X336" s="1445" t="e">
        <f ca="1"/>
        <v>#NAME?</v>
      </c>
      <c r="Y336" s="1446" t="e">
        <f ca="1"/>
        <v>#NAME?</v>
      </c>
      <c r="Z336" s="1408"/>
    </row>
    <row r="337" spans="1:26">
      <c r="A337" s="1487"/>
      <c r="B337" s="1488"/>
      <c r="C337" s="1489"/>
      <c r="D337" s="1490"/>
      <c r="E337" s="1487"/>
      <c r="F337" s="1488"/>
      <c r="G337" s="1489"/>
      <c r="H337" s="1490"/>
      <c r="I337" s="1487"/>
      <c r="J337" s="1488"/>
      <c r="K337" s="1489"/>
      <c r="L337" s="1490"/>
      <c r="M337" s="1487"/>
      <c r="N337" s="1488"/>
      <c r="O337" s="1489"/>
      <c r="P337" s="1490"/>
      <c r="X337" s="1445" t="e">
        <f ca="1"/>
        <v>#NAME?</v>
      </c>
      <c r="Y337" s="1446" t="e">
        <f ca="1"/>
        <v>#NAME?</v>
      </c>
      <c r="Z337" s="1408"/>
    </row>
    <row r="338" spans="1:26">
      <c r="A338" s="1487"/>
      <c r="B338" s="1488"/>
      <c r="C338" s="1489"/>
      <c r="D338" s="1490"/>
      <c r="E338" s="1487"/>
      <c r="F338" s="1488"/>
      <c r="G338" s="1489"/>
      <c r="H338" s="1490"/>
      <c r="I338" s="1487"/>
      <c r="J338" s="1488"/>
      <c r="K338" s="1489"/>
      <c r="L338" s="1490"/>
      <c r="M338" s="1487"/>
      <c r="N338" s="1488"/>
      <c r="O338" s="1489"/>
      <c r="P338" s="1490"/>
      <c r="X338" s="1445" t="e">
        <f ca="1"/>
        <v>#NAME?</v>
      </c>
      <c r="Y338" s="1446" t="e">
        <f ca="1"/>
        <v>#NAME?</v>
      </c>
      <c r="Z338" s="1408"/>
    </row>
    <row r="339" spans="1:26">
      <c r="A339" s="1487"/>
      <c r="B339" s="1488"/>
      <c r="C339" s="1489"/>
      <c r="D339" s="1490"/>
      <c r="E339" s="1487"/>
      <c r="F339" s="1488"/>
      <c r="G339" s="1489"/>
      <c r="H339" s="1490"/>
      <c r="I339" s="1487"/>
      <c r="J339" s="1488"/>
      <c r="K339" s="1489"/>
      <c r="L339" s="1490"/>
      <c r="M339" s="1487"/>
      <c r="N339" s="1488"/>
      <c r="O339" s="1489"/>
      <c r="P339" s="1490"/>
      <c r="X339" s="1445" t="e">
        <f ca="1"/>
        <v>#NAME?</v>
      </c>
      <c r="Y339" s="1446" t="e">
        <f ca="1"/>
        <v>#NAME?</v>
      </c>
      <c r="Z339" s="1408"/>
    </row>
    <row r="340" spans="1:26">
      <c r="A340" s="1487"/>
      <c r="B340" s="1488"/>
      <c r="C340" s="1489"/>
      <c r="D340" s="1490"/>
      <c r="E340" s="1487"/>
      <c r="F340" s="1488"/>
      <c r="G340" s="1489"/>
      <c r="H340" s="1490"/>
      <c r="I340" s="1487"/>
      <c r="J340" s="1488"/>
      <c r="K340" s="1489"/>
      <c r="L340" s="1490"/>
      <c r="M340" s="1487"/>
      <c r="N340" s="1488"/>
      <c r="O340" s="1489"/>
      <c r="P340" s="1490"/>
      <c r="X340" s="1445" t="e">
        <f ca="1"/>
        <v>#NAME?</v>
      </c>
      <c r="Y340" s="1446" t="e">
        <f ca="1"/>
        <v>#NAME?</v>
      </c>
      <c r="Z340" s="1408"/>
    </row>
    <row r="341" spans="1:26">
      <c r="A341" s="1487"/>
      <c r="B341" s="1488"/>
      <c r="C341" s="1489"/>
      <c r="D341" s="1490"/>
      <c r="E341" s="1487"/>
      <c r="F341" s="1488"/>
      <c r="G341" s="1489"/>
      <c r="H341" s="1490"/>
      <c r="I341" s="1487"/>
      <c r="J341" s="1488"/>
      <c r="K341" s="1489"/>
      <c r="L341" s="1490"/>
      <c r="M341" s="1487"/>
      <c r="N341" s="1488"/>
      <c r="O341" s="1489"/>
      <c r="P341" s="1490"/>
      <c r="X341" s="1445" t="e">
        <f ca="1"/>
        <v>#NAME?</v>
      </c>
      <c r="Y341" s="1446" t="e">
        <f ca="1"/>
        <v>#NAME?</v>
      </c>
      <c r="Z341" s="1408"/>
    </row>
    <row r="342" spans="1:26">
      <c r="A342" s="1487"/>
      <c r="B342" s="1488"/>
      <c r="C342" s="1489"/>
      <c r="D342" s="1490"/>
      <c r="E342" s="1487"/>
      <c r="F342" s="1488"/>
      <c r="G342" s="1489"/>
      <c r="H342" s="1490"/>
      <c r="I342" s="1487"/>
      <c r="J342" s="1488"/>
      <c r="K342" s="1489"/>
      <c r="L342" s="1490"/>
      <c r="M342" s="1487"/>
      <c r="N342" s="1488"/>
      <c r="O342" s="1489"/>
      <c r="P342" s="1490"/>
      <c r="X342" s="1445" t="e">
        <f ca="1"/>
        <v>#NAME?</v>
      </c>
      <c r="Y342" s="1446" t="e">
        <f ca="1"/>
        <v>#NAME?</v>
      </c>
      <c r="Z342" s="1408"/>
    </row>
    <row r="343" spans="1:26">
      <c r="A343" s="1487"/>
      <c r="B343" s="1488"/>
      <c r="C343" s="1489"/>
      <c r="D343" s="1490"/>
      <c r="E343" s="1487"/>
      <c r="F343" s="1488"/>
      <c r="G343" s="1489"/>
      <c r="H343" s="1490"/>
      <c r="I343" s="1487"/>
      <c r="J343" s="1488"/>
      <c r="K343" s="1489"/>
      <c r="L343" s="1490"/>
      <c r="M343" s="1487"/>
      <c r="N343" s="1488"/>
      <c r="O343" s="1489"/>
      <c r="P343" s="1490"/>
      <c r="X343" s="1445" t="e">
        <f ca="1"/>
        <v>#NAME?</v>
      </c>
      <c r="Y343" s="1446" t="e">
        <f ca="1"/>
        <v>#NAME?</v>
      </c>
      <c r="Z343" s="1408"/>
    </row>
    <row r="344" spans="1:26">
      <c r="A344" s="1487"/>
      <c r="B344" s="1488"/>
      <c r="C344" s="1489"/>
      <c r="D344" s="1490"/>
      <c r="E344" s="1487"/>
      <c r="F344" s="1488"/>
      <c r="G344" s="1489"/>
      <c r="H344" s="1490"/>
      <c r="I344" s="1487"/>
      <c r="J344" s="1488"/>
      <c r="K344" s="1489"/>
      <c r="L344" s="1490"/>
      <c r="M344" s="1487"/>
      <c r="N344" s="1488"/>
      <c r="O344" s="1489"/>
      <c r="P344" s="1490"/>
      <c r="X344" s="1445" t="e">
        <f ca="1"/>
        <v>#NAME?</v>
      </c>
      <c r="Y344" s="1446" t="e">
        <f ca="1"/>
        <v>#NAME?</v>
      </c>
      <c r="Z344" s="1408"/>
    </row>
    <row r="345" spans="1:26">
      <c r="A345" s="1487"/>
      <c r="B345" s="1488"/>
      <c r="C345" s="1489"/>
      <c r="D345" s="1490"/>
      <c r="E345" s="1487"/>
      <c r="F345" s="1488"/>
      <c r="G345" s="1489"/>
      <c r="H345" s="1490"/>
      <c r="I345" s="1487"/>
      <c r="J345" s="1488"/>
      <c r="K345" s="1489"/>
      <c r="L345" s="1490"/>
      <c r="M345" s="1487"/>
      <c r="N345" s="1488"/>
      <c r="O345" s="1489"/>
      <c r="P345" s="1490"/>
      <c r="X345" s="1445" t="e">
        <f ca="1"/>
        <v>#NAME?</v>
      </c>
      <c r="Y345" s="1446" t="e">
        <f ca="1"/>
        <v>#NAME?</v>
      </c>
      <c r="Z345" s="1408"/>
    </row>
    <row r="346" spans="1:26">
      <c r="A346" s="1487"/>
      <c r="B346" s="1488"/>
      <c r="C346" s="1489"/>
      <c r="D346" s="1490"/>
      <c r="E346" s="1487"/>
      <c r="F346" s="1488"/>
      <c r="G346" s="1489"/>
      <c r="H346" s="1490"/>
      <c r="I346" s="1487"/>
      <c r="J346" s="1488"/>
      <c r="K346" s="1489"/>
      <c r="L346" s="1490"/>
      <c r="M346" s="1487"/>
      <c r="N346" s="1488"/>
      <c r="O346" s="1489"/>
      <c r="P346" s="1490"/>
      <c r="X346" s="1445" t="e">
        <f ca="1"/>
        <v>#NAME?</v>
      </c>
      <c r="Y346" s="1446" t="e">
        <f ca="1"/>
        <v>#NAME?</v>
      </c>
      <c r="Z346" s="1408"/>
    </row>
    <row r="347" spans="1:26">
      <c r="A347" s="1487"/>
      <c r="B347" s="1488"/>
      <c r="C347" s="1489"/>
      <c r="D347" s="1490"/>
      <c r="E347" s="1487"/>
      <c r="F347" s="1488"/>
      <c r="G347" s="1489"/>
      <c r="H347" s="1490"/>
      <c r="I347" s="1487"/>
      <c r="J347" s="1488"/>
      <c r="K347" s="1489"/>
      <c r="L347" s="1490"/>
      <c r="M347" s="1487"/>
      <c r="N347" s="1488"/>
      <c r="O347" s="1489"/>
      <c r="P347" s="1490"/>
      <c r="X347" s="1445" t="e">
        <f ca="1"/>
        <v>#NAME?</v>
      </c>
      <c r="Y347" s="1446" t="e">
        <f ca="1"/>
        <v>#NAME?</v>
      </c>
      <c r="Z347" s="1408"/>
    </row>
    <row r="348" spans="1:26">
      <c r="A348" s="1487"/>
      <c r="B348" s="1488"/>
      <c r="C348" s="1489"/>
      <c r="D348" s="1490"/>
      <c r="E348" s="1487"/>
      <c r="F348" s="1488"/>
      <c r="G348" s="1489"/>
      <c r="H348" s="1490"/>
      <c r="I348" s="1487"/>
      <c r="J348" s="1488"/>
      <c r="K348" s="1489"/>
      <c r="L348" s="1490"/>
      <c r="M348" s="1487"/>
      <c r="N348" s="1488"/>
      <c r="O348" s="1489"/>
      <c r="P348" s="1490"/>
      <c r="X348" s="1445" t="e">
        <f ca="1"/>
        <v>#NAME?</v>
      </c>
      <c r="Y348" s="1446" t="e">
        <f ca="1"/>
        <v>#NAME?</v>
      </c>
      <c r="Z348" s="1408"/>
    </row>
    <row r="349" spans="1:26">
      <c r="A349" s="1487"/>
      <c r="B349" s="1488"/>
      <c r="C349" s="1489"/>
      <c r="D349" s="1490"/>
      <c r="E349" s="1487"/>
      <c r="F349" s="1488"/>
      <c r="G349" s="1489"/>
      <c r="H349" s="1490"/>
      <c r="I349" s="1487"/>
      <c r="J349" s="1488"/>
      <c r="K349" s="1489"/>
      <c r="L349" s="1490"/>
      <c r="M349" s="1487"/>
      <c r="N349" s="1488"/>
      <c r="O349" s="1489"/>
      <c r="P349" s="1490"/>
      <c r="X349" s="1445" t="e">
        <f ca="1"/>
        <v>#NAME?</v>
      </c>
      <c r="Y349" s="1446" t="e">
        <f ca="1"/>
        <v>#NAME?</v>
      </c>
      <c r="Z349" s="1408"/>
    </row>
    <row r="350" spans="1:26">
      <c r="A350" s="1487"/>
      <c r="B350" s="1488"/>
      <c r="C350" s="1489"/>
      <c r="D350" s="1490"/>
      <c r="E350" s="1487"/>
      <c r="F350" s="1488"/>
      <c r="G350" s="1489"/>
      <c r="H350" s="1490"/>
      <c r="I350" s="1487"/>
      <c r="J350" s="1488"/>
      <c r="K350" s="1489"/>
      <c r="L350" s="1490"/>
      <c r="M350" s="1487"/>
      <c r="N350" s="1488"/>
      <c r="O350" s="1489"/>
      <c r="P350" s="1490"/>
      <c r="X350" s="1445" t="e">
        <f ca="1"/>
        <v>#NAME?</v>
      </c>
      <c r="Y350" s="1446" t="e">
        <f ca="1"/>
        <v>#NAME?</v>
      </c>
      <c r="Z350" s="1408"/>
    </row>
    <row r="351" spans="1:26">
      <c r="A351" s="1487"/>
      <c r="B351" s="1488"/>
      <c r="C351" s="1489"/>
      <c r="D351" s="1490"/>
      <c r="E351" s="1487"/>
      <c r="F351" s="1488"/>
      <c r="G351" s="1489"/>
      <c r="H351" s="1490"/>
      <c r="I351" s="1487"/>
      <c r="J351" s="1488"/>
      <c r="K351" s="1489"/>
      <c r="L351" s="1490"/>
      <c r="M351" s="1487"/>
      <c r="N351" s="1488"/>
      <c r="O351" s="1489"/>
      <c r="P351" s="1490"/>
      <c r="X351" s="1445" t="e">
        <f ca="1"/>
        <v>#NAME?</v>
      </c>
      <c r="Y351" s="1446" t="e">
        <f ca="1"/>
        <v>#NAME?</v>
      </c>
      <c r="Z351" s="1408"/>
    </row>
    <row r="352" spans="1:26">
      <c r="A352" s="1487"/>
      <c r="B352" s="1488"/>
      <c r="C352" s="1489"/>
      <c r="D352" s="1490"/>
      <c r="E352" s="1487"/>
      <c r="F352" s="1488"/>
      <c r="G352" s="1489"/>
      <c r="H352" s="1490"/>
      <c r="I352" s="1487"/>
      <c r="J352" s="1488"/>
      <c r="K352" s="1489"/>
      <c r="L352" s="1490"/>
      <c r="M352" s="1487"/>
      <c r="N352" s="1488"/>
      <c r="O352" s="1489"/>
      <c r="P352" s="1490"/>
      <c r="X352" s="1445" t="e">
        <f ca="1"/>
        <v>#NAME?</v>
      </c>
      <c r="Y352" s="1446" t="e">
        <f ca="1"/>
        <v>#NAME?</v>
      </c>
      <c r="Z352" s="1408"/>
    </row>
    <row r="353" spans="1:26">
      <c r="A353" s="1487"/>
      <c r="B353" s="1488"/>
      <c r="C353" s="1489"/>
      <c r="D353" s="1490"/>
      <c r="E353" s="1487"/>
      <c r="F353" s="1488"/>
      <c r="G353" s="1489"/>
      <c r="H353" s="1490"/>
      <c r="I353" s="1487"/>
      <c r="J353" s="1488"/>
      <c r="K353" s="1489"/>
      <c r="L353" s="1490"/>
      <c r="M353" s="1487"/>
      <c r="N353" s="1488"/>
      <c r="O353" s="1489"/>
      <c r="P353" s="1490"/>
      <c r="X353" s="1445" t="e">
        <f ca="1"/>
        <v>#NAME?</v>
      </c>
      <c r="Y353" s="1446" t="e">
        <f ca="1"/>
        <v>#NAME?</v>
      </c>
      <c r="Z353" s="1408"/>
    </row>
    <row r="354" spans="1:26">
      <c r="A354" s="1487"/>
      <c r="B354" s="1488"/>
      <c r="C354" s="1489"/>
      <c r="D354" s="1490"/>
      <c r="E354" s="1487"/>
      <c r="F354" s="1488"/>
      <c r="G354" s="1489"/>
      <c r="H354" s="1490"/>
      <c r="I354" s="1487"/>
      <c r="J354" s="1488"/>
      <c r="K354" s="1489"/>
      <c r="L354" s="1490"/>
      <c r="M354" s="1487"/>
      <c r="N354" s="1488"/>
      <c r="O354" s="1489"/>
      <c r="P354" s="1490"/>
      <c r="X354" s="1445" t="e">
        <f ca="1"/>
        <v>#NAME?</v>
      </c>
      <c r="Y354" s="1446" t="e">
        <f ca="1"/>
        <v>#NAME?</v>
      </c>
      <c r="Z354" s="1408"/>
    </row>
    <row r="355" spans="1:26">
      <c r="A355" s="1487"/>
      <c r="B355" s="1488"/>
      <c r="C355" s="1489"/>
      <c r="D355" s="1490"/>
      <c r="E355" s="1487"/>
      <c r="F355" s="1488"/>
      <c r="G355" s="1489"/>
      <c r="H355" s="1490"/>
      <c r="I355" s="1487"/>
      <c r="J355" s="1488"/>
      <c r="K355" s="1489"/>
      <c r="L355" s="1490"/>
      <c r="M355" s="1487"/>
      <c r="N355" s="1488"/>
      <c r="O355" s="1489"/>
      <c r="P355" s="1490"/>
      <c r="X355" s="1445" t="e">
        <f ca="1"/>
        <v>#NAME?</v>
      </c>
      <c r="Y355" s="1446" t="e">
        <f ca="1"/>
        <v>#NAME?</v>
      </c>
      <c r="Z355" s="1408"/>
    </row>
    <row r="356" spans="1:26">
      <c r="A356" s="1487"/>
      <c r="B356" s="1488"/>
      <c r="C356" s="1489"/>
      <c r="D356" s="1490"/>
      <c r="E356" s="1487"/>
      <c r="F356" s="1488"/>
      <c r="G356" s="1489"/>
      <c r="H356" s="1490"/>
      <c r="I356" s="1487"/>
      <c r="J356" s="1488"/>
      <c r="K356" s="1489"/>
      <c r="L356" s="1490"/>
      <c r="M356" s="1487"/>
      <c r="N356" s="1488"/>
      <c r="O356" s="1489"/>
      <c r="P356" s="1490"/>
      <c r="X356" s="1445" t="e">
        <f ca="1"/>
        <v>#NAME?</v>
      </c>
      <c r="Y356" s="1446" t="e">
        <f ca="1"/>
        <v>#NAME?</v>
      </c>
      <c r="Z356" s="1408"/>
    </row>
    <row r="357" spans="1:26">
      <c r="A357" s="1487"/>
      <c r="B357" s="1488"/>
      <c r="C357" s="1489"/>
      <c r="D357" s="1490"/>
      <c r="E357" s="1487"/>
      <c r="F357" s="1488"/>
      <c r="G357" s="1489"/>
      <c r="H357" s="1490"/>
      <c r="I357" s="1487"/>
      <c r="J357" s="1488"/>
      <c r="K357" s="1489"/>
      <c r="L357" s="1490"/>
      <c r="M357" s="1487"/>
      <c r="N357" s="1488"/>
      <c r="O357" s="1489"/>
      <c r="P357" s="1490"/>
      <c r="X357" s="1445" t="e">
        <f ca="1"/>
        <v>#NAME?</v>
      </c>
      <c r="Y357" s="1446" t="e">
        <f ca="1"/>
        <v>#NAME?</v>
      </c>
      <c r="Z357" s="1408"/>
    </row>
    <row r="358" spans="1:26">
      <c r="A358" s="1487"/>
      <c r="B358" s="1488"/>
      <c r="C358" s="1489"/>
      <c r="D358" s="1490"/>
      <c r="E358" s="1487"/>
      <c r="F358" s="1488"/>
      <c r="G358" s="1489"/>
      <c r="H358" s="1490"/>
      <c r="I358" s="1487"/>
      <c r="J358" s="1488"/>
      <c r="K358" s="1489"/>
      <c r="L358" s="1490"/>
      <c r="M358" s="1487"/>
      <c r="N358" s="1488"/>
      <c r="O358" s="1489"/>
      <c r="P358" s="1490"/>
      <c r="X358" s="1445" t="e">
        <f ca="1"/>
        <v>#NAME?</v>
      </c>
      <c r="Y358" s="1446" t="e">
        <f ca="1"/>
        <v>#NAME?</v>
      </c>
      <c r="Z358" s="1408"/>
    </row>
    <row r="359" spans="1:26">
      <c r="A359" s="1487"/>
      <c r="B359" s="1488"/>
      <c r="C359" s="1489"/>
      <c r="D359" s="1490"/>
      <c r="E359" s="1487"/>
      <c r="F359" s="1488"/>
      <c r="G359" s="1489"/>
      <c r="H359" s="1490"/>
      <c r="I359" s="1487"/>
      <c r="J359" s="1488"/>
      <c r="K359" s="1489"/>
      <c r="L359" s="1490"/>
      <c r="M359" s="1487"/>
      <c r="N359" s="1488"/>
      <c r="O359" s="1489"/>
      <c r="P359" s="1490"/>
      <c r="X359" s="1445" t="e">
        <f ca="1"/>
        <v>#NAME?</v>
      </c>
      <c r="Y359" s="1446" t="e">
        <f ca="1"/>
        <v>#NAME?</v>
      </c>
      <c r="Z359" s="1408"/>
    </row>
    <row r="360" spans="1:26">
      <c r="A360" s="1487"/>
      <c r="B360" s="1488"/>
      <c r="C360" s="1489"/>
      <c r="D360" s="1490"/>
      <c r="E360" s="1487"/>
      <c r="F360" s="1488"/>
      <c r="G360" s="1489"/>
      <c r="H360" s="1490"/>
      <c r="I360" s="1487"/>
      <c r="J360" s="1488"/>
      <c r="K360" s="1489"/>
      <c r="L360" s="1490"/>
      <c r="M360" s="1487"/>
      <c r="N360" s="1488"/>
      <c r="O360" s="1489"/>
      <c r="P360" s="1490"/>
      <c r="X360" s="1445" t="e">
        <f ca="1"/>
        <v>#NAME?</v>
      </c>
      <c r="Y360" s="1446" t="e">
        <f ca="1"/>
        <v>#NAME?</v>
      </c>
      <c r="Z360" s="1408"/>
    </row>
    <row r="361" spans="1:26">
      <c r="A361" s="1487"/>
      <c r="B361" s="1488"/>
      <c r="C361" s="1489"/>
      <c r="D361" s="1490"/>
      <c r="E361" s="1487"/>
      <c r="F361" s="1488"/>
      <c r="G361" s="1489"/>
      <c r="H361" s="1490"/>
      <c r="I361" s="1487"/>
      <c r="J361" s="1488"/>
      <c r="K361" s="1489"/>
      <c r="L361" s="1490"/>
      <c r="M361" s="1487"/>
      <c r="N361" s="1488"/>
      <c r="O361" s="1489"/>
      <c r="P361" s="1490"/>
      <c r="X361" s="1445" t="e">
        <f ca="1"/>
        <v>#NAME?</v>
      </c>
      <c r="Y361" s="1446" t="e">
        <f ca="1"/>
        <v>#NAME?</v>
      </c>
      <c r="Z361" s="1408"/>
    </row>
    <row r="362" spans="1:26">
      <c r="A362" s="1487"/>
      <c r="B362" s="1488"/>
      <c r="C362" s="1489"/>
      <c r="D362" s="1490"/>
      <c r="E362" s="1487"/>
      <c r="F362" s="1488"/>
      <c r="G362" s="1489"/>
      <c r="H362" s="1490"/>
      <c r="I362" s="1487"/>
      <c r="J362" s="1488"/>
      <c r="K362" s="1489"/>
      <c r="L362" s="1490"/>
      <c r="M362" s="1487"/>
      <c r="N362" s="1488"/>
      <c r="O362" s="1489"/>
      <c r="P362" s="1490"/>
      <c r="X362" s="1445" t="e">
        <f ca="1"/>
        <v>#NAME?</v>
      </c>
      <c r="Y362" s="1446" t="e">
        <f ca="1"/>
        <v>#NAME?</v>
      </c>
      <c r="Z362" s="1408"/>
    </row>
    <row r="363" spans="1:26">
      <c r="A363" s="1487"/>
      <c r="B363" s="1488"/>
      <c r="C363" s="1489"/>
      <c r="D363" s="1490"/>
      <c r="E363" s="1487"/>
      <c r="F363" s="1488"/>
      <c r="G363" s="1489"/>
      <c r="H363" s="1490"/>
      <c r="I363" s="1487"/>
      <c r="J363" s="1488"/>
      <c r="K363" s="1489"/>
      <c r="L363" s="1490"/>
      <c r="M363" s="1487"/>
      <c r="N363" s="1488"/>
      <c r="O363" s="1489"/>
      <c r="P363" s="1490"/>
      <c r="X363" s="1445" t="e">
        <f ca="1"/>
        <v>#NAME?</v>
      </c>
      <c r="Y363" s="1446" t="e">
        <f ca="1"/>
        <v>#NAME?</v>
      </c>
      <c r="Z363" s="1408"/>
    </row>
    <row r="364" spans="1:26">
      <c r="A364" s="1487"/>
      <c r="B364" s="1488"/>
      <c r="C364" s="1489"/>
      <c r="D364" s="1490"/>
      <c r="E364" s="1487"/>
      <c r="F364" s="1488"/>
      <c r="G364" s="1489"/>
      <c r="H364" s="1490"/>
      <c r="I364" s="1487"/>
      <c r="J364" s="1488"/>
      <c r="K364" s="1489"/>
      <c r="L364" s="1490"/>
      <c r="M364" s="1487"/>
      <c r="N364" s="1488"/>
      <c r="O364" s="1489"/>
      <c r="P364" s="1490"/>
      <c r="X364" s="1445" t="e">
        <f ca="1"/>
        <v>#NAME?</v>
      </c>
      <c r="Y364" s="1446" t="e">
        <f ca="1"/>
        <v>#NAME?</v>
      </c>
      <c r="Z364" s="1408"/>
    </row>
    <row r="365" spans="1:26">
      <c r="A365" s="1487"/>
      <c r="B365" s="1488"/>
      <c r="C365" s="1489"/>
      <c r="D365" s="1490"/>
      <c r="E365" s="1487"/>
      <c r="F365" s="1488"/>
      <c r="G365" s="1489"/>
      <c r="H365" s="1490"/>
      <c r="I365" s="1487"/>
      <c r="J365" s="1488"/>
      <c r="K365" s="1489"/>
      <c r="L365" s="1490"/>
      <c r="M365" s="1487"/>
      <c r="N365" s="1488"/>
      <c r="O365" s="1489"/>
      <c r="P365" s="1490"/>
      <c r="X365" s="1445" t="e">
        <f ca="1"/>
        <v>#NAME?</v>
      </c>
      <c r="Y365" s="1446" t="e">
        <f ca="1"/>
        <v>#NAME?</v>
      </c>
      <c r="Z365" s="1408"/>
    </row>
    <row r="366" spans="1:26">
      <c r="A366" s="1487"/>
      <c r="B366" s="1488"/>
      <c r="C366" s="1489"/>
      <c r="D366" s="1490"/>
      <c r="E366" s="1487"/>
      <c r="F366" s="1488"/>
      <c r="G366" s="1489"/>
      <c r="H366" s="1490"/>
      <c r="I366" s="1487"/>
      <c r="J366" s="1488"/>
      <c r="K366" s="1489"/>
      <c r="L366" s="1490"/>
      <c r="M366" s="1487"/>
      <c r="N366" s="1488"/>
      <c r="O366" s="1489"/>
      <c r="P366" s="1490"/>
      <c r="X366" s="1445" t="e">
        <f ca="1"/>
        <v>#NAME?</v>
      </c>
      <c r="Y366" s="1446" t="e">
        <f ca="1"/>
        <v>#NAME?</v>
      </c>
      <c r="Z366" s="1408"/>
    </row>
    <row r="367" spans="1:26">
      <c r="A367" s="1487"/>
      <c r="B367" s="1488"/>
      <c r="C367" s="1489"/>
      <c r="D367" s="1490"/>
      <c r="E367" s="1487"/>
      <c r="F367" s="1488"/>
      <c r="G367" s="1489"/>
      <c r="H367" s="1490"/>
      <c r="I367" s="1487"/>
      <c r="J367" s="1488"/>
      <c r="K367" s="1489"/>
      <c r="L367" s="1490"/>
      <c r="M367" s="1487"/>
      <c r="N367" s="1488"/>
      <c r="O367" s="1489"/>
      <c r="P367" s="1490"/>
      <c r="X367" s="1445" t="e">
        <f ca="1"/>
        <v>#NAME?</v>
      </c>
      <c r="Y367" s="1446" t="e">
        <f ca="1"/>
        <v>#NAME?</v>
      </c>
      <c r="Z367" s="1408"/>
    </row>
    <row r="368" spans="1:26">
      <c r="A368" s="1487"/>
      <c r="B368" s="1488"/>
      <c r="C368" s="1489"/>
      <c r="D368" s="1490"/>
      <c r="E368" s="1487"/>
      <c r="F368" s="1488"/>
      <c r="G368" s="1489"/>
      <c r="H368" s="1490"/>
      <c r="I368" s="1487"/>
      <c r="J368" s="1488"/>
      <c r="K368" s="1489"/>
      <c r="L368" s="1490"/>
      <c r="M368" s="1487"/>
      <c r="N368" s="1488"/>
      <c r="O368" s="1489"/>
      <c r="P368" s="1490"/>
      <c r="X368" s="1445" t="e">
        <f ca="1"/>
        <v>#NAME?</v>
      </c>
      <c r="Y368" s="1446" t="e">
        <f ca="1"/>
        <v>#NAME?</v>
      </c>
      <c r="Z368" s="1408"/>
    </row>
    <row r="369" spans="1:26">
      <c r="A369" s="1487"/>
      <c r="B369" s="1488"/>
      <c r="C369" s="1489"/>
      <c r="D369" s="1490"/>
      <c r="E369" s="1487"/>
      <c r="F369" s="1488"/>
      <c r="G369" s="1489"/>
      <c r="H369" s="1490"/>
      <c r="I369" s="1487"/>
      <c r="J369" s="1488"/>
      <c r="K369" s="1489"/>
      <c r="L369" s="1490"/>
      <c r="M369" s="1487"/>
      <c r="N369" s="1488"/>
      <c r="O369" s="1489"/>
      <c r="P369" s="1490"/>
      <c r="X369" s="1445" t="e">
        <f ca="1"/>
        <v>#NAME?</v>
      </c>
      <c r="Y369" s="1446" t="e">
        <f ca="1"/>
        <v>#NAME?</v>
      </c>
      <c r="Z369" s="1408"/>
    </row>
    <row r="370" spans="1:26">
      <c r="A370" s="1487"/>
      <c r="B370" s="1488"/>
      <c r="C370" s="1489"/>
      <c r="D370" s="1490"/>
      <c r="E370" s="1487"/>
      <c r="F370" s="1488"/>
      <c r="G370" s="1489"/>
      <c r="H370" s="1490"/>
      <c r="I370" s="1487"/>
      <c r="J370" s="1488"/>
      <c r="K370" s="1489"/>
      <c r="L370" s="1490"/>
      <c r="M370" s="1487"/>
      <c r="N370" s="1488"/>
      <c r="O370" s="1489"/>
      <c r="P370" s="1490"/>
      <c r="X370" s="1445" t="e">
        <f ca="1"/>
        <v>#NAME?</v>
      </c>
      <c r="Y370" s="1446" t="e">
        <f ca="1"/>
        <v>#NAME?</v>
      </c>
      <c r="Z370" s="1408"/>
    </row>
    <row r="371" spans="1:26">
      <c r="A371" s="1487"/>
      <c r="B371" s="1488"/>
      <c r="C371" s="1489"/>
      <c r="D371" s="1490"/>
      <c r="E371" s="1487"/>
      <c r="F371" s="1488"/>
      <c r="G371" s="1489"/>
      <c r="H371" s="1490"/>
      <c r="I371" s="1487"/>
      <c r="J371" s="1488"/>
      <c r="K371" s="1489"/>
      <c r="L371" s="1490"/>
      <c r="M371" s="1487"/>
      <c r="N371" s="1488"/>
      <c r="O371" s="1489"/>
      <c r="P371" s="1490"/>
      <c r="X371" s="1445" t="e">
        <f ca="1"/>
        <v>#NAME?</v>
      </c>
      <c r="Y371" s="1446" t="e">
        <f ca="1"/>
        <v>#NAME?</v>
      </c>
      <c r="Z371" s="1408"/>
    </row>
    <row r="372" spans="1:26">
      <c r="A372" s="1487"/>
      <c r="B372" s="1488"/>
      <c r="C372" s="1489"/>
      <c r="D372" s="1490"/>
      <c r="E372" s="1487"/>
      <c r="F372" s="1488"/>
      <c r="G372" s="1489"/>
      <c r="H372" s="1490"/>
      <c r="I372" s="1487"/>
      <c r="J372" s="1488"/>
      <c r="K372" s="1489"/>
      <c r="L372" s="1490"/>
      <c r="M372" s="1487"/>
      <c r="N372" s="1488"/>
      <c r="O372" s="1489"/>
      <c r="P372" s="1490"/>
      <c r="X372" s="1445" t="e">
        <f ca="1"/>
        <v>#NAME?</v>
      </c>
      <c r="Y372" s="1446" t="e">
        <f ca="1"/>
        <v>#NAME?</v>
      </c>
      <c r="Z372" s="1408"/>
    </row>
    <row r="373" spans="1:26">
      <c r="A373" s="1487"/>
      <c r="B373" s="1488"/>
      <c r="C373" s="1489"/>
      <c r="D373" s="1490"/>
      <c r="E373" s="1487"/>
      <c r="F373" s="1488"/>
      <c r="G373" s="1489"/>
      <c r="H373" s="1490"/>
      <c r="I373" s="1487"/>
      <c r="J373" s="1488"/>
      <c r="K373" s="1489"/>
      <c r="L373" s="1490"/>
      <c r="M373" s="1487"/>
      <c r="N373" s="1488"/>
      <c r="O373" s="1489"/>
      <c r="P373" s="1490"/>
      <c r="X373" s="1445" t="e">
        <f ca="1"/>
        <v>#NAME?</v>
      </c>
      <c r="Y373" s="1446" t="e">
        <f ca="1"/>
        <v>#NAME?</v>
      </c>
      <c r="Z373" s="1408"/>
    </row>
    <row r="374" spans="1:26">
      <c r="A374" s="1487"/>
      <c r="B374" s="1488"/>
      <c r="C374" s="1489"/>
      <c r="D374" s="1490"/>
      <c r="E374" s="1487"/>
      <c r="F374" s="1488"/>
      <c r="G374" s="1489"/>
      <c r="H374" s="1490"/>
      <c r="I374" s="1487"/>
      <c r="J374" s="1488"/>
      <c r="K374" s="1489"/>
      <c r="L374" s="1490"/>
      <c r="M374" s="1487"/>
      <c r="N374" s="1488"/>
      <c r="O374" s="1489"/>
      <c r="P374" s="1490"/>
      <c r="X374" s="1445" t="e">
        <f ca="1"/>
        <v>#NAME?</v>
      </c>
      <c r="Y374" s="1446" t="e">
        <f ca="1"/>
        <v>#NAME?</v>
      </c>
      <c r="Z374" s="1408"/>
    </row>
    <row r="375" spans="1:26">
      <c r="A375" s="1487"/>
      <c r="B375" s="1488"/>
      <c r="C375" s="1489"/>
      <c r="D375" s="1490"/>
      <c r="E375" s="1487"/>
      <c r="F375" s="1488"/>
      <c r="G375" s="1489"/>
      <c r="H375" s="1490"/>
      <c r="I375" s="1487"/>
      <c r="J375" s="1488"/>
      <c r="K375" s="1489"/>
      <c r="L375" s="1490"/>
      <c r="M375" s="1487"/>
      <c r="N375" s="1488"/>
      <c r="O375" s="1489"/>
      <c r="P375" s="1490"/>
      <c r="X375" s="1445" t="e">
        <f ca="1"/>
        <v>#NAME?</v>
      </c>
      <c r="Y375" s="1446" t="e">
        <f ca="1"/>
        <v>#NAME?</v>
      </c>
      <c r="Z375" s="1408"/>
    </row>
    <row r="376" spans="1:26">
      <c r="A376" s="1487"/>
      <c r="B376" s="1488"/>
      <c r="C376" s="1489"/>
      <c r="D376" s="1490"/>
      <c r="E376" s="1487"/>
      <c r="F376" s="1488"/>
      <c r="G376" s="1489"/>
      <c r="H376" s="1490"/>
      <c r="I376" s="1487"/>
      <c r="J376" s="1488"/>
      <c r="K376" s="1489"/>
      <c r="L376" s="1490"/>
      <c r="M376" s="1487"/>
      <c r="N376" s="1488"/>
      <c r="O376" s="1489"/>
      <c r="P376" s="1490"/>
      <c r="X376" s="1445" t="e">
        <f ca="1"/>
        <v>#NAME?</v>
      </c>
      <c r="Y376" s="1446" t="e">
        <f ca="1"/>
        <v>#NAME?</v>
      </c>
      <c r="Z376" s="1408"/>
    </row>
    <row r="377" spans="1:26">
      <c r="A377" s="1487"/>
      <c r="B377" s="1488"/>
      <c r="C377" s="1489"/>
      <c r="D377" s="1490"/>
      <c r="E377" s="1487"/>
      <c r="F377" s="1488"/>
      <c r="G377" s="1489"/>
      <c r="H377" s="1490"/>
      <c r="I377" s="1487"/>
      <c r="J377" s="1488"/>
      <c r="K377" s="1489"/>
      <c r="L377" s="1490"/>
      <c r="M377" s="1487"/>
      <c r="N377" s="1488"/>
      <c r="O377" s="1489"/>
      <c r="P377" s="1490"/>
      <c r="X377" s="1445" t="e">
        <f ca="1"/>
        <v>#NAME?</v>
      </c>
      <c r="Y377" s="1446" t="e">
        <f ca="1"/>
        <v>#NAME?</v>
      </c>
      <c r="Z377" s="1408"/>
    </row>
    <row r="378" spans="1:26">
      <c r="A378" s="1487"/>
      <c r="B378" s="1488"/>
      <c r="C378" s="1489"/>
      <c r="D378" s="1490"/>
      <c r="E378" s="1487"/>
      <c r="F378" s="1488"/>
      <c r="G378" s="1489"/>
      <c r="H378" s="1490"/>
      <c r="I378" s="1487"/>
      <c r="J378" s="1488"/>
      <c r="K378" s="1489"/>
      <c r="L378" s="1490"/>
      <c r="M378" s="1487"/>
      <c r="N378" s="1488"/>
      <c r="O378" s="1489"/>
      <c r="P378" s="1490"/>
      <c r="X378" s="1445" t="e">
        <f ca="1"/>
        <v>#NAME?</v>
      </c>
      <c r="Y378" s="1446" t="e">
        <f ca="1"/>
        <v>#NAME?</v>
      </c>
      <c r="Z378" s="1408"/>
    </row>
    <row r="379" spans="1:26">
      <c r="A379" s="1487"/>
      <c r="B379" s="1488"/>
      <c r="C379" s="1489"/>
      <c r="D379" s="1490"/>
      <c r="E379" s="1487"/>
      <c r="F379" s="1488"/>
      <c r="G379" s="1489"/>
      <c r="H379" s="1490"/>
      <c r="I379" s="1487"/>
      <c r="J379" s="1488"/>
      <c r="K379" s="1489"/>
      <c r="L379" s="1490"/>
      <c r="M379" s="1487"/>
      <c r="N379" s="1488"/>
      <c r="O379" s="1489"/>
      <c r="P379" s="1490"/>
      <c r="X379" s="1445" t="e">
        <f ca="1"/>
        <v>#NAME?</v>
      </c>
      <c r="Y379" s="1446" t="e">
        <f ca="1"/>
        <v>#NAME?</v>
      </c>
      <c r="Z379" s="1408"/>
    </row>
    <row r="380" spans="1:26">
      <c r="A380" s="1487"/>
      <c r="B380" s="1488"/>
      <c r="C380" s="1489"/>
      <c r="D380" s="1490"/>
      <c r="E380" s="1487"/>
      <c r="F380" s="1488"/>
      <c r="G380" s="1489"/>
      <c r="H380" s="1490"/>
      <c r="I380" s="1487"/>
      <c r="J380" s="1488"/>
      <c r="K380" s="1489"/>
      <c r="L380" s="1490"/>
      <c r="M380" s="1487"/>
      <c r="N380" s="1488"/>
      <c r="O380" s="1489"/>
      <c r="P380" s="1490"/>
      <c r="X380" s="1445" t="e">
        <f ca="1"/>
        <v>#NAME?</v>
      </c>
      <c r="Y380" s="1446" t="e">
        <f ca="1"/>
        <v>#NAME?</v>
      </c>
      <c r="Z380" s="1408"/>
    </row>
    <row r="381" spans="1:26">
      <c r="A381" s="1487"/>
      <c r="B381" s="1488"/>
      <c r="C381" s="1489"/>
      <c r="D381" s="1490"/>
      <c r="E381" s="1487"/>
      <c r="F381" s="1488"/>
      <c r="G381" s="1489"/>
      <c r="H381" s="1490"/>
      <c r="I381" s="1487"/>
      <c r="J381" s="1488"/>
      <c r="K381" s="1489"/>
      <c r="L381" s="1490"/>
      <c r="M381" s="1487"/>
      <c r="N381" s="1488"/>
      <c r="O381" s="1489"/>
      <c r="P381" s="1490"/>
      <c r="X381" s="1445" t="e">
        <f ca="1"/>
        <v>#NAME?</v>
      </c>
      <c r="Y381" s="1446" t="e">
        <f ca="1"/>
        <v>#NAME?</v>
      </c>
      <c r="Z381" s="1408"/>
    </row>
    <row r="382" spans="1:26">
      <c r="A382" s="1487"/>
      <c r="B382" s="1488"/>
      <c r="C382" s="1489"/>
      <c r="D382" s="1490"/>
      <c r="E382" s="1487"/>
      <c r="F382" s="1488"/>
      <c r="G382" s="1489"/>
      <c r="H382" s="1490"/>
      <c r="I382" s="1487"/>
      <c r="J382" s="1488"/>
      <c r="K382" s="1489"/>
      <c r="L382" s="1490"/>
      <c r="M382" s="1487"/>
      <c r="N382" s="1488"/>
      <c r="O382" s="1489"/>
      <c r="P382" s="1490"/>
      <c r="X382" s="1445" t="e">
        <f ca="1"/>
        <v>#NAME?</v>
      </c>
      <c r="Y382" s="1446" t="e">
        <f ca="1"/>
        <v>#NAME?</v>
      </c>
      <c r="Z382" s="1408"/>
    </row>
    <row r="383" spans="1:26">
      <c r="A383" s="1487"/>
      <c r="B383" s="1488"/>
      <c r="C383" s="1489"/>
      <c r="D383" s="1490"/>
      <c r="E383" s="1487"/>
      <c r="F383" s="1488"/>
      <c r="G383" s="1489"/>
      <c r="H383" s="1490"/>
      <c r="I383" s="1487"/>
      <c r="J383" s="1488"/>
      <c r="K383" s="1489"/>
      <c r="L383" s="1490"/>
      <c r="M383" s="1487"/>
      <c r="N383" s="1488"/>
      <c r="O383" s="1489"/>
      <c r="P383" s="1490"/>
      <c r="X383" s="1445" t="e">
        <f ca="1"/>
        <v>#NAME?</v>
      </c>
      <c r="Y383" s="1446" t="e">
        <f ca="1"/>
        <v>#NAME?</v>
      </c>
      <c r="Z383" s="1408"/>
    </row>
    <row r="384" spans="1:26">
      <c r="A384" s="1487"/>
      <c r="B384" s="1488"/>
      <c r="C384" s="1489"/>
      <c r="D384" s="1490"/>
      <c r="E384" s="1487"/>
      <c r="F384" s="1488"/>
      <c r="G384" s="1489"/>
      <c r="H384" s="1490"/>
      <c r="I384" s="1487"/>
      <c r="J384" s="1488"/>
      <c r="K384" s="1489"/>
      <c r="L384" s="1490"/>
      <c r="M384" s="1487"/>
      <c r="N384" s="1488"/>
      <c r="O384" s="1489"/>
      <c r="P384" s="1490"/>
      <c r="X384" s="1445" t="e">
        <f ca="1"/>
        <v>#NAME?</v>
      </c>
      <c r="Y384" s="1446" t="e">
        <f ca="1"/>
        <v>#NAME?</v>
      </c>
      <c r="Z384" s="1408"/>
    </row>
    <row r="385" spans="1:26">
      <c r="A385" s="1487"/>
      <c r="B385" s="1488"/>
      <c r="C385" s="1489"/>
      <c r="D385" s="1490"/>
      <c r="E385" s="1487"/>
      <c r="F385" s="1488"/>
      <c r="G385" s="1489"/>
      <c r="H385" s="1490"/>
      <c r="I385" s="1487"/>
      <c r="J385" s="1488"/>
      <c r="K385" s="1489"/>
      <c r="L385" s="1490"/>
      <c r="M385" s="1487"/>
      <c r="N385" s="1488"/>
      <c r="O385" s="1489"/>
      <c r="P385" s="1490"/>
      <c r="X385" s="1445" t="e">
        <f ca="1"/>
        <v>#NAME?</v>
      </c>
      <c r="Y385" s="1446" t="e">
        <f ca="1"/>
        <v>#NAME?</v>
      </c>
      <c r="Z385" s="1408"/>
    </row>
    <row r="386" spans="1:26">
      <c r="A386" s="1487"/>
      <c r="B386" s="1488"/>
      <c r="C386" s="1489"/>
      <c r="D386" s="1490"/>
      <c r="E386" s="1487"/>
      <c r="F386" s="1488"/>
      <c r="G386" s="1489"/>
      <c r="H386" s="1490"/>
      <c r="I386" s="1487"/>
      <c r="J386" s="1488"/>
      <c r="K386" s="1489"/>
      <c r="L386" s="1490"/>
      <c r="M386" s="1487"/>
      <c r="N386" s="1488"/>
      <c r="O386" s="1489"/>
      <c r="P386" s="1490"/>
      <c r="X386" s="1445" t="e">
        <f ca="1"/>
        <v>#NAME?</v>
      </c>
      <c r="Y386" s="1446" t="e">
        <f ca="1"/>
        <v>#NAME?</v>
      </c>
      <c r="Z386" s="1408"/>
    </row>
    <row r="387" spans="1:26">
      <c r="A387" s="1487"/>
      <c r="B387" s="1488"/>
      <c r="C387" s="1489"/>
      <c r="D387" s="1490"/>
      <c r="E387" s="1487"/>
      <c r="F387" s="1488"/>
      <c r="G387" s="1489"/>
      <c r="H387" s="1490"/>
      <c r="I387" s="1487"/>
      <c r="J387" s="1488"/>
      <c r="K387" s="1489"/>
      <c r="L387" s="1490"/>
      <c r="M387" s="1487"/>
      <c r="N387" s="1488"/>
      <c r="O387" s="1489"/>
      <c r="P387" s="1490"/>
      <c r="X387" s="1445" t="e">
        <f ca="1"/>
        <v>#NAME?</v>
      </c>
      <c r="Y387" s="1446" t="e">
        <f ca="1"/>
        <v>#NAME?</v>
      </c>
      <c r="Z387" s="1408"/>
    </row>
    <row r="388" spans="1:26">
      <c r="A388" s="1487"/>
      <c r="B388" s="1488"/>
      <c r="C388" s="1489"/>
      <c r="D388" s="1490"/>
      <c r="E388" s="1487"/>
      <c r="F388" s="1488"/>
      <c r="G388" s="1489"/>
      <c r="H388" s="1490"/>
      <c r="I388" s="1487"/>
      <c r="J388" s="1488"/>
      <c r="K388" s="1489"/>
      <c r="L388" s="1490"/>
      <c r="M388" s="1487"/>
      <c r="N388" s="1488"/>
      <c r="O388" s="1489"/>
      <c r="P388" s="1490"/>
      <c r="X388" s="1445" t="e">
        <f ca="1"/>
        <v>#NAME?</v>
      </c>
      <c r="Y388" s="1446" t="e">
        <f ca="1"/>
        <v>#NAME?</v>
      </c>
      <c r="Z388" s="1408"/>
    </row>
    <row r="389" spans="1:26">
      <c r="A389" s="1487"/>
      <c r="B389" s="1488"/>
      <c r="C389" s="1489"/>
      <c r="D389" s="1490"/>
      <c r="E389" s="1487"/>
      <c r="F389" s="1488"/>
      <c r="G389" s="1489"/>
      <c r="H389" s="1490"/>
      <c r="I389" s="1487"/>
      <c r="J389" s="1488"/>
      <c r="K389" s="1489"/>
      <c r="L389" s="1490"/>
      <c r="M389" s="1487"/>
      <c r="N389" s="1488"/>
      <c r="O389" s="1489"/>
      <c r="P389" s="1490"/>
      <c r="X389" s="1445" t="e">
        <f ca="1"/>
        <v>#NAME?</v>
      </c>
      <c r="Y389" s="1446" t="e">
        <f ca="1"/>
        <v>#NAME?</v>
      </c>
      <c r="Z389" s="1408"/>
    </row>
    <row r="390" spans="1:26">
      <c r="A390" s="1487"/>
      <c r="B390" s="1488"/>
      <c r="C390" s="1489"/>
      <c r="D390" s="1490"/>
      <c r="E390" s="1487"/>
      <c r="F390" s="1488"/>
      <c r="G390" s="1489"/>
      <c r="H390" s="1490"/>
      <c r="I390" s="1487"/>
      <c r="J390" s="1488"/>
      <c r="K390" s="1489"/>
      <c r="L390" s="1490"/>
      <c r="M390" s="1487"/>
      <c r="N390" s="1488"/>
      <c r="O390" s="1489"/>
      <c r="P390" s="1490"/>
      <c r="X390" s="1445" t="e">
        <f ca="1"/>
        <v>#NAME?</v>
      </c>
      <c r="Y390" s="1446" t="e">
        <f ca="1"/>
        <v>#NAME?</v>
      </c>
      <c r="Z390" s="1408"/>
    </row>
    <row r="391" spans="1:26">
      <c r="A391" s="1487"/>
      <c r="B391" s="1488"/>
      <c r="C391" s="1489"/>
      <c r="D391" s="1490"/>
      <c r="E391" s="1487"/>
      <c r="F391" s="1488"/>
      <c r="G391" s="1489"/>
      <c r="H391" s="1490"/>
      <c r="I391" s="1487"/>
      <c r="J391" s="1488"/>
      <c r="K391" s="1489"/>
      <c r="L391" s="1490"/>
      <c r="M391" s="1487"/>
      <c r="N391" s="1488"/>
      <c r="O391" s="1489"/>
      <c r="P391" s="1490"/>
      <c r="X391" s="1445" t="e">
        <f ca="1"/>
        <v>#NAME?</v>
      </c>
      <c r="Y391" s="1446" t="e">
        <f ca="1"/>
        <v>#NAME?</v>
      </c>
      <c r="Z391" s="1408"/>
    </row>
    <row r="392" spans="1:26">
      <c r="A392" s="1487"/>
      <c r="B392" s="1488"/>
      <c r="C392" s="1489"/>
      <c r="D392" s="1490"/>
      <c r="E392" s="1487"/>
      <c r="F392" s="1488"/>
      <c r="G392" s="1489"/>
      <c r="H392" s="1490"/>
      <c r="I392" s="1487"/>
      <c r="J392" s="1488"/>
      <c r="K392" s="1489"/>
      <c r="L392" s="1490"/>
      <c r="M392" s="1487"/>
      <c r="N392" s="1488"/>
      <c r="O392" s="1489"/>
      <c r="P392" s="1490"/>
      <c r="X392" s="1445" t="e">
        <f ca="1"/>
        <v>#NAME?</v>
      </c>
      <c r="Y392" s="1446" t="e">
        <f ca="1"/>
        <v>#NAME?</v>
      </c>
      <c r="Z392" s="1408"/>
    </row>
    <row r="393" spans="1:26">
      <c r="A393" s="1487"/>
      <c r="B393" s="1488"/>
      <c r="C393" s="1489"/>
      <c r="D393" s="1490"/>
      <c r="E393" s="1487"/>
      <c r="F393" s="1488"/>
      <c r="G393" s="1489"/>
      <c r="H393" s="1490"/>
      <c r="I393" s="1487"/>
      <c r="J393" s="1488"/>
      <c r="K393" s="1489"/>
      <c r="L393" s="1490"/>
      <c r="M393" s="1487"/>
      <c r="N393" s="1488"/>
      <c r="O393" s="1489"/>
      <c r="P393" s="1490"/>
      <c r="X393" s="1445" t="e">
        <f ca="1"/>
        <v>#NAME?</v>
      </c>
      <c r="Y393" s="1446" t="e">
        <f ca="1"/>
        <v>#NAME?</v>
      </c>
      <c r="Z393" s="1408"/>
    </row>
    <row r="394" spans="1:26">
      <c r="A394" s="1487"/>
      <c r="B394" s="1488"/>
      <c r="C394" s="1489"/>
      <c r="D394" s="1490"/>
      <c r="E394" s="1487"/>
      <c r="F394" s="1488"/>
      <c r="G394" s="1489"/>
      <c r="H394" s="1490"/>
      <c r="I394" s="1487"/>
      <c r="J394" s="1488"/>
      <c r="K394" s="1489"/>
      <c r="L394" s="1490"/>
      <c r="M394" s="1487"/>
      <c r="N394" s="1488"/>
      <c r="O394" s="1489"/>
      <c r="P394" s="1490"/>
      <c r="X394" s="1445" t="e">
        <f ca="1"/>
        <v>#NAME?</v>
      </c>
      <c r="Y394" s="1446" t="e">
        <f ca="1"/>
        <v>#NAME?</v>
      </c>
      <c r="Z394" s="1408"/>
    </row>
    <row r="395" spans="1:26">
      <c r="A395" s="1487"/>
      <c r="B395" s="1488"/>
      <c r="C395" s="1489"/>
      <c r="D395" s="1490"/>
      <c r="E395" s="1487"/>
      <c r="F395" s="1488"/>
      <c r="G395" s="1489"/>
      <c r="H395" s="1490"/>
      <c r="I395" s="1487"/>
      <c r="J395" s="1488"/>
      <c r="K395" s="1489"/>
      <c r="L395" s="1490"/>
      <c r="M395" s="1487"/>
      <c r="N395" s="1488"/>
      <c r="O395" s="1489"/>
      <c r="P395" s="1490"/>
      <c r="X395" s="1445" t="e">
        <f ca="1"/>
        <v>#NAME?</v>
      </c>
      <c r="Y395" s="1446" t="e">
        <f ca="1"/>
        <v>#NAME?</v>
      </c>
      <c r="Z395" s="1408"/>
    </row>
    <row r="396" spans="1:26">
      <c r="A396" s="1487"/>
      <c r="B396" s="1488"/>
      <c r="C396" s="1489"/>
      <c r="D396" s="1490"/>
      <c r="E396" s="1487"/>
      <c r="F396" s="1488"/>
      <c r="G396" s="1489"/>
      <c r="H396" s="1490"/>
      <c r="I396" s="1487"/>
      <c r="J396" s="1488"/>
      <c r="K396" s="1489"/>
      <c r="L396" s="1490"/>
      <c r="M396" s="1487"/>
      <c r="N396" s="1488"/>
      <c r="O396" s="1489"/>
      <c r="P396" s="1490"/>
      <c r="X396" s="1445" t="e">
        <f ca="1"/>
        <v>#NAME?</v>
      </c>
      <c r="Y396" s="1446" t="e">
        <f ca="1"/>
        <v>#NAME?</v>
      </c>
      <c r="Z396" s="1408"/>
    </row>
    <row r="397" spans="1:26">
      <c r="A397" s="1487"/>
      <c r="B397" s="1488"/>
      <c r="C397" s="1489"/>
      <c r="D397" s="1490"/>
      <c r="E397" s="1487"/>
      <c r="F397" s="1488"/>
      <c r="G397" s="1489"/>
      <c r="H397" s="1490"/>
      <c r="I397" s="1487"/>
      <c r="J397" s="1488"/>
      <c r="K397" s="1489"/>
      <c r="L397" s="1490"/>
      <c r="M397" s="1487"/>
      <c r="N397" s="1488"/>
      <c r="O397" s="1489"/>
      <c r="P397" s="1490"/>
      <c r="X397" s="1445" t="e">
        <f ca="1"/>
        <v>#NAME?</v>
      </c>
      <c r="Y397" s="1446" t="e">
        <f ca="1"/>
        <v>#NAME?</v>
      </c>
      <c r="Z397" s="1408"/>
    </row>
    <row r="398" spans="1:26">
      <c r="A398" s="1487"/>
      <c r="B398" s="1488"/>
      <c r="C398" s="1489"/>
      <c r="D398" s="1490"/>
      <c r="E398" s="1487"/>
      <c r="F398" s="1488"/>
      <c r="G398" s="1489"/>
      <c r="H398" s="1490"/>
      <c r="I398" s="1487"/>
      <c r="J398" s="1488"/>
      <c r="K398" s="1489"/>
      <c r="L398" s="1490"/>
      <c r="M398" s="1487"/>
      <c r="N398" s="1488"/>
      <c r="O398" s="1489"/>
      <c r="P398" s="1490"/>
      <c r="X398" s="1445" t="e">
        <f ca="1"/>
        <v>#NAME?</v>
      </c>
      <c r="Y398" s="1446" t="e">
        <f ca="1"/>
        <v>#NAME?</v>
      </c>
      <c r="Z398" s="1408"/>
    </row>
    <row r="399" spans="1:26">
      <c r="A399" s="1487"/>
      <c r="B399" s="1488"/>
      <c r="C399" s="1489"/>
      <c r="D399" s="1490"/>
      <c r="E399" s="1487"/>
      <c r="F399" s="1488"/>
      <c r="G399" s="1489"/>
      <c r="H399" s="1490"/>
      <c r="I399" s="1487"/>
      <c r="J399" s="1488"/>
      <c r="K399" s="1489"/>
      <c r="L399" s="1490"/>
      <c r="M399" s="1487"/>
      <c r="N399" s="1488"/>
      <c r="O399" s="1489"/>
      <c r="P399" s="1490"/>
      <c r="X399" s="1445" t="e">
        <f ca="1"/>
        <v>#NAME?</v>
      </c>
      <c r="Y399" s="1446" t="e">
        <f ca="1"/>
        <v>#NAME?</v>
      </c>
      <c r="Z399" s="1408"/>
    </row>
    <row r="400" spans="1:26">
      <c r="A400" s="1487"/>
      <c r="B400" s="1488"/>
      <c r="C400" s="1489"/>
      <c r="D400" s="1490"/>
      <c r="E400" s="1487"/>
      <c r="F400" s="1488"/>
      <c r="G400" s="1489"/>
      <c r="H400" s="1490"/>
      <c r="I400" s="1487"/>
      <c r="J400" s="1488"/>
      <c r="K400" s="1489"/>
      <c r="L400" s="1490"/>
      <c r="M400" s="1487"/>
      <c r="N400" s="1488"/>
      <c r="O400" s="1489"/>
      <c r="P400" s="1490"/>
      <c r="X400" s="1445" t="e">
        <f ca="1"/>
        <v>#NAME?</v>
      </c>
      <c r="Y400" s="1446" t="e">
        <f ca="1"/>
        <v>#NAME?</v>
      </c>
      <c r="Z400" s="1408"/>
    </row>
    <row r="401" spans="1:26">
      <c r="A401" s="1487"/>
      <c r="B401" s="1488"/>
      <c r="C401" s="1489"/>
      <c r="D401" s="1490"/>
      <c r="E401" s="1487"/>
      <c r="F401" s="1488"/>
      <c r="G401" s="1489"/>
      <c r="H401" s="1490"/>
      <c r="I401" s="1487"/>
      <c r="J401" s="1488"/>
      <c r="K401" s="1489"/>
      <c r="L401" s="1490"/>
      <c r="M401" s="1487"/>
      <c r="N401" s="1488"/>
      <c r="O401" s="1489"/>
      <c r="P401" s="1490"/>
      <c r="X401" s="1445" t="e">
        <f ca="1"/>
        <v>#NAME?</v>
      </c>
      <c r="Y401" s="1446" t="e">
        <f ca="1"/>
        <v>#NAME?</v>
      </c>
      <c r="Z401" s="1408"/>
    </row>
    <row r="402" spans="1:26">
      <c r="A402" s="1487"/>
      <c r="B402" s="1488"/>
      <c r="C402" s="1489"/>
      <c r="D402" s="1490"/>
      <c r="E402" s="1487"/>
      <c r="F402" s="1488"/>
      <c r="G402" s="1489"/>
      <c r="H402" s="1490"/>
      <c r="I402" s="1487"/>
      <c r="J402" s="1488"/>
      <c r="K402" s="1489"/>
      <c r="L402" s="1490"/>
      <c r="M402" s="1487"/>
      <c r="N402" s="1488"/>
      <c r="O402" s="1489"/>
      <c r="P402" s="1490"/>
      <c r="X402" s="1445" t="e">
        <f ca="1"/>
        <v>#NAME?</v>
      </c>
      <c r="Y402" s="1446" t="e">
        <f ca="1"/>
        <v>#NAME?</v>
      </c>
      <c r="Z402" s="1408"/>
    </row>
    <row r="403" spans="1:26">
      <c r="A403" s="1487"/>
      <c r="B403" s="1488"/>
      <c r="C403" s="1489"/>
      <c r="D403" s="1490"/>
      <c r="E403" s="1487"/>
      <c r="F403" s="1488"/>
      <c r="G403" s="1489"/>
      <c r="H403" s="1490"/>
      <c r="I403" s="1487"/>
      <c r="J403" s="1488"/>
      <c r="K403" s="1489"/>
      <c r="L403" s="1490"/>
      <c r="M403" s="1487"/>
      <c r="N403" s="1488"/>
      <c r="O403" s="1489"/>
      <c r="P403" s="1490"/>
      <c r="X403" s="1445" t="e">
        <f ca="1"/>
        <v>#NAME?</v>
      </c>
      <c r="Y403" s="1446" t="e">
        <f ca="1"/>
        <v>#NAME?</v>
      </c>
      <c r="Z403" s="1408"/>
    </row>
    <row r="404" spans="1:26">
      <c r="A404" s="1487"/>
      <c r="B404" s="1488"/>
      <c r="C404" s="1489"/>
      <c r="D404" s="1490"/>
      <c r="E404" s="1487"/>
      <c r="F404" s="1488"/>
      <c r="G404" s="1489"/>
      <c r="H404" s="1490"/>
      <c r="I404" s="1487"/>
      <c r="J404" s="1488"/>
      <c r="K404" s="1489"/>
      <c r="L404" s="1490"/>
      <c r="M404" s="1487"/>
      <c r="N404" s="1488"/>
      <c r="O404" s="1489"/>
      <c r="P404" s="1490"/>
      <c r="X404" s="1445" t="e">
        <f ca="1"/>
        <v>#NAME?</v>
      </c>
      <c r="Y404" s="1446" t="e">
        <f ca="1"/>
        <v>#NAME?</v>
      </c>
      <c r="Z404" s="1408"/>
    </row>
    <row r="405" spans="1:26">
      <c r="A405" s="1487"/>
      <c r="B405" s="1488"/>
      <c r="C405" s="1489"/>
      <c r="D405" s="1490"/>
      <c r="E405" s="1487"/>
      <c r="F405" s="1488"/>
      <c r="G405" s="1489"/>
      <c r="H405" s="1490"/>
      <c r="I405" s="1487"/>
      <c r="J405" s="1488"/>
      <c r="K405" s="1489"/>
      <c r="L405" s="1490"/>
      <c r="M405" s="1487"/>
      <c r="N405" s="1488"/>
      <c r="O405" s="1489"/>
      <c r="P405" s="1490"/>
      <c r="X405" s="1445" t="e">
        <f ca="1"/>
        <v>#NAME?</v>
      </c>
      <c r="Y405" s="1446" t="e">
        <f ca="1"/>
        <v>#NAME?</v>
      </c>
      <c r="Z405" s="1408"/>
    </row>
    <row r="406" spans="1:26">
      <c r="A406" s="1487"/>
      <c r="B406" s="1488"/>
      <c r="C406" s="1489"/>
      <c r="D406" s="1490"/>
      <c r="E406" s="1487"/>
      <c r="F406" s="1488"/>
      <c r="G406" s="1489"/>
      <c r="H406" s="1490"/>
      <c r="I406" s="1487"/>
      <c r="J406" s="1488"/>
      <c r="K406" s="1489"/>
      <c r="L406" s="1490"/>
      <c r="M406" s="1487"/>
      <c r="N406" s="1488"/>
      <c r="O406" s="1489"/>
      <c r="P406" s="1490"/>
      <c r="X406" s="1445" t="e">
        <f ca="1"/>
        <v>#NAME?</v>
      </c>
      <c r="Y406" s="1446" t="e">
        <f ca="1"/>
        <v>#NAME?</v>
      </c>
      <c r="Z406" s="1408"/>
    </row>
    <row r="407" spans="1:26">
      <c r="A407" s="1487"/>
      <c r="B407" s="1488"/>
      <c r="C407" s="1489"/>
      <c r="D407" s="1490"/>
      <c r="E407" s="1487"/>
      <c r="F407" s="1488"/>
      <c r="G407" s="1489"/>
      <c r="H407" s="1490"/>
      <c r="I407" s="1487"/>
      <c r="J407" s="1488"/>
      <c r="K407" s="1489"/>
      <c r="L407" s="1490"/>
      <c r="M407" s="1487"/>
      <c r="N407" s="1488"/>
      <c r="O407" s="1489"/>
      <c r="P407" s="1490"/>
      <c r="X407" s="1445" t="e">
        <f ca="1"/>
        <v>#NAME?</v>
      </c>
      <c r="Y407" s="1446" t="e">
        <f ca="1"/>
        <v>#NAME?</v>
      </c>
      <c r="Z407" s="1408"/>
    </row>
    <row r="408" spans="1:26">
      <c r="A408" s="1487"/>
      <c r="B408" s="1488"/>
      <c r="C408" s="1489"/>
      <c r="D408" s="1490"/>
      <c r="E408" s="1487"/>
      <c r="F408" s="1488"/>
      <c r="G408" s="1489"/>
      <c r="H408" s="1490"/>
      <c r="I408" s="1487"/>
      <c r="J408" s="1488"/>
      <c r="K408" s="1489"/>
      <c r="L408" s="1490"/>
      <c r="M408" s="1487"/>
      <c r="N408" s="1488"/>
      <c r="O408" s="1489"/>
      <c r="P408" s="1490"/>
      <c r="X408" s="1445" t="e">
        <f ca="1"/>
        <v>#NAME?</v>
      </c>
      <c r="Y408" s="1446" t="e">
        <f ca="1"/>
        <v>#NAME?</v>
      </c>
      <c r="Z408" s="1408"/>
    </row>
    <row r="409" spans="1:26">
      <c r="A409" s="1487"/>
      <c r="B409" s="1488"/>
      <c r="C409" s="1489"/>
      <c r="D409" s="1490"/>
      <c r="E409" s="1487"/>
      <c r="F409" s="1488"/>
      <c r="G409" s="1489"/>
      <c r="H409" s="1490"/>
      <c r="I409" s="1487"/>
      <c r="J409" s="1488"/>
      <c r="K409" s="1489"/>
      <c r="L409" s="1490"/>
      <c r="M409" s="1487"/>
      <c r="N409" s="1488"/>
      <c r="O409" s="1489"/>
      <c r="P409" s="1490"/>
      <c r="X409" s="1445" t="e">
        <f ca="1"/>
        <v>#NAME?</v>
      </c>
      <c r="Y409" s="1446" t="e">
        <f ca="1"/>
        <v>#NAME?</v>
      </c>
      <c r="Z409" s="1408"/>
    </row>
    <row r="410" spans="1:26">
      <c r="A410" s="1487"/>
      <c r="B410" s="1488"/>
      <c r="C410" s="1489"/>
      <c r="D410" s="1490"/>
      <c r="E410" s="1487"/>
      <c r="F410" s="1488"/>
      <c r="G410" s="1489"/>
      <c r="H410" s="1490"/>
      <c r="I410" s="1487"/>
      <c r="J410" s="1488"/>
      <c r="K410" s="1489"/>
      <c r="L410" s="1490"/>
      <c r="M410" s="1487"/>
      <c r="N410" s="1488"/>
      <c r="O410" s="1489"/>
      <c r="P410" s="1490"/>
      <c r="X410" s="1445" t="e">
        <f ca="1"/>
        <v>#NAME?</v>
      </c>
      <c r="Y410" s="1446" t="e">
        <f ca="1"/>
        <v>#NAME?</v>
      </c>
      <c r="Z410" s="1408"/>
    </row>
    <row r="411" spans="1:26">
      <c r="A411" s="1487"/>
      <c r="B411" s="1488"/>
      <c r="C411" s="1489"/>
      <c r="D411" s="1490"/>
      <c r="E411" s="1487"/>
      <c r="F411" s="1488"/>
      <c r="G411" s="1489"/>
      <c r="H411" s="1490"/>
      <c r="I411" s="1487"/>
      <c r="J411" s="1488"/>
      <c r="K411" s="1489"/>
      <c r="L411" s="1490"/>
      <c r="M411" s="1487"/>
      <c r="N411" s="1488"/>
      <c r="O411" s="1489"/>
      <c r="P411" s="1490"/>
      <c r="X411" s="1445" t="e">
        <f ca="1"/>
        <v>#NAME?</v>
      </c>
      <c r="Y411" s="1446" t="e">
        <f ca="1"/>
        <v>#NAME?</v>
      </c>
      <c r="Z411" s="1408"/>
    </row>
    <row r="412" spans="1:26">
      <c r="A412" s="1487"/>
      <c r="B412" s="1488"/>
      <c r="C412" s="1489"/>
      <c r="D412" s="1490"/>
      <c r="E412" s="1487"/>
      <c r="F412" s="1488"/>
      <c r="G412" s="1489"/>
      <c r="H412" s="1490"/>
      <c r="I412" s="1487"/>
      <c r="J412" s="1488"/>
      <c r="K412" s="1489"/>
      <c r="L412" s="1490"/>
      <c r="M412" s="1487"/>
      <c r="N412" s="1488"/>
      <c r="O412" s="1489"/>
      <c r="P412" s="1490"/>
      <c r="X412" s="1445" t="e">
        <f ca="1"/>
        <v>#NAME?</v>
      </c>
      <c r="Y412" s="1446" t="e">
        <f ca="1"/>
        <v>#NAME?</v>
      </c>
      <c r="Z412" s="1408"/>
    </row>
    <row r="413" spans="1:26">
      <c r="A413" s="1487"/>
      <c r="B413" s="1488"/>
      <c r="C413" s="1489"/>
      <c r="D413" s="1490"/>
      <c r="E413" s="1487"/>
      <c r="F413" s="1488"/>
      <c r="G413" s="1489"/>
      <c r="H413" s="1490"/>
      <c r="I413" s="1487"/>
      <c r="J413" s="1488"/>
      <c r="K413" s="1489"/>
      <c r="L413" s="1490"/>
      <c r="M413" s="1487"/>
      <c r="N413" s="1488"/>
      <c r="O413" s="1489"/>
      <c r="P413" s="1490"/>
      <c r="X413" s="1445" t="e">
        <f ca="1"/>
        <v>#NAME?</v>
      </c>
      <c r="Y413" s="1446" t="e">
        <f ca="1"/>
        <v>#NAME?</v>
      </c>
      <c r="Z413" s="1408"/>
    </row>
    <row r="414" spans="1:26">
      <c r="A414" s="1487"/>
      <c r="B414" s="1488"/>
      <c r="C414" s="1489"/>
      <c r="D414" s="1490"/>
      <c r="E414" s="1487"/>
      <c r="F414" s="1488"/>
      <c r="G414" s="1489"/>
      <c r="H414" s="1490"/>
      <c r="I414" s="1487"/>
      <c r="J414" s="1488"/>
      <c r="K414" s="1489"/>
      <c r="L414" s="1490"/>
      <c r="M414" s="1487"/>
      <c r="N414" s="1488"/>
      <c r="O414" s="1489"/>
      <c r="P414" s="1490"/>
      <c r="X414" s="1445" t="e">
        <f ca="1"/>
        <v>#NAME?</v>
      </c>
      <c r="Y414" s="1446" t="e">
        <f ca="1"/>
        <v>#NAME?</v>
      </c>
      <c r="Z414" s="1408"/>
    </row>
    <row r="415" spans="1:26">
      <c r="A415" s="1487"/>
      <c r="B415" s="1488"/>
      <c r="C415" s="1489"/>
      <c r="D415" s="1490"/>
      <c r="E415" s="1487"/>
      <c r="F415" s="1488"/>
      <c r="G415" s="1489"/>
      <c r="H415" s="1490"/>
      <c r="I415" s="1487"/>
      <c r="J415" s="1488"/>
      <c r="K415" s="1489"/>
      <c r="L415" s="1490"/>
      <c r="M415" s="1487"/>
      <c r="N415" s="1488"/>
      <c r="O415" s="1489"/>
      <c r="P415" s="1490"/>
      <c r="X415" s="1445" t="e">
        <f ca="1"/>
        <v>#NAME?</v>
      </c>
      <c r="Y415" s="1446" t="e">
        <f ca="1"/>
        <v>#NAME?</v>
      </c>
      <c r="Z415" s="1408"/>
    </row>
    <row r="416" spans="1:26">
      <c r="A416" s="1487"/>
      <c r="B416" s="1488"/>
      <c r="C416" s="1489"/>
      <c r="D416" s="1490"/>
      <c r="E416" s="1487"/>
      <c r="F416" s="1488"/>
      <c r="G416" s="1489"/>
      <c r="H416" s="1490"/>
      <c r="I416" s="1487"/>
      <c r="J416" s="1488"/>
      <c r="K416" s="1489"/>
      <c r="L416" s="1490"/>
      <c r="M416" s="1487"/>
      <c r="N416" s="1488"/>
      <c r="O416" s="1489"/>
      <c r="P416" s="1490"/>
      <c r="X416" s="1445" t="e">
        <f ca="1"/>
        <v>#NAME?</v>
      </c>
      <c r="Y416" s="1446" t="e">
        <f ca="1"/>
        <v>#NAME?</v>
      </c>
      <c r="Z416" s="1408"/>
    </row>
    <row r="417" spans="1:26">
      <c r="A417" s="1487"/>
      <c r="B417" s="1488"/>
      <c r="C417" s="1489"/>
      <c r="D417" s="1490"/>
      <c r="E417" s="1487"/>
      <c r="F417" s="1488"/>
      <c r="G417" s="1489"/>
      <c r="H417" s="1490"/>
      <c r="I417" s="1487"/>
      <c r="J417" s="1488"/>
      <c r="K417" s="1489"/>
      <c r="L417" s="1490"/>
      <c r="M417" s="1487"/>
      <c r="N417" s="1488"/>
      <c r="O417" s="1489"/>
      <c r="P417" s="1490"/>
      <c r="X417" s="1445" t="e">
        <f ca="1"/>
        <v>#NAME?</v>
      </c>
      <c r="Y417" s="1446" t="e">
        <f ca="1"/>
        <v>#NAME?</v>
      </c>
      <c r="Z417" s="1408"/>
    </row>
    <row r="418" spans="1:26">
      <c r="A418" s="1487"/>
      <c r="B418" s="1488"/>
      <c r="C418" s="1489"/>
      <c r="D418" s="1490"/>
      <c r="E418" s="1487"/>
      <c r="F418" s="1488"/>
      <c r="G418" s="1489"/>
      <c r="H418" s="1490"/>
      <c r="I418" s="1487"/>
      <c r="J418" s="1488"/>
      <c r="K418" s="1489"/>
      <c r="L418" s="1490"/>
      <c r="M418" s="1487"/>
      <c r="N418" s="1488"/>
      <c r="O418" s="1489"/>
      <c r="P418" s="1490"/>
      <c r="X418" s="1445" t="e">
        <f ca="1"/>
        <v>#NAME?</v>
      </c>
      <c r="Y418" s="1446" t="e">
        <f ca="1"/>
        <v>#NAME?</v>
      </c>
      <c r="Z418" s="1408"/>
    </row>
    <row r="419" spans="1:26">
      <c r="A419" s="1487"/>
      <c r="B419" s="1488"/>
      <c r="C419" s="1489"/>
      <c r="D419" s="1490"/>
      <c r="E419" s="1487"/>
      <c r="F419" s="1488"/>
      <c r="G419" s="1489"/>
      <c r="H419" s="1490"/>
      <c r="I419" s="1487"/>
      <c r="J419" s="1488"/>
      <c r="K419" s="1489"/>
      <c r="L419" s="1490"/>
      <c r="M419" s="1487"/>
      <c r="N419" s="1488"/>
      <c r="O419" s="1489"/>
      <c r="P419" s="1490"/>
      <c r="X419" s="1445" t="e">
        <f ca="1"/>
        <v>#NAME?</v>
      </c>
      <c r="Y419" s="1446" t="e">
        <f ca="1"/>
        <v>#NAME?</v>
      </c>
      <c r="Z419" s="1408"/>
    </row>
    <row r="420" spans="1:26">
      <c r="A420" s="1487"/>
      <c r="B420" s="1488"/>
      <c r="C420" s="1489"/>
      <c r="D420" s="1490"/>
      <c r="E420" s="1487"/>
      <c r="F420" s="1488"/>
      <c r="G420" s="1489"/>
      <c r="H420" s="1490"/>
      <c r="I420" s="1487"/>
      <c r="J420" s="1488"/>
      <c r="K420" s="1489"/>
      <c r="L420" s="1490"/>
      <c r="M420" s="1487"/>
      <c r="N420" s="1488"/>
      <c r="O420" s="1489"/>
      <c r="P420" s="1490"/>
      <c r="X420" s="1445" t="e">
        <f ca="1"/>
        <v>#NAME?</v>
      </c>
      <c r="Y420" s="1446" t="e">
        <f ca="1"/>
        <v>#NAME?</v>
      </c>
      <c r="Z420" s="1408"/>
    </row>
    <row r="421" spans="1:26">
      <c r="A421" s="1487"/>
      <c r="B421" s="1488"/>
      <c r="C421" s="1489"/>
      <c r="D421" s="1490"/>
      <c r="E421" s="1487"/>
      <c r="F421" s="1488"/>
      <c r="G421" s="1489"/>
      <c r="H421" s="1490"/>
      <c r="I421" s="1487"/>
      <c r="J421" s="1488"/>
      <c r="K421" s="1489"/>
      <c r="L421" s="1490"/>
      <c r="M421" s="1487"/>
      <c r="N421" s="1488"/>
      <c r="O421" s="1489"/>
      <c r="P421" s="1490"/>
      <c r="X421" s="1445" t="e">
        <f ca="1"/>
        <v>#NAME?</v>
      </c>
      <c r="Y421" s="1446" t="e">
        <f ca="1"/>
        <v>#NAME?</v>
      </c>
      <c r="Z421" s="1408"/>
    </row>
    <row r="422" spans="1:26">
      <c r="A422" s="1487"/>
      <c r="B422" s="1488"/>
      <c r="C422" s="1489"/>
      <c r="D422" s="1490"/>
      <c r="E422" s="1487"/>
      <c r="F422" s="1488"/>
      <c r="G422" s="1489"/>
      <c r="H422" s="1490"/>
      <c r="I422" s="1487"/>
      <c r="J422" s="1488"/>
      <c r="K422" s="1489"/>
      <c r="L422" s="1490"/>
      <c r="M422" s="1487"/>
      <c r="N422" s="1488"/>
      <c r="O422" s="1489"/>
      <c r="P422" s="1490"/>
      <c r="X422" s="1445" t="e">
        <f ca="1"/>
        <v>#NAME?</v>
      </c>
      <c r="Y422" s="1446" t="e">
        <f ca="1"/>
        <v>#NAME?</v>
      </c>
      <c r="Z422" s="1408"/>
    </row>
    <row r="423" spans="1:26">
      <c r="A423" s="1487"/>
      <c r="B423" s="1488"/>
      <c r="C423" s="1489"/>
      <c r="D423" s="1490"/>
      <c r="E423" s="1487"/>
      <c r="F423" s="1488"/>
      <c r="G423" s="1489"/>
      <c r="H423" s="1490"/>
      <c r="I423" s="1487"/>
      <c r="J423" s="1488"/>
      <c r="K423" s="1489"/>
      <c r="L423" s="1490"/>
      <c r="M423" s="1487"/>
      <c r="N423" s="1488"/>
      <c r="O423" s="1489"/>
      <c r="P423" s="1490"/>
      <c r="X423" s="1445" t="e">
        <f ca="1"/>
        <v>#NAME?</v>
      </c>
      <c r="Y423" s="1446" t="e">
        <f ca="1"/>
        <v>#NAME?</v>
      </c>
      <c r="Z423" s="1408"/>
    </row>
    <row r="424" spans="1:26">
      <c r="A424" s="1487"/>
      <c r="B424" s="1488"/>
      <c r="C424" s="1489"/>
      <c r="D424" s="1490"/>
      <c r="E424" s="1487"/>
      <c r="F424" s="1488"/>
      <c r="G424" s="1489"/>
      <c r="H424" s="1490"/>
      <c r="I424" s="1487"/>
      <c r="J424" s="1488"/>
      <c r="K424" s="1489"/>
      <c r="L424" s="1490"/>
      <c r="M424" s="1487"/>
      <c r="N424" s="1488"/>
      <c r="O424" s="1489"/>
      <c r="P424" s="1490"/>
      <c r="X424" s="1445" t="e">
        <f ca="1"/>
        <v>#NAME?</v>
      </c>
      <c r="Y424" s="1446" t="e">
        <f ca="1"/>
        <v>#NAME?</v>
      </c>
      <c r="Z424" s="1408"/>
    </row>
    <row r="425" spans="1:26">
      <c r="A425" s="1487"/>
      <c r="B425" s="1488"/>
      <c r="C425" s="1489"/>
      <c r="D425" s="1490"/>
      <c r="E425" s="1487"/>
      <c r="F425" s="1488"/>
      <c r="G425" s="1489"/>
      <c r="H425" s="1490"/>
      <c r="I425" s="1487"/>
      <c r="J425" s="1488"/>
      <c r="K425" s="1489"/>
      <c r="L425" s="1490"/>
      <c r="M425" s="1487"/>
      <c r="N425" s="1488"/>
      <c r="O425" s="1489"/>
      <c r="P425" s="1490"/>
      <c r="X425" s="1445" t="e">
        <f ca="1"/>
        <v>#NAME?</v>
      </c>
      <c r="Y425" s="1446" t="e">
        <f ca="1"/>
        <v>#NAME?</v>
      </c>
      <c r="Z425" s="1408"/>
    </row>
    <row r="426" spans="1:26">
      <c r="A426" s="1487"/>
      <c r="B426" s="1488"/>
      <c r="C426" s="1489"/>
      <c r="D426" s="1490"/>
      <c r="E426" s="1487"/>
      <c r="F426" s="1488"/>
      <c r="G426" s="1489"/>
      <c r="H426" s="1490"/>
      <c r="I426" s="1487"/>
      <c r="J426" s="1488"/>
      <c r="K426" s="1489"/>
      <c r="L426" s="1490"/>
      <c r="M426" s="1487"/>
      <c r="N426" s="1488"/>
      <c r="O426" s="1489"/>
      <c r="P426" s="1490"/>
      <c r="X426" s="1445" t="e">
        <f ca="1"/>
        <v>#NAME?</v>
      </c>
      <c r="Y426" s="1446" t="e">
        <f ca="1"/>
        <v>#NAME?</v>
      </c>
      <c r="Z426" s="1408"/>
    </row>
    <row r="427" spans="1:26">
      <c r="A427" s="1487"/>
      <c r="B427" s="1488"/>
      <c r="C427" s="1489"/>
      <c r="D427" s="1490"/>
      <c r="E427" s="1487"/>
      <c r="F427" s="1488"/>
      <c r="G427" s="1489"/>
      <c r="H427" s="1490"/>
      <c r="I427" s="1487"/>
      <c r="J427" s="1488"/>
      <c r="K427" s="1489"/>
      <c r="L427" s="1490"/>
      <c r="M427" s="1487"/>
      <c r="N427" s="1488"/>
      <c r="O427" s="1489"/>
      <c r="P427" s="1490"/>
      <c r="X427" s="1445" t="e">
        <f ca="1"/>
        <v>#NAME?</v>
      </c>
      <c r="Y427" s="1446" t="e">
        <f ca="1"/>
        <v>#NAME?</v>
      </c>
      <c r="Z427" s="1408"/>
    </row>
    <row r="428" spans="1:26">
      <c r="A428" s="1487"/>
      <c r="B428" s="1488"/>
      <c r="C428" s="1489"/>
      <c r="D428" s="1490"/>
      <c r="E428" s="1487"/>
      <c r="F428" s="1488"/>
      <c r="G428" s="1489"/>
      <c r="H428" s="1490"/>
      <c r="I428" s="1487"/>
      <c r="J428" s="1488"/>
      <c r="K428" s="1489"/>
      <c r="L428" s="1490"/>
      <c r="M428" s="1487"/>
      <c r="N428" s="1488"/>
      <c r="O428" s="1489"/>
      <c r="P428" s="1490"/>
      <c r="X428" s="1445" t="e">
        <f ca="1"/>
        <v>#NAME?</v>
      </c>
      <c r="Y428" s="1446" t="e">
        <f ca="1"/>
        <v>#NAME?</v>
      </c>
      <c r="Z428" s="1408"/>
    </row>
    <row r="429" spans="1:26">
      <c r="A429" s="1487"/>
      <c r="B429" s="1488"/>
      <c r="C429" s="1489"/>
      <c r="D429" s="1490"/>
      <c r="E429" s="1487"/>
      <c r="F429" s="1488"/>
      <c r="G429" s="1489"/>
      <c r="H429" s="1490"/>
      <c r="I429" s="1487"/>
      <c r="J429" s="1488"/>
      <c r="K429" s="1489"/>
      <c r="L429" s="1490"/>
      <c r="M429" s="1487"/>
      <c r="N429" s="1488"/>
      <c r="O429" s="1489"/>
      <c r="P429" s="1490"/>
      <c r="X429" s="1445" t="e">
        <f ca="1"/>
        <v>#NAME?</v>
      </c>
      <c r="Y429" s="1446" t="e">
        <f ca="1"/>
        <v>#NAME?</v>
      </c>
      <c r="Z429" s="1408"/>
    </row>
    <row r="430" spans="1:26">
      <c r="A430" s="1487"/>
      <c r="B430" s="1488"/>
      <c r="C430" s="1489"/>
      <c r="D430" s="1490"/>
      <c r="E430" s="1487"/>
      <c r="F430" s="1488"/>
      <c r="G430" s="1489"/>
      <c r="H430" s="1490"/>
      <c r="I430" s="1487"/>
      <c r="J430" s="1488"/>
      <c r="K430" s="1489"/>
      <c r="L430" s="1490"/>
      <c r="M430" s="1487"/>
      <c r="N430" s="1488"/>
      <c r="O430" s="1489"/>
      <c r="P430" s="1490"/>
      <c r="X430" s="1445" t="e">
        <f ca="1"/>
        <v>#NAME?</v>
      </c>
      <c r="Y430" s="1446" t="e">
        <f ca="1"/>
        <v>#NAME?</v>
      </c>
      <c r="Z430" s="1408"/>
    </row>
    <row r="431" spans="1:26">
      <c r="A431" s="1487"/>
      <c r="B431" s="1488"/>
      <c r="C431" s="1489"/>
      <c r="D431" s="1490"/>
      <c r="E431" s="1487"/>
      <c r="F431" s="1488"/>
      <c r="G431" s="1489"/>
      <c r="H431" s="1490"/>
      <c r="I431" s="1487"/>
      <c r="J431" s="1488"/>
      <c r="K431" s="1489"/>
      <c r="L431" s="1490"/>
      <c r="M431" s="1487"/>
      <c r="N431" s="1488"/>
      <c r="O431" s="1489"/>
      <c r="P431" s="1490"/>
      <c r="X431" s="1445" t="e">
        <f ca="1"/>
        <v>#NAME?</v>
      </c>
      <c r="Y431" s="1446" t="e">
        <f ca="1"/>
        <v>#NAME?</v>
      </c>
      <c r="Z431" s="1408"/>
    </row>
    <row r="432" spans="1:26">
      <c r="A432" s="1487"/>
      <c r="B432" s="1488"/>
      <c r="C432" s="1489"/>
      <c r="D432" s="1490"/>
      <c r="E432" s="1487"/>
      <c r="F432" s="1488"/>
      <c r="G432" s="1489"/>
      <c r="H432" s="1490"/>
      <c r="I432" s="1487"/>
      <c r="J432" s="1488"/>
      <c r="K432" s="1489"/>
      <c r="L432" s="1490"/>
      <c r="M432" s="1487"/>
      <c r="N432" s="1488"/>
      <c r="O432" s="1489"/>
      <c r="P432" s="1490"/>
      <c r="X432" s="1445" t="e">
        <f ca="1"/>
        <v>#NAME?</v>
      </c>
      <c r="Y432" s="1446" t="e">
        <f ca="1"/>
        <v>#NAME?</v>
      </c>
      <c r="Z432" s="1408"/>
    </row>
    <row r="433" spans="1:26">
      <c r="A433" s="1487"/>
      <c r="B433" s="1488"/>
      <c r="C433" s="1489"/>
      <c r="D433" s="1490"/>
      <c r="E433" s="1487"/>
      <c r="F433" s="1488"/>
      <c r="G433" s="1489"/>
      <c r="H433" s="1490"/>
      <c r="I433" s="1487"/>
      <c r="J433" s="1488"/>
      <c r="K433" s="1489"/>
      <c r="L433" s="1490"/>
      <c r="M433" s="1487"/>
      <c r="N433" s="1488"/>
      <c r="O433" s="1489"/>
      <c r="P433" s="1490"/>
      <c r="X433" s="1445" t="e">
        <f ca="1"/>
        <v>#NAME?</v>
      </c>
      <c r="Y433" s="1446" t="e">
        <f ca="1"/>
        <v>#NAME?</v>
      </c>
      <c r="Z433" s="1408"/>
    </row>
    <row r="434" spans="1:26">
      <c r="A434" s="1487"/>
      <c r="B434" s="1488"/>
      <c r="C434" s="1489"/>
      <c r="D434" s="1490"/>
      <c r="E434" s="1487"/>
      <c r="F434" s="1488"/>
      <c r="G434" s="1489"/>
      <c r="H434" s="1490"/>
      <c r="I434" s="1487"/>
      <c r="J434" s="1488"/>
      <c r="K434" s="1489"/>
      <c r="L434" s="1490"/>
      <c r="M434" s="1487"/>
      <c r="N434" s="1488"/>
      <c r="O434" s="1489"/>
      <c r="P434" s="1490"/>
      <c r="X434" s="1445" t="e">
        <f ca="1"/>
        <v>#NAME?</v>
      </c>
      <c r="Y434" s="1446" t="e">
        <f ca="1"/>
        <v>#NAME?</v>
      </c>
      <c r="Z434" s="1408"/>
    </row>
    <row r="435" spans="1:26">
      <c r="A435" s="1487"/>
      <c r="B435" s="1488"/>
      <c r="C435" s="1489"/>
      <c r="D435" s="1490"/>
      <c r="E435" s="1487"/>
      <c r="F435" s="1488"/>
      <c r="G435" s="1489"/>
      <c r="H435" s="1490"/>
      <c r="I435" s="1487"/>
      <c r="J435" s="1488"/>
      <c r="K435" s="1489"/>
      <c r="L435" s="1490"/>
      <c r="M435" s="1487"/>
      <c r="N435" s="1488"/>
      <c r="O435" s="1489"/>
      <c r="P435" s="1490"/>
      <c r="X435" s="1445" t="e">
        <f ca="1"/>
        <v>#NAME?</v>
      </c>
      <c r="Y435" s="1446" t="e">
        <f ca="1"/>
        <v>#NAME?</v>
      </c>
      <c r="Z435" s="1408"/>
    </row>
    <row r="436" spans="1:26">
      <c r="A436" s="1487"/>
      <c r="B436" s="1488"/>
      <c r="C436" s="1489"/>
      <c r="D436" s="1490"/>
      <c r="E436" s="1487"/>
      <c r="F436" s="1488"/>
      <c r="G436" s="1489"/>
      <c r="H436" s="1490"/>
      <c r="I436" s="1487"/>
      <c r="J436" s="1488"/>
      <c r="K436" s="1489"/>
      <c r="L436" s="1490"/>
      <c r="M436" s="1487"/>
      <c r="N436" s="1488"/>
      <c r="O436" s="1489"/>
      <c r="P436" s="1490"/>
      <c r="X436" s="1445" t="e">
        <f ca="1"/>
        <v>#NAME?</v>
      </c>
      <c r="Y436" s="1446" t="e">
        <f ca="1"/>
        <v>#NAME?</v>
      </c>
      <c r="Z436" s="1408"/>
    </row>
    <row r="437" spans="1:26">
      <c r="A437" s="1487"/>
      <c r="B437" s="1488"/>
      <c r="C437" s="1489"/>
      <c r="D437" s="1490"/>
      <c r="E437" s="1487"/>
      <c r="F437" s="1488"/>
      <c r="G437" s="1489"/>
      <c r="H437" s="1490"/>
      <c r="I437" s="1487"/>
      <c r="J437" s="1488"/>
      <c r="K437" s="1489"/>
      <c r="L437" s="1490"/>
      <c r="M437" s="1487"/>
      <c r="N437" s="1488"/>
      <c r="O437" s="1489"/>
      <c r="P437" s="1490"/>
      <c r="X437" s="1445" t="e">
        <f ca="1"/>
        <v>#NAME?</v>
      </c>
      <c r="Y437" s="1446" t="e">
        <f ca="1"/>
        <v>#NAME?</v>
      </c>
      <c r="Z437" s="1408"/>
    </row>
    <row r="438" spans="1:26">
      <c r="A438" s="1487"/>
      <c r="B438" s="1488"/>
      <c r="C438" s="1489"/>
      <c r="D438" s="1490"/>
      <c r="E438" s="1487"/>
      <c r="F438" s="1488"/>
      <c r="G438" s="1489"/>
      <c r="H438" s="1490"/>
      <c r="I438" s="1487"/>
      <c r="J438" s="1488"/>
      <c r="K438" s="1489"/>
      <c r="L438" s="1490"/>
      <c r="M438" s="1487"/>
      <c r="N438" s="1488"/>
      <c r="O438" s="1489"/>
      <c r="P438" s="1490"/>
      <c r="X438" s="1445" t="e">
        <f ca="1"/>
        <v>#NAME?</v>
      </c>
      <c r="Y438" s="1446" t="e">
        <f ca="1"/>
        <v>#NAME?</v>
      </c>
      <c r="Z438" s="1408"/>
    </row>
    <row r="439" spans="1:26">
      <c r="A439" s="1487"/>
      <c r="B439" s="1488"/>
      <c r="C439" s="1489"/>
      <c r="D439" s="1490"/>
      <c r="E439" s="1487"/>
      <c r="F439" s="1488"/>
      <c r="G439" s="1489"/>
      <c r="H439" s="1490"/>
      <c r="I439" s="1487"/>
      <c r="J439" s="1488"/>
      <c r="K439" s="1489"/>
      <c r="L439" s="1490"/>
      <c r="M439" s="1487"/>
      <c r="N439" s="1488"/>
      <c r="O439" s="1489"/>
      <c r="P439" s="1490"/>
      <c r="X439" s="1445" t="e">
        <f ca="1"/>
        <v>#NAME?</v>
      </c>
      <c r="Y439" s="1446" t="e">
        <f ca="1"/>
        <v>#NAME?</v>
      </c>
      <c r="Z439" s="1408"/>
    </row>
    <row r="440" spans="1:26">
      <c r="A440" s="1487"/>
      <c r="B440" s="1488"/>
      <c r="C440" s="1489"/>
      <c r="D440" s="1490"/>
      <c r="E440" s="1487"/>
      <c r="F440" s="1488"/>
      <c r="G440" s="1489"/>
      <c r="H440" s="1490"/>
      <c r="I440" s="1487"/>
      <c r="J440" s="1488"/>
      <c r="K440" s="1489"/>
      <c r="L440" s="1490"/>
      <c r="M440" s="1487"/>
      <c r="N440" s="1488"/>
      <c r="O440" s="1489"/>
      <c r="P440" s="1490"/>
      <c r="X440" s="1445" t="e">
        <f ca="1"/>
        <v>#NAME?</v>
      </c>
      <c r="Y440" s="1446" t="e">
        <f ca="1"/>
        <v>#NAME?</v>
      </c>
      <c r="Z440" s="1408"/>
    </row>
    <row r="441" spans="1:26">
      <c r="A441" s="1487"/>
      <c r="B441" s="1488"/>
      <c r="C441" s="1489"/>
      <c r="D441" s="1490"/>
      <c r="E441" s="1487"/>
      <c r="F441" s="1488"/>
      <c r="G441" s="1489"/>
      <c r="H441" s="1490"/>
      <c r="I441" s="1487"/>
      <c r="J441" s="1488"/>
      <c r="K441" s="1489"/>
      <c r="L441" s="1490"/>
      <c r="M441" s="1487"/>
      <c r="N441" s="1488"/>
      <c r="O441" s="1489"/>
      <c r="P441" s="1490"/>
      <c r="X441" s="1445" t="e">
        <f ca="1"/>
        <v>#NAME?</v>
      </c>
      <c r="Y441" s="1446" t="e">
        <f ca="1"/>
        <v>#NAME?</v>
      </c>
      <c r="Z441" s="1408"/>
    </row>
    <row r="442" spans="1:26">
      <c r="A442" s="1487"/>
      <c r="B442" s="1488"/>
      <c r="C442" s="1489"/>
      <c r="D442" s="1490"/>
      <c r="E442" s="1487"/>
      <c r="F442" s="1488"/>
      <c r="G442" s="1489"/>
      <c r="H442" s="1490"/>
      <c r="I442" s="1487"/>
      <c r="J442" s="1488"/>
      <c r="K442" s="1489"/>
      <c r="L442" s="1490"/>
      <c r="M442" s="1487"/>
      <c r="N442" s="1488"/>
      <c r="O442" s="1489"/>
      <c r="P442" s="1490"/>
      <c r="X442" s="1445" t="e">
        <f ca="1"/>
        <v>#NAME?</v>
      </c>
      <c r="Y442" s="1446" t="e">
        <f ca="1"/>
        <v>#NAME?</v>
      </c>
      <c r="Z442" s="1408"/>
    </row>
    <row r="443" spans="1:26">
      <c r="A443" s="1487"/>
      <c r="B443" s="1488"/>
      <c r="C443" s="1489"/>
      <c r="D443" s="1490"/>
      <c r="E443" s="1487"/>
      <c r="F443" s="1488"/>
      <c r="G443" s="1489"/>
      <c r="H443" s="1490"/>
      <c r="I443" s="1487"/>
      <c r="J443" s="1488"/>
      <c r="K443" s="1489"/>
      <c r="L443" s="1490"/>
      <c r="M443" s="1487"/>
      <c r="N443" s="1488"/>
      <c r="O443" s="1489"/>
      <c r="P443" s="1490"/>
      <c r="X443" s="1445" t="e">
        <f ca="1"/>
        <v>#NAME?</v>
      </c>
      <c r="Y443" s="1446" t="e">
        <f ca="1"/>
        <v>#NAME?</v>
      </c>
      <c r="Z443" s="1408"/>
    </row>
    <row r="444" spans="1:26">
      <c r="A444" s="1487"/>
      <c r="B444" s="1488"/>
      <c r="C444" s="1489"/>
      <c r="D444" s="1490"/>
      <c r="E444" s="1487"/>
      <c r="F444" s="1488"/>
      <c r="G444" s="1489"/>
      <c r="H444" s="1490"/>
      <c r="I444" s="1487"/>
      <c r="J444" s="1488"/>
      <c r="K444" s="1489"/>
      <c r="L444" s="1490"/>
      <c r="M444" s="1487"/>
      <c r="N444" s="1488"/>
      <c r="O444" s="1489"/>
      <c r="P444" s="1490"/>
      <c r="X444" s="1445" t="e">
        <f ca="1"/>
        <v>#NAME?</v>
      </c>
      <c r="Y444" s="1446" t="e">
        <f ca="1"/>
        <v>#NAME?</v>
      </c>
      <c r="Z444" s="1408"/>
    </row>
    <row r="445" spans="1:26">
      <c r="A445" s="1487"/>
      <c r="B445" s="1488"/>
      <c r="C445" s="1489"/>
      <c r="D445" s="1490"/>
      <c r="E445" s="1487"/>
      <c r="F445" s="1488"/>
      <c r="G445" s="1489"/>
      <c r="H445" s="1490"/>
      <c r="I445" s="1487"/>
      <c r="J445" s="1488"/>
      <c r="K445" s="1489"/>
      <c r="L445" s="1490"/>
      <c r="M445" s="1487"/>
      <c r="N445" s="1488"/>
      <c r="O445" s="1489"/>
      <c r="P445" s="1490"/>
      <c r="X445" s="1445" t="e">
        <f ca="1"/>
        <v>#NAME?</v>
      </c>
      <c r="Y445" s="1446" t="e">
        <f ca="1"/>
        <v>#NAME?</v>
      </c>
      <c r="Z445" s="1408"/>
    </row>
    <row r="446" spans="1:26">
      <c r="A446" s="1487"/>
      <c r="B446" s="1488"/>
      <c r="C446" s="1489"/>
      <c r="D446" s="1490"/>
      <c r="E446" s="1487"/>
      <c r="F446" s="1488"/>
      <c r="G446" s="1489"/>
      <c r="H446" s="1490"/>
      <c r="I446" s="1487"/>
      <c r="J446" s="1488"/>
      <c r="K446" s="1489"/>
      <c r="L446" s="1490"/>
      <c r="M446" s="1487"/>
      <c r="N446" s="1488"/>
      <c r="O446" s="1489"/>
      <c r="P446" s="1490"/>
      <c r="X446" s="1445" t="e">
        <f ca="1"/>
        <v>#NAME?</v>
      </c>
      <c r="Y446" s="1446" t="e">
        <f ca="1"/>
        <v>#NAME?</v>
      </c>
      <c r="Z446" s="1408"/>
    </row>
    <row r="447" spans="1:26">
      <c r="A447" s="1487"/>
      <c r="B447" s="1488"/>
      <c r="C447" s="1489"/>
      <c r="D447" s="1490"/>
      <c r="E447" s="1487"/>
      <c r="F447" s="1488"/>
      <c r="G447" s="1489"/>
      <c r="H447" s="1490"/>
      <c r="I447" s="1487"/>
      <c r="J447" s="1488"/>
      <c r="K447" s="1489"/>
      <c r="L447" s="1490"/>
      <c r="M447" s="1487"/>
      <c r="N447" s="1488"/>
      <c r="O447" s="1489"/>
      <c r="P447" s="1490"/>
      <c r="X447" s="1445" t="e">
        <f ca="1"/>
        <v>#NAME?</v>
      </c>
      <c r="Y447" s="1446" t="e">
        <f ca="1"/>
        <v>#NAME?</v>
      </c>
      <c r="Z447" s="1408"/>
    </row>
    <row r="448" spans="1:26">
      <c r="A448" s="1487"/>
      <c r="B448" s="1488"/>
      <c r="C448" s="1489"/>
      <c r="D448" s="1490"/>
      <c r="E448" s="1487"/>
      <c r="F448" s="1488"/>
      <c r="G448" s="1489"/>
      <c r="H448" s="1490"/>
      <c r="I448" s="1487"/>
      <c r="J448" s="1488"/>
      <c r="K448" s="1489"/>
      <c r="L448" s="1490"/>
      <c r="M448" s="1487"/>
      <c r="N448" s="1488"/>
      <c r="O448" s="1489"/>
      <c r="P448" s="1490"/>
      <c r="X448" s="1445" t="e">
        <f ca="1"/>
        <v>#NAME?</v>
      </c>
      <c r="Y448" s="1446" t="e">
        <f ca="1"/>
        <v>#NAME?</v>
      </c>
      <c r="Z448" s="1408"/>
    </row>
    <row r="449" spans="1:26">
      <c r="A449" s="1487"/>
      <c r="B449" s="1488"/>
      <c r="C449" s="1489"/>
      <c r="D449" s="1490"/>
      <c r="E449" s="1487"/>
      <c r="F449" s="1488"/>
      <c r="G449" s="1489"/>
      <c r="H449" s="1490"/>
      <c r="I449" s="1487"/>
      <c r="J449" s="1488"/>
      <c r="K449" s="1489"/>
      <c r="L449" s="1490"/>
      <c r="M449" s="1487"/>
      <c r="N449" s="1488"/>
      <c r="O449" s="1489"/>
      <c r="P449" s="1490"/>
      <c r="X449" s="1445" t="e">
        <f ca="1"/>
        <v>#NAME?</v>
      </c>
      <c r="Y449" s="1446" t="e">
        <f ca="1"/>
        <v>#NAME?</v>
      </c>
      <c r="Z449" s="1408"/>
    </row>
    <row r="450" spans="1:26">
      <c r="A450" s="1487"/>
      <c r="B450" s="1488"/>
      <c r="C450" s="1489"/>
      <c r="D450" s="1490"/>
      <c r="E450" s="1487"/>
      <c r="F450" s="1488"/>
      <c r="G450" s="1489"/>
      <c r="H450" s="1490"/>
      <c r="I450" s="1487"/>
      <c r="J450" s="1488"/>
      <c r="K450" s="1489"/>
      <c r="L450" s="1490"/>
      <c r="M450" s="1487"/>
      <c r="N450" s="1488"/>
      <c r="O450" s="1489"/>
      <c r="P450" s="1490"/>
      <c r="X450" s="1445" t="e">
        <f ca="1"/>
        <v>#NAME?</v>
      </c>
      <c r="Y450" s="1446" t="e">
        <f ca="1"/>
        <v>#NAME?</v>
      </c>
      <c r="Z450" s="1408"/>
    </row>
    <row r="451" spans="1:26">
      <c r="A451" s="1487"/>
      <c r="B451" s="1488"/>
      <c r="C451" s="1489"/>
      <c r="D451" s="1490"/>
      <c r="E451" s="1487"/>
      <c r="F451" s="1488"/>
      <c r="G451" s="1489"/>
      <c r="H451" s="1490"/>
      <c r="I451" s="1487"/>
      <c r="J451" s="1488"/>
      <c r="K451" s="1489"/>
      <c r="L451" s="1490"/>
      <c r="M451" s="1487"/>
      <c r="N451" s="1488"/>
      <c r="O451" s="1489"/>
      <c r="P451" s="1490"/>
      <c r="X451" s="1445" t="e">
        <f ca="1"/>
        <v>#NAME?</v>
      </c>
      <c r="Y451" s="1446" t="e">
        <f ca="1"/>
        <v>#NAME?</v>
      </c>
      <c r="Z451" s="1408"/>
    </row>
    <row r="452" spans="1:26">
      <c r="A452" s="1487"/>
      <c r="B452" s="1488"/>
      <c r="C452" s="1489"/>
      <c r="D452" s="1490"/>
      <c r="E452" s="1487"/>
      <c r="F452" s="1488"/>
      <c r="G452" s="1489"/>
      <c r="H452" s="1490"/>
      <c r="I452" s="1487"/>
      <c r="J452" s="1488"/>
      <c r="K452" s="1489"/>
      <c r="L452" s="1490"/>
      <c r="M452" s="1487"/>
      <c r="N452" s="1488"/>
      <c r="O452" s="1489"/>
      <c r="P452" s="1490"/>
      <c r="X452" s="1445" t="e">
        <f ca="1"/>
        <v>#NAME?</v>
      </c>
      <c r="Y452" s="1446" t="e">
        <f ca="1"/>
        <v>#NAME?</v>
      </c>
      <c r="Z452" s="1408"/>
    </row>
    <row r="453" spans="1:26">
      <c r="A453" s="1487"/>
      <c r="B453" s="1488"/>
      <c r="C453" s="1489"/>
      <c r="D453" s="1490"/>
      <c r="E453" s="1487"/>
      <c r="F453" s="1488"/>
      <c r="G453" s="1489"/>
      <c r="H453" s="1490"/>
      <c r="I453" s="1487"/>
      <c r="J453" s="1488"/>
      <c r="K453" s="1489"/>
      <c r="L453" s="1490"/>
      <c r="M453" s="1487"/>
      <c r="N453" s="1488"/>
      <c r="O453" s="1489"/>
      <c r="P453" s="1490"/>
      <c r="X453" s="1445" t="e">
        <f ca="1"/>
        <v>#NAME?</v>
      </c>
      <c r="Y453" s="1446" t="e">
        <f ca="1"/>
        <v>#NAME?</v>
      </c>
      <c r="Z453" s="1408"/>
    </row>
    <row r="454" spans="1:26">
      <c r="A454" s="1487"/>
      <c r="B454" s="1488"/>
      <c r="C454" s="1489"/>
      <c r="D454" s="1490"/>
      <c r="E454" s="1487"/>
      <c r="F454" s="1488"/>
      <c r="G454" s="1489"/>
      <c r="H454" s="1490"/>
      <c r="I454" s="1487"/>
      <c r="J454" s="1488"/>
      <c r="K454" s="1489"/>
      <c r="L454" s="1490"/>
      <c r="M454" s="1487"/>
      <c r="N454" s="1488"/>
      <c r="O454" s="1489"/>
      <c r="P454" s="1490"/>
      <c r="X454" s="1445" t="e">
        <f ca="1"/>
        <v>#NAME?</v>
      </c>
      <c r="Y454" s="1446" t="e">
        <f ca="1"/>
        <v>#NAME?</v>
      </c>
      <c r="Z454" s="1408"/>
    </row>
    <row r="455" spans="1:26">
      <c r="A455" s="1487"/>
      <c r="B455" s="1488"/>
      <c r="C455" s="1489"/>
      <c r="D455" s="1490"/>
      <c r="E455" s="1487"/>
      <c r="F455" s="1488"/>
      <c r="G455" s="1489"/>
      <c r="H455" s="1490"/>
      <c r="I455" s="1487"/>
      <c r="J455" s="1488"/>
      <c r="K455" s="1489"/>
      <c r="L455" s="1490"/>
      <c r="M455" s="1487"/>
      <c r="N455" s="1488"/>
      <c r="O455" s="1489"/>
      <c r="P455" s="1490"/>
      <c r="X455" s="1445" t="e">
        <f ca="1"/>
        <v>#NAME?</v>
      </c>
      <c r="Y455" s="1446" t="e">
        <f ca="1"/>
        <v>#NAME?</v>
      </c>
      <c r="Z455" s="1408"/>
    </row>
    <row r="456" spans="1:26">
      <c r="A456" s="1487"/>
      <c r="B456" s="1488"/>
      <c r="C456" s="1489"/>
      <c r="D456" s="1490"/>
      <c r="E456" s="1487"/>
      <c r="F456" s="1488"/>
      <c r="G456" s="1489"/>
      <c r="H456" s="1490"/>
      <c r="I456" s="1487"/>
      <c r="J456" s="1488"/>
      <c r="K456" s="1489"/>
      <c r="L456" s="1490"/>
      <c r="M456" s="1487"/>
      <c r="N456" s="1488"/>
      <c r="O456" s="1489"/>
      <c r="P456" s="1490"/>
      <c r="X456" s="1445" t="e">
        <f ca="1"/>
        <v>#NAME?</v>
      </c>
      <c r="Y456" s="1446" t="e">
        <f ca="1"/>
        <v>#NAME?</v>
      </c>
      <c r="Z456" s="1408"/>
    </row>
    <row r="457" spans="1:26">
      <c r="A457" s="1487"/>
      <c r="B457" s="1488"/>
      <c r="C457" s="1489"/>
      <c r="D457" s="1490"/>
      <c r="E457" s="1487"/>
      <c r="F457" s="1488"/>
      <c r="G457" s="1489"/>
      <c r="H457" s="1490"/>
      <c r="I457" s="1487"/>
      <c r="J457" s="1488"/>
      <c r="K457" s="1489"/>
      <c r="L457" s="1490"/>
      <c r="M457" s="1487"/>
      <c r="N457" s="1488"/>
      <c r="O457" s="1489"/>
      <c r="P457" s="1490"/>
      <c r="X457" s="1445" t="e">
        <f ca="1"/>
        <v>#NAME?</v>
      </c>
      <c r="Y457" s="1446" t="e">
        <f ca="1"/>
        <v>#NAME?</v>
      </c>
      <c r="Z457" s="1408"/>
    </row>
    <row r="458" spans="1:26">
      <c r="A458" s="1487"/>
      <c r="B458" s="1488"/>
      <c r="C458" s="1489"/>
      <c r="D458" s="1490"/>
      <c r="E458" s="1487"/>
      <c r="F458" s="1488"/>
      <c r="G458" s="1489"/>
      <c r="H458" s="1490"/>
      <c r="I458" s="1487"/>
      <c r="J458" s="1488"/>
      <c r="K458" s="1489"/>
      <c r="L458" s="1490"/>
      <c r="M458" s="1487"/>
      <c r="N458" s="1488"/>
      <c r="O458" s="1489"/>
      <c r="P458" s="1490"/>
      <c r="X458" s="1445" t="e">
        <f ca="1"/>
        <v>#NAME?</v>
      </c>
      <c r="Y458" s="1446" t="e">
        <f ca="1"/>
        <v>#NAME?</v>
      </c>
      <c r="Z458" s="1408"/>
    </row>
    <row r="459" spans="1:26">
      <c r="A459" s="1487"/>
      <c r="B459" s="1488"/>
      <c r="C459" s="1489"/>
      <c r="D459" s="1490"/>
      <c r="E459" s="1487"/>
      <c r="F459" s="1488"/>
      <c r="G459" s="1489"/>
      <c r="H459" s="1490"/>
      <c r="I459" s="1487"/>
      <c r="J459" s="1488"/>
      <c r="K459" s="1489"/>
      <c r="L459" s="1490"/>
      <c r="M459" s="1487"/>
      <c r="N459" s="1488"/>
      <c r="O459" s="1489"/>
      <c r="P459" s="1490"/>
      <c r="X459" s="1445" t="e">
        <f ca="1"/>
        <v>#NAME?</v>
      </c>
      <c r="Y459" s="1446" t="e">
        <f ca="1"/>
        <v>#NAME?</v>
      </c>
      <c r="Z459" s="1408"/>
    </row>
    <row r="460" spans="1:26">
      <c r="A460" s="1487"/>
      <c r="B460" s="1488"/>
      <c r="C460" s="1489"/>
      <c r="D460" s="1490"/>
      <c r="E460" s="1487"/>
      <c r="F460" s="1488"/>
      <c r="G460" s="1489"/>
      <c r="H460" s="1490"/>
      <c r="I460" s="1487"/>
      <c r="J460" s="1488"/>
      <c r="K460" s="1489"/>
      <c r="L460" s="1490"/>
      <c r="M460" s="1487"/>
      <c r="N460" s="1488"/>
      <c r="O460" s="1489"/>
      <c r="P460" s="1490"/>
      <c r="X460" s="1445" t="e">
        <f ca="1"/>
        <v>#NAME?</v>
      </c>
      <c r="Y460" s="1446" t="e">
        <f ca="1"/>
        <v>#NAME?</v>
      </c>
      <c r="Z460" s="1408"/>
    </row>
    <row r="461" spans="1:26">
      <c r="A461" s="1487"/>
      <c r="B461" s="1488"/>
      <c r="C461" s="1489"/>
      <c r="D461" s="1490"/>
      <c r="E461" s="1487"/>
      <c r="F461" s="1488"/>
      <c r="G461" s="1489"/>
      <c r="H461" s="1490"/>
      <c r="I461" s="1487"/>
      <c r="J461" s="1488"/>
      <c r="K461" s="1489"/>
      <c r="L461" s="1490"/>
      <c r="M461" s="1487"/>
      <c r="N461" s="1488"/>
      <c r="O461" s="1489"/>
      <c r="P461" s="1490"/>
      <c r="X461" s="1445" t="e">
        <f ca="1"/>
        <v>#NAME?</v>
      </c>
      <c r="Y461" s="1446" t="e">
        <f ca="1"/>
        <v>#NAME?</v>
      </c>
      <c r="Z461" s="1408"/>
    </row>
    <row r="462" spans="1:26">
      <c r="A462" s="1487"/>
      <c r="B462" s="1488"/>
      <c r="C462" s="1489"/>
      <c r="D462" s="1490"/>
      <c r="E462" s="1487"/>
      <c r="F462" s="1488"/>
      <c r="G462" s="1489"/>
      <c r="H462" s="1490"/>
      <c r="I462" s="1487"/>
      <c r="J462" s="1488"/>
      <c r="K462" s="1489"/>
      <c r="L462" s="1490"/>
      <c r="M462" s="1487"/>
      <c r="N462" s="1488"/>
      <c r="O462" s="1489"/>
      <c r="P462" s="1490"/>
      <c r="X462" s="1445" t="e">
        <f ca="1"/>
        <v>#NAME?</v>
      </c>
      <c r="Y462" s="1446" t="e">
        <f ca="1"/>
        <v>#NAME?</v>
      </c>
      <c r="Z462" s="1408"/>
    </row>
    <row r="463" spans="1:26">
      <c r="A463" s="1487"/>
      <c r="B463" s="1488"/>
      <c r="C463" s="1489"/>
      <c r="D463" s="1490"/>
      <c r="E463" s="1487"/>
      <c r="F463" s="1488"/>
      <c r="G463" s="1489"/>
      <c r="H463" s="1490"/>
      <c r="I463" s="1487"/>
      <c r="J463" s="1488"/>
      <c r="K463" s="1489"/>
      <c r="L463" s="1490"/>
      <c r="M463" s="1487"/>
      <c r="N463" s="1488"/>
      <c r="O463" s="1489"/>
      <c r="P463" s="1490"/>
      <c r="X463" s="1445" t="e">
        <f ca="1"/>
        <v>#NAME?</v>
      </c>
      <c r="Y463" s="1446" t="e">
        <f ca="1"/>
        <v>#NAME?</v>
      </c>
      <c r="Z463" s="1408"/>
    </row>
    <row r="464" spans="1:26">
      <c r="A464" s="1487"/>
      <c r="B464" s="1488"/>
      <c r="C464" s="1489"/>
      <c r="D464" s="1490"/>
      <c r="E464" s="1487"/>
      <c r="F464" s="1488"/>
      <c r="G464" s="1489"/>
      <c r="H464" s="1490"/>
      <c r="I464" s="1487"/>
      <c r="J464" s="1488"/>
      <c r="K464" s="1489"/>
      <c r="L464" s="1490"/>
      <c r="M464" s="1487"/>
      <c r="N464" s="1488"/>
      <c r="O464" s="1489"/>
      <c r="P464" s="1490"/>
      <c r="X464" s="1445" t="e">
        <f ca="1"/>
        <v>#NAME?</v>
      </c>
      <c r="Y464" s="1446" t="e">
        <f ca="1"/>
        <v>#NAME?</v>
      </c>
      <c r="Z464" s="1408"/>
    </row>
    <row r="465" spans="1:26">
      <c r="A465" s="1487"/>
      <c r="B465" s="1488"/>
      <c r="C465" s="1489"/>
      <c r="D465" s="1490"/>
      <c r="E465" s="1487"/>
      <c r="F465" s="1488"/>
      <c r="G465" s="1489"/>
      <c r="H465" s="1490"/>
      <c r="I465" s="1487"/>
      <c r="J465" s="1488"/>
      <c r="K465" s="1489"/>
      <c r="L465" s="1490"/>
      <c r="M465" s="1487"/>
      <c r="N465" s="1488"/>
      <c r="O465" s="1489"/>
      <c r="P465" s="1490"/>
      <c r="X465" s="1445" t="e">
        <f ca="1"/>
        <v>#NAME?</v>
      </c>
      <c r="Y465" s="1446" t="e">
        <f ca="1"/>
        <v>#NAME?</v>
      </c>
      <c r="Z465" s="1408"/>
    </row>
    <row r="466" spans="1:26">
      <c r="A466" s="1487"/>
      <c r="B466" s="1488"/>
      <c r="C466" s="1489"/>
      <c r="D466" s="1490"/>
      <c r="E466" s="1487"/>
      <c r="F466" s="1488"/>
      <c r="G466" s="1489"/>
      <c r="H466" s="1490"/>
      <c r="I466" s="1487"/>
      <c r="J466" s="1488"/>
      <c r="K466" s="1489"/>
      <c r="L466" s="1490"/>
      <c r="M466" s="1487"/>
      <c r="N466" s="1488"/>
      <c r="O466" s="1489"/>
      <c r="P466" s="1490"/>
      <c r="X466" s="1445" t="e">
        <f ca="1"/>
        <v>#NAME?</v>
      </c>
      <c r="Y466" s="1446" t="e">
        <f ca="1"/>
        <v>#NAME?</v>
      </c>
      <c r="Z466" s="1408"/>
    </row>
    <row r="467" spans="1:26">
      <c r="A467" s="1487"/>
      <c r="B467" s="1488"/>
      <c r="C467" s="1489"/>
      <c r="D467" s="1490"/>
      <c r="E467" s="1487"/>
      <c r="F467" s="1488"/>
      <c r="G467" s="1489"/>
      <c r="H467" s="1490"/>
      <c r="I467" s="1487"/>
      <c r="J467" s="1488"/>
      <c r="K467" s="1489"/>
      <c r="L467" s="1490"/>
      <c r="M467" s="1487"/>
      <c r="N467" s="1488"/>
      <c r="O467" s="1489"/>
      <c r="P467" s="1490"/>
      <c r="X467" s="1445" t="e">
        <f ca="1"/>
        <v>#NAME?</v>
      </c>
      <c r="Y467" s="1446" t="e">
        <f ca="1"/>
        <v>#NAME?</v>
      </c>
      <c r="Z467" s="1408"/>
    </row>
    <row r="468" spans="1:26">
      <c r="A468" s="1487"/>
      <c r="B468" s="1488"/>
      <c r="C468" s="1489"/>
      <c r="D468" s="1490"/>
      <c r="E468" s="1487"/>
      <c r="F468" s="1488"/>
      <c r="G468" s="1489"/>
      <c r="H468" s="1490"/>
      <c r="I468" s="1487"/>
      <c r="J468" s="1488"/>
      <c r="K468" s="1489"/>
      <c r="L468" s="1490"/>
      <c r="M468" s="1487"/>
      <c r="N468" s="1488"/>
      <c r="O468" s="1489"/>
      <c r="P468" s="1490"/>
      <c r="X468" s="1445" t="e">
        <f ca="1"/>
        <v>#NAME?</v>
      </c>
      <c r="Y468" s="1446" t="e">
        <f ca="1"/>
        <v>#NAME?</v>
      </c>
      <c r="Z468" s="1408"/>
    </row>
    <row r="469" spans="1:26">
      <c r="A469" s="1487"/>
      <c r="B469" s="1488"/>
      <c r="C469" s="1489"/>
      <c r="D469" s="1490"/>
      <c r="E469" s="1487"/>
      <c r="F469" s="1488"/>
      <c r="G469" s="1489"/>
      <c r="H469" s="1490"/>
      <c r="I469" s="1487"/>
      <c r="J469" s="1488"/>
      <c r="K469" s="1489"/>
      <c r="L469" s="1490"/>
      <c r="M469" s="1487"/>
      <c r="N469" s="1488"/>
      <c r="O469" s="1489"/>
      <c r="P469" s="1490"/>
      <c r="X469" s="1445" t="e">
        <f ca="1"/>
        <v>#NAME?</v>
      </c>
      <c r="Y469" s="1446" t="e">
        <f ca="1"/>
        <v>#NAME?</v>
      </c>
      <c r="Z469" s="1408"/>
    </row>
    <row r="470" spans="1:26">
      <c r="A470" s="1487"/>
      <c r="B470" s="1488"/>
      <c r="C470" s="1489"/>
      <c r="D470" s="1490"/>
      <c r="E470" s="1487"/>
      <c r="F470" s="1488"/>
      <c r="G470" s="1489"/>
      <c r="H470" s="1490"/>
      <c r="I470" s="1487"/>
      <c r="J470" s="1488"/>
      <c r="K470" s="1489"/>
      <c r="L470" s="1490"/>
      <c r="M470" s="1487"/>
      <c r="N470" s="1488"/>
      <c r="O470" s="1489"/>
      <c r="P470" s="1490"/>
      <c r="X470" s="1445" t="e">
        <f ca="1"/>
        <v>#NAME?</v>
      </c>
      <c r="Y470" s="1446" t="e">
        <f ca="1"/>
        <v>#NAME?</v>
      </c>
      <c r="Z470" s="1408"/>
    </row>
    <row r="471" spans="1:26">
      <c r="A471" s="1487"/>
      <c r="B471" s="1488"/>
      <c r="C471" s="1489"/>
      <c r="D471" s="1490"/>
      <c r="E471" s="1487"/>
      <c r="F471" s="1488"/>
      <c r="G471" s="1489"/>
      <c r="H471" s="1490"/>
      <c r="I471" s="1487"/>
      <c r="J471" s="1488"/>
      <c r="K471" s="1489"/>
      <c r="L471" s="1490"/>
      <c r="M471" s="1487"/>
      <c r="N471" s="1488"/>
      <c r="O471" s="1489"/>
      <c r="P471" s="1490"/>
      <c r="X471" s="1445" t="e">
        <f ca="1"/>
        <v>#NAME?</v>
      </c>
      <c r="Y471" s="1446" t="e">
        <f ca="1"/>
        <v>#NAME?</v>
      </c>
      <c r="Z471" s="1408"/>
    </row>
    <row r="472" spans="1:26">
      <c r="A472" s="1487"/>
      <c r="B472" s="1488"/>
      <c r="C472" s="1489"/>
      <c r="D472" s="1490"/>
      <c r="E472" s="1487"/>
      <c r="F472" s="1488"/>
      <c r="G472" s="1489"/>
      <c r="H472" s="1490"/>
      <c r="I472" s="1487"/>
      <c r="J472" s="1488"/>
      <c r="K472" s="1489"/>
      <c r="L472" s="1490"/>
      <c r="M472" s="1487"/>
      <c r="N472" s="1488"/>
      <c r="O472" s="1489"/>
      <c r="P472" s="1490"/>
      <c r="X472" s="1445" t="e">
        <f ca="1"/>
        <v>#NAME?</v>
      </c>
      <c r="Y472" s="1446" t="e">
        <f ca="1"/>
        <v>#NAME?</v>
      </c>
      <c r="Z472" s="1408"/>
    </row>
    <row r="473" spans="1:26">
      <c r="A473" s="1487"/>
      <c r="B473" s="1488"/>
      <c r="C473" s="1489"/>
      <c r="D473" s="1490"/>
      <c r="E473" s="1487"/>
      <c r="F473" s="1488"/>
      <c r="G473" s="1489"/>
      <c r="H473" s="1490"/>
      <c r="I473" s="1487"/>
      <c r="J473" s="1488"/>
      <c r="K473" s="1489"/>
      <c r="L473" s="1490"/>
      <c r="M473" s="1487"/>
      <c r="N473" s="1488"/>
      <c r="O473" s="1489"/>
      <c r="P473" s="1490"/>
      <c r="X473" s="1445" t="e">
        <f ca="1"/>
        <v>#NAME?</v>
      </c>
      <c r="Y473" s="1446" t="e">
        <f ca="1"/>
        <v>#NAME?</v>
      </c>
      <c r="Z473" s="1408"/>
    </row>
    <row r="474" spans="1:26">
      <c r="A474" s="1487"/>
      <c r="B474" s="1488"/>
      <c r="C474" s="1489"/>
      <c r="D474" s="1490"/>
      <c r="E474" s="1487"/>
      <c r="F474" s="1488"/>
      <c r="G474" s="1489"/>
      <c r="H474" s="1490"/>
      <c r="I474" s="1487"/>
      <c r="J474" s="1488"/>
      <c r="K474" s="1489"/>
      <c r="L474" s="1490"/>
      <c r="M474" s="1487"/>
      <c r="N474" s="1488"/>
      <c r="O474" s="1489"/>
      <c r="P474" s="1490"/>
      <c r="X474" s="1445" t="e">
        <f ca="1"/>
        <v>#NAME?</v>
      </c>
      <c r="Y474" s="1446" t="e">
        <f ca="1"/>
        <v>#NAME?</v>
      </c>
      <c r="Z474" s="1408"/>
    </row>
    <row r="475" spans="1:26">
      <c r="A475" s="1487"/>
      <c r="B475" s="1488"/>
      <c r="C475" s="1489"/>
      <c r="D475" s="1490"/>
      <c r="E475" s="1487"/>
      <c r="F475" s="1488"/>
      <c r="G475" s="1489"/>
      <c r="H475" s="1490"/>
      <c r="I475" s="1487"/>
      <c r="J475" s="1488"/>
      <c r="K475" s="1489"/>
      <c r="L475" s="1490"/>
      <c r="M475" s="1487"/>
      <c r="N475" s="1488"/>
      <c r="O475" s="1489"/>
      <c r="P475" s="1490"/>
      <c r="X475" s="1445" t="e">
        <f ca="1"/>
        <v>#NAME?</v>
      </c>
      <c r="Y475" s="1446" t="e">
        <f ca="1"/>
        <v>#NAME?</v>
      </c>
      <c r="Z475" s="1408"/>
    </row>
    <row r="476" spans="1:26">
      <c r="A476" s="1487"/>
      <c r="B476" s="1488"/>
      <c r="C476" s="1489"/>
      <c r="D476" s="1490"/>
      <c r="E476" s="1487"/>
      <c r="F476" s="1488"/>
      <c r="G476" s="1489"/>
      <c r="H476" s="1490"/>
      <c r="I476" s="1487"/>
      <c r="J476" s="1488"/>
      <c r="K476" s="1489"/>
      <c r="L476" s="1490"/>
      <c r="M476" s="1487"/>
      <c r="N476" s="1488"/>
      <c r="O476" s="1489"/>
      <c r="P476" s="1490"/>
      <c r="X476" s="1445" t="e">
        <f ca="1"/>
        <v>#NAME?</v>
      </c>
      <c r="Y476" s="1446" t="e">
        <f ca="1"/>
        <v>#NAME?</v>
      </c>
      <c r="Z476" s="1408"/>
    </row>
    <row r="477" spans="1:26">
      <c r="A477" s="1487"/>
      <c r="B477" s="1488"/>
      <c r="C477" s="1489"/>
      <c r="D477" s="1490"/>
      <c r="E477" s="1487"/>
      <c r="F477" s="1488"/>
      <c r="G477" s="1489"/>
      <c r="H477" s="1490"/>
      <c r="I477" s="1487"/>
      <c r="J477" s="1488"/>
      <c r="K477" s="1489"/>
      <c r="L477" s="1490"/>
      <c r="M477" s="1487"/>
      <c r="N477" s="1488"/>
      <c r="O477" s="1489"/>
      <c r="P477" s="1490"/>
      <c r="X477" s="1445" t="e">
        <f ca="1"/>
        <v>#NAME?</v>
      </c>
      <c r="Y477" s="1446" t="e">
        <f ca="1"/>
        <v>#NAME?</v>
      </c>
      <c r="Z477" s="1408"/>
    </row>
    <row r="478" spans="1:26">
      <c r="A478" s="1487"/>
      <c r="B478" s="1488"/>
      <c r="C478" s="1489"/>
      <c r="D478" s="1490"/>
      <c r="E478" s="1487"/>
      <c r="F478" s="1488"/>
      <c r="G478" s="1489"/>
      <c r="H478" s="1490"/>
      <c r="I478" s="1487"/>
      <c r="J478" s="1488"/>
      <c r="K478" s="1489"/>
      <c r="L478" s="1490"/>
      <c r="M478" s="1487"/>
      <c r="N478" s="1488"/>
      <c r="O478" s="1489"/>
      <c r="P478" s="1490"/>
      <c r="X478" s="1445" t="e">
        <f ca="1"/>
        <v>#NAME?</v>
      </c>
      <c r="Y478" s="1446" t="e">
        <f ca="1"/>
        <v>#NAME?</v>
      </c>
      <c r="Z478" s="1408"/>
    </row>
    <row r="479" spans="1:26">
      <c r="A479" s="1487"/>
      <c r="B479" s="1488"/>
      <c r="C479" s="1489"/>
      <c r="D479" s="1490"/>
      <c r="E479" s="1487"/>
      <c r="F479" s="1488"/>
      <c r="G479" s="1489"/>
      <c r="H479" s="1490"/>
      <c r="I479" s="1487"/>
      <c r="J479" s="1488"/>
      <c r="K479" s="1489"/>
      <c r="L479" s="1490"/>
      <c r="M479" s="1487"/>
      <c r="N479" s="1488"/>
      <c r="O479" s="1489"/>
      <c r="P479" s="1490"/>
      <c r="X479" s="1445" t="e">
        <f ca="1"/>
        <v>#NAME?</v>
      </c>
      <c r="Y479" s="1446" t="e">
        <f ca="1"/>
        <v>#NAME?</v>
      </c>
      <c r="Z479" s="1408"/>
    </row>
    <row r="480" spans="1:26">
      <c r="A480" s="1487"/>
      <c r="B480" s="1488"/>
      <c r="C480" s="1489"/>
      <c r="D480" s="1490"/>
      <c r="E480" s="1487"/>
      <c r="F480" s="1488"/>
      <c r="G480" s="1489"/>
      <c r="H480" s="1490"/>
      <c r="I480" s="1487"/>
      <c r="J480" s="1488"/>
      <c r="K480" s="1489"/>
      <c r="L480" s="1490"/>
      <c r="M480" s="1487"/>
      <c r="N480" s="1488"/>
      <c r="O480" s="1489"/>
      <c r="P480" s="1490"/>
      <c r="X480" s="1445" t="e">
        <f ca="1"/>
        <v>#NAME?</v>
      </c>
      <c r="Y480" s="1446" t="e">
        <f ca="1"/>
        <v>#NAME?</v>
      </c>
      <c r="Z480" s="1408"/>
    </row>
    <row r="481" spans="1:26">
      <c r="A481" s="1487"/>
      <c r="B481" s="1488"/>
      <c r="C481" s="1489"/>
      <c r="D481" s="1490"/>
      <c r="E481" s="1487"/>
      <c r="F481" s="1488"/>
      <c r="G481" s="1489"/>
      <c r="H481" s="1490"/>
      <c r="I481" s="1487"/>
      <c r="J481" s="1488"/>
      <c r="K481" s="1489"/>
      <c r="L481" s="1490"/>
      <c r="M481" s="1487"/>
      <c r="N481" s="1488"/>
      <c r="O481" s="1489"/>
      <c r="P481" s="1490"/>
      <c r="X481" s="1445" t="e">
        <f ca="1"/>
        <v>#NAME?</v>
      </c>
      <c r="Y481" s="1446" t="e">
        <f ca="1"/>
        <v>#NAME?</v>
      </c>
      <c r="Z481" s="1408"/>
    </row>
    <row r="482" spans="1:26">
      <c r="A482" s="1487"/>
      <c r="B482" s="1488"/>
      <c r="C482" s="1489"/>
      <c r="D482" s="1490"/>
      <c r="E482" s="1487"/>
      <c r="F482" s="1488"/>
      <c r="G482" s="1489"/>
      <c r="H482" s="1490"/>
      <c r="I482" s="1487"/>
      <c r="J482" s="1488"/>
      <c r="K482" s="1489"/>
      <c r="L482" s="1490"/>
      <c r="M482" s="1487"/>
      <c r="N482" s="1488"/>
      <c r="O482" s="1489"/>
      <c r="P482" s="1490"/>
      <c r="X482" s="1445" t="e">
        <f ca="1"/>
        <v>#NAME?</v>
      </c>
      <c r="Y482" s="1446" t="e">
        <f ca="1"/>
        <v>#NAME?</v>
      </c>
      <c r="Z482" s="1408"/>
    </row>
    <row r="483" spans="1:26">
      <c r="A483" s="1487"/>
      <c r="B483" s="1488"/>
      <c r="C483" s="1489"/>
      <c r="D483" s="1490"/>
      <c r="E483" s="1487"/>
      <c r="F483" s="1488"/>
      <c r="G483" s="1489"/>
      <c r="H483" s="1490"/>
      <c r="I483" s="1487"/>
      <c r="J483" s="1488"/>
      <c r="K483" s="1489"/>
      <c r="L483" s="1490"/>
      <c r="M483" s="1487"/>
      <c r="N483" s="1488"/>
      <c r="O483" s="1489"/>
      <c r="P483" s="1490"/>
      <c r="X483" s="1445" t="e">
        <f ca="1"/>
        <v>#NAME?</v>
      </c>
      <c r="Y483" s="1446" t="e">
        <f ca="1"/>
        <v>#NAME?</v>
      </c>
      <c r="Z483" s="1408"/>
    </row>
    <row r="484" spans="1:26">
      <c r="A484" s="1487"/>
      <c r="B484" s="1488"/>
      <c r="C484" s="1489"/>
      <c r="D484" s="1490"/>
      <c r="E484" s="1487"/>
      <c r="F484" s="1488"/>
      <c r="G484" s="1489"/>
      <c r="H484" s="1490"/>
      <c r="I484" s="1487"/>
      <c r="J484" s="1488"/>
      <c r="K484" s="1489"/>
      <c r="L484" s="1490"/>
      <c r="M484" s="1487"/>
      <c r="N484" s="1488"/>
      <c r="O484" s="1489"/>
      <c r="P484" s="1490"/>
      <c r="X484" s="1445" t="e">
        <f ca="1"/>
        <v>#NAME?</v>
      </c>
      <c r="Y484" s="1446" t="e">
        <f ca="1"/>
        <v>#NAME?</v>
      </c>
      <c r="Z484" s="1408"/>
    </row>
    <row r="485" spans="1:26">
      <c r="A485" s="1487"/>
      <c r="B485" s="1488"/>
      <c r="C485" s="1489"/>
      <c r="D485" s="1490"/>
      <c r="E485" s="1487"/>
      <c r="F485" s="1488"/>
      <c r="G485" s="1489"/>
      <c r="H485" s="1490"/>
      <c r="I485" s="1487"/>
      <c r="J485" s="1488"/>
      <c r="K485" s="1489"/>
      <c r="L485" s="1490"/>
      <c r="M485" s="1487"/>
      <c r="N485" s="1488"/>
      <c r="O485" s="1489"/>
      <c r="P485" s="1490"/>
      <c r="X485" s="1445" t="e">
        <f ca="1"/>
        <v>#NAME?</v>
      </c>
      <c r="Y485" s="1446" t="e">
        <f ca="1"/>
        <v>#NAME?</v>
      </c>
      <c r="Z485" s="1408"/>
    </row>
    <row r="486" spans="1:26">
      <c r="A486" s="1487"/>
      <c r="B486" s="1488"/>
      <c r="C486" s="1489"/>
      <c r="D486" s="1490"/>
      <c r="E486" s="1487"/>
      <c r="F486" s="1488"/>
      <c r="G486" s="1489"/>
      <c r="H486" s="1490"/>
      <c r="I486" s="1487"/>
      <c r="J486" s="1488"/>
      <c r="K486" s="1489"/>
      <c r="L486" s="1490"/>
      <c r="M486" s="1487"/>
      <c r="N486" s="1488"/>
      <c r="O486" s="1489"/>
      <c r="P486" s="1490"/>
      <c r="X486" s="1445" t="e">
        <f ca="1"/>
        <v>#NAME?</v>
      </c>
      <c r="Y486" s="1446" t="e">
        <f ca="1"/>
        <v>#NAME?</v>
      </c>
      <c r="Z486" s="1408"/>
    </row>
    <row r="487" spans="1:26">
      <c r="A487" s="1487"/>
      <c r="B487" s="1488"/>
      <c r="C487" s="1489"/>
      <c r="D487" s="1490"/>
      <c r="E487" s="1487"/>
      <c r="F487" s="1488"/>
      <c r="G487" s="1489"/>
      <c r="H487" s="1490"/>
      <c r="I487" s="1487"/>
      <c r="J487" s="1488"/>
      <c r="K487" s="1489"/>
      <c r="L487" s="1490"/>
      <c r="M487" s="1487"/>
      <c r="N487" s="1488"/>
      <c r="O487" s="1489"/>
      <c r="P487" s="1490"/>
      <c r="X487" s="1445" t="e">
        <f ca="1"/>
        <v>#NAME?</v>
      </c>
      <c r="Y487" s="1446" t="e">
        <f ca="1"/>
        <v>#NAME?</v>
      </c>
      <c r="Z487" s="1408"/>
    </row>
    <row r="488" spans="1:26">
      <c r="A488" s="1487"/>
      <c r="B488" s="1488"/>
      <c r="C488" s="1489"/>
      <c r="D488" s="1490"/>
      <c r="E488" s="1487"/>
      <c r="F488" s="1488"/>
      <c r="G488" s="1489"/>
      <c r="H488" s="1490"/>
      <c r="I488" s="1487"/>
      <c r="J488" s="1488"/>
      <c r="K488" s="1489"/>
      <c r="L488" s="1490"/>
      <c r="M488" s="1487"/>
      <c r="N488" s="1488"/>
      <c r="O488" s="1489"/>
      <c r="P488" s="1490"/>
      <c r="X488" s="1445" t="e">
        <f ca="1"/>
        <v>#NAME?</v>
      </c>
      <c r="Y488" s="1446" t="e">
        <f ca="1"/>
        <v>#NAME?</v>
      </c>
      <c r="Z488" s="1408"/>
    </row>
    <row r="489" spans="1:26">
      <c r="A489" s="1487"/>
      <c r="B489" s="1488"/>
      <c r="C489" s="1489"/>
      <c r="D489" s="1490"/>
      <c r="E489" s="1487"/>
      <c r="F489" s="1488"/>
      <c r="G489" s="1489"/>
      <c r="H489" s="1490"/>
      <c r="I489" s="1487"/>
      <c r="J489" s="1488"/>
      <c r="K489" s="1489"/>
      <c r="L489" s="1490"/>
      <c r="M489" s="1487"/>
      <c r="N489" s="1488"/>
      <c r="O489" s="1489"/>
      <c r="P489" s="1490"/>
      <c r="X489" s="1445" t="e">
        <f ca="1"/>
        <v>#NAME?</v>
      </c>
      <c r="Y489" s="1446" t="e">
        <f ca="1"/>
        <v>#NAME?</v>
      </c>
      <c r="Z489" s="1408"/>
    </row>
    <row r="490" spans="1:26">
      <c r="A490" s="1487"/>
      <c r="B490" s="1488"/>
      <c r="C490" s="1489"/>
      <c r="D490" s="1490"/>
      <c r="E490" s="1487"/>
      <c r="F490" s="1488"/>
      <c r="G490" s="1489"/>
      <c r="H490" s="1490"/>
      <c r="I490" s="1487"/>
      <c r="J490" s="1488"/>
      <c r="K490" s="1489"/>
      <c r="L490" s="1490"/>
      <c r="M490" s="1487"/>
      <c r="N490" s="1488"/>
      <c r="O490" s="1489"/>
      <c r="P490" s="1490"/>
      <c r="X490" s="1445" t="e">
        <f ca="1"/>
        <v>#NAME?</v>
      </c>
      <c r="Y490" s="1446" t="e">
        <f ca="1"/>
        <v>#NAME?</v>
      </c>
      <c r="Z490" s="1408"/>
    </row>
    <row r="491" spans="1:26">
      <c r="A491" s="1487"/>
      <c r="B491" s="1488"/>
      <c r="C491" s="1489"/>
      <c r="D491" s="1490"/>
      <c r="E491" s="1487"/>
      <c r="F491" s="1488"/>
      <c r="G491" s="1489"/>
      <c r="H491" s="1490"/>
      <c r="I491" s="1487"/>
      <c r="J491" s="1488"/>
      <c r="K491" s="1489"/>
      <c r="L491" s="1490"/>
      <c r="M491" s="1487"/>
      <c r="N491" s="1488"/>
      <c r="O491" s="1489"/>
      <c r="P491" s="1490"/>
      <c r="X491" s="1445" t="e">
        <f ca="1"/>
        <v>#NAME?</v>
      </c>
      <c r="Y491" s="1446" t="e">
        <f ca="1"/>
        <v>#NAME?</v>
      </c>
      <c r="Z491" s="1408"/>
    </row>
    <row r="492" spans="1:26">
      <c r="A492" s="1487"/>
      <c r="B492" s="1488"/>
      <c r="C492" s="1489"/>
      <c r="D492" s="1490"/>
      <c r="E492" s="1487"/>
      <c r="F492" s="1488"/>
      <c r="G492" s="1489"/>
      <c r="H492" s="1490"/>
      <c r="I492" s="1487"/>
      <c r="J492" s="1488"/>
      <c r="K492" s="1489"/>
      <c r="L492" s="1490"/>
      <c r="M492" s="1487"/>
      <c r="N492" s="1488"/>
      <c r="O492" s="1489"/>
      <c r="P492" s="1490"/>
      <c r="X492" s="1445" t="e">
        <f ca="1"/>
        <v>#NAME?</v>
      </c>
      <c r="Y492" s="1446" t="e">
        <f ca="1"/>
        <v>#NAME?</v>
      </c>
      <c r="Z492" s="1408"/>
    </row>
    <row r="493" spans="1:26">
      <c r="A493" s="1487"/>
      <c r="B493" s="1488"/>
      <c r="C493" s="1489"/>
      <c r="D493" s="1490"/>
      <c r="E493" s="1487"/>
      <c r="F493" s="1488"/>
      <c r="G493" s="1489"/>
      <c r="H493" s="1490"/>
      <c r="I493" s="1487"/>
      <c r="J493" s="1488"/>
      <c r="K493" s="1489"/>
      <c r="L493" s="1490"/>
      <c r="M493" s="1487"/>
      <c r="N493" s="1488"/>
      <c r="O493" s="1489"/>
      <c r="P493" s="1490"/>
      <c r="X493" s="1445" t="e">
        <f ca="1"/>
        <v>#NAME?</v>
      </c>
      <c r="Y493" s="1446" t="e">
        <f ca="1"/>
        <v>#NAME?</v>
      </c>
      <c r="Z493" s="1408"/>
    </row>
    <row r="494" spans="1:26">
      <c r="A494" s="1487"/>
      <c r="B494" s="1488"/>
      <c r="C494" s="1489"/>
      <c r="D494" s="1490"/>
      <c r="E494" s="1487"/>
      <c r="F494" s="1488"/>
      <c r="G494" s="1489"/>
      <c r="H494" s="1490"/>
      <c r="I494" s="1487"/>
      <c r="J494" s="1488"/>
      <c r="K494" s="1489"/>
      <c r="L494" s="1490"/>
      <c r="M494" s="1487"/>
      <c r="N494" s="1488"/>
      <c r="O494" s="1489"/>
      <c r="P494" s="1490"/>
      <c r="X494" s="1445" t="e">
        <f ca="1"/>
        <v>#NAME?</v>
      </c>
      <c r="Y494" s="1446" t="e">
        <f ca="1"/>
        <v>#NAME?</v>
      </c>
      <c r="Z494" s="1408"/>
    </row>
    <row r="495" spans="1:26">
      <c r="A495" s="1487"/>
      <c r="B495" s="1488"/>
      <c r="C495" s="1489"/>
      <c r="D495" s="1490"/>
      <c r="E495" s="1487"/>
      <c r="F495" s="1488"/>
      <c r="G495" s="1489"/>
      <c r="H495" s="1490"/>
      <c r="I495" s="1487"/>
      <c r="J495" s="1488"/>
      <c r="K495" s="1489"/>
      <c r="L495" s="1490"/>
      <c r="M495" s="1487"/>
      <c r="N495" s="1488"/>
      <c r="O495" s="1489"/>
      <c r="P495" s="1490"/>
      <c r="X495" s="1445" t="e">
        <f ca="1"/>
        <v>#NAME?</v>
      </c>
      <c r="Y495" s="1446" t="e">
        <f ca="1"/>
        <v>#NAME?</v>
      </c>
      <c r="Z495" s="1408"/>
    </row>
    <row r="496" spans="1:26">
      <c r="A496" s="1487"/>
      <c r="B496" s="1488"/>
      <c r="C496" s="1489"/>
      <c r="D496" s="1490"/>
      <c r="E496" s="1487"/>
      <c r="F496" s="1488"/>
      <c r="G496" s="1489"/>
      <c r="H496" s="1490"/>
      <c r="I496" s="1487"/>
      <c r="J496" s="1488"/>
      <c r="K496" s="1489"/>
      <c r="L496" s="1490"/>
      <c r="M496" s="1487"/>
      <c r="N496" s="1488"/>
      <c r="O496" s="1489"/>
      <c r="P496" s="1490"/>
      <c r="X496" s="1445" t="e">
        <f ca="1"/>
        <v>#NAME?</v>
      </c>
      <c r="Y496" s="1446" t="e">
        <f ca="1"/>
        <v>#NAME?</v>
      </c>
      <c r="Z496" s="1408"/>
    </row>
    <row r="497" spans="1:26">
      <c r="A497" s="1487"/>
      <c r="B497" s="1488"/>
      <c r="C497" s="1489"/>
      <c r="D497" s="1490"/>
      <c r="E497" s="1487"/>
      <c r="F497" s="1488"/>
      <c r="G497" s="1489"/>
      <c r="H497" s="1490"/>
      <c r="I497" s="1487"/>
      <c r="J497" s="1488"/>
      <c r="K497" s="1489"/>
      <c r="L497" s="1490"/>
      <c r="M497" s="1487"/>
      <c r="N497" s="1488"/>
      <c r="O497" s="1489"/>
      <c r="P497" s="1490"/>
      <c r="X497" s="1445" t="e">
        <f ca="1"/>
        <v>#NAME?</v>
      </c>
      <c r="Y497" s="1446" t="e">
        <f ca="1"/>
        <v>#NAME?</v>
      </c>
      <c r="Z497" s="1408"/>
    </row>
    <row r="498" spans="1:26">
      <c r="A498" s="1487"/>
      <c r="B498" s="1488"/>
      <c r="C498" s="1489"/>
      <c r="D498" s="1490"/>
      <c r="E498" s="1487"/>
      <c r="F498" s="1488"/>
      <c r="G498" s="1489"/>
      <c r="H498" s="1490"/>
      <c r="I498" s="1487"/>
      <c r="J498" s="1488"/>
      <c r="K498" s="1489"/>
      <c r="L498" s="1490"/>
      <c r="M498" s="1487"/>
      <c r="N498" s="1488"/>
      <c r="O498" s="1489"/>
      <c r="P498" s="1490"/>
      <c r="X498" s="1445" t="e">
        <f ca="1"/>
        <v>#NAME?</v>
      </c>
      <c r="Y498" s="1446" t="e">
        <f ca="1"/>
        <v>#NAME?</v>
      </c>
      <c r="Z498" s="1408"/>
    </row>
    <row r="499" spans="1:26">
      <c r="A499" s="1487"/>
      <c r="B499" s="1488"/>
      <c r="C499" s="1489"/>
      <c r="D499" s="1490"/>
      <c r="E499" s="1487"/>
      <c r="F499" s="1488"/>
      <c r="G499" s="1489"/>
      <c r="H499" s="1490"/>
      <c r="I499" s="1487"/>
      <c r="J499" s="1488"/>
      <c r="K499" s="1489"/>
      <c r="L499" s="1490"/>
      <c r="M499" s="1487"/>
      <c r="N499" s="1488"/>
      <c r="O499" s="1489"/>
      <c r="P499" s="1490"/>
      <c r="X499" s="1445" t="e">
        <f ca="1"/>
        <v>#NAME?</v>
      </c>
      <c r="Y499" s="1446" t="e">
        <f ca="1"/>
        <v>#NAME?</v>
      </c>
      <c r="Z499" s="1408"/>
    </row>
    <row r="500" spans="1:26">
      <c r="A500" s="1487"/>
      <c r="B500" s="1488"/>
      <c r="C500" s="1489"/>
      <c r="D500" s="1490"/>
      <c r="E500" s="1487"/>
      <c r="F500" s="1488"/>
      <c r="G500" s="1489"/>
      <c r="H500" s="1490"/>
      <c r="I500" s="1487"/>
      <c r="J500" s="1488"/>
      <c r="K500" s="1489"/>
      <c r="L500" s="1490"/>
      <c r="M500" s="1487"/>
      <c r="N500" s="1488"/>
      <c r="O500" s="1489"/>
      <c r="P500" s="1490"/>
      <c r="X500" s="1445" t="e">
        <f ca="1"/>
        <v>#NAME?</v>
      </c>
      <c r="Y500" s="1446" t="e">
        <f ca="1"/>
        <v>#NAME?</v>
      </c>
      <c r="Z500" s="1408"/>
    </row>
    <row r="501" spans="1:26">
      <c r="A501" s="1487"/>
      <c r="B501" s="1488"/>
      <c r="C501" s="1489"/>
      <c r="D501" s="1490"/>
      <c r="E501" s="1487"/>
      <c r="F501" s="1488"/>
      <c r="G501" s="1489"/>
      <c r="H501" s="1490"/>
      <c r="I501" s="1487"/>
      <c r="J501" s="1488"/>
      <c r="K501" s="1489"/>
      <c r="L501" s="1490"/>
      <c r="M501" s="1487"/>
      <c r="N501" s="1488"/>
      <c r="O501" s="1489"/>
      <c r="P501" s="1490"/>
      <c r="X501" s="1445" t="e">
        <f ca="1"/>
        <v>#NAME?</v>
      </c>
      <c r="Y501" s="1446" t="e">
        <f ca="1"/>
        <v>#NAME?</v>
      </c>
      <c r="Z501" s="1408"/>
    </row>
    <row r="502" spans="1:26">
      <c r="A502" s="1487"/>
      <c r="B502" s="1488"/>
      <c r="C502" s="1489"/>
      <c r="D502" s="1490"/>
      <c r="E502" s="1487"/>
      <c r="F502" s="1488"/>
      <c r="G502" s="1489"/>
      <c r="H502" s="1490"/>
      <c r="I502" s="1487"/>
      <c r="J502" s="1488"/>
      <c r="K502" s="1489"/>
      <c r="L502" s="1490"/>
      <c r="M502" s="1487"/>
      <c r="N502" s="1488"/>
      <c r="O502" s="1489"/>
      <c r="P502" s="1490"/>
      <c r="X502" s="1445" t="e">
        <f ca="1"/>
        <v>#NAME?</v>
      </c>
      <c r="Y502" s="1446" t="e">
        <f ca="1"/>
        <v>#NAME?</v>
      </c>
      <c r="Z502" s="1408"/>
    </row>
    <row r="503" spans="1:26">
      <c r="A503" s="1487"/>
      <c r="B503" s="1488"/>
      <c r="C503" s="1489"/>
      <c r="D503" s="1490"/>
      <c r="E503" s="1487"/>
      <c r="F503" s="1488"/>
      <c r="G503" s="1489"/>
      <c r="H503" s="1490"/>
      <c r="I503" s="1487"/>
      <c r="J503" s="1488"/>
      <c r="K503" s="1489"/>
      <c r="L503" s="1490"/>
      <c r="M503" s="1487"/>
      <c r="N503" s="1488"/>
      <c r="O503" s="1489"/>
      <c r="P503" s="1490"/>
      <c r="X503" s="1445" t="e">
        <f ca="1"/>
        <v>#NAME?</v>
      </c>
      <c r="Y503" s="1446" t="e">
        <f ca="1"/>
        <v>#NAME?</v>
      </c>
      <c r="Z503" s="1408"/>
    </row>
    <row r="504" spans="1:26">
      <c r="A504" s="1487"/>
      <c r="B504" s="1488"/>
      <c r="C504" s="1489"/>
      <c r="D504" s="1490"/>
      <c r="E504" s="1487"/>
      <c r="F504" s="1488"/>
      <c r="G504" s="1489"/>
      <c r="H504" s="1490"/>
      <c r="I504" s="1487"/>
      <c r="J504" s="1488"/>
      <c r="K504" s="1489"/>
      <c r="L504" s="1490"/>
      <c r="M504" s="1487"/>
      <c r="N504" s="1488"/>
      <c r="O504" s="1489"/>
      <c r="P504" s="1490"/>
      <c r="X504" s="1445" t="e">
        <f ca="1"/>
        <v>#NAME?</v>
      </c>
      <c r="Y504" s="1446" t="e">
        <f ca="1"/>
        <v>#NAME?</v>
      </c>
      <c r="Z504" s="1408"/>
    </row>
    <row r="505" spans="1:26">
      <c r="A505" s="1487"/>
      <c r="B505" s="1488"/>
      <c r="C505" s="1489"/>
      <c r="D505" s="1490"/>
      <c r="E505" s="1487"/>
      <c r="F505" s="1488"/>
      <c r="G505" s="1489"/>
      <c r="H505" s="1490"/>
      <c r="I505" s="1487"/>
      <c r="J505" s="1488"/>
      <c r="K505" s="1489"/>
      <c r="L505" s="1490"/>
      <c r="M505" s="1487"/>
      <c r="N505" s="1488"/>
      <c r="O505" s="1489"/>
      <c r="P505" s="1490"/>
      <c r="X505" s="1445" t="e">
        <f ca="1"/>
        <v>#NAME?</v>
      </c>
      <c r="Y505" s="1446" t="e">
        <f ca="1"/>
        <v>#NAME?</v>
      </c>
      <c r="Z505" s="1408"/>
    </row>
    <row r="506" spans="1:26">
      <c r="A506" s="1487"/>
      <c r="B506" s="1488"/>
      <c r="C506" s="1489"/>
      <c r="D506" s="1490"/>
      <c r="E506" s="1487"/>
      <c r="F506" s="1488"/>
      <c r="G506" s="1489"/>
      <c r="H506" s="1490"/>
      <c r="I506" s="1487"/>
      <c r="J506" s="1488"/>
      <c r="K506" s="1489"/>
      <c r="L506" s="1490"/>
      <c r="M506" s="1487"/>
      <c r="N506" s="1488"/>
      <c r="O506" s="1489"/>
      <c r="P506" s="1490"/>
      <c r="X506" s="1445" t="e">
        <f ca="1"/>
        <v>#NAME?</v>
      </c>
      <c r="Y506" s="1446" t="e">
        <f ca="1"/>
        <v>#NAME?</v>
      </c>
      <c r="Z506" s="1408"/>
    </row>
    <row r="507" spans="1:26">
      <c r="A507" s="1487"/>
      <c r="B507" s="1488"/>
      <c r="C507" s="1489"/>
      <c r="D507" s="1490"/>
      <c r="E507" s="1487"/>
      <c r="F507" s="1488"/>
      <c r="G507" s="1489"/>
      <c r="H507" s="1490"/>
      <c r="I507" s="1487"/>
      <c r="J507" s="1488"/>
      <c r="K507" s="1489"/>
      <c r="L507" s="1490"/>
      <c r="M507" s="1487"/>
      <c r="N507" s="1488"/>
      <c r="O507" s="1489"/>
      <c r="P507" s="1490"/>
      <c r="X507" s="1445" t="e">
        <f ca="1"/>
        <v>#NAME?</v>
      </c>
      <c r="Y507" s="1446" t="e">
        <f ca="1"/>
        <v>#NAME?</v>
      </c>
      <c r="Z507" s="1408"/>
    </row>
    <row r="508" spans="1:26">
      <c r="A508" s="1487"/>
      <c r="B508" s="1488"/>
      <c r="C508" s="1489"/>
      <c r="D508" s="1490"/>
      <c r="E508" s="1487"/>
      <c r="F508" s="1488"/>
      <c r="G508" s="1489"/>
      <c r="H508" s="1490"/>
      <c r="I508" s="1487"/>
      <c r="J508" s="1488"/>
      <c r="K508" s="1489"/>
      <c r="L508" s="1490"/>
      <c r="M508" s="1487"/>
      <c r="N508" s="1488"/>
      <c r="O508" s="1489"/>
      <c r="P508" s="1490"/>
      <c r="X508" s="1445" t="e">
        <f ca="1"/>
        <v>#NAME?</v>
      </c>
      <c r="Y508" s="1446" t="e">
        <f ca="1"/>
        <v>#NAME?</v>
      </c>
      <c r="Z508" s="1408"/>
    </row>
    <row r="509" spans="1:26">
      <c r="A509" s="1487"/>
      <c r="B509" s="1488"/>
      <c r="C509" s="1489"/>
      <c r="D509" s="1490"/>
      <c r="E509" s="1487"/>
      <c r="F509" s="1488"/>
      <c r="G509" s="1489"/>
      <c r="H509" s="1490"/>
      <c r="I509" s="1487"/>
      <c r="J509" s="1488"/>
      <c r="K509" s="1489"/>
      <c r="L509" s="1490"/>
      <c r="M509" s="1487"/>
      <c r="N509" s="1488"/>
      <c r="O509" s="1489"/>
      <c r="P509" s="1490"/>
      <c r="X509" s="1445" t="e">
        <f ca="1"/>
        <v>#NAME?</v>
      </c>
      <c r="Y509" s="1446" t="e">
        <f ca="1"/>
        <v>#NAME?</v>
      </c>
      <c r="Z509" s="1408"/>
    </row>
    <row r="510" spans="1:26">
      <c r="A510" s="1487"/>
      <c r="B510" s="1488"/>
      <c r="C510" s="1489"/>
      <c r="D510" s="1490"/>
      <c r="E510" s="1487"/>
      <c r="F510" s="1488"/>
      <c r="G510" s="1489"/>
      <c r="H510" s="1490"/>
      <c r="I510" s="1487"/>
      <c r="J510" s="1488"/>
      <c r="K510" s="1489"/>
      <c r="L510" s="1490"/>
      <c r="M510" s="1487"/>
      <c r="N510" s="1488"/>
      <c r="O510" s="1489"/>
      <c r="P510" s="1490"/>
      <c r="X510" s="1445" t="e">
        <f ca="1"/>
        <v>#NAME?</v>
      </c>
      <c r="Y510" s="1446" t="e">
        <f ca="1"/>
        <v>#NAME?</v>
      </c>
      <c r="Z510" s="1408"/>
    </row>
    <row r="511" spans="1:26">
      <c r="A511" s="1487"/>
      <c r="B511" s="1488"/>
      <c r="C511" s="1489"/>
      <c r="D511" s="1490"/>
      <c r="E511" s="1487"/>
      <c r="F511" s="1488"/>
      <c r="G511" s="1489"/>
      <c r="H511" s="1490"/>
      <c r="I511" s="1487"/>
      <c r="J511" s="1488"/>
      <c r="K511" s="1489"/>
      <c r="L511" s="1490"/>
      <c r="M511" s="1487"/>
      <c r="N511" s="1488"/>
      <c r="O511" s="1489"/>
      <c r="P511" s="1490"/>
      <c r="X511" s="1445" t="e">
        <f ca="1"/>
        <v>#NAME?</v>
      </c>
      <c r="Y511" s="1446" t="e">
        <f ca="1"/>
        <v>#NAME?</v>
      </c>
      <c r="Z511" s="1408"/>
    </row>
    <row r="512" spans="1:26">
      <c r="A512" s="1487"/>
      <c r="B512" s="1488"/>
      <c r="C512" s="1489"/>
      <c r="D512" s="1490"/>
      <c r="E512" s="1487"/>
      <c r="F512" s="1488"/>
      <c r="G512" s="1489"/>
      <c r="H512" s="1490"/>
      <c r="I512" s="1487"/>
      <c r="J512" s="1488"/>
      <c r="K512" s="1489"/>
      <c r="L512" s="1490"/>
      <c r="M512" s="1487"/>
      <c r="N512" s="1488"/>
      <c r="O512" s="1489"/>
      <c r="P512" s="1490"/>
      <c r="X512" s="1445" t="e">
        <f ca="1"/>
        <v>#NAME?</v>
      </c>
      <c r="Y512" s="1446" t="e">
        <f ca="1"/>
        <v>#NAME?</v>
      </c>
      <c r="Z512" s="1408"/>
    </row>
    <row r="513" spans="1:26">
      <c r="A513" s="1487"/>
      <c r="B513" s="1488"/>
      <c r="C513" s="1489"/>
      <c r="D513" s="1490"/>
      <c r="E513" s="1487"/>
      <c r="F513" s="1488"/>
      <c r="G513" s="1489"/>
      <c r="H513" s="1490"/>
      <c r="I513" s="1487"/>
      <c r="J513" s="1488"/>
      <c r="K513" s="1489"/>
      <c r="L513" s="1490"/>
      <c r="M513" s="1487"/>
      <c r="N513" s="1488"/>
      <c r="O513" s="1489"/>
      <c r="P513" s="1490"/>
      <c r="X513" s="1445" t="e">
        <f ca="1"/>
        <v>#NAME?</v>
      </c>
      <c r="Y513" s="1446" t="e">
        <f ca="1"/>
        <v>#NAME?</v>
      </c>
      <c r="Z513" s="1408"/>
    </row>
    <row r="514" spans="1:26">
      <c r="A514" s="1487"/>
      <c r="B514" s="1488"/>
      <c r="C514" s="1489"/>
      <c r="D514" s="1490"/>
      <c r="E514" s="1487"/>
      <c r="F514" s="1488"/>
      <c r="G514" s="1489"/>
      <c r="H514" s="1490"/>
      <c r="I514" s="1487"/>
      <c r="J514" s="1488"/>
      <c r="K514" s="1489"/>
      <c r="L514" s="1490"/>
      <c r="M514" s="1487"/>
      <c r="N514" s="1488"/>
      <c r="O514" s="1489"/>
      <c r="P514" s="1490"/>
      <c r="X514" s="1445" t="e">
        <f ca="1"/>
        <v>#NAME?</v>
      </c>
      <c r="Y514" s="1446" t="e">
        <f ca="1"/>
        <v>#NAME?</v>
      </c>
      <c r="Z514" s="1408"/>
    </row>
    <row r="515" spans="1:26">
      <c r="A515" s="1487"/>
      <c r="B515" s="1488"/>
      <c r="C515" s="1489"/>
      <c r="D515" s="1490"/>
      <c r="E515" s="1487"/>
      <c r="F515" s="1488"/>
      <c r="G515" s="1489"/>
      <c r="H515" s="1490"/>
      <c r="I515" s="1487"/>
      <c r="J515" s="1488"/>
      <c r="K515" s="1489"/>
      <c r="L515" s="1490"/>
      <c r="M515" s="1487"/>
      <c r="N515" s="1488"/>
      <c r="O515" s="1489"/>
      <c r="P515" s="1490"/>
      <c r="X515" s="1445" t="e">
        <f ca="1"/>
        <v>#NAME?</v>
      </c>
      <c r="Y515" s="1446" t="e">
        <f ca="1"/>
        <v>#NAME?</v>
      </c>
      <c r="Z515" s="1408"/>
    </row>
    <row r="516" spans="1:26">
      <c r="A516" s="1487"/>
      <c r="B516" s="1488"/>
      <c r="C516" s="1489"/>
      <c r="D516" s="1490"/>
      <c r="E516" s="1487"/>
      <c r="F516" s="1488"/>
      <c r="G516" s="1489"/>
      <c r="H516" s="1490"/>
      <c r="I516" s="1487"/>
      <c r="J516" s="1488"/>
      <c r="K516" s="1489"/>
      <c r="L516" s="1490"/>
      <c r="M516" s="1487"/>
      <c r="N516" s="1488"/>
      <c r="O516" s="1489"/>
      <c r="P516" s="1490"/>
      <c r="X516" s="1445" t="e">
        <f ca="1"/>
        <v>#NAME?</v>
      </c>
      <c r="Y516" s="1446" t="e">
        <f ca="1"/>
        <v>#NAME?</v>
      </c>
      <c r="Z516" s="1408"/>
    </row>
    <row r="517" spans="1:26">
      <c r="A517" s="1487"/>
      <c r="B517" s="1488"/>
      <c r="C517" s="1489"/>
      <c r="D517" s="1490"/>
      <c r="E517" s="1487"/>
      <c r="F517" s="1488"/>
      <c r="G517" s="1489"/>
      <c r="H517" s="1490"/>
      <c r="I517" s="1487"/>
      <c r="J517" s="1488"/>
      <c r="K517" s="1489"/>
      <c r="L517" s="1490"/>
      <c r="M517" s="1487"/>
      <c r="N517" s="1488"/>
      <c r="O517" s="1489"/>
      <c r="P517" s="1490"/>
      <c r="X517" s="1445" t="e">
        <f ca="1"/>
        <v>#NAME?</v>
      </c>
      <c r="Y517" s="1446" t="e">
        <f ca="1"/>
        <v>#NAME?</v>
      </c>
      <c r="Z517" s="1408"/>
    </row>
    <row r="518" spans="1:26">
      <c r="A518" s="1487"/>
      <c r="B518" s="1488"/>
      <c r="C518" s="1489"/>
      <c r="D518" s="1490"/>
      <c r="E518" s="1487"/>
      <c r="F518" s="1488"/>
      <c r="G518" s="1489"/>
      <c r="H518" s="1490"/>
      <c r="I518" s="1487"/>
      <c r="J518" s="1488"/>
      <c r="K518" s="1489"/>
      <c r="L518" s="1490"/>
      <c r="M518" s="1487"/>
      <c r="N518" s="1488"/>
      <c r="O518" s="1489"/>
      <c r="P518" s="1490"/>
      <c r="X518" s="1445" t="e">
        <f ca="1"/>
        <v>#NAME?</v>
      </c>
      <c r="Y518" s="1446" t="e">
        <f ca="1"/>
        <v>#NAME?</v>
      </c>
      <c r="Z518" s="1408"/>
    </row>
    <row r="519" spans="1:26">
      <c r="A519" s="1487"/>
      <c r="B519" s="1488"/>
      <c r="C519" s="1489"/>
      <c r="D519" s="1490"/>
      <c r="E519" s="1487"/>
      <c r="F519" s="1488"/>
      <c r="G519" s="1489"/>
      <c r="H519" s="1490"/>
      <c r="I519" s="1487"/>
      <c r="J519" s="1488"/>
      <c r="K519" s="1489"/>
      <c r="L519" s="1490"/>
      <c r="M519" s="1487"/>
      <c r="N519" s="1488"/>
      <c r="O519" s="1489"/>
      <c r="P519" s="1490"/>
      <c r="X519" s="1445" t="e">
        <f ca="1"/>
        <v>#NAME?</v>
      </c>
      <c r="Y519" s="1446" t="e">
        <f ca="1"/>
        <v>#NAME?</v>
      </c>
      <c r="Z519" s="1408"/>
    </row>
    <row r="520" spans="1:26">
      <c r="A520" s="1487"/>
      <c r="B520" s="1488"/>
      <c r="C520" s="1489"/>
      <c r="D520" s="1490"/>
      <c r="E520" s="1487"/>
      <c r="F520" s="1488"/>
      <c r="G520" s="1489"/>
      <c r="H520" s="1490"/>
      <c r="I520" s="1487"/>
      <c r="J520" s="1488"/>
      <c r="K520" s="1489"/>
      <c r="L520" s="1490"/>
      <c r="M520" s="1487"/>
      <c r="N520" s="1488"/>
      <c r="O520" s="1489"/>
      <c r="P520" s="1490"/>
      <c r="X520" s="1445" t="e">
        <f ca="1"/>
        <v>#NAME?</v>
      </c>
      <c r="Y520" s="1446" t="e">
        <f ca="1"/>
        <v>#NAME?</v>
      </c>
      <c r="Z520" s="1408"/>
    </row>
    <row r="521" spans="1:26">
      <c r="A521" s="1487"/>
      <c r="B521" s="1488"/>
      <c r="C521" s="1489"/>
      <c r="D521" s="1490"/>
      <c r="E521" s="1487"/>
      <c r="F521" s="1488"/>
      <c r="G521" s="1489"/>
      <c r="H521" s="1490"/>
      <c r="I521" s="1487"/>
      <c r="J521" s="1488"/>
      <c r="K521" s="1489"/>
      <c r="L521" s="1490"/>
      <c r="M521" s="1487"/>
      <c r="N521" s="1488"/>
      <c r="O521" s="1489"/>
      <c r="P521" s="1490"/>
      <c r="X521" s="1445" t="e">
        <f ca="1"/>
        <v>#NAME?</v>
      </c>
      <c r="Y521" s="1446" t="e">
        <f ca="1"/>
        <v>#NAME?</v>
      </c>
      <c r="Z521" s="1408"/>
    </row>
    <row r="522" spans="1:26">
      <c r="A522" s="1487"/>
      <c r="B522" s="1488"/>
      <c r="C522" s="1489"/>
      <c r="D522" s="1490"/>
      <c r="E522" s="1487"/>
      <c r="F522" s="1488"/>
      <c r="G522" s="1489"/>
      <c r="H522" s="1490"/>
      <c r="I522" s="1487"/>
      <c r="J522" s="1488"/>
      <c r="K522" s="1489"/>
      <c r="L522" s="1490"/>
      <c r="M522" s="1487"/>
      <c r="N522" s="1488"/>
      <c r="O522" s="1489"/>
      <c r="P522" s="1490"/>
      <c r="X522" s="1445" t="e">
        <f ca="1"/>
        <v>#NAME?</v>
      </c>
      <c r="Y522" s="1446" t="e">
        <f ca="1"/>
        <v>#NAME?</v>
      </c>
      <c r="Z522" s="1408"/>
    </row>
    <row r="523" spans="1:26">
      <c r="A523" s="1487"/>
      <c r="B523" s="1488"/>
      <c r="C523" s="1489"/>
      <c r="D523" s="1490"/>
      <c r="E523" s="1487"/>
      <c r="F523" s="1488"/>
      <c r="G523" s="1489"/>
      <c r="H523" s="1490"/>
      <c r="I523" s="1487"/>
      <c r="J523" s="1488"/>
      <c r="K523" s="1489"/>
      <c r="L523" s="1490"/>
      <c r="M523" s="1487"/>
      <c r="N523" s="1488"/>
      <c r="O523" s="1489"/>
      <c r="P523" s="1490"/>
      <c r="X523" s="1445" t="e">
        <f ca="1"/>
        <v>#NAME?</v>
      </c>
      <c r="Y523" s="1446" t="e">
        <f ca="1"/>
        <v>#NAME?</v>
      </c>
      <c r="Z523" s="1408"/>
    </row>
    <row r="524" spans="1:26">
      <c r="A524" s="1487"/>
      <c r="B524" s="1488"/>
      <c r="C524" s="1489"/>
      <c r="D524" s="1490"/>
      <c r="E524" s="1487"/>
      <c r="F524" s="1488"/>
      <c r="G524" s="1489"/>
      <c r="H524" s="1490"/>
      <c r="I524" s="1487"/>
      <c r="J524" s="1488"/>
      <c r="K524" s="1489"/>
      <c r="L524" s="1490"/>
      <c r="M524" s="1487"/>
      <c r="N524" s="1488"/>
      <c r="O524" s="1489"/>
      <c r="P524" s="1490"/>
      <c r="X524" s="1445" t="e">
        <f ca="1"/>
        <v>#NAME?</v>
      </c>
      <c r="Y524" s="1446" t="e">
        <f ca="1"/>
        <v>#NAME?</v>
      </c>
      <c r="Z524" s="1408"/>
    </row>
    <row r="525" spans="1:26">
      <c r="A525" s="1487"/>
      <c r="B525" s="1488"/>
      <c r="C525" s="1489"/>
      <c r="D525" s="1490"/>
      <c r="E525" s="1487"/>
      <c r="F525" s="1488"/>
      <c r="G525" s="1489"/>
      <c r="H525" s="1490"/>
      <c r="I525" s="1487"/>
      <c r="J525" s="1488"/>
      <c r="K525" s="1489"/>
      <c r="L525" s="1490"/>
      <c r="M525" s="1487"/>
      <c r="N525" s="1488"/>
      <c r="O525" s="1489"/>
      <c r="P525" s="1490"/>
      <c r="X525" s="1445" t="e">
        <f ca="1"/>
        <v>#NAME?</v>
      </c>
      <c r="Y525" s="1446" t="e">
        <f ca="1"/>
        <v>#NAME?</v>
      </c>
      <c r="Z525" s="1408"/>
    </row>
    <row r="526" spans="1:26">
      <c r="A526" s="1487"/>
      <c r="B526" s="1488"/>
      <c r="C526" s="1489"/>
      <c r="D526" s="1490"/>
      <c r="E526" s="1487"/>
      <c r="F526" s="1488"/>
      <c r="G526" s="1489"/>
      <c r="H526" s="1490"/>
      <c r="I526" s="1487"/>
      <c r="J526" s="1488"/>
      <c r="K526" s="1489"/>
      <c r="L526" s="1490"/>
      <c r="M526" s="1487"/>
      <c r="N526" s="1488"/>
      <c r="O526" s="1489"/>
      <c r="P526" s="1490"/>
      <c r="X526" s="1445" t="e">
        <f ca="1"/>
        <v>#NAME?</v>
      </c>
      <c r="Y526" s="1446" t="e">
        <f ca="1"/>
        <v>#NAME?</v>
      </c>
      <c r="Z526" s="1408"/>
    </row>
    <row r="527" spans="1:26">
      <c r="A527" s="1487"/>
      <c r="B527" s="1488"/>
      <c r="C527" s="1489"/>
      <c r="D527" s="1490"/>
      <c r="E527" s="1487"/>
      <c r="F527" s="1488"/>
      <c r="G527" s="1489"/>
      <c r="H527" s="1490"/>
      <c r="I527" s="1487"/>
      <c r="J527" s="1488"/>
      <c r="K527" s="1489"/>
      <c r="L527" s="1490"/>
      <c r="M527" s="1487"/>
      <c r="N527" s="1488"/>
      <c r="O527" s="1489"/>
      <c r="P527" s="1490"/>
      <c r="X527" s="1445" t="e">
        <f ca="1"/>
        <v>#NAME?</v>
      </c>
      <c r="Y527" s="1446" t="e">
        <f ca="1"/>
        <v>#NAME?</v>
      </c>
      <c r="Z527" s="1408"/>
    </row>
    <row r="528" spans="1:26">
      <c r="A528" s="1487"/>
      <c r="B528" s="1488"/>
      <c r="C528" s="1489"/>
      <c r="D528" s="1490"/>
      <c r="E528" s="1487"/>
      <c r="F528" s="1488"/>
      <c r="G528" s="1489"/>
      <c r="H528" s="1490"/>
      <c r="I528" s="1487"/>
      <c r="J528" s="1488"/>
      <c r="K528" s="1489"/>
      <c r="L528" s="1490"/>
      <c r="M528" s="1487"/>
      <c r="N528" s="1488"/>
      <c r="O528" s="1489"/>
      <c r="P528" s="1490"/>
      <c r="X528" s="1445" t="e">
        <f ca="1"/>
        <v>#NAME?</v>
      </c>
      <c r="Y528" s="1446" t="e">
        <f ca="1"/>
        <v>#NAME?</v>
      </c>
      <c r="Z528" s="1408"/>
    </row>
    <row r="529" spans="1:26">
      <c r="A529" s="1487"/>
      <c r="B529" s="1488"/>
      <c r="C529" s="1489"/>
      <c r="D529" s="1490"/>
      <c r="E529" s="1487"/>
      <c r="F529" s="1488"/>
      <c r="G529" s="1489"/>
      <c r="H529" s="1490"/>
      <c r="I529" s="1487"/>
      <c r="J529" s="1488"/>
      <c r="K529" s="1489"/>
      <c r="L529" s="1490"/>
      <c r="M529" s="1487"/>
      <c r="N529" s="1488"/>
      <c r="O529" s="1489"/>
      <c r="P529" s="1490"/>
      <c r="X529" s="1445" t="e">
        <f ca="1"/>
        <v>#NAME?</v>
      </c>
      <c r="Y529" s="1446" t="e">
        <f ca="1"/>
        <v>#NAME?</v>
      </c>
      <c r="Z529" s="1408"/>
    </row>
    <row r="530" spans="1:26">
      <c r="A530" s="1487"/>
      <c r="B530" s="1488"/>
      <c r="C530" s="1489"/>
      <c r="D530" s="1490"/>
      <c r="E530" s="1487"/>
      <c r="F530" s="1488"/>
      <c r="G530" s="1489"/>
      <c r="H530" s="1490"/>
      <c r="I530" s="1487"/>
      <c r="J530" s="1488"/>
      <c r="K530" s="1489"/>
      <c r="L530" s="1490"/>
      <c r="M530" s="1487"/>
      <c r="N530" s="1488"/>
      <c r="O530" s="1489"/>
      <c r="P530" s="1490"/>
      <c r="X530" s="1445" t="e">
        <f ca="1"/>
        <v>#NAME?</v>
      </c>
      <c r="Y530" s="1446" t="e">
        <f ca="1"/>
        <v>#NAME?</v>
      </c>
      <c r="Z530" s="1408"/>
    </row>
    <row r="531" spans="1:26">
      <c r="A531" s="1487"/>
      <c r="B531" s="1488"/>
      <c r="C531" s="1489"/>
      <c r="D531" s="1490"/>
      <c r="E531" s="1487"/>
      <c r="F531" s="1488"/>
      <c r="G531" s="1489"/>
      <c r="H531" s="1490"/>
      <c r="I531" s="1487"/>
      <c r="J531" s="1488"/>
      <c r="K531" s="1489"/>
      <c r="L531" s="1490"/>
      <c r="M531" s="1487"/>
      <c r="N531" s="1488"/>
      <c r="O531" s="1489"/>
      <c r="P531" s="1490"/>
      <c r="X531" s="1445" t="e">
        <f ca="1"/>
        <v>#NAME?</v>
      </c>
      <c r="Y531" s="1446" t="e">
        <f ca="1"/>
        <v>#NAME?</v>
      </c>
      <c r="Z531" s="1408"/>
    </row>
    <row r="532" spans="1:26">
      <c r="A532" s="1487"/>
      <c r="B532" s="1488"/>
      <c r="C532" s="1489"/>
      <c r="D532" s="1490"/>
      <c r="E532" s="1487"/>
      <c r="F532" s="1488"/>
      <c r="G532" s="1489"/>
      <c r="H532" s="1490"/>
      <c r="I532" s="1487"/>
      <c r="J532" s="1488"/>
      <c r="K532" s="1489"/>
      <c r="L532" s="1490"/>
      <c r="M532" s="1487"/>
      <c r="N532" s="1488"/>
      <c r="O532" s="1489"/>
      <c r="P532" s="1490"/>
      <c r="X532" s="1445" t="e">
        <f ca="1"/>
        <v>#NAME?</v>
      </c>
      <c r="Y532" s="1446" t="e">
        <f ca="1"/>
        <v>#NAME?</v>
      </c>
      <c r="Z532" s="1408"/>
    </row>
    <row r="533" spans="1:26">
      <c r="A533" s="1487"/>
      <c r="B533" s="1488"/>
      <c r="C533" s="1489"/>
      <c r="D533" s="1490"/>
      <c r="E533" s="1487"/>
      <c r="F533" s="1488"/>
      <c r="G533" s="1489"/>
      <c r="H533" s="1490"/>
      <c r="I533" s="1487"/>
      <c r="J533" s="1488"/>
      <c r="K533" s="1489"/>
      <c r="L533" s="1490"/>
      <c r="M533" s="1487"/>
      <c r="N533" s="1488"/>
      <c r="O533" s="1489"/>
      <c r="P533" s="1490"/>
      <c r="X533" s="1445" t="e">
        <f ca="1"/>
        <v>#NAME?</v>
      </c>
      <c r="Y533" s="1446" t="e">
        <f ca="1"/>
        <v>#NAME?</v>
      </c>
      <c r="Z533" s="1408"/>
    </row>
    <row r="534" spans="1:26">
      <c r="A534" s="1487"/>
      <c r="B534" s="1488"/>
      <c r="C534" s="1489"/>
      <c r="D534" s="1490"/>
      <c r="E534" s="1487"/>
      <c r="F534" s="1488"/>
      <c r="G534" s="1489"/>
      <c r="H534" s="1490"/>
      <c r="I534" s="1487"/>
      <c r="J534" s="1488"/>
      <c r="K534" s="1489"/>
      <c r="L534" s="1490"/>
      <c r="M534" s="1487"/>
      <c r="N534" s="1488"/>
      <c r="O534" s="1489"/>
      <c r="P534" s="1490"/>
      <c r="X534" s="1445" t="e">
        <f ca="1"/>
        <v>#NAME?</v>
      </c>
      <c r="Y534" s="1446" t="e">
        <f ca="1"/>
        <v>#NAME?</v>
      </c>
      <c r="Z534" s="1408"/>
    </row>
    <row r="535" spans="1:26">
      <c r="A535" s="1487"/>
      <c r="B535" s="1488"/>
      <c r="C535" s="1489"/>
      <c r="D535" s="1490"/>
      <c r="E535" s="1487"/>
      <c r="F535" s="1488"/>
      <c r="G535" s="1489"/>
      <c r="H535" s="1490"/>
      <c r="I535" s="1487"/>
      <c r="J535" s="1488"/>
      <c r="K535" s="1489"/>
      <c r="L535" s="1490"/>
      <c r="M535" s="1487"/>
      <c r="N535" s="1488"/>
      <c r="O535" s="1489"/>
      <c r="P535" s="1490"/>
      <c r="X535" s="1445" t="e">
        <f ca="1"/>
        <v>#NAME?</v>
      </c>
      <c r="Y535" s="1446" t="e">
        <f ca="1"/>
        <v>#NAME?</v>
      </c>
      <c r="Z535" s="1408"/>
    </row>
    <row r="536" spans="1:26">
      <c r="A536" s="1487"/>
      <c r="B536" s="1488"/>
      <c r="C536" s="1489"/>
      <c r="D536" s="1490"/>
      <c r="E536" s="1487"/>
      <c r="F536" s="1488"/>
      <c r="G536" s="1489"/>
      <c r="H536" s="1490"/>
      <c r="I536" s="1487"/>
      <c r="J536" s="1488"/>
      <c r="K536" s="1489"/>
      <c r="L536" s="1490"/>
      <c r="M536" s="1487"/>
      <c r="N536" s="1488"/>
      <c r="O536" s="1489"/>
      <c r="P536" s="1490"/>
      <c r="X536" s="1445" t="e">
        <f ca="1"/>
        <v>#NAME?</v>
      </c>
      <c r="Y536" s="1446" t="e">
        <f ca="1"/>
        <v>#NAME?</v>
      </c>
      <c r="Z536" s="1408"/>
    </row>
    <row r="537" spans="1:26">
      <c r="A537" s="1487"/>
      <c r="B537" s="1488"/>
      <c r="C537" s="1489"/>
      <c r="D537" s="1490"/>
      <c r="E537" s="1487"/>
      <c r="F537" s="1488"/>
      <c r="G537" s="1489"/>
      <c r="H537" s="1490"/>
      <c r="I537" s="1487"/>
      <c r="J537" s="1488"/>
      <c r="K537" s="1489"/>
      <c r="L537" s="1490"/>
      <c r="M537" s="1487"/>
      <c r="N537" s="1488"/>
      <c r="O537" s="1489"/>
      <c r="P537" s="1490"/>
      <c r="X537" s="1445" t="e">
        <f ca="1"/>
        <v>#NAME?</v>
      </c>
      <c r="Y537" s="1446" t="e">
        <f ca="1"/>
        <v>#NAME?</v>
      </c>
      <c r="Z537" s="1408"/>
    </row>
    <row r="538" spans="1:26">
      <c r="A538" s="1487"/>
      <c r="B538" s="1488"/>
      <c r="C538" s="1489"/>
      <c r="D538" s="1490"/>
      <c r="E538" s="1487"/>
      <c r="F538" s="1488"/>
      <c r="G538" s="1489"/>
      <c r="H538" s="1490"/>
      <c r="I538" s="1487"/>
      <c r="J538" s="1488"/>
      <c r="K538" s="1489"/>
      <c r="L538" s="1490"/>
      <c r="M538" s="1487"/>
      <c r="N538" s="1488"/>
      <c r="O538" s="1489"/>
      <c r="P538" s="1490"/>
      <c r="X538" s="1445" t="e">
        <f ca="1"/>
        <v>#NAME?</v>
      </c>
      <c r="Y538" s="1446" t="e">
        <f ca="1"/>
        <v>#NAME?</v>
      </c>
      <c r="Z538" s="1408"/>
    </row>
    <row r="539" spans="1:26">
      <c r="A539" s="1487"/>
      <c r="B539" s="1488"/>
      <c r="C539" s="1489"/>
      <c r="D539" s="1490"/>
      <c r="E539" s="1487"/>
      <c r="F539" s="1488"/>
      <c r="G539" s="1489"/>
      <c r="H539" s="1490"/>
      <c r="I539" s="1487"/>
      <c r="J539" s="1488"/>
      <c r="K539" s="1489"/>
      <c r="L539" s="1490"/>
      <c r="M539" s="1487"/>
      <c r="N539" s="1488"/>
      <c r="O539" s="1489"/>
      <c r="P539" s="1490"/>
      <c r="X539" s="1445" t="e">
        <f ca="1"/>
        <v>#NAME?</v>
      </c>
      <c r="Y539" s="1446" t="e">
        <f ca="1"/>
        <v>#NAME?</v>
      </c>
      <c r="Z539" s="1408"/>
    </row>
    <row r="540" spans="1:26">
      <c r="A540" s="1487"/>
      <c r="B540" s="1488"/>
      <c r="C540" s="1489"/>
      <c r="D540" s="1490"/>
      <c r="E540" s="1487"/>
      <c r="F540" s="1488"/>
      <c r="G540" s="1489"/>
      <c r="H540" s="1490"/>
      <c r="I540" s="1487"/>
      <c r="J540" s="1488"/>
      <c r="K540" s="1489"/>
      <c r="L540" s="1490"/>
      <c r="M540" s="1487"/>
      <c r="N540" s="1488"/>
      <c r="O540" s="1489"/>
      <c r="P540" s="1490"/>
      <c r="X540" s="1445" t="e">
        <f ca="1"/>
        <v>#NAME?</v>
      </c>
      <c r="Y540" s="1446" t="e">
        <f ca="1"/>
        <v>#NAME?</v>
      </c>
      <c r="Z540" s="1408"/>
    </row>
    <row r="541" spans="1:26">
      <c r="A541" s="1487"/>
      <c r="B541" s="1488"/>
      <c r="C541" s="1489"/>
      <c r="D541" s="1490"/>
      <c r="E541" s="1487"/>
      <c r="F541" s="1488"/>
      <c r="G541" s="1489"/>
      <c r="H541" s="1490"/>
      <c r="I541" s="1487"/>
      <c r="J541" s="1488"/>
      <c r="K541" s="1489"/>
      <c r="L541" s="1490"/>
      <c r="M541" s="1487"/>
      <c r="N541" s="1488"/>
      <c r="O541" s="1489"/>
      <c r="P541" s="1490"/>
      <c r="X541" s="1445" t="e">
        <f ca="1"/>
        <v>#NAME?</v>
      </c>
      <c r="Y541" s="1446" t="e">
        <f ca="1"/>
        <v>#NAME?</v>
      </c>
      <c r="Z541" s="1408"/>
    </row>
    <row r="542" spans="1:26">
      <c r="A542" s="1487"/>
      <c r="B542" s="1488"/>
      <c r="C542" s="1489"/>
      <c r="D542" s="1490"/>
      <c r="E542" s="1487"/>
      <c r="F542" s="1488"/>
      <c r="G542" s="1489"/>
      <c r="H542" s="1490"/>
      <c r="I542" s="1487"/>
      <c r="J542" s="1488"/>
      <c r="K542" s="1489"/>
      <c r="L542" s="1490"/>
      <c r="M542" s="1487"/>
      <c r="N542" s="1488"/>
      <c r="O542" s="1489"/>
      <c r="P542" s="1490"/>
      <c r="X542" s="1445" t="e">
        <f ca="1"/>
        <v>#NAME?</v>
      </c>
      <c r="Y542" s="1446" t="e">
        <f ca="1"/>
        <v>#NAME?</v>
      </c>
      <c r="Z542" s="1408"/>
    </row>
    <row r="543" spans="1:26">
      <c r="A543" s="1487"/>
      <c r="B543" s="1488"/>
      <c r="C543" s="1489"/>
      <c r="D543" s="1490"/>
      <c r="E543" s="1487"/>
      <c r="F543" s="1488"/>
      <c r="G543" s="1489"/>
      <c r="H543" s="1490"/>
      <c r="I543" s="1487"/>
      <c r="J543" s="1488"/>
      <c r="K543" s="1489"/>
      <c r="L543" s="1490"/>
      <c r="M543" s="1487"/>
      <c r="N543" s="1488"/>
      <c r="O543" s="1489"/>
      <c r="P543" s="1490"/>
      <c r="X543" s="1445" t="e">
        <f ca="1"/>
        <v>#NAME?</v>
      </c>
      <c r="Y543" s="1446" t="e">
        <f ca="1"/>
        <v>#NAME?</v>
      </c>
      <c r="Z543" s="1408"/>
    </row>
    <row r="544" spans="1:26">
      <c r="A544" s="1487"/>
      <c r="B544" s="1488"/>
      <c r="C544" s="1489"/>
      <c r="D544" s="1490"/>
      <c r="E544" s="1487"/>
      <c r="F544" s="1488"/>
      <c r="G544" s="1489"/>
      <c r="H544" s="1490"/>
      <c r="I544" s="1487"/>
      <c r="J544" s="1488"/>
      <c r="K544" s="1489"/>
      <c r="L544" s="1490"/>
      <c r="M544" s="1487"/>
      <c r="N544" s="1488"/>
      <c r="O544" s="1489"/>
      <c r="P544" s="1490"/>
      <c r="X544" s="1445" t="e">
        <f ca="1"/>
        <v>#NAME?</v>
      </c>
      <c r="Y544" s="1446" t="e">
        <f ca="1"/>
        <v>#NAME?</v>
      </c>
      <c r="Z544" s="1408"/>
    </row>
    <row r="545" spans="1:26">
      <c r="A545" s="1487"/>
      <c r="B545" s="1488"/>
      <c r="C545" s="1489"/>
      <c r="D545" s="1490"/>
      <c r="E545" s="1487"/>
      <c r="F545" s="1488"/>
      <c r="G545" s="1489"/>
      <c r="H545" s="1490"/>
      <c r="I545" s="1487"/>
      <c r="J545" s="1488"/>
      <c r="K545" s="1489"/>
      <c r="L545" s="1490"/>
      <c r="M545" s="1487"/>
      <c r="N545" s="1488"/>
      <c r="O545" s="1489"/>
      <c r="P545" s="1490"/>
      <c r="X545" s="1445" t="e">
        <f ca="1"/>
        <v>#NAME?</v>
      </c>
      <c r="Y545" s="1446" t="e">
        <f ca="1"/>
        <v>#NAME?</v>
      </c>
      <c r="Z545" s="1408"/>
    </row>
    <row r="546" spans="1:26">
      <c r="A546" s="1487"/>
      <c r="B546" s="1488"/>
      <c r="C546" s="1489"/>
      <c r="D546" s="1490"/>
      <c r="E546" s="1487"/>
      <c r="F546" s="1488"/>
      <c r="G546" s="1489"/>
      <c r="H546" s="1490"/>
      <c r="I546" s="1487"/>
      <c r="J546" s="1488"/>
      <c r="K546" s="1489"/>
      <c r="L546" s="1490"/>
      <c r="M546" s="1487"/>
      <c r="N546" s="1488"/>
      <c r="O546" s="1489"/>
      <c r="P546" s="1490"/>
      <c r="X546" s="1445" t="e">
        <f ca="1"/>
        <v>#NAME?</v>
      </c>
      <c r="Y546" s="1446" t="e">
        <f ca="1"/>
        <v>#NAME?</v>
      </c>
      <c r="Z546" s="1408"/>
    </row>
    <row r="547" spans="1:26">
      <c r="A547" s="1487"/>
      <c r="B547" s="1488"/>
      <c r="C547" s="1489"/>
      <c r="D547" s="1490"/>
      <c r="E547" s="1487"/>
      <c r="F547" s="1488"/>
      <c r="G547" s="1489"/>
      <c r="H547" s="1490"/>
      <c r="I547" s="1487"/>
      <c r="J547" s="1488"/>
      <c r="K547" s="1489"/>
      <c r="L547" s="1490"/>
      <c r="M547" s="1487"/>
      <c r="N547" s="1488"/>
      <c r="O547" s="1489"/>
      <c r="P547" s="1490"/>
      <c r="X547" s="1445" t="e">
        <f ca="1"/>
        <v>#NAME?</v>
      </c>
      <c r="Y547" s="1446" t="e">
        <f ca="1"/>
        <v>#NAME?</v>
      </c>
      <c r="Z547" s="1408"/>
    </row>
    <row r="548" spans="1:26">
      <c r="A548" s="1487"/>
      <c r="B548" s="1488"/>
      <c r="C548" s="1489"/>
      <c r="D548" s="1490"/>
      <c r="E548" s="1487"/>
      <c r="F548" s="1488"/>
      <c r="G548" s="1489"/>
      <c r="H548" s="1490"/>
      <c r="I548" s="1487"/>
      <c r="J548" s="1488"/>
      <c r="K548" s="1489"/>
      <c r="L548" s="1490"/>
      <c r="M548" s="1487"/>
      <c r="N548" s="1488"/>
      <c r="O548" s="1489"/>
      <c r="P548" s="1490"/>
      <c r="X548" s="1445" t="e">
        <f ca="1"/>
        <v>#NAME?</v>
      </c>
      <c r="Y548" s="1446" t="e">
        <f ca="1"/>
        <v>#NAME?</v>
      </c>
      <c r="Z548" s="1408"/>
    </row>
    <row r="549" spans="1:26">
      <c r="A549" s="1487"/>
      <c r="B549" s="1488"/>
      <c r="C549" s="1489"/>
      <c r="D549" s="1490"/>
      <c r="E549" s="1487"/>
      <c r="F549" s="1488"/>
      <c r="G549" s="1489"/>
      <c r="H549" s="1490"/>
      <c r="I549" s="1487"/>
      <c r="J549" s="1488"/>
      <c r="K549" s="1489"/>
      <c r="L549" s="1490"/>
      <c r="M549" s="1487"/>
      <c r="N549" s="1488"/>
      <c r="O549" s="1489"/>
      <c r="P549" s="1490"/>
      <c r="X549" s="1445" t="e">
        <f ca="1"/>
        <v>#NAME?</v>
      </c>
      <c r="Y549" s="1446" t="e">
        <f ca="1"/>
        <v>#NAME?</v>
      </c>
      <c r="Z549" s="1408"/>
    </row>
    <row r="550" spans="1:26">
      <c r="A550" s="1487"/>
      <c r="B550" s="1488"/>
      <c r="C550" s="1489"/>
      <c r="D550" s="1490"/>
      <c r="E550" s="1487"/>
      <c r="F550" s="1488"/>
      <c r="G550" s="1489"/>
      <c r="H550" s="1490"/>
      <c r="I550" s="1487"/>
      <c r="J550" s="1488"/>
      <c r="K550" s="1489"/>
      <c r="L550" s="1490"/>
      <c r="M550" s="1487"/>
      <c r="N550" s="1488"/>
      <c r="O550" s="1489"/>
      <c r="P550" s="1490"/>
      <c r="X550" s="1445" t="e">
        <f ca="1"/>
        <v>#NAME?</v>
      </c>
      <c r="Y550" s="1446" t="e">
        <f ca="1"/>
        <v>#NAME?</v>
      </c>
      <c r="Z550" s="1408"/>
    </row>
    <row r="551" spans="1:26">
      <c r="A551" s="1487"/>
      <c r="B551" s="1488"/>
      <c r="C551" s="1489"/>
      <c r="D551" s="1490"/>
      <c r="E551" s="1487"/>
      <c r="F551" s="1488"/>
      <c r="G551" s="1489"/>
      <c r="H551" s="1490"/>
      <c r="I551" s="1487"/>
      <c r="J551" s="1488"/>
      <c r="K551" s="1489"/>
      <c r="L551" s="1490"/>
      <c r="M551" s="1487"/>
      <c r="N551" s="1488"/>
      <c r="O551" s="1489"/>
      <c r="P551" s="1490"/>
      <c r="X551" s="1445" t="e">
        <f ca="1"/>
        <v>#NAME?</v>
      </c>
      <c r="Y551" s="1446" t="e">
        <f ca="1"/>
        <v>#NAME?</v>
      </c>
      <c r="Z551" s="1408"/>
    </row>
    <row r="552" spans="1:26">
      <c r="A552" s="1487"/>
      <c r="B552" s="1488"/>
      <c r="C552" s="1489"/>
      <c r="D552" s="1490"/>
      <c r="E552" s="1487"/>
      <c r="F552" s="1488"/>
      <c r="G552" s="1489"/>
      <c r="H552" s="1490"/>
      <c r="I552" s="1487"/>
      <c r="J552" s="1488"/>
      <c r="K552" s="1489"/>
      <c r="L552" s="1490"/>
      <c r="M552" s="1487"/>
      <c r="N552" s="1488"/>
      <c r="O552" s="1489"/>
      <c r="P552" s="1490"/>
      <c r="X552" s="1445" t="e">
        <f ca="1"/>
        <v>#NAME?</v>
      </c>
      <c r="Y552" s="1446" t="e">
        <f ca="1"/>
        <v>#NAME?</v>
      </c>
      <c r="Z552" s="1408"/>
    </row>
    <row r="553" spans="1:26">
      <c r="A553" s="1487"/>
      <c r="B553" s="1488"/>
      <c r="C553" s="1489"/>
      <c r="D553" s="1490"/>
      <c r="E553" s="1487"/>
      <c r="F553" s="1488"/>
      <c r="G553" s="1489"/>
      <c r="H553" s="1490"/>
      <c r="I553" s="1487"/>
      <c r="J553" s="1488"/>
      <c r="K553" s="1489"/>
      <c r="L553" s="1490"/>
      <c r="M553" s="1487"/>
      <c r="N553" s="1488"/>
      <c r="O553" s="1489"/>
      <c r="P553" s="1490"/>
      <c r="X553" s="1445" t="e">
        <f ca="1"/>
        <v>#NAME?</v>
      </c>
      <c r="Y553" s="1446" t="e">
        <f ca="1"/>
        <v>#NAME?</v>
      </c>
      <c r="Z553" s="1408"/>
    </row>
    <row r="554" spans="1:26">
      <c r="A554" s="1487"/>
      <c r="B554" s="1488"/>
      <c r="C554" s="1489"/>
      <c r="D554" s="1490"/>
      <c r="E554" s="1487"/>
      <c r="F554" s="1488"/>
      <c r="G554" s="1489"/>
      <c r="H554" s="1490"/>
      <c r="I554" s="1487"/>
      <c r="J554" s="1488"/>
      <c r="K554" s="1489"/>
      <c r="L554" s="1490"/>
      <c r="M554" s="1487"/>
      <c r="N554" s="1488"/>
      <c r="O554" s="1489"/>
      <c r="P554" s="1490"/>
      <c r="X554" s="1445" t="e">
        <f ca="1"/>
        <v>#NAME?</v>
      </c>
      <c r="Y554" s="1446" t="e">
        <f ca="1"/>
        <v>#NAME?</v>
      </c>
      <c r="Z554" s="1408"/>
    </row>
    <row r="555" spans="1:26">
      <c r="A555" s="1487"/>
      <c r="B555" s="1488"/>
      <c r="C555" s="1489"/>
      <c r="D555" s="1490"/>
      <c r="E555" s="1487"/>
      <c r="F555" s="1488"/>
      <c r="G555" s="1489"/>
      <c r="H555" s="1490"/>
      <c r="I555" s="1487"/>
      <c r="J555" s="1488"/>
      <c r="K555" s="1489"/>
      <c r="L555" s="1490"/>
      <c r="M555" s="1487"/>
      <c r="N555" s="1488"/>
      <c r="O555" s="1489"/>
      <c r="P555" s="1490"/>
      <c r="X555" s="1445" t="e">
        <f ca="1"/>
        <v>#NAME?</v>
      </c>
      <c r="Y555" s="1446" t="e">
        <f ca="1"/>
        <v>#NAME?</v>
      </c>
      <c r="Z555" s="1408"/>
    </row>
    <row r="556" spans="1:26">
      <c r="A556" s="1487"/>
      <c r="B556" s="1488"/>
      <c r="C556" s="1489"/>
      <c r="D556" s="1490"/>
      <c r="E556" s="1487"/>
      <c r="F556" s="1488"/>
      <c r="G556" s="1489"/>
      <c r="H556" s="1490"/>
      <c r="I556" s="1487"/>
      <c r="J556" s="1488"/>
      <c r="K556" s="1489"/>
      <c r="L556" s="1490"/>
      <c r="M556" s="1487"/>
      <c r="N556" s="1488"/>
      <c r="O556" s="1489"/>
      <c r="P556" s="1490"/>
      <c r="X556" s="1445" t="e">
        <f ca="1"/>
        <v>#NAME?</v>
      </c>
      <c r="Y556" s="1446" t="e">
        <f ca="1"/>
        <v>#NAME?</v>
      </c>
      <c r="Z556" s="1408"/>
    </row>
    <row r="557" spans="1:26">
      <c r="A557" s="1487"/>
      <c r="B557" s="1488"/>
      <c r="C557" s="1489"/>
      <c r="D557" s="1490"/>
      <c r="E557" s="1487"/>
      <c r="F557" s="1488"/>
      <c r="G557" s="1489"/>
      <c r="H557" s="1490"/>
      <c r="I557" s="1487"/>
      <c r="J557" s="1488"/>
      <c r="K557" s="1489"/>
      <c r="L557" s="1490"/>
      <c r="M557" s="1487"/>
      <c r="N557" s="1488"/>
      <c r="O557" s="1489"/>
      <c r="P557" s="1490"/>
      <c r="X557" s="1445" t="e">
        <f ca="1"/>
        <v>#NAME?</v>
      </c>
      <c r="Y557" s="1446" t="e">
        <f ca="1"/>
        <v>#NAME?</v>
      </c>
      <c r="Z557" s="1408"/>
    </row>
    <row r="558" spans="1:26">
      <c r="A558" s="1487"/>
      <c r="B558" s="1488"/>
      <c r="C558" s="1489"/>
      <c r="D558" s="1490"/>
      <c r="E558" s="1487"/>
      <c r="F558" s="1488"/>
      <c r="G558" s="1489"/>
      <c r="H558" s="1490"/>
      <c r="I558" s="1487"/>
      <c r="J558" s="1488"/>
      <c r="K558" s="1489"/>
      <c r="L558" s="1490"/>
      <c r="M558" s="1487"/>
      <c r="N558" s="1488"/>
      <c r="O558" s="1489"/>
      <c r="P558" s="1490"/>
      <c r="X558" s="1445" t="e">
        <f ca="1"/>
        <v>#NAME?</v>
      </c>
      <c r="Y558" s="1446" t="e">
        <f ca="1"/>
        <v>#NAME?</v>
      </c>
      <c r="Z558" s="1408"/>
    </row>
    <row r="559" spans="1:26">
      <c r="A559" s="1487"/>
      <c r="B559" s="1488"/>
      <c r="C559" s="1489"/>
      <c r="D559" s="1490"/>
      <c r="E559" s="1487"/>
      <c r="F559" s="1488"/>
      <c r="G559" s="1489"/>
      <c r="H559" s="1490"/>
      <c r="I559" s="1487"/>
      <c r="J559" s="1488"/>
      <c r="K559" s="1489"/>
      <c r="L559" s="1490"/>
      <c r="M559" s="1487"/>
      <c r="N559" s="1488"/>
      <c r="O559" s="1489"/>
      <c r="P559" s="1490"/>
      <c r="X559" s="1445" t="e">
        <f ca="1"/>
        <v>#NAME?</v>
      </c>
      <c r="Y559" s="1446" t="e">
        <f ca="1"/>
        <v>#NAME?</v>
      </c>
      <c r="Z559" s="1408"/>
    </row>
    <row r="560" spans="1:26">
      <c r="A560" s="1487"/>
      <c r="B560" s="1488"/>
      <c r="C560" s="1489"/>
      <c r="D560" s="1490"/>
      <c r="E560" s="1487"/>
      <c r="F560" s="1488"/>
      <c r="G560" s="1489"/>
      <c r="H560" s="1490"/>
      <c r="I560" s="1487"/>
      <c r="J560" s="1488"/>
      <c r="K560" s="1489"/>
      <c r="L560" s="1490"/>
      <c r="M560" s="1487"/>
      <c r="N560" s="1488"/>
      <c r="O560" s="1489"/>
      <c r="P560" s="1490"/>
      <c r="X560" s="1445" t="e">
        <f ca="1"/>
        <v>#NAME?</v>
      </c>
      <c r="Y560" s="1446" t="e">
        <f ca="1"/>
        <v>#NAME?</v>
      </c>
      <c r="Z560" s="1408"/>
    </row>
    <row r="561" spans="1:26">
      <c r="A561" s="1487"/>
      <c r="B561" s="1488"/>
      <c r="C561" s="1489"/>
      <c r="D561" s="1490"/>
      <c r="E561" s="1487"/>
      <c r="F561" s="1488"/>
      <c r="G561" s="1489"/>
      <c r="H561" s="1490"/>
      <c r="I561" s="1487"/>
      <c r="J561" s="1488"/>
      <c r="K561" s="1489"/>
      <c r="L561" s="1490"/>
      <c r="M561" s="1487"/>
      <c r="N561" s="1488"/>
      <c r="O561" s="1489"/>
      <c r="P561" s="1490"/>
      <c r="X561" s="1445" t="e">
        <f ca="1"/>
        <v>#NAME?</v>
      </c>
      <c r="Y561" s="1446" t="e">
        <f ca="1"/>
        <v>#NAME?</v>
      </c>
      <c r="Z561" s="1408"/>
    </row>
    <row r="562" spans="1:26">
      <c r="A562" s="1487"/>
      <c r="B562" s="1488"/>
      <c r="C562" s="1489"/>
      <c r="D562" s="1490"/>
      <c r="E562" s="1487"/>
      <c r="F562" s="1488"/>
      <c r="G562" s="1489"/>
      <c r="H562" s="1490"/>
      <c r="I562" s="1487"/>
      <c r="J562" s="1488"/>
      <c r="K562" s="1489"/>
      <c r="L562" s="1490"/>
      <c r="M562" s="1487"/>
      <c r="N562" s="1488"/>
      <c r="O562" s="1489"/>
      <c r="P562" s="1490"/>
      <c r="X562" s="1445" t="e">
        <f ca="1"/>
        <v>#NAME?</v>
      </c>
      <c r="Y562" s="1446" t="e">
        <f ca="1"/>
        <v>#NAME?</v>
      </c>
      <c r="Z562" s="1408"/>
    </row>
    <row r="563" spans="1:26">
      <c r="A563" s="1487"/>
      <c r="B563" s="1488"/>
      <c r="C563" s="1489"/>
      <c r="D563" s="1490"/>
      <c r="E563" s="1487"/>
      <c r="F563" s="1488"/>
      <c r="G563" s="1489"/>
      <c r="H563" s="1490"/>
      <c r="I563" s="1487"/>
      <c r="J563" s="1488"/>
      <c r="K563" s="1489"/>
      <c r="L563" s="1490"/>
      <c r="M563" s="1487"/>
      <c r="N563" s="1488"/>
      <c r="O563" s="1489"/>
      <c r="P563" s="1490"/>
      <c r="X563" s="1445" t="e">
        <f ca="1"/>
        <v>#NAME?</v>
      </c>
      <c r="Y563" s="1446" t="e">
        <f ca="1"/>
        <v>#NAME?</v>
      </c>
      <c r="Z563" s="1408"/>
    </row>
    <row r="564" spans="1:26">
      <c r="A564" s="1487"/>
      <c r="B564" s="1488"/>
      <c r="C564" s="1489"/>
      <c r="D564" s="1490"/>
      <c r="E564" s="1487"/>
      <c r="F564" s="1488"/>
      <c r="G564" s="1489"/>
      <c r="H564" s="1490"/>
      <c r="I564" s="1487"/>
      <c r="J564" s="1488"/>
      <c r="K564" s="1489"/>
      <c r="L564" s="1490"/>
      <c r="M564" s="1487"/>
      <c r="N564" s="1488"/>
      <c r="O564" s="1489"/>
      <c r="P564" s="1490"/>
      <c r="X564" s="1445" t="e">
        <f ca="1"/>
        <v>#NAME?</v>
      </c>
      <c r="Y564" s="1446" t="e">
        <f ca="1"/>
        <v>#NAME?</v>
      </c>
      <c r="Z564" s="1408"/>
    </row>
    <row r="565" spans="1:26">
      <c r="A565" s="1487"/>
      <c r="B565" s="1488"/>
      <c r="C565" s="1489"/>
      <c r="D565" s="1490"/>
      <c r="E565" s="1487"/>
      <c r="F565" s="1488"/>
      <c r="G565" s="1489"/>
      <c r="H565" s="1490"/>
      <c r="I565" s="1487"/>
      <c r="J565" s="1488"/>
      <c r="K565" s="1489"/>
      <c r="L565" s="1490"/>
      <c r="M565" s="1487"/>
      <c r="N565" s="1488"/>
      <c r="O565" s="1489"/>
      <c r="P565" s="1490"/>
      <c r="X565" s="1445" t="e">
        <f ca="1"/>
        <v>#NAME?</v>
      </c>
      <c r="Y565" s="1446" t="e">
        <f ca="1"/>
        <v>#NAME?</v>
      </c>
      <c r="Z565" s="1408"/>
    </row>
    <row r="566" spans="1:26">
      <c r="A566" s="1487"/>
      <c r="B566" s="1488"/>
      <c r="C566" s="1489"/>
      <c r="D566" s="1490"/>
      <c r="E566" s="1487"/>
      <c r="F566" s="1488"/>
      <c r="G566" s="1489"/>
      <c r="H566" s="1490"/>
      <c r="I566" s="1487"/>
      <c r="J566" s="1488"/>
      <c r="K566" s="1489"/>
      <c r="L566" s="1490"/>
      <c r="M566" s="1487"/>
      <c r="N566" s="1488"/>
      <c r="O566" s="1489"/>
      <c r="P566" s="1490"/>
      <c r="X566" s="1445" t="e">
        <f ca="1"/>
        <v>#NAME?</v>
      </c>
      <c r="Y566" s="1446" t="e">
        <f ca="1"/>
        <v>#NAME?</v>
      </c>
      <c r="Z566" s="1408"/>
    </row>
    <row r="567" spans="1:26">
      <c r="A567" s="1487"/>
      <c r="B567" s="1488"/>
      <c r="C567" s="1489"/>
      <c r="D567" s="1490"/>
      <c r="E567" s="1487"/>
      <c r="F567" s="1488"/>
      <c r="G567" s="1489"/>
      <c r="H567" s="1490"/>
      <c r="I567" s="1487"/>
      <c r="J567" s="1488"/>
      <c r="K567" s="1489"/>
      <c r="L567" s="1490"/>
      <c r="M567" s="1487"/>
      <c r="N567" s="1488"/>
      <c r="O567" s="1489"/>
      <c r="P567" s="1490"/>
      <c r="X567" s="1445" t="e">
        <f ca="1"/>
        <v>#NAME?</v>
      </c>
      <c r="Y567" s="1446" t="e">
        <f ca="1"/>
        <v>#NAME?</v>
      </c>
      <c r="Z567" s="1408"/>
    </row>
    <row r="568" spans="1:26">
      <c r="A568" s="1487"/>
      <c r="B568" s="1488"/>
      <c r="C568" s="1489"/>
      <c r="D568" s="1490"/>
      <c r="E568" s="1487"/>
      <c r="F568" s="1488"/>
      <c r="G568" s="1489"/>
      <c r="H568" s="1490"/>
      <c r="I568" s="1487"/>
      <c r="J568" s="1488"/>
      <c r="K568" s="1489"/>
      <c r="L568" s="1490"/>
      <c r="M568" s="1487"/>
      <c r="N568" s="1488"/>
      <c r="O568" s="1489"/>
      <c r="P568" s="1490"/>
      <c r="X568" s="1445" t="e">
        <f ca="1"/>
        <v>#NAME?</v>
      </c>
      <c r="Y568" s="1446" t="e">
        <f ca="1"/>
        <v>#NAME?</v>
      </c>
      <c r="Z568" s="1408"/>
    </row>
    <row r="569" spans="1:26">
      <c r="A569" s="1487"/>
      <c r="B569" s="1488"/>
      <c r="C569" s="1489"/>
      <c r="D569" s="1490"/>
      <c r="E569" s="1487"/>
      <c r="F569" s="1488"/>
      <c r="G569" s="1489"/>
      <c r="H569" s="1490"/>
      <c r="I569" s="1487"/>
      <c r="J569" s="1488"/>
      <c r="K569" s="1489"/>
      <c r="L569" s="1490"/>
      <c r="M569" s="1487"/>
      <c r="N569" s="1488"/>
      <c r="O569" s="1489"/>
      <c r="P569" s="1490"/>
      <c r="X569" s="1445" t="e">
        <f ca="1"/>
        <v>#NAME?</v>
      </c>
      <c r="Y569" s="1446" t="e">
        <f ca="1"/>
        <v>#NAME?</v>
      </c>
      <c r="Z569" s="1408"/>
    </row>
    <row r="570" spans="1:26">
      <c r="A570" s="1487"/>
      <c r="B570" s="1488"/>
      <c r="C570" s="1489"/>
      <c r="D570" s="1490"/>
      <c r="E570" s="1487"/>
      <c r="F570" s="1488"/>
      <c r="G570" s="1489"/>
      <c r="H570" s="1490"/>
      <c r="I570" s="1487"/>
      <c r="J570" s="1488"/>
      <c r="K570" s="1489"/>
      <c r="L570" s="1490"/>
      <c r="M570" s="1487"/>
      <c r="N570" s="1488"/>
      <c r="O570" s="1489"/>
      <c r="P570" s="1490"/>
      <c r="X570" s="1445" t="e">
        <f ca="1"/>
        <v>#NAME?</v>
      </c>
      <c r="Y570" s="1446" t="e">
        <f ca="1"/>
        <v>#NAME?</v>
      </c>
      <c r="Z570" s="1408"/>
    </row>
    <row r="571" spans="1:26">
      <c r="A571" s="1487"/>
      <c r="B571" s="1488"/>
      <c r="C571" s="1489"/>
      <c r="D571" s="1490"/>
      <c r="E571" s="1487"/>
      <c r="F571" s="1488"/>
      <c r="G571" s="1489"/>
      <c r="H571" s="1490"/>
      <c r="I571" s="1487"/>
      <c r="J571" s="1488"/>
      <c r="K571" s="1489"/>
      <c r="L571" s="1490"/>
      <c r="M571" s="1487"/>
      <c r="N571" s="1488"/>
      <c r="O571" s="1489"/>
      <c r="P571" s="1490"/>
      <c r="X571" s="1445" t="e">
        <f ca="1"/>
        <v>#NAME?</v>
      </c>
      <c r="Y571" s="1446" t="e">
        <f ca="1"/>
        <v>#NAME?</v>
      </c>
      <c r="Z571" s="1408"/>
    </row>
    <row r="572" spans="1:26">
      <c r="A572" s="1487"/>
      <c r="B572" s="1488"/>
      <c r="C572" s="1489"/>
      <c r="D572" s="1490"/>
      <c r="E572" s="1487"/>
      <c r="F572" s="1488"/>
      <c r="G572" s="1489"/>
      <c r="H572" s="1490"/>
      <c r="I572" s="1487"/>
      <c r="J572" s="1488"/>
      <c r="K572" s="1489"/>
      <c r="L572" s="1490"/>
      <c r="M572" s="1487"/>
      <c r="N572" s="1488"/>
      <c r="O572" s="1489"/>
      <c r="P572" s="1490"/>
      <c r="X572" s="1445" t="e">
        <f ca="1"/>
        <v>#NAME?</v>
      </c>
      <c r="Y572" s="1446" t="e">
        <f ca="1"/>
        <v>#NAME?</v>
      </c>
      <c r="Z572" s="1408"/>
    </row>
    <row r="573" spans="1:26">
      <c r="A573" s="1487"/>
      <c r="B573" s="1488"/>
      <c r="C573" s="1489"/>
      <c r="D573" s="1490"/>
      <c r="E573" s="1487"/>
      <c r="F573" s="1488"/>
      <c r="G573" s="1489"/>
      <c r="H573" s="1490"/>
      <c r="I573" s="1487"/>
      <c r="J573" s="1488"/>
      <c r="K573" s="1489"/>
      <c r="L573" s="1490"/>
      <c r="M573" s="1487"/>
      <c r="N573" s="1488"/>
      <c r="O573" s="1489"/>
      <c r="P573" s="1490"/>
      <c r="X573" s="1445" t="e">
        <f ca="1"/>
        <v>#NAME?</v>
      </c>
      <c r="Y573" s="1446" t="e">
        <f ca="1"/>
        <v>#NAME?</v>
      </c>
      <c r="Z573" s="1408"/>
    </row>
    <row r="574" spans="1:26">
      <c r="A574" s="1487"/>
      <c r="B574" s="1488"/>
      <c r="C574" s="1489"/>
      <c r="D574" s="1490"/>
      <c r="E574" s="1487"/>
      <c r="F574" s="1488"/>
      <c r="G574" s="1489"/>
      <c r="H574" s="1490"/>
      <c r="I574" s="1487"/>
      <c r="J574" s="1488"/>
      <c r="K574" s="1489"/>
      <c r="L574" s="1490"/>
      <c r="M574" s="1487"/>
      <c r="N574" s="1488"/>
      <c r="O574" s="1489"/>
      <c r="P574" s="1490"/>
      <c r="X574" s="1445" t="e">
        <f ca="1"/>
        <v>#NAME?</v>
      </c>
      <c r="Y574" s="1446" t="e">
        <f ca="1"/>
        <v>#NAME?</v>
      </c>
      <c r="Z574" s="1408"/>
    </row>
    <row r="575" spans="1:26">
      <c r="A575" s="1487"/>
      <c r="B575" s="1488"/>
      <c r="C575" s="1489"/>
      <c r="D575" s="1490"/>
      <c r="E575" s="1487"/>
      <c r="F575" s="1488"/>
      <c r="G575" s="1489"/>
      <c r="H575" s="1490"/>
      <c r="I575" s="1487"/>
      <c r="J575" s="1488"/>
      <c r="K575" s="1489"/>
      <c r="L575" s="1490"/>
      <c r="M575" s="1487"/>
      <c r="N575" s="1488"/>
      <c r="O575" s="1489"/>
      <c r="P575" s="1490"/>
      <c r="X575" s="1445" t="e">
        <f ca="1"/>
        <v>#NAME?</v>
      </c>
      <c r="Y575" s="1446" t="e">
        <f ca="1"/>
        <v>#NAME?</v>
      </c>
      <c r="Z575" s="1408"/>
    </row>
    <row r="576" spans="1:26">
      <c r="A576" s="1487"/>
      <c r="B576" s="1488"/>
      <c r="C576" s="1489"/>
      <c r="D576" s="1490"/>
      <c r="E576" s="1487"/>
      <c r="F576" s="1488"/>
      <c r="G576" s="1489"/>
      <c r="H576" s="1490"/>
      <c r="I576" s="1487"/>
      <c r="J576" s="1488"/>
      <c r="K576" s="1489"/>
      <c r="L576" s="1490"/>
      <c r="M576" s="1487"/>
      <c r="N576" s="1488"/>
      <c r="O576" s="1489"/>
      <c r="P576" s="1490"/>
      <c r="X576" s="1445" t="e">
        <f ca="1"/>
        <v>#NAME?</v>
      </c>
      <c r="Y576" s="1446" t="e">
        <f ca="1"/>
        <v>#NAME?</v>
      </c>
      <c r="Z576" s="1408"/>
    </row>
    <row r="577" spans="1:26">
      <c r="A577" s="1487"/>
      <c r="B577" s="1488"/>
      <c r="C577" s="1489"/>
      <c r="D577" s="1490"/>
      <c r="E577" s="1487"/>
      <c r="F577" s="1488"/>
      <c r="G577" s="1489"/>
      <c r="H577" s="1490"/>
      <c r="I577" s="1487"/>
      <c r="J577" s="1488"/>
      <c r="K577" s="1489"/>
      <c r="L577" s="1490"/>
      <c r="M577" s="1487"/>
      <c r="N577" s="1488"/>
      <c r="O577" s="1489"/>
      <c r="P577" s="1490"/>
      <c r="X577" s="1445" t="e">
        <f ca="1"/>
        <v>#NAME?</v>
      </c>
      <c r="Y577" s="1446" t="e">
        <f ca="1"/>
        <v>#NAME?</v>
      </c>
      <c r="Z577" s="1408"/>
    </row>
    <row r="578" spans="1:26">
      <c r="A578" s="1487"/>
      <c r="B578" s="1488"/>
      <c r="C578" s="1489"/>
      <c r="D578" s="1490"/>
      <c r="E578" s="1487"/>
      <c r="F578" s="1488"/>
      <c r="G578" s="1489"/>
      <c r="H578" s="1490"/>
      <c r="I578" s="1487"/>
      <c r="J578" s="1488"/>
      <c r="K578" s="1489"/>
      <c r="L578" s="1490"/>
      <c r="M578" s="1487"/>
      <c r="N578" s="1488"/>
      <c r="O578" s="1489"/>
      <c r="P578" s="1490"/>
      <c r="X578" s="1445" t="e">
        <f ca="1"/>
        <v>#NAME?</v>
      </c>
      <c r="Y578" s="1446" t="e">
        <f ca="1"/>
        <v>#NAME?</v>
      </c>
      <c r="Z578" s="1408"/>
    </row>
    <row r="579" spans="1:26">
      <c r="A579" s="1487"/>
      <c r="B579" s="1488"/>
      <c r="C579" s="1489"/>
      <c r="D579" s="1490"/>
      <c r="E579" s="1487"/>
      <c r="F579" s="1488"/>
      <c r="G579" s="1489"/>
      <c r="H579" s="1490"/>
      <c r="I579" s="1487"/>
      <c r="J579" s="1488"/>
      <c r="K579" s="1489"/>
      <c r="L579" s="1490"/>
      <c r="M579" s="1487"/>
      <c r="N579" s="1488"/>
      <c r="O579" s="1489"/>
      <c r="P579" s="1490"/>
      <c r="X579" s="1445" t="e">
        <f ca="1"/>
        <v>#NAME?</v>
      </c>
      <c r="Y579" s="1446" t="e">
        <f ca="1"/>
        <v>#NAME?</v>
      </c>
      <c r="Z579" s="1408"/>
    </row>
    <row r="580" spans="1:26">
      <c r="A580" s="1487"/>
      <c r="B580" s="1488"/>
      <c r="C580" s="1489"/>
      <c r="D580" s="1490"/>
      <c r="E580" s="1487"/>
      <c r="F580" s="1488"/>
      <c r="G580" s="1489"/>
      <c r="H580" s="1490"/>
      <c r="I580" s="1487"/>
      <c r="J580" s="1488"/>
      <c r="K580" s="1489"/>
      <c r="L580" s="1490"/>
      <c r="M580" s="1487"/>
      <c r="N580" s="1488"/>
      <c r="O580" s="1489"/>
      <c r="P580" s="1490"/>
      <c r="X580" s="1445" t="e">
        <f ca="1"/>
        <v>#NAME?</v>
      </c>
      <c r="Y580" s="1446" t="e">
        <f ca="1"/>
        <v>#NAME?</v>
      </c>
      <c r="Z580" s="1408"/>
    </row>
    <row r="581" spans="1:26">
      <c r="A581" s="1487"/>
      <c r="B581" s="1488"/>
      <c r="C581" s="1489"/>
      <c r="D581" s="1490"/>
      <c r="E581" s="1487"/>
      <c r="F581" s="1488"/>
      <c r="G581" s="1489"/>
      <c r="H581" s="1490"/>
      <c r="I581" s="1487"/>
      <c r="J581" s="1488"/>
      <c r="K581" s="1489"/>
      <c r="L581" s="1490"/>
      <c r="M581" s="1487"/>
      <c r="N581" s="1488"/>
      <c r="O581" s="1489"/>
      <c r="P581" s="1490"/>
      <c r="X581" s="1445" t="e">
        <f ca="1"/>
        <v>#NAME?</v>
      </c>
      <c r="Y581" s="1446" t="e">
        <f ca="1"/>
        <v>#NAME?</v>
      </c>
      <c r="Z581" s="1408"/>
    </row>
    <row r="582" spans="1:26">
      <c r="A582" s="1487"/>
      <c r="B582" s="1488"/>
      <c r="C582" s="1489"/>
      <c r="D582" s="1490"/>
      <c r="E582" s="1487"/>
      <c r="F582" s="1488"/>
      <c r="G582" s="1489"/>
      <c r="H582" s="1490"/>
      <c r="I582" s="1487"/>
      <c r="J582" s="1488"/>
      <c r="K582" s="1489"/>
      <c r="L582" s="1490"/>
      <c r="M582" s="1487"/>
      <c r="N582" s="1488"/>
      <c r="O582" s="1489"/>
      <c r="P582" s="1490"/>
      <c r="X582" s="1445" t="e">
        <f ca="1"/>
        <v>#NAME?</v>
      </c>
      <c r="Y582" s="1446" t="e">
        <f ca="1"/>
        <v>#NAME?</v>
      </c>
      <c r="Z582" s="1408"/>
    </row>
    <row r="583" spans="1:26">
      <c r="A583" s="1487"/>
      <c r="B583" s="1488"/>
      <c r="C583" s="1489"/>
      <c r="D583" s="1490"/>
      <c r="E583" s="1487"/>
      <c r="F583" s="1488"/>
      <c r="G583" s="1489"/>
      <c r="H583" s="1490"/>
      <c r="I583" s="1487"/>
      <c r="J583" s="1488"/>
      <c r="K583" s="1489"/>
      <c r="L583" s="1490"/>
      <c r="M583" s="1487"/>
      <c r="N583" s="1488"/>
      <c r="O583" s="1489"/>
      <c r="P583" s="1490"/>
      <c r="X583" s="1445" t="e">
        <f ca="1"/>
        <v>#NAME?</v>
      </c>
      <c r="Y583" s="1446" t="e">
        <f ca="1"/>
        <v>#NAME?</v>
      </c>
      <c r="Z583" s="1408"/>
    </row>
    <row r="584" spans="1:26">
      <c r="A584" s="1487"/>
      <c r="B584" s="1488"/>
      <c r="C584" s="1489"/>
      <c r="D584" s="1490"/>
      <c r="E584" s="1487"/>
      <c r="F584" s="1488"/>
      <c r="G584" s="1489"/>
      <c r="H584" s="1490"/>
      <c r="I584" s="1487"/>
      <c r="J584" s="1488"/>
      <c r="K584" s="1489"/>
      <c r="L584" s="1490"/>
      <c r="M584" s="1487"/>
      <c r="N584" s="1488"/>
      <c r="O584" s="1489"/>
      <c r="P584" s="1490"/>
      <c r="X584" s="1445" t="e">
        <f ca="1"/>
        <v>#NAME?</v>
      </c>
      <c r="Y584" s="1446" t="e">
        <f ca="1"/>
        <v>#NAME?</v>
      </c>
      <c r="Z584" s="1408"/>
    </row>
    <row r="585" spans="1:26">
      <c r="A585" s="1487"/>
      <c r="B585" s="1488"/>
      <c r="C585" s="1489"/>
      <c r="D585" s="1490"/>
      <c r="E585" s="1487"/>
      <c r="F585" s="1488"/>
      <c r="G585" s="1489"/>
      <c r="H585" s="1490"/>
      <c r="I585" s="1487"/>
      <c r="J585" s="1488"/>
      <c r="K585" s="1489"/>
      <c r="L585" s="1490"/>
      <c r="M585" s="1487"/>
      <c r="N585" s="1488"/>
      <c r="O585" s="1489"/>
      <c r="P585" s="1490"/>
      <c r="X585" s="1445" t="e">
        <f ca="1"/>
        <v>#NAME?</v>
      </c>
      <c r="Y585" s="1446" t="e">
        <f ca="1"/>
        <v>#NAME?</v>
      </c>
      <c r="Z585" s="1408"/>
    </row>
    <row r="586" spans="1:26">
      <c r="A586" s="1487"/>
      <c r="B586" s="1488"/>
      <c r="C586" s="1489"/>
      <c r="D586" s="1490"/>
      <c r="E586" s="1487"/>
      <c r="F586" s="1488"/>
      <c r="G586" s="1489"/>
      <c r="H586" s="1490"/>
      <c r="I586" s="1487"/>
      <c r="J586" s="1488"/>
      <c r="K586" s="1489"/>
      <c r="L586" s="1490"/>
      <c r="M586" s="1487"/>
      <c r="N586" s="1488"/>
      <c r="O586" s="1489"/>
      <c r="P586" s="1490"/>
      <c r="X586" s="1445" t="e">
        <f ca="1"/>
        <v>#NAME?</v>
      </c>
      <c r="Y586" s="1446" t="e">
        <f ca="1"/>
        <v>#NAME?</v>
      </c>
      <c r="Z586" s="1408"/>
    </row>
    <row r="587" spans="1:26">
      <c r="A587" s="1487"/>
      <c r="B587" s="1488"/>
      <c r="C587" s="1489"/>
      <c r="D587" s="1490"/>
      <c r="E587" s="1487"/>
      <c r="F587" s="1488"/>
      <c r="G587" s="1489"/>
      <c r="H587" s="1490"/>
      <c r="I587" s="1487"/>
      <c r="J587" s="1488"/>
      <c r="K587" s="1489"/>
      <c r="L587" s="1490"/>
      <c r="M587" s="1487"/>
      <c r="N587" s="1488"/>
      <c r="O587" s="1489"/>
      <c r="P587" s="1490"/>
      <c r="X587" s="1445" t="e">
        <f ca="1"/>
        <v>#NAME?</v>
      </c>
      <c r="Y587" s="1446" t="e">
        <f ca="1"/>
        <v>#NAME?</v>
      </c>
      <c r="Z587" s="1408"/>
    </row>
    <row r="588" spans="1:26">
      <c r="A588" s="1487"/>
      <c r="B588" s="1488"/>
      <c r="C588" s="1489"/>
      <c r="D588" s="1490"/>
      <c r="E588" s="1487"/>
      <c r="F588" s="1488"/>
      <c r="G588" s="1489"/>
      <c r="H588" s="1490"/>
      <c r="I588" s="1487"/>
      <c r="J588" s="1488"/>
      <c r="K588" s="1489"/>
      <c r="L588" s="1490"/>
      <c r="M588" s="1487"/>
      <c r="N588" s="1488"/>
      <c r="O588" s="1489"/>
      <c r="P588" s="1490"/>
      <c r="X588" s="1445" t="e">
        <f ca="1"/>
        <v>#NAME?</v>
      </c>
      <c r="Y588" s="1446" t="e">
        <f ca="1"/>
        <v>#NAME?</v>
      </c>
      <c r="Z588" s="1408"/>
    </row>
    <row r="589" spans="1:26">
      <c r="A589" s="1487"/>
      <c r="B589" s="1488"/>
      <c r="C589" s="1489"/>
      <c r="D589" s="1490"/>
      <c r="E589" s="1487"/>
      <c r="F589" s="1488"/>
      <c r="G589" s="1489"/>
      <c r="H589" s="1490"/>
      <c r="I589" s="1487"/>
      <c r="J589" s="1488"/>
      <c r="K589" s="1489"/>
      <c r="L589" s="1490"/>
      <c r="M589" s="1487"/>
      <c r="N589" s="1488"/>
      <c r="O589" s="1489"/>
      <c r="P589" s="1490"/>
      <c r="X589" s="1445" t="e">
        <f ca="1"/>
        <v>#NAME?</v>
      </c>
      <c r="Y589" s="1446" t="e">
        <f ca="1"/>
        <v>#NAME?</v>
      </c>
      <c r="Z589" s="1408"/>
    </row>
    <row r="590" spans="1:26">
      <c r="A590" s="1487"/>
      <c r="B590" s="1488"/>
      <c r="C590" s="1489"/>
      <c r="D590" s="1490"/>
      <c r="E590" s="1487"/>
      <c r="F590" s="1488"/>
      <c r="G590" s="1489"/>
      <c r="H590" s="1490"/>
      <c r="I590" s="1487"/>
      <c r="J590" s="1488"/>
      <c r="K590" s="1489"/>
      <c r="L590" s="1490"/>
      <c r="M590" s="1487"/>
      <c r="N590" s="1488"/>
      <c r="O590" s="1489"/>
      <c r="P590" s="1490"/>
      <c r="X590" s="1445" t="e">
        <f ca="1"/>
        <v>#NAME?</v>
      </c>
      <c r="Y590" s="1446" t="e">
        <f ca="1"/>
        <v>#NAME?</v>
      </c>
      <c r="Z590" s="1408"/>
    </row>
    <row r="591" spans="1:26">
      <c r="A591" s="1487"/>
      <c r="B591" s="1488"/>
      <c r="C591" s="1489"/>
      <c r="D591" s="1490"/>
      <c r="E591" s="1487"/>
      <c r="F591" s="1488"/>
      <c r="G591" s="1489"/>
      <c r="H591" s="1490"/>
      <c r="I591" s="1487"/>
      <c r="J591" s="1488"/>
      <c r="K591" s="1489"/>
      <c r="L591" s="1490"/>
      <c r="M591" s="1487"/>
      <c r="N591" s="1488"/>
      <c r="O591" s="1489"/>
      <c r="P591" s="1490"/>
      <c r="X591" s="1445" t="e">
        <f ca="1"/>
        <v>#NAME?</v>
      </c>
      <c r="Y591" s="1446" t="e">
        <f ca="1"/>
        <v>#NAME?</v>
      </c>
      <c r="Z591" s="1408"/>
    </row>
    <row r="592" spans="1:26">
      <c r="A592" s="1487"/>
      <c r="B592" s="1488"/>
      <c r="C592" s="1489"/>
      <c r="D592" s="1490"/>
      <c r="E592" s="1487"/>
      <c r="F592" s="1488"/>
      <c r="G592" s="1489"/>
      <c r="H592" s="1490"/>
      <c r="I592" s="1487"/>
      <c r="J592" s="1488"/>
      <c r="K592" s="1489"/>
      <c r="L592" s="1490"/>
      <c r="M592" s="1487"/>
      <c r="N592" s="1488"/>
      <c r="O592" s="1489"/>
      <c r="P592" s="1490"/>
      <c r="X592" s="1445" t="e">
        <f ca="1"/>
        <v>#NAME?</v>
      </c>
      <c r="Y592" s="1446" t="e">
        <f ca="1"/>
        <v>#NAME?</v>
      </c>
      <c r="Z592" s="1408"/>
    </row>
    <row r="593" spans="1:26">
      <c r="A593" s="1487"/>
      <c r="B593" s="1488"/>
      <c r="C593" s="1489"/>
      <c r="D593" s="1490"/>
      <c r="E593" s="1487"/>
      <c r="F593" s="1488"/>
      <c r="G593" s="1489"/>
      <c r="H593" s="1490"/>
      <c r="I593" s="1487"/>
      <c r="J593" s="1488"/>
      <c r="K593" s="1489"/>
      <c r="L593" s="1490"/>
      <c r="M593" s="1487"/>
      <c r="N593" s="1488"/>
      <c r="O593" s="1489"/>
      <c r="P593" s="1490"/>
      <c r="X593" s="1445" t="e">
        <f ca="1"/>
        <v>#NAME?</v>
      </c>
      <c r="Y593" s="1446" t="e">
        <f ca="1"/>
        <v>#NAME?</v>
      </c>
      <c r="Z593" s="1408"/>
    </row>
    <row r="594" spans="1:26">
      <c r="A594" s="1487"/>
      <c r="B594" s="1488"/>
      <c r="C594" s="1489"/>
      <c r="D594" s="1490"/>
      <c r="E594" s="1487"/>
      <c r="F594" s="1488"/>
      <c r="G594" s="1489"/>
      <c r="H594" s="1490"/>
      <c r="I594" s="1487"/>
      <c r="J594" s="1488"/>
      <c r="K594" s="1489"/>
      <c r="L594" s="1490"/>
      <c r="M594" s="1487"/>
      <c r="N594" s="1488"/>
      <c r="O594" s="1489"/>
      <c r="P594" s="1490"/>
      <c r="X594" s="1445" t="e">
        <f ca="1"/>
        <v>#NAME?</v>
      </c>
      <c r="Y594" s="1446" t="e">
        <f ca="1"/>
        <v>#NAME?</v>
      </c>
      <c r="Z594" s="1408"/>
    </row>
    <row r="595" spans="1:26">
      <c r="A595" s="1487"/>
      <c r="B595" s="1488"/>
      <c r="C595" s="1489"/>
      <c r="D595" s="1490"/>
      <c r="E595" s="1487"/>
      <c r="F595" s="1488"/>
      <c r="G595" s="1489"/>
      <c r="H595" s="1490"/>
      <c r="I595" s="1487"/>
      <c r="J595" s="1488"/>
      <c r="K595" s="1489"/>
      <c r="L595" s="1490"/>
      <c r="M595" s="1487"/>
      <c r="N595" s="1488"/>
      <c r="O595" s="1489"/>
      <c r="P595" s="1490"/>
      <c r="X595" s="1445" t="e">
        <f ca="1"/>
        <v>#NAME?</v>
      </c>
      <c r="Y595" s="1446" t="e">
        <f ca="1"/>
        <v>#NAME?</v>
      </c>
      <c r="Z595" s="1408"/>
    </row>
    <row r="596" spans="1:26">
      <c r="A596" s="1487"/>
      <c r="B596" s="1488"/>
      <c r="C596" s="1489"/>
      <c r="D596" s="1490"/>
      <c r="E596" s="1487"/>
      <c r="F596" s="1488"/>
      <c r="G596" s="1489"/>
      <c r="H596" s="1490"/>
      <c r="I596" s="1487"/>
      <c r="J596" s="1488"/>
      <c r="K596" s="1489"/>
      <c r="L596" s="1490"/>
      <c r="M596" s="1487"/>
      <c r="N596" s="1488"/>
      <c r="O596" s="1489"/>
      <c r="P596" s="1490"/>
      <c r="X596" s="1445" t="e">
        <f ca="1"/>
        <v>#NAME?</v>
      </c>
      <c r="Y596" s="1446" t="e">
        <f ca="1"/>
        <v>#NAME?</v>
      </c>
      <c r="Z596" s="1408"/>
    </row>
    <row r="597" spans="1:26">
      <c r="A597" s="1487"/>
      <c r="B597" s="1488"/>
      <c r="C597" s="1489"/>
      <c r="D597" s="1490"/>
      <c r="E597" s="1487"/>
      <c r="F597" s="1488"/>
      <c r="G597" s="1489"/>
      <c r="H597" s="1490"/>
      <c r="I597" s="1487"/>
      <c r="J597" s="1488"/>
      <c r="K597" s="1489"/>
      <c r="L597" s="1490"/>
      <c r="M597" s="1487"/>
      <c r="N597" s="1488"/>
      <c r="O597" s="1489"/>
      <c r="P597" s="1490"/>
      <c r="X597" s="1445" t="e">
        <f ca="1"/>
        <v>#NAME?</v>
      </c>
      <c r="Y597" s="1446" t="e">
        <f ca="1"/>
        <v>#NAME?</v>
      </c>
      <c r="Z597" s="1408"/>
    </row>
    <row r="598" spans="1:26">
      <c r="A598" s="1487"/>
      <c r="B598" s="1488"/>
      <c r="C598" s="1489"/>
      <c r="D598" s="1490"/>
      <c r="E598" s="1487"/>
      <c r="F598" s="1488"/>
      <c r="G598" s="1489"/>
      <c r="H598" s="1490"/>
      <c r="I598" s="1487"/>
      <c r="J598" s="1488"/>
      <c r="K598" s="1489"/>
      <c r="L598" s="1490"/>
      <c r="M598" s="1487"/>
      <c r="N598" s="1488"/>
      <c r="O598" s="1489"/>
      <c r="P598" s="1490"/>
      <c r="X598" s="1445" t="e">
        <f ca="1"/>
        <v>#NAME?</v>
      </c>
      <c r="Y598" s="1446" t="e">
        <f ca="1"/>
        <v>#NAME?</v>
      </c>
      <c r="Z598" s="1408"/>
    </row>
    <row r="599" spans="1:26">
      <c r="A599" s="1487"/>
      <c r="B599" s="1488"/>
      <c r="C599" s="1489"/>
      <c r="D599" s="1490"/>
      <c r="E599" s="1487"/>
      <c r="F599" s="1488"/>
      <c r="G599" s="1489"/>
      <c r="H599" s="1490"/>
      <c r="I599" s="1487"/>
      <c r="J599" s="1488"/>
      <c r="K599" s="1489"/>
      <c r="L599" s="1490"/>
      <c r="M599" s="1487"/>
      <c r="N599" s="1488"/>
      <c r="O599" s="1489"/>
      <c r="P599" s="1490"/>
      <c r="X599" s="1445" t="e">
        <f ca="1"/>
        <v>#NAME?</v>
      </c>
      <c r="Y599" s="1446" t="e">
        <f ca="1"/>
        <v>#NAME?</v>
      </c>
      <c r="Z599" s="1408"/>
    </row>
    <row r="600" spans="1:26">
      <c r="A600" s="1487"/>
      <c r="B600" s="1488"/>
      <c r="C600" s="1489"/>
      <c r="D600" s="1490"/>
      <c r="E600" s="1487"/>
      <c r="F600" s="1488"/>
      <c r="G600" s="1489"/>
      <c r="H600" s="1490"/>
      <c r="I600" s="1487"/>
      <c r="J600" s="1488"/>
      <c r="K600" s="1489"/>
      <c r="L600" s="1490"/>
      <c r="M600" s="1487"/>
      <c r="N600" s="1488"/>
      <c r="O600" s="1489"/>
      <c r="P600" s="1490"/>
      <c r="X600" s="1445" t="e">
        <f ca="1"/>
        <v>#NAME?</v>
      </c>
      <c r="Y600" s="1446" t="e">
        <f ca="1"/>
        <v>#NAME?</v>
      </c>
      <c r="Z600" s="1408"/>
    </row>
    <row r="601" spans="1:26">
      <c r="A601" s="1487"/>
      <c r="B601" s="1488"/>
      <c r="C601" s="1489"/>
      <c r="D601" s="1490"/>
      <c r="E601" s="1487"/>
      <c r="F601" s="1488"/>
      <c r="G601" s="1489"/>
      <c r="H601" s="1490"/>
      <c r="I601" s="1487"/>
      <c r="J601" s="1488"/>
      <c r="K601" s="1489"/>
      <c r="L601" s="1490"/>
      <c r="M601" s="1487"/>
      <c r="N601" s="1488"/>
      <c r="O601" s="1489"/>
      <c r="P601" s="1490"/>
      <c r="X601" s="1445" t="e">
        <f ca="1"/>
        <v>#NAME?</v>
      </c>
      <c r="Y601" s="1446" t="e">
        <f ca="1"/>
        <v>#NAME?</v>
      </c>
      <c r="Z601" s="1408"/>
    </row>
    <row r="602" spans="1:26">
      <c r="A602" s="1487"/>
      <c r="B602" s="1488"/>
      <c r="C602" s="1489"/>
      <c r="D602" s="1490"/>
      <c r="E602" s="1487"/>
      <c r="F602" s="1488"/>
      <c r="G602" s="1489"/>
      <c r="H602" s="1490"/>
      <c r="I602" s="1487"/>
      <c r="J602" s="1488"/>
      <c r="K602" s="1489"/>
      <c r="L602" s="1490"/>
      <c r="M602" s="1487"/>
      <c r="N602" s="1488"/>
      <c r="O602" s="1489"/>
      <c r="P602" s="1490"/>
      <c r="X602" s="1445" t="e">
        <f ca="1"/>
        <v>#NAME?</v>
      </c>
      <c r="Y602" s="1446" t="e">
        <f ca="1"/>
        <v>#NAME?</v>
      </c>
      <c r="Z602" s="1408"/>
    </row>
    <row r="603" spans="1:26">
      <c r="A603" s="1487"/>
      <c r="B603" s="1488"/>
      <c r="C603" s="1489"/>
      <c r="D603" s="1490"/>
      <c r="E603" s="1487"/>
      <c r="F603" s="1488"/>
      <c r="G603" s="1489"/>
      <c r="H603" s="1490"/>
      <c r="I603" s="1487"/>
      <c r="J603" s="1488"/>
      <c r="K603" s="1489"/>
      <c r="L603" s="1490"/>
      <c r="M603" s="1487"/>
      <c r="N603" s="1488"/>
      <c r="O603" s="1489"/>
      <c r="P603" s="1490"/>
      <c r="X603" s="1445" t="e">
        <f ca="1"/>
        <v>#NAME?</v>
      </c>
      <c r="Y603" s="1446" t="e">
        <f ca="1"/>
        <v>#NAME?</v>
      </c>
      <c r="Z603" s="1408"/>
    </row>
    <row r="604" spans="1:26">
      <c r="A604" s="1487"/>
      <c r="B604" s="1488"/>
      <c r="C604" s="1489"/>
      <c r="D604" s="1490"/>
      <c r="E604" s="1487"/>
      <c r="F604" s="1488"/>
      <c r="G604" s="1489"/>
      <c r="H604" s="1490"/>
      <c r="I604" s="1487"/>
      <c r="J604" s="1488"/>
      <c r="K604" s="1489"/>
      <c r="L604" s="1490"/>
      <c r="M604" s="1487"/>
      <c r="N604" s="1488"/>
      <c r="O604" s="1489"/>
      <c r="P604" s="1490"/>
      <c r="X604" s="1445" t="e">
        <f ca="1"/>
        <v>#NAME?</v>
      </c>
      <c r="Y604" s="1446" t="e">
        <f ca="1"/>
        <v>#NAME?</v>
      </c>
      <c r="Z604" s="1408"/>
    </row>
    <row r="605" spans="1:26">
      <c r="A605" s="1487"/>
      <c r="B605" s="1488"/>
      <c r="C605" s="1489"/>
      <c r="D605" s="1490"/>
      <c r="E605" s="1487"/>
      <c r="F605" s="1488"/>
      <c r="G605" s="1489"/>
      <c r="H605" s="1490"/>
      <c r="I605" s="1487"/>
      <c r="J605" s="1488"/>
      <c r="K605" s="1489"/>
      <c r="L605" s="1490"/>
      <c r="M605" s="1487"/>
      <c r="N605" s="1488"/>
      <c r="O605" s="1489"/>
      <c r="P605" s="1490"/>
      <c r="X605" s="1445" t="e">
        <f ca="1"/>
        <v>#NAME?</v>
      </c>
      <c r="Y605" s="1446" t="e">
        <f ca="1"/>
        <v>#NAME?</v>
      </c>
      <c r="Z605" s="1408"/>
    </row>
    <row r="606" spans="1:26">
      <c r="A606" s="1487"/>
      <c r="B606" s="1488"/>
      <c r="C606" s="1489"/>
      <c r="D606" s="1490"/>
      <c r="E606" s="1487"/>
      <c r="F606" s="1488"/>
      <c r="G606" s="1489"/>
      <c r="H606" s="1490"/>
      <c r="I606" s="1487"/>
      <c r="J606" s="1488"/>
      <c r="K606" s="1489"/>
      <c r="L606" s="1490"/>
      <c r="M606" s="1487"/>
      <c r="N606" s="1488"/>
      <c r="O606" s="1489"/>
      <c r="P606" s="1490"/>
      <c r="X606" s="1445" t="e">
        <f ca="1"/>
        <v>#NAME?</v>
      </c>
      <c r="Y606" s="1446" t="e">
        <f ca="1"/>
        <v>#NAME?</v>
      </c>
      <c r="Z606" s="1408"/>
    </row>
    <row r="607" spans="1:26">
      <c r="A607" s="1487"/>
      <c r="B607" s="1488"/>
      <c r="C607" s="1489"/>
      <c r="D607" s="1490"/>
      <c r="E607" s="1487"/>
      <c r="F607" s="1488"/>
      <c r="G607" s="1489"/>
      <c r="H607" s="1490"/>
      <c r="I607" s="1487"/>
      <c r="J607" s="1488"/>
      <c r="K607" s="1489"/>
      <c r="L607" s="1490"/>
      <c r="M607" s="1487"/>
      <c r="N607" s="1488"/>
      <c r="O607" s="1489"/>
      <c r="P607" s="1490"/>
      <c r="X607" s="1445" t="e">
        <f ca="1"/>
        <v>#NAME?</v>
      </c>
      <c r="Y607" s="1446" t="e">
        <f ca="1"/>
        <v>#NAME?</v>
      </c>
      <c r="Z607" s="1408"/>
    </row>
    <row r="608" spans="1:26">
      <c r="A608" s="1487"/>
      <c r="B608" s="1488"/>
      <c r="C608" s="1489"/>
      <c r="D608" s="1490"/>
      <c r="E608" s="1487"/>
      <c r="F608" s="1488"/>
      <c r="G608" s="1489"/>
      <c r="H608" s="1490"/>
      <c r="I608" s="1487"/>
      <c r="J608" s="1488"/>
      <c r="K608" s="1489"/>
      <c r="L608" s="1490"/>
      <c r="M608" s="1487"/>
      <c r="N608" s="1488"/>
      <c r="O608" s="1489"/>
      <c r="P608" s="1490"/>
      <c r="X608" s="1445" t="e">
        <f ca="1"/>
        <v>#NAME?</v>
      </c>
      <c r="Y608" s="1446" t="e">
        <f ca="1"/>
        <v>#NAME?</v>
      </c>
      <c r="Z608" s="1408"/>
    </row>
    <row r="609" spans="1:26">
      <c r="A609" s="1487"/>
      <c r="B609" s="1488"/>
      <c r="C609" s="1489"/>
      <c r="D609" s="1490"/>
      <c r="E609" s="1487"/>
      <c r="F609" s="1488"/>
      <c r="G609" s="1489"/>
      <c r="H609" s="1490"/>
      <c r="I609" s="1487"/>
      <c r="J609" s="1488"/>
      <c r="K609" s="1489"/>
      <c r="L609" s="1490"/>
      <c r="M609" s="1487"/>
      <c r="N609" s="1488"/>
      <c r="O609" s="1489"/>
      <c r="P609" s="1490"/>
      <c r="X609" s="1445" t="e">
        <f ca="1"/>
        <v>#NAME?</v>
      </c>
      <c r="Y609" s="1446" t="e">
        <f ca="1"/>
        <v>#NAME?</v>
      </c>
      <c r="Z609" s="1408"/>
    </row>
    <row r="610" spans="1:26">
      <c r="A610" s="1487"/>
      <c r="B610" s="1488"/>
      <c r="C610" s="1489"/>
      <c r="D610" s="1490"/>
      <c r="E610" s="1487"/>
      <c r="F610" s="1488"/>
      <c r="G610" s="1489"/>
      <c r="H610" s="1490"/>
      <c r="I610" s="1487"/>
      <c r="J610" s="1488"/>
      <c r="K610" s="1489"/>
      <c r="L610" s="1490"/>
      <c r="M610" s="1487"/>
      <c r="N610" s="1488"/>
      <c r="O610" s="1489"/>
      <c r="P610" s="1490"/>
      <c r="X610" s="1445" t="e">
        <f ca="1"/>
        <v>#NAME?</v>
      </c>
      <c r="Y610" s="1446" t="e">
        <f ca="1"/>
        <v>#NAME?</v>
      </c>
      <c r="Z610" s="1408"/>
    </row>
    <row r="611" spans="1:26">
      <c r="A611" s="1487"/>
      <c r="B611" s="1488"/>
      <c r="C611" s="1489"/>
      <c r="D611" s="1490"/>
      <c r="E611" s="1487"/>
      <c r="F611" s="1488"/>
      <c r="G611" s="1489"/>
      <c r="H611" s="1490"/>
      <c r="I611" s="1487"/>
      <c r="J611" s="1488"/>
      <c r="K611" s="1489"/>
      <c r="L611" s="1490"/>
      <c r="M611" s="1487"/>
      <c r="N611" s="1488"/>
      <c r="O611" s="1489"/>
      <c r="P611" s="1490"/>
      <c r="X611" s="1445" t="e">
        <f ca="1"/>
        <v>#NAME?</v>
      </c>
      <c r="Y611" s="1446" t="e">
        <f ca="1"/>
        <v>#NAME?</v>
      </c>
      <c r="Z611" s="1408"/>
    </row>
    <row r="612" spans="1:26">
      <c r="A612" s="1487"/>
      <c r="B612" s="1488"/>
      <c r="C612" s="1489"/>
      <c r="D612" s="1490"/>
      <c r="E612" s="1487"/>
      <c r="F612" s="1488"/>
      <c r="G612" s="1489"/>
      <c r="H612" s="1490"/>
      <c r="I612" s="1487"/>
      <c r="J612" s="1488"/>
      <c r="K612" s="1489"/>
      <c r="L612" s="1490"/>
      <c r="M612" s="1487"/>
      <c r="N612" s="1488"/>
      <c r="O612" s="1489"/>
      <c r="P612" s="1490"/>
      <c r="X612" s="1445" t="e">
        <f ca="1"/>
        <v>#NAME?</v>
      </c>
      <c r="Y612" s="1446" t="e">
        <f ca="1"/>
        <v>#NAME?</v>
      </c>
      <c r="Z612" s="1408"/>
    </row>
    <row r="613" spans="1:26">
      <c r="A613" s="1487"/>
      <c r="B613" s="1488"/>
      <c r="C613" s="1489"/>
      <c r="D613" s="1490"/>
      <c r="E613" s="1487"/>
      <c r="F613" s="1488"/>
      <c r="G613" s="1489"/>
      <c r="H613" s="1490"/>
      <c r="I613" s="1487"/>
      <c r="J613" s="1488"/>
      <c r="K613" s="1489"/>
      <c r="L613" s="1490"/>
      <c r="M613" s="1487"/>
      <c r="N613" s="1488"/>
      <c r="O613" s="1489"/>
      <c r="P613" s="1490"/>
      <c r="X613" s="1445" t="e">
        <f ca="1"/>
        <v>#NAME?</v>
      </c>
      <c r="Y613" s="1446" t="e">
        <f ca="1"/>
        <v>#NAME?</v>
      </c>
      <c r="Z613" s="1408"/>
    </row>
    <row r="614" spans="1:26">
      <c r="A614" s="1487"/>
      <c r="B614" s="1488"/>
      <c r="C614" s="1489"/>
      <c r="D614" s="1490"/>
      <c r="E614" s="1487"/>
      <c r="F614" s="1488"/>
      <c r="G614" s="1489"/>
      <c r="H614" s="1490"/>
      <c r="I614" s="1487"/>
      <c r="J614" s="1488"/>
      <c r="K614" s="1489"/>
      <c r="L614" s="1490"/>
      <c r="M614" s="1487"/>
      <c r="N614" s="1488"/>
      <c r="O614" s="1489"/>
      <c r="P614" s="1490"/>
      <c r="X614" s="1445" t="e">
        <f ca="1"/>
        <v>#NAME?</v>
      </c>
      <c r="Y614" s="1446" t="e">
        <f ca="1"/>
        <v>#NAME?</v>
      </c>
      <c r="Z614" s="1408"/>
    </row>
    <row r="615" spans="1:26">
      <c r="A615" s="1487"/>
      <c r="B615" s="1488"/>
      <c r="C615" s="1489"/>
      <c r="D615" s="1490"/>
      <c r="E615" s="1487"/>
      <c r="F615" s="1488"/>
      <c r="G615" s="1489"/>
      <c r="H615" s="1490"/>
      <c r="I615" s="1487"/>
      <c r="J615" s="1488"/>
      <c r="K615" s="1489"/>
      <c r="L615" s="1490"/>
      <c r="M615" s="1487"/>
      <c r="N615" s="1488"/>
      <c r="O615" s="1489"/>
      <c r="P615" s="1490"/>
      <c r="X615" s="1445" t="e">
        <f ca="1"/>
        <v>#NAME?</v>
      </c>
      <c r="Y615" s="1446" t="e">
        <f ca="1"/>
        <v>#NAME?</v>
      </c>
      <c r="Z615" s="1408"/>
    </row>
    <row r="616" spans="1:26">
      <c r="A616" s="1487"/>
      <c r="B616" s="1488"/>
      <c r="C616" s="1489"/>
      <c r="D616" s="1490"/>
      <c r="E616" s="1487"/>
      <c r="F616" s="1488"/>
      <c r="G616" s="1489"/>
      <c r="H616" s="1490"/>
      <c r="I616" s="1487"/>
      <c r="J616" s="1488"/>
      <c r="K616" s="1489"/>
      <c r="L616" s="1490"/>
      <c r="M616" s="1487"/>
      <c r="N616" s="1488"/>
      <c r="O616" s="1489"/>
      <c r="P616" s="1490"/>
      <c r="X616" s="1445" t="e">
        <f ca="1"/>
        <v>#NAME?</v>
      </c>
      <c r="Y616" s="1446" t="e">
        <f ca="1"/>
        <v>#NAME?</v>
      </c>
      <c r="Z616" s="1408"/>
    </row>
    <row r="617" spans="1:26">
      <c r="A617" s="1487"/>
      <c r="B617" s="1488"/>
      <c r="C617" s="1489"/>
      <c r="D617" s="1490"/>
      <c r="E617" s="1487"/>
      <c r="F617" s="1488"/>
      <c r="G617" s="1489"/>
      <c r="H617" s="1490"/>
      <c r="I617" s="1487"/>
      <c r="J617" s="1488"/>
      <c r="K617" s="1489"/>
      <c r="L617" s="1490"/>
      <c r="M617" s="1487"/>
      <c r="N617" s="1488"/>
      <c r="O617" s="1489"/>
      <c r="P617" s="1490"/>
      <c r="X617" s="1445" t="e">
        <f ca="1"/>
        <v>#NAME?</v>
      </c>
      <c r="Y617" s="1446" t="e">
        <f ca="1"/>
        <v>#NAME?</v>
      </c>
      <c r="Z617" s="1408"/>
    </row>
    <row r="618" spans="1:26">
      <c r="A618" s="1487"/>
      <c r="B618" s="1488"/>
      <c r="C618" s="1489"/>
      <c r="D618" s="1490"/>
      <c r="E618" s="1487"/>
      <c r="F618" s="1488"/>
      <c r="G618" s="1489"/>
      <c r="H618" s="1490"/>
      <c r="I618" s="1487"/>
      <c r="J618" s="1488"/>
      <c r="K618" s="1489"/>
      <c r="L618" s="1490"/>
      <c r="M618" s="1487"/>
      <c r="N618" s="1488"/>
      <c r="O618" s="1489"/>
      <c r="P618" s="1490"/>
      <c r="X618" s="1445" t="e">
        <f ca="1"/>
        <v>#NAME?</v>
      </c>
      <c r="Y618" s="1446" t="e">
        <f ca="1"/>
        <v>#NAME?</v>
      </c>
      <c r="Z618" s="1408"/>
    </row>
    <row r="619" spans="1:26">
      <c r="A619" s="1487"/>
      <c r="B619" s="1488"/>
      <c r="C619" s="1489"/>
      <c r="D619" s="1490"/>
      <c r="E619" s="1487"/>
      <c r="F619" s="1488"/>
      <c r="G619" s="1489"/>
      <c r="H619" s="1490"/>
      <c r="I619" s="1487"/>
      <c r="J619" s="1488"/>
      <c r="K619" s="1489"/>
      <c r="L619" s="1490"/>
      <c r="M619" s="1487"/>
      <c r="N619" s="1488"/>
      <c r="O619" s="1489"/>
      <c r="P619" s="1490"/>
      <c r="X619" s="1445" t="e">
        <f ca="1"/>
        <v>#NAME?</v>
      </c>
      <c r="Y619" s="1446" t="e">
        <f ca="1"/>
        <v>#NAME?</v>
      </c>
      <c r="Z619" s="1408"/>
    </row>
    <row r="620" spans="1:26">
      <c r="A620" s="1487"/>
      <c r="B620" s="1488"/>
      <c r="C620" s="1489"/>
      <c r="D620" s="1490"/>
      <c r="E620" s="1487"/>
      <c r="F620" s="1488"/>
      <c r="G620" s="1489"/>
      <c r="H620" s="1490"/>
      <c r="I620" s="1487"/>
      <c r="J620" s="1488"/>
      <c r="K620" s="1489"/>
      <c r="L620" s="1490"/>
      <c r="M620" s="1487"/>
      <c r="N620" s="1488"/>
      <c r="O620" s="1489"/>
      <c r="P620" s="1490"/>
      <c r="X620" s="1445" t="e">
        <f ca="1"/>
        <v>#NAME?</v>
      </c>
      <c r="Y620" s="1446" t="e">
        <f ca="1"/>
        <v>#NAME?</v>
      </c>
      <c r="Z620" s="1408"/>
    </row>
    <row r="621" spans="1:26">
      <c r="A621" s="1487"/>
      <c r="B621" s="1488"/>
      <c r="C621" s="1489"/>
      <c r="D621" s="1490"/>
      <c r="E621" s="1487"/>
      <c r="F621" s="1488"/>
      <c r="G621" s="1489"/>
      <c r="H621" s="1490"/>
      <c r="I621" s="1487"/>
      <c r="J621" s="1488"/>
      <c r="K621" s="1489"/>
      <c r="L621" s="1490"/>
      <c r="M621" s="1487"/>
      <c r="N621" s="1488"/>
      <c r="O621" s="1489"/>
      <c r="P621" s="1490"/>
      <c r="X621" s="1445" t="e">
        <f ca="1"/>
        <v>#NAME?</v>
      </c>
      <c r="Y621" s="1446" t="e">
        <f ca="1"/>
        <v>#NAME?</v>
      </c>
      <c r="Z621" s="1408"/>
    </row>
    <row r="622" spans="1:26">
      <c r="A622" s="1487"/>
      <c r="B622" s="1488"/>
      <c r="C622" s="1489"/>
      <c r="D622" s="1490"/>
      <c r="E622" s="1487"/>
      <c r="F622" s="1488"/>
      <c r="G622" s="1489"/>
      <c r="H622" s="1490"/>
      <c r="I622" s="1487"/>
      <c r="J622" s="1488"/>
      <c r="K622" s="1489"/>
      <c r="L622" s="1490"/>
      <c r="M622" s="1487"/>
      <c r="N622" s="1488"/>
      <c r="O622" s="1489"/>
      <c r="P622" s="1490"/>
      <c r="X622" s="1445" t="e">
        <f ca="1"/>
        <v>#NAME?</v>
      </c>
      <c r="Y622" s="1446" t="e">
        <f ca="1"/>
        <v>#NAME?</v>
      </c>
      <c r="Z622" s="1408"/>
    </row>
    <row r="623" spans="1:26">
      <c r="A623" s="1487"/>
      <c r="B623" s="1488"/>
      <c r="C623" s="1489"/>
      <c r="D623" s="1490"/>
      <c r="E623" s="1487"/>
      <c r="F623" s="1488"/>
      <c r="G623" s="1489"/>
      <c r="H623" s="1490"/>
      <c r="I623" s="1487"/>
      <c r="J623" s="1488"/>
      <c r="K623" s="1489"/>
      <c r="L623" s="1490"/>
      <c r="M623" s="1487"/>
      <c r="N623" s="1488"/>
      <c r="O623" s="1489"/>
      <c r="P623" s="1490"/>
      <c r="X623" s="1445" t="e">
        <f ca="1"/>
        <v>#NAME?</v>
      </c>
      <c r="Y623" s="1446" t="e">
        <f ca="1"/>
        <v>#NAME?</v>
      </c>
      <c r="Z623" s="1408"/>
    </row>
    <row r="624" spans="1:26">
      <c r="A624" s="1487"/>
      <c r="B624" s="1488"/>
      <c r="C624" s="1489"/>
      <c r="D624" s="1490"/>
      <c r="E624" s="1487"/>
      <c r="F624" s="1488"/>
      <c r="G624" s="1489"/>
      <c r="H624" s="1490"/>
      <c r="I624" s="1487"/>
      <c r="J624" s="1488"/>
      <c r="K624" s="1489"/>
      <c r="L624" s="1490"/>
      <c r="M624" s="1487"/>
      <c r="N624" s="1488"/>
      <c r="O624" s="1489"/>
      <c r="P624" s="1490"/>
      <c r="X624" s="1445" t="e">
        <f ca="1"/>
        <v>#NAME?</v>
      </c>
      <c r="Y624" s="1446" t="e">
        <f ca="1"/>
        <v>#NAME?</v>
      </c>
      <c r="Z624" s="1408"/>
    </row>
    <row r="625" spans="1:26">
      <c r="A625" s="1487"/>
      <c r="B625" s="1488"/>
      <c r="C625" s="1489"/>
      <c r="D625" s="1490"/>
      <c r="E625" s="1487"/>
      <c r="F625" s="1488"/>
      <c r="G625" s="1489"/>
      <c r="H625" s="1490"/>
      <c r="I625" s="1487"/>
      <c r="J625" s="1488"/>
      <c r="K625" s="1489"/>
      <c r="L625" s="1490"/>
      <c r="M625" s="1487"/>
      <c r="N625" s="1488"/>
      <c r="O625" s="1489"/>
      <c r="P625" s="1490"/>
      <c r="X625" s="1445" t="e">
        <f ca="1"/>
        <v>#NAME?</v>
      </c>
      <c r="Y625" s="1446" t="e">
        <f ca="1"/>
        <v>#NAME?</v>
      </c>
      <c r="Z625" s="1408"/>
    </row>
    <row r="626" spans="1:26">
      <c r="A626" s="1487"/>
      <c r="B626" s="1488"/>
      <c r="C626" s="1489"/>
      <c r="D626" s="1490"/>
      <c r="E626" s="1487"/>
      <c r="F626" s="1488"/>
      <c r="G626" s="1489"/>
      <c r="H626" s="1490"/>
      <c r="I626" s="1487"/>
      <c r="J626" s="1488"/>
      <c r="K626" s="1489"/>
      <c r="L626" s="1490"/>
      <c r="M626" s="1487"/>
      <c r="N626" s="1488"/>
      <c r="O626" s="1489"/>
      <c r="P626" s="1490"/>
      <c r="X626" s="1445" t="e">
        <f ca="1"/>
        <v>#NAME?</v>
      </c>
      <c r="Y626" s="1446" t="e">
        <f ca="1"/>
        <v>#NAME?</v>
      </c>
      <c r="Z626" s="1408"/>
    </row>
    <row r="627" spans="1:26">
      <c r="A627" s="1487"/>
      <c r="B627" s="1488"/>
      <c r="C627" s="1489"/>
      <c r="D627" s="1490"/>
      <c r="E627" s="1487"/>
      <c r="F627" s="1488"/>
      <c r="G627" s="1489"/>
      <c r="H627" s="1490"/>
      <c r="I627" s="1487"/>
      <c r="J627" s="1488"/>
      <c r="K627" s="1489"/>
      <c r="L627" s="1490"/>
      <c r="M627" s="1487"/>
      <c r="N627" s="1488"/>
      <c r="O627" s="1489"/>
      <c r="P627" s="1490"/>
      <c r="X627" s="1445" t="e">
        <f ca="1"/>
        <v>#NAME?</v>
      </c>
      <c r="Y627" s="1446" t="e">
        <f ca="1"/>
        <v>#NAME?</v>
      </c>
      <c r="Z627" s="1408"/>
    </row>
    <row r="628" spans="1:26">
      <c r="A628" s="1487"/>
      <c r="B628" s="1488"/>
      <c r="C628" s="1489"/>
      <c r="D628" s="1490"/>
      <c r="E628" s="1487"/>
      <c r="F628" s="1488"/>
      <c r="G628" s="1489"/>
      <c r="H628" s="1490"/>
      <c r="I628" s="1487"/>
      <c r="J628" s="1488"/>
      <c r="K628" s="1489"/>
      <c r="L628" s="1490"/>
      <c r="M628" s="1487"/>
      <c r="N628" s="1488"/>
      <c r="O628" s="1489"/>
      <c r="P628" s="1490"/>
      <c r="X628" s="1445" t="e">
        <f ca="1"/>
        <v>#NAME?</v>
      </c>
      <c r="Y628" s="1446" t="e">
        <f ca="1"/>
        <v>#NAME?</v>
      </c>
      <c r="Z628" s="1408"/>
    </row>
    <row r="629" spans="1:26">
      <c r="A629" s="1487"/>
      <c r="B629" s="1488"/>
      <c r="C629" s="1489"/>
      <c r="D629" s="1490"/>
      <c r="E629" s="1487"/>
      <c r="F629" s="1488"/>
      <c r="G629" s="1489"/>
      <c r="H629" s="1490"/>
      <c r="I629" s="1487"/>
      <c r="J629" s="1488"/>
      <c r="K629" s="1489"/>
      <c r="L629" s="1490"/>
      <c r="M629" s="1487"/>
      <c r="N629" s="1488"/>
      <c r="O629" s="1489"/>
      <c r="P629" s="1490"/>
      <c r="X629" s="1445" t="e">
        <f ca="1"/>
        <v>#NAME?</v>
      </c>
      <c r="Y629" s="1446" t="e">
        <f ca="1"/>
        <v>#NAME?</v>
      </c>
      <c r="Z629" s="1408"/>
    </row>
    <row r="630" spans="1:26">
      <c r="A630" s="1487"/>
      <c r="B630" s="1488"/>
      <c r="C630" s="1489"/>
      <c r="D630" s="1490"/>
      <c r="E630" s="1487"/>
      <c r="F630" s="1488"/>
      <c r="G630" s="1489"/>
      <c r="H630" s="1490"/>
      <c r="I630" s="1487"/>
      <c r="J630" s="1488"/>
      <c r="K630" s="1489"/>
      <c r="L630" s="1490"/>
      <c r="M630" s="1487"/>
      <c r="N630" s="1488"/>
      <c r="O630" s="1489"/>
      <c r="P630" s="1490"/>
      <c r="X630" s="1445" t="e">
        <f ca="1"/>
        <v>#NAME?</v>
      </c>
      <c r="Y630" s="1446" t="e">
        <f ca="1"/>
        <v>#NAME?</v>
      </c>
      <c r="Z630" s="1408"/>
    </row>
    <row r="631" spans="1:26">
      <c r="A631" s="1487"/>
      <c r="B631" s="1488"/>
      <c r="C631" s="1489"/>
      <c r="D631" s="1490"/>
      <c r="E631" s="1487"/>
      <c r="F631" s="1488"/>
      <c r="G631" s="1489"/>
      <c r="H631" s="1490"/>
      <c r="I631" s="1487"/>
      <c r="J631" s="1488"/>
      <c r="K631" s="1489"/>
      <c r="L631" s="1490"/>
      <c r="M631" s="1487"/>
      <c r="N631" s="1488"/>
      <c r="O631" s="1489"/>
      <c r="P631" s="1490"/>
      <c r="X631" s="1445" t="e">
        <f ca="1"/>
        <v>#NAME?</v>
      </c>
      <c r="Y631" s="1446" t="e">
        <f ca="1"/>
        <v>#NAME?</v>
      </c>
      <c r="Z631" s="1408"/>
    </row>
    <row r="632" spans="1:26">
      <c r="A632" s="1487"/>
      <c r="B632" s="1488"/>
      <c r="C632" s="1489"/>
      <c r="D632" s="1490"/>
      <c r="E632" s="1487"/>
      <c r="F632" s="1488"/>
      <c r="G632" s="1489"/>
      <c r="H632" s="1490"/>
      <c r="I632" s="1487"/>
      <c r="J632" s="1488"/>
      <c r="K632" s="1489"/>
      <c r="L632" s="1490"/>
      <c r="M632" s="1487"/>
      <c r="N632" s="1488"/>
      <c r="O632" s="1489"/>
      <c r="P632" s="1490"/>
      <c r="X632" s="1445" t="e">
        <f ca="1"/>
        <v>#NAME?</v>
      </c>
      <c r="Y632" s="1446" t="e">
        <f ca="1"/>
        <v>#NAME?</v>
      </c>
      <c r="Z632" s="1408"/>
    </row>
    <row r="633" spans="1:26">
      <c r="A633" s="1487"/>
      <c r="B633" s="1488"/>
      <c r="C633" s="1489"/>
      <c r="D633" s="1490"/>
      <c r="E633" s="1487"/>
      <c r="F633" s="1488"/>
      <c r="G633" s="1489"/>
      <c r="H633" s="1490"/>
      <c r="I633" s="1487"/>
      <c r="J633" s="1488"/>
      <c r="K633" s="1489"/>
      <c r="L633" s="1490"/>
      <c r="M633" s="1487"/>
      <c r="N633" s="1488"/>
      <c r="O633" s="1489"/>
      <c r="P633" s="1490"/>
      <c r="X633" s="1445" t="e">
        <f ca="1"/>
        <v>#NAME?</v>
      </c>
      <c r="Y633" s="1446" t="e">
        <f ca="1"/>
        <v>#NAME?</v>
      </c>
      <c r="Z633" s="1408"/>
    </row>
    <row r="634" spans="1:26">
      <c r="A634" s="1487"/>
      <c r="B634" s="1488"/>
      <c r="C634" s="1489"/>
      <c r="D634" s="1490"/>
      <c r="E634" s="1487"/>
      <c r="F634" s="1488"/>
      <c r="G634" s="1489"/>
      <c r="H634" s="1490"/>
      <c r="I634" s="1487"/>
      <c r="J634" s="1488"/>
      <c r="K634" s="1489"/>
      <c r="L634" s="1490"/>
      <c r="M634" s="1487"/>
      <c r="N634" s="1488"/>
      <c r="O634" s="1489"/>
      <c r="P634" s="1490"/>
      <c r="X634" s="1445" t="e">
        <f ca="1"/>
        <v>#NAME?</v>
      </c>
      <c r="Y634" s="1446" t="e">
        <f ca="1"/>
        <v>#NAME?</v>
      </c>
      <c r="Z634" s="1408"/>
    </row>
    <row r="635" spans="1:26">
      <c r="A635" s="1487"/>
      <c r="B635" s="1488"/>
      <c r="C635" s="1489"/>
      <c r="D635" s="1490"/>
      <c r="E635" s="1487"/>
      <c r="F635" s="1488"/>
      <c r="G635" s="1489"/>
      <c r="H635" s="1490"/>
      <c r="I635" s="1487"/>
      <c r="J635" s="1488"/>
      <c r="K635" s="1489"/>
      <c r="L635" s="1490"/>
      <c r="M635" s="1487"/>
      <c r="N635" s="1488"/>
      <c r="O635" s="1489"/>
      <c r="P635" s="1490"/>
      <c r="X635" s="1445" t="e">
        <f ca="1"/>
        <v>#NAME?</v>
      </c>
      <c r="Y635" s="1446" t="e">
        <f ca="1"/>
        <v>#NAME?</v>
      </c>
      <c r="Z635" s="1408"/>
    </row>
    <row r="636" spans="1:26">
      <c r="A636" s="1487"/>
      <c r="B636" s="1488"/>
      <c r="C636" s="1489"/>
      <c r="D636" s="1490"/>
      <c r="E636" s="1487"/>
      <c r="F636" s="1488"/>
      <c r="G636" s="1489"/>
      <c r="H636" s="1490"/>
      <c r="I636" s="1487"/>
      <c r="J636" s="1488"/>
      <c r="K636" s="1489"/>
      <c r="L636" s="1490"/>
      <c r="M636" s="1487"/>
      <c r="N636" s="1488"/>
      <c r="O636" s="1489"/>
      <c r="P636" s="1490"/>
      <c r="X636" s="1445" t="e">
        <f ca="1"/>
        <v>#NAME?</v>
      </c>
      <c r="Y636" s="1446" t="e">
        <f ca="1"/>
        <v>#NAME?</v>
      </c>
      <c r="Z636" s="1408"/>
    </row>
    <row r="637" spans="1:26">
      <c r="A637" s="1487"/>
      <c r="B637" s="1488"/>
      <c r="C637" s="1489"/>
      <c r="D637" s="1490"/>
      <c r="E637" s="1487"/>
      <c r="F637" s="1488"/>
      <c r="G637" s="1489"/>
      <c r="H637" s="1490"/>
      <c r="I637" s="1487"/>
      <c r="J637" s="1488"/>
      <c r="K637" s="1489"/>
      <c r="L637" s="1490"/>
      <c r="M637" s="1487"/>
      <c r="N637" s="1488"/>
      <c r="O637" s="1489"/>
      <c r="P637" s="1490"/>
      <c r="X637" s="1445" t="e">
        <f ca="1"/>
        <v>#NAME?</v>
      </c>
      <c r="Y637" s="1446" t="e">
        <f ca="1"/>
        <v>#NAME?</v>
      </c>
      <c r="Z637" s="1408"/>
    </row>
    <row r="638" spans="1:26">
      <c r="A638" s="1487"/>
      <c r="B638" s="1488"/>
      <c r="C638" s="1489"/>
      <c r="D638" s="1490"/>
      <c r="E638" s="1487"/>
      <c r="F638" s="1488"/>
      <c r="G638" s="1489"/>
      <c r="H638" s="1490"/>
      <c r="I638" s="1487"/>
      <c r="J638" s="1488"/>
      <c r="K638" s="1489"/>
      <c r="L638" s="1490"/>
      <c r="M638" s="1487"/>
      <c r="N638" s="1488"/>
      <c r="O638" s="1489"/>
      <c r="P638" s="1490"/>
      <c r="X638" s="1445" t="e">
        <f ca="1"/>
        <v>#NAME?</v>
      </c>
      <c r="Y638" s="1446" t="e">
        <f ca="1"/>
        <v>#NAME?</v>
      </c>
      <c r="Z638" s="1408"/>
    </row>
    <row r="639" spans="1:26">
      <c r="A639" s="1487"/>
      <c r="B639" s="1488"/>
      <c r="C639" s="1489"/>
      <c r="D639" s="1490"/>
      <c r="E639" s="1487"/>
      <c r="F639" s="1488"/>
      <c r="G639" s="1489"/>
      <c r="H639" s="1490"/>
      <c r="I639" s="1487"/>
      <c r="J639" s="1488"/>
      <c r="K639" s="1489"/>
      <c r="L639" s="1490"/>
      <c r="M639" s="1487"/>
      <c r="N639" s="1488"/>
      <c r="O639" s="1489"/>
      <c r="P639" s="1490"/>
      <c r="X639" s="1445" t="e">
        <f ca="1"/>
        <v>#NAME?</v>
      </c>
      <c r="Y639" s="1446" t="e">
        <f ca="1"/>
        <v>#NAME?</v>
      </c>
      <c r="Z639" s="1408"/>
    </row>
    <row r="640" spans="1:26">
      <c r="A640" s="1487"/>
      <c r="B640" s="1488"/>
      <c r="C640" s="1489"/>
      <c r="D640" s="1490"/>
      <c r="E640" s="1487"/>
      <c r="F640" s="1488"/>
      <c r="G640" s="1489"/>
      <c r="H640" s="1490"/>
      <c r="I640" s="1487"/>
      <c r="J640" s="1488"/>
      <c r="K640" s="1489"/>
      <c r="L640" s="1490"/>
      <c r="M640" s="1487"/>
      <c r="N640" s="1488"/>
      <c r="O640" s="1489"/>
      <c r="P640" s="1490"/>
      <c r="X640" s="1445" t="e">
        <f ca="1"/>
        <v>#NAME?</v>
      </c>
      <c r="Y640" s="1446" t="e">
        <f ca="1"/>
        <v>#NAME?</v>
      </c>
      <c r="Z640" s="1408"/>
    </row>
    <row r="641" spans="1:26">
      <c r="A641" s="1487"/>
      <c r="B641" s="1488"/>
      <c r="C641" s="1489"/>
      <c r="D641" s="1490"/>
      <c r="E641" s="1487"/>
      <c r="F641" s="1488"/>
      <c r="G641" s="1489"/>
      <c r="H641" s="1490"/>
      <c r="I641" s="1487"/>
      <c r="J641" s="1488"/>
      <c r="K641" s="1489"/>
      <c r="L641" s="1490"/>
      <c r="M641" s="1487"/>
      <c r="N641" s="1488"/>
      <c r="O641" s="1489"/>
      <c r="P641" s="1490"/>
      <c r="X641" s="1445" t="e">
        <f ca="1"/>
        <v>#NAME?</v>
      </c>
      <c r="Y641" s="1446" t="e">
        <f ca="1"/>
        <v>#NAME?</v>
      </c>
      <c r="Z641" s="1408"/>
    </row>
    <row r="642" spans="1:26">
      <c r="A642" s="1487"/>
      <c r="B642" s="1488"/>
      <c r="C642" s="1489"/>
      <c r="D642" s="1490"/>
      <c r="E642" s="1487"/>
      <c r="F642" s="1488"/>
      <c r="G642" s="1489"/>
      <c r="H642" s="1490"/>
      <c r="I642" s="1487"/>
      <c r="J642" s="1488"/>
      <c r="K642" s="1489"/>
      <c r="L642" s="1490"/>
      <c r="M642" s="1487"/>
      <c r="N642" s="1488"/>
      <c r="O642" s="1489"/>
      <c r="P642" s="1490"/>
      <c r="X642" s="1445" t="e">
        <f ca="1"/>
        <v>#NAME?</v>
      </c>
      <c r="Y642" s="1446" t="e">
        <f ca="1"/>
        <v>#NAME?</v>
      </c>
      <c r="Z642" s="1408"/>
    </row>
    <row r="643" spans="1:26">
      <c r="A643" s="1487"/>
      <c r="B643" s="1488"/>
      <c r="C643" s="1489"/>
      <c r="D643" s="1490"/>
      <c r="E643" s="1487"/>
      <c r="F643" s="1488"/>
      <c r="G643" s="1489"/>
      <c r="H643" s="1490"/>
      <c r="I643" s="1487"/>
      <c r="J643" s="1488"/>
      <c r="K643" s="1489"/>
      <c r="L643" s="1490"/>
      <c r="M643" s="1487"/>
      <c r="N643" s="1488"/>
      <c r="O643" s="1489"/>
      <c r="P643" s="1490"/>
      <c r="X643" s="1445" t="e">
        <f ca="1"/>
        <v>#NAME?</v>
      </c>
      <c r="Y643" s="1446" t="e">
        <f ca="1"/>
        <v>#NAME?</v>
      </c>
      <c r="Z643" s="1408"/>
    </row>
    <row r="644" spans="1:26">
      <c r="A644" s="1487"/>
      <c r="B644" s="1488"/>
      <c r="C644" s="1489"/>
      <c r="D644" s="1490"/>
      <c r="E644" s="1487"/>
      <c r="F644" s="1488"/>
      <c r="G644" s="1489"/>
      <c r="H644" s="1490"/>
      <c r="I644" s="1487"/>
      <c r="J644" s="1488"/>
      <c r="K644" s="1489"/>
      <c r="L644" s="1490"/>
      <c r="M644" s="1487"/>
      <c r="N644" s="1488"/>
      <c r="O644" s="1489"/>
      <c r="P644" s="1490"/>
      <c r="X644" s="1445" t="e">
        <f ca="1"/>
        <v>#NAME?</v>
      </c>
      <c r="Y644" s="1446" t="e">
        <f ca="1"/>
        <v>#NAME?</v>
      </c>
      <c r="Z644" s="1408"/>
    </row>
    <row r="645" spans="1:26">
      <c r="A645" s="1487"/>
      <c r="B645" s="1488"/>
      <c r="C645" s="1489"/>
      <c r="D645" s="1490"/>
      <c r="E645" s="1487"/>
      <c r="F645" s="1488"/>
      <c r="G645" s="1489"/>
      <c r="H645" s="1490"/>
      <c r="I645" s="1487"/>
      <c r="J645" s="1488"/>
      <c r="K645" s="1489"/>
      <c r="L645" s="1490"/>
      <c r="M645" s="1487"/>
      <c r="N645" s="1488"/>
      <c r="O645" s="1489"/>
      <c r="P645" s="1490"/>
      <c r="X645" s="1445" t="e">
        <f ca="1"/>
        <v>#NAME?</v>
      </c>
      <c r="Y645" s="1446" t="e">
        <f ca="1"/>
        <v>#NAME?</v>
      </c>
      <c r="Z645" s="1408"/>
    </row>
    <row r="646" spans="1:26">
      <c r="A646" s="1487"/>
      <c r="B646" s="1488"/>
      <c r="C646" s="1489"/>
      <c r="D646" s="1490"/>
      <c r="E646" s="1487"/>
      <c r="F646" s="1488"/>
      <c r="G646" s="1489"/>
      <c r="H646" s="1490"/>
      <c r="I646" s="1487"/>
      <c r="J646" s="1488"/>
      <c r="K646" s="1489"/>
      <c r="L646" s="1490"/>
      <c r="M646" s="1487"/>
      <c r="N646" s="1488"/>
      <c r="O646" s="1489"/>
      <c r="P646" s="1490"/>
      <c r="X646" s="1445" t="e">
        <f ca="1"/>
        <v>#NAME?</v>
      </c>
      <c r="Y646" s="1446" t="e">
        <f ca="1"/>
        <v>#NAME?</v>
      </c>
      <c r="Z646" s="1408"/>
    </row>
    <row r="647" spans="1:26">
      <c r="A647" s="1487"/>
      <c r="B647" s="1488"/>
      <c r="C647" s="1489"/>
      <c r="D647" s="1490"/>
      <c r="E647" s="1487"/>
      <c r="F647" s="1488"/>
      <c r="G647" s="1489"/>
      <c r="H647" s="1490"/>
      <c r="I647" s="1487"/>
      <c r="J647" s="1488"/>
      <c r="K647" s="1489"/>
      <c r="L647" s="1490"/>
      <c r="M647" s="1487"/>
      <c r="N647" s="1488"/>
      <c r="O647" s="1489"/>
      <c r="P647" s="1490"/>
      <c r="X647" s="1445" t="e">
        <f ca="1"/>
        <v>#NAME?</v>
      </c>
      <c r="Y647" s="1446" t="e">
        <f ca="1"/>
        <v>#NAME?</v>
      </c>
      <c r="Z647" s="1408"/>
    </row>
    <row r="648" spans="1:26">
      <c r="A648" s="1487"/>
      <c r="B648" s="1488"/>
      <c r="C648" s="1489"/>
      <c r="D648" s="1490"/>
      <c r="E648" s="1487"/>
      <c r="F648" s="1488"/>
      <c r="G648" s="1489"/>
      <c r="H648" s="1490"/>
      <c r="I648" s="1487"/>
      <c r="J648" s="1488"/>
      <c r="K648" s="1489"/>
      <c r="L648" s="1490"/>
      <c r="M648" s="1487"/>
      <c r="N648" s="1488"/>
      <c r="O648" s="1489"/>
      <c r="P648" s="1490"/>
      <c r="X648" s="1445" t="e">
        <f ca="1"/>
        <v>#NAME?</v>
      </c>
      <c r="Y648" s="1446" t="e">
        <f ca="1"/>
        <v>#NAME?</v>
      </c>
      <c r="Z648" s="1408"/>
    </row>
    <row r="649" spans="1:26">
      <c r="A649" s="1487"/>
      <c r="B649" s="1488"/>
      <c r="C649" s="1489"/>
      <c r="D649" s="1490"/>
      <c r="E649" s="1487"/>
      <c r="F649" s="1488"/>
      <c r="G649" s="1489"/>
      <c r="H649" s="1490"/>
      <c r="I649" s="1487"/>
      <c r="J649" s="1488"/>
      <c r="K649" s="1489"/>
      <c r="L649" s="1490"/>
      <c r="M649" s="1487"/>
      <c r="N649" s="1488"/>
      <c r="O649" s="1489"/>
      <c r="P649" s="1490"/>
      <c r="X649" s="1445" t="e">
        <f ca="1"/>
        <v>#NAME?</v>
      </c>
      <c r="Y649" s="1446" t="e">
        <f ca="1"/>
        <v>#NAME?</v>
      </c>
      <c r="Z649" s="1408"/>
    </row>
    <row r="650" spans="1:26">
      <c r="A650" s="1487"/>
      <c r="B650" s="1488"/>
      <c r="C650" s="1489"/>
      <c r="D650" s="1490"/>
      <c r="E650" s="1487"/>
      <c r="F650" s="1488"/>
      <c r="G650" s="1489"/>
      <c r="H650" s="1490"/>
      <c r="I650" s="1487"/>
      <c r="J650" s="1488"/>
      <c r="K650" s="1489"/>
      <c r="L650" s="1490"/>
      <c r="M650" s="1487"/>
      <c r="N650" s="1488"/>
      <c r="O650" s="1489"/>
      <c r="P650" s="1490"/>
      <c r="X650" s="1445" t="e">
        <f ca="1"/>
        <v>#NAME?</v>
      </c>
      <c r="Y650" s="1446" t="e">
        <f ca="1"/>
        <v>#NAME?</v>
      </c>
      <c r="Z650" s="1408"/>
    </row>
    <row r="651" spans="1:26">
      <c r="A651" s="1487"/>
      <c r="B651" s="1488"/>
      <c r="C651" s="1489"/>
      <c r="D651" s="1490"/>
      <c r="E651" s="1487"/>
      <c r="F651" s="1488"/>
      <c r="G651" s="1489"/>
      <c r="H651" s="1490"/>
      <c r="I651" s="1487"/>
      <c r="J651" s="1488"/>
      <c r="K651" s="1489"/>
      <c r="L651" s="1490"/>
      <c r="M651" s="1487"/>
      <c r="N651" s="1488"/>
      <c r="O651" s="1489"/>
      <c r="P651" s="1490"/>
      <c r="X651" s="1445" t="e">
        <f ca="1"/>
        <v>#NAME?</v>
      </c>
      <c r="Y651" s="1446" t="e">
        <f ca="1"/>
        <v>#NAME?</v>
      </c>
      <c r="Z651" s="1408"/>
    </row>
    <row r="652" spans="1:26">
      <c r="A652" s="1487"/>
      <c r="B652" s="1488"/>
      <c r="C652" s="1489"/>
      <c r="D652" s="1490"/>
      <c r="E652" s="1487"/>
      <c r="F652" s="1488"/>
      <c r="G652" s="1489"/>
      <c r="H652" s="1490"/>
      <c r="I652" s="1487"/>
      <c r="J652" s="1488"/>
      <c r="K652" s="1489"/>
      <c r="L652" s="1490"/>
      <c r="M652" s="1487"/>
      <c r="N652" s="1488"/>
      <c r="O652" s="1489"/>
      <c r="P652" s="1490"/>
      <c r="X652" s="1445" t="e">
        <f ca="1"/>
        <v>#NAME?</v>
      </c>
      <c r="Y652" s="1446" t="e">
        <f ca="1"/>
        <v>#NAME?</v>
      </c>
      <c r="Z652" s="1408"/>
    </row>
    <row r="653" spans="1:26">
      <c r="A653" s="1487"/>
      <c r="B653" s="1488"/>
      <c r="C653" s="1489"/>
      <c r="D653" s="1490"/>
      <c r="E653" s="1487"/>
      <c r="F653" s="1488"/>
      <c r="G653" s="1489"/>
      <c r="H653" s="1490"/>
      <c r="I653" s="1487"/>
      <c r="J653" s="1488"/>
      <c r="K653" s="1489"/>
      <c r="L653" s="1490"/>
      <c r="M653" s="1487"/>
      <c r="N653" s="1488"/>
      <c r="O653" s="1489"/>
      <c r="P653" s="1490"/>
      <c r="X653" s="1445" t="e">
        <f ca="1"/>
        <v>#NAME?</v>
      </c>
      <c r="Y653" s="1446" t="e">
        <f ca="1"/>
        <v>#NAME?</v>
      </c>
      <c r="Z653" s="1408"/>
    </row>
    <row r="654" spans="1:26">
      <c r="A654" s="1487"/>
      <c r="B654" s="1488"/>
      <c r="C654" s="1489"/>
      <c r="D654" s="1490"/>
      <c r="E654" s="1487"/>
      <c r="F654" s="1488"/>
      <c r="G654" s="1489"/>
      <c r="H654" s="1490"/>
      <c r="I654" s="1487"/>
      <c r="J654" s="1488"/>
      <c r="K654" s="1489"/>
      <c r="L654" s="1490"/>
      <c r="M654" s="1487"/>
      <c r="N654" s="1488"/>
      <c r="O654" s="1489"/>
      <c r="P654" s="1490"/>
      <c r="X654" s="1445" t="e">
        <f ca="1"/>
        <v>#NAME?</v>
      </c>
      <c r="Y654" s="1446" t="e">
        <f ca="1"/>
        <v>#NAME?</v>
      </c>
      <c r="Z654" s="1408"/>
    </row>
    <row r="655" spans="1:26">
      <c r="A655" s="1487"/>
      <c r="B655" s="1488"/>
      <c r="C655" s="1489"/>
      <c r="D655" s="1490"/>
      <c r="E655" s="1487"/>
      <c r="F655" s="1488"/>
      <c r="G655" s="1489"/>
      <c r="H655" s="1490"/>
      <c r="I655" s="1487"/>
      <c r="J655" s="1488"/>
      <c r="K655" s="1489"/>
      <c r="L655" s="1490"/>
      <c r="M655" s="1487"/>
      <c r="N655" s="1488"/>
      <c r="O655" s="1489"/>
      <c r="P655" s="1490"/>
      <c r="X655" s="1445" t="e">
        <f ca="1"/>
        <v>#NAME?</v>
      </c>
      <c r="Y655" s="1446" t="e">
        <f ca="1"/>
        <v>#NAME?</v>
      </c>
      <c r="Z655" s="1408"/>
    </row>
    <row r="656" spans="1:26">
      <c r="A656" s="1487"/>
      <c r="B656" s="1488"/>
      <c r="C656" s="1489"/>
      <c r="D656" s="1490"/>
      <c r="E656" s="1487"/>
      <c r="F656" s="1488"/>
      <c r="G656" s="1489"/>
      <c r="H656" s="1490"/>
      <c r="I656" s="1487"/>
      <c r="J656" s="1488"/>
      <c r="K656" s="1489"/>
      <c r="L656" s="1490"/>
      <c r="M656" s="1487"/>
      <c r="N656" s="1488"/>
      <c r="O656" s="1489"/>
      <c r="P656" s="1490"/>
      <c r="X656" s="1445" t="e">
        <f ca="1"/>
        <v>#NAME?</v>
      </c>
      <c r="Y656" s="1446" t="e">
        <f ca="1"/>
        <v>#NAME?</v>
      </c>
      <c r="Z656" s="1408"/>
    </row>
    <row r="657" spans="1:26">
      <c r="A657" s="1487"/>
      <c r="B657" s="1488"/>
      <c r="C657" s="1489"/>
      <c r="D657" s="1490"/>
      <c r="E657" s="1487"/>
      <c r="F657" s="1488"/>
      <c r="G657" s="1489"/>
      <c r="H657" s="1490"/>
      <c r="I657" s="1487"/>
      <c r="J657" s="1488"/>
      <c r="K657" s="1489"/>
      <c r="L657" s="1490"/>
      <c r="M657" s="1487"/>
      <c r="N657" s="1488"/>
      <c r="O657" s="1489"/>
      <c r="P657" s="1490"/>
      <c r="X657" s="1445" t="e">
        <f ca="1"/>
        <v>#NAME?</v>
      </c>
      <c r="Y657" s="1446" t="e">
        <f ca="1"/>
        <v>#NAME?</v>
      </c>
      <c r="Z657" s="1408"/>
    </row>
    <row r="658" spans="1:26">
      <c r="A658" s="1487"/>
      <c r="B658" s="1488"/>
      <c r="C658" s="1489"/>
      <c r="D658" s="1490"/>
      <c r="E658" s="1487"/>
      <c r="F658" s="1488"/>
      <c r="G658" s="1489"/>
      <c r="H658" s="1490"/>
      <c r="I658" s="1487"/>
      <c r="J658" s="1488"/>
      <c r="K658" s="1489"/>
      <c r="L658" s="1490"/>
      <c r="M658" s="1487"/>
      <c r="N658" s="1488"/>
      <c r="O658" s="1489"/>
      <c r="P658" s="1490"/>
      <c r="X658" s="1445" t="e">
        <f ca="1"/>
        <v>#NAME?</v>
      </c>
      <c r="Y658" s="1446" t="e">
        <f ca="1"/>
        <v>#NAME?</v>
      </c>
      <c r="Z658" s="1408"/>
    </row>
    <row r="659" spans="1:26">
      <c r="A659" s="1487"/>
      <c r="B659" s="1488"/>
      <c r="C659" s="1489"/>
      <c r="D659" s="1490"/>
      <c r="E659" s="1487"/>
      <c r="F659" s="1488"/>
      <c r="G659" s="1489"/>
      <c r="H659" s="1490"/>
      <c r="I659" s="1487"/>
      <c r="J659" s="1488"/>
      <c r="K659" s="1489"/>
      <c r="L659" s="1490"/>
      <c r="M659" s="1487"/>
      <c r="N659" s="1488"/>
      <c r="O659" s="1489"/>
      <c r="P659" s="1490"/>
      <c r="X659" s="1445" t="e">
        <f ca="1"/>
        <v>#NAME?</v>
      </c>
      <c r="Y659" s="1446" t="e">
        <f ca="1"/>
        <v>#NAME?</v>
      </c>
      <c r="Z659" s="1408"/>
    </row>
    <row r="660" spans="1:26">
      <c r="A660" s="1487"/>
      <c r="B660" s="1488"/>
      <c r="C660" s="1489"/>
      <c r="D660" s="1490"/>
      <c r="E660" s="1487"/>
      <c r="F660" s="1488"/>
      <c r="G660" s="1489"/>
      <c r="H660" s="1490"/>
      <c r="I660" s="1487"/>
      <c r="J660" s="1488"/>
      <c r="K660" s="1489"/>
      <c r="L660" s="1490"/>
      <c r="M660" s="1487"/>
      <c r="N660" s="1488"/>
      <c r="O660" s="1489"/>
      <c r="P660" s="1490"/>
      <c r="X660" s="1445" t="e">
        <f ca="1"/>
        <v>#NAME?</v>
      </c>
      <c r="Y660" s="1446" t="e">
        <f ca="1"/>
        <v>#NAME?</v>
      </c>
      <c r="Z660" s="1408"/>
    </row>
    <row r="661" spans="1:26">
      <c r="A661" s="1487"/>
      <c r="B661" s="1488"/>
      <c r="C661" s="1489"/>
      <c r="D661" s="1490"/>
      <c r="E661" s="1487"/>
      <c r="F661" s="1488"/>
      <c r="G661" s="1489"/>
      <c r="H661" s="1490"/>
      <c r="I661" s="1487"/>
      <c r="J661" s="1488"/>
      <c r="K661" s="1489"/>
      <c r="L661" s="1490"/>
      <c r="M661" s="1487"/>
      <c r="N661" s="1488"/>
      <c r="O661" s="1489"/>
      <c r="P661" s="1490"/>
      <c r="X661" s="1445" t="e">
        <f ca="1"/>
        <v>#NAME?</v>
      </c>
      <c r="Y661" s="1446" t="e">
        <f ca="1"/>
        <v>#NAME?</v>
      </c>
      <c r="Z661" s="1408"/>
    </row>
    <row r="662" spans="1:26">
      <c r="A662" s="1487"/>
      <c r="B662" s="1488"/>
      <c r="C662" s="1489"/>
      <c r="D662" s="1490"/>
      <c r="E662" s="1487"/>
      <c r="F662" s="1488"/>
      <c r="G662" s="1489"/>
      <c r="H662" s="1490"/>
      <c r="I662" s="1487"/>
      <c r="J662" s="1488"/>
      <c r="K662" s="1489"/>
      <c r="L662" s="1490"/>
      <c r="M662" s="1487"/>
      <c r="N662" s="1488"/>
      <c r="O662" s="1489"/>
      <c r="P662" s="1490"/>
      <c r="X662" s="1445" t="e">
        <f ca="1"/>
        <v>#NAME?</v>
      </c>
      <c r="Y662" s="1446" t="e">
        <f ca="1"/>
        <v>#NAME?</v>
      </c>
      <c r="Z662" s="1408"/>
    </row>
    <row r="663" spans="1:26">
      <c r="A663" s="1487"/>
      <c r="B663" s="1488"/>
      <c r="C663" s="1489"/>
      <c r="D663" s="1490"/>
      <c r="E663" s="1487"/>
      <c r="F663" s="1488"/>
      <c r="G663" s="1489"/>
      <c r="H663" s="1490"/>
      <c r="I663" s="1487"/>
      <c r="J663" s="1488"/>
      <c r="K663" s="1489"/>
      <c r="L663" s="1490"/>
      <c r="M663" s="1487"/>
      <c r="N663" s="1488"/>
      <c r="O663" s="1489"/>
      <c r="P663" s="1490"/>
      <c r="X663" s="1445" t="e">
        <f ca="1"/>
        <v>#NAME?</v>
      </c>
      <c r="Y663" s="1446" t="e">
        <f ca="1"/>
        <v>#NAME?</v>
      </c>
      <c r="Z663" s="1408"/>
    </row>
    <row r="664" spans="1:26">
      <c r="A664" s="1487"/>
      <c r="B664" s="1488"/>
      <c r="C664" s="1489"/>
      <c r="D664" s="1490"/>
      <c r="E664" s="1487"/>
      <c r="F664" s="1488"/>
      <c r="G664" s="1489"/>
      <c r="H664" s="1490"/>
      <c r="I664" s="1487"/>
      <c r="J664" s="1488"/>
      <c r="K664" s="1489"/>
      <c r="L664" s="1490"/>
      <c r="M664" s="1487"/>
      <c r="N664" s="1488"/>
      <c r="O664" s="1489"/>
      <c r="P664" s="1490"/>
      <c r="X664" s="1445" t="e">
        <f ca="1"/>
        <v>#NAME?</v>
      </c>
      <c r="Y664" s="1446" t="e">
        <f ca="1"/>
        <v>#NAME?</v>
      </c>
      <c r="Z664" s="1408"/>
    </row>
    <row r="665" spans="1:26">
      <c r="A665" s="1487"/>
      <c r="B665" s="1488"/>
      <c r="C665" s="1489"/>
      <c r="D665" s="1490"/>
      <c r="E665" s="1487"/>
      <c r="F665" s="1488"/>
      <c r="G665" s="1489"/>
      <c r="H665" s="1490"/>
      <c r="I665" s="1487"/>
      <c r="J665" s="1488"/>
      <c r="K665" s="1489"/>
      <c r="L665" s="1490"/>
      <c r="M665" s="1487"/>
      <c r="N665" s="1488"/>
      <c r="O665" s="1489"/>
      <c r="P665" s="1490"/>
      <c r="X665" s="1445" t="e">
        <f ca="1"/>
        <v>#NAME?</v>
      </c>
      <c r="Y665" s="1446" t="e">
        <f ca="1"/>
        <v>#NAME?</v>
      </c>
      <c r="Z665" s="1408"/>
    </row>
    <row r="666" spans="1:26">
      <c r="A666" s="1487"/>
      <c r="B666" s="1488"/>
      <c r="C666" s="1489"/>
      <c r="D666" s="1490"/>
      <c r="E666" s="1487"/>
      <c r="F666" s="1488"/>
      <c r="G666" s="1489"/>
      <c r="H666" s="1490"/>
      <c r="I666" s="1487"/>
      <c r="J666" s="1488"/>
      <c r="K666" s="1489"/>
      <c r="L666" s="1490"/>
      <c r="M666" s="1487"/>
      <c r="N666" s="1488"/>
      <c r="O666" s="1489"/>
      <c r="P666" s="1490"/>
      <c r="X666" s="1445" t="e">
        <f ca="1"/>
        <v>#NAME?</v>
      </c>
      <c r="Y666" s="1446" t="e">
        <f ca="1"/>
        <v>#NAME?</v>
      </c>
      <c r="Z666" s="1408"/>
    </row>
    <row r="667" spans="1:26">
      <c r="A667" s="1487"/>
      <c r="B667" s="1488"/>
      <c r="C667" s="1489"/>
      <c r="D667" s="1490"/>
      <c r="E667" s="1487"/>
      <c r="F667" s="1488"/>
      <c r="G667" s="1489"/>
      <c r="H667" s="1490"/>
      <c r="I667" s="1487"/>
      <c r="J667" s="1488"/>
      <c r="K667" s="1489"/>
      <c r="L667" s="1490"/>
      <c r="M667" s="1487"/>
      <c r="N667" s="1488"/>
      <c r="O667" s="1489"/>
      <c r="P667" s="1490"/>
      <c r="X667" s="1445" t="e">
        <f ca="1"/>
        <v>#NAME?</v>
      </c>
      <c r="Y667" s="1446" t="e">
        <f ca="1"/>
        <v>#NAME?</v>
      </c>
      <c r="Z667" s="1408"/>
    </row>
    <row r="668" spans="1:26">
      <c r="A668" s="1487"/>
      <c r="B668" s="1488"/>
      <c r="C668" s="1489"/>
      <c r="D668" s="1490"/>
      <c r="E668" s="1487"/>
      <c r="F668" s="1488"/>
      <c r="G668" s="1489"/>
      <c r="H668" s="1490"/>
      <c r="I668" s="1487"/>
      <c r="J668" s="1488"/>
      <c r="K668" s="1489"/>
      <c r="L668" s="1490"/>
      <c r="M668" s="1487"/>
      <c r="N668" s="1488"/>
      <c r="O668" s="1489"/>
      <c r="P668" s="1490"/>
      <c r="X668" s="1445" t="e">
        <f ca="1"/>
        <v>#NAME?</v>
      </c>
      <c r="Y668" s="1446" t="e">
        <f ca="1"/>
        <v>#NAME?</v>
      </c>
      <c r="Z668" s="1408"/>
    </row>
    <row r="669" spans="1:26">
      <c r="A669" s="1487"/>
      <c r="B669" s="1488"/>
      <c r="C669" s="1489"/>
      <c r="D669" s="1490"/>
      <c r="E669" s="1487"/>
      <c r="F669" s="1488"/>
      <c r="G669" s="1489"/>
      <c r="H669" s="1490"/>
      <c r="I669" s="1487"/>
      <c r="J669" s="1488"/>
      <c r="K669" s="1489"/>
      <c r="L669" s="1490"/>
      <c r="M669" s="1487"/>
      <c r="N669" s="1488"/>
      <c r="O669" s="1489"/>
      <c r="P669" s="1490"/>
      <c r="X669" s="1445" t="e">
        <f ca="1"/>
        <v>#NAME?</v>
      </c>
      <c r="Y669" s="1446" t="e">
        <f ca="1"/>
        <v>#NAME?</v>
      </c>
      <c r="Z669" s="1408"/>
    </row>
    <row r="670" spans="1:26">
      <c r="A670" s="1487"/>
      <c r="B670" s="1488"/>
      <c r="C670" s="1489"/>
      <c r="D670" s="1490"/>
      <c r="E670" s="1487"/>
      <c r="F670" s="1488"/>
      <c r="G670" s="1489"/>
      <c r="H670" s="1490"/>
      <c r="I670" s="1487"/>
      <c r="J670" s="1488"/>
      <c r="K670" s="1489"/>
      <c r="L670" s="1490"/>
      <c r="M670" s="1487"/>
      <c r="N670" s="1488"/>
      <c r="O670" s="1489"/>
      <c r="P670" s="1490"/>
      <c r="X670" s="1445" t="e">
        <f ca="1"/>
        <v>#NAME?</v>
      </c>
      <c r="Y670" s="1446" t="e">
        <f ca="1"/>
        <v>#NAME?</v>
      </c>
      <c r="Z670" s="1408"/>
    </row>
    <row r="671" spans="1:26">
      <c r="A671" s="1487"/>
      <c r="B671" s="1488"/>
      <c r="C671" s="1489"/>
      <c r="D671" s="1490"/>
      <c r="E671" s="1487"/>
      <c r="F671" s="1488"/>
      <c r="G671" s="1489"/>
      <c r="H671" s="1490"/>
      <c r="I671" s="1487"/>
      <c r="J671" s="1488"/>
      <c r="K671" s="1489"/>
      <c r="L671" s="1490"/>
      <c r="M671" s="1487"/>
      <c r="N671" s="1488"/>
      <c r="O671" s="1489"/>
      <c r="P671" s="1490"/>
      <c r="X671" s="1445" t="e">
        <f ca="1"/>
        <v>#NAME?</v>
      </c>
      <c r="Y671" s="1446" t="e">
        <f ca="1"/>
        <v>#NAME?</v>
      </c>
      <c r="Z671" s="1408"/>
    </row>
    <row r="672" spans="1:26">
      <c r="A672" s="1487"/>
      <c r="B672" s="1488"/>
      <c r="C672" s="1489"/>
      <c r="D672" s="1490"/>
      <c r="E672" s="1487"/>
      <c r="F672" s="1488"/>
      <c r="G672" s="1489"/>
      <c r="H672" s="1490"/>
      <c r="I672" s="1487"/>
      <c r="J672" s="1488"/>
      <c r="K672" s="1489"/>
      <c r="L672" s="1490"/>
      <c r="M672" s="1487"/>
      <c r="N672" s="1488"/>
      <c r="O672" s="1489"/>
      <c r="P672" s="1490"/>
      <c r="X672" s="1445" t="e">
        <f ca="1"/>
        <v>#NAME?</v>
      </c>
      <c r="Y672" s="1446" t="e">
        <f ca="1"/>
        <v>#NAME?</v>
      </c>
      <c r="Z672" s="1408"/>
    </row>
    <row r="673" spans="1:26">
      <c r="A673" s="1487"/>
      <c r="B673" s="1488"/>
      <c r="C673" s="1489"/>
      <c r="D673" s="1490"/>
      <c r="E673" s="1487"/>
      <c r="F673" s="1488"/>
      <c r="G673" s="1489"/>
      <c r="H673" s="1490"/>
      <c r="I673" s="1487"/>
      <c r="J673" s="1488"/>
      <c r="K673" s="1489"/>
      <c r="L673" s="1490"/>
      <c r="M673" s="1487"/>
      <c r="N673" s="1488"/>
      <c r="O673" s="1489"/>
      <c r="P673" s="1490"/>
      <c r="X673" s="1445" t="e">
        <f ca="1"/>
        <v>#NAME?</v>
      </c>
      <c r="Y673" s="1446" t="e">
        <f ca="1"/>
        <v>#NAME?</v>
      </c>
      <c r="Z673" s="1408"/>
    </row>
    <row r="674" spans="1:26">
      <c r="A674" s="1487"/>
      <c r="B674" s="1488"/>
      <c r="C674" s="1489"/>
      <c r="D674" s="1490"/>
      <c r="E674" s="1487"/>
      <c r="F674" s="1488"/>
      <c r="G674" s="1489"/>
      <c r="H674" s="1490"/>
      <c r="I674" s="1487"/>
      <c r="J674" s="1488"/>
      <c r="K674" s="1489"/>
      <c r="L674" s="1490"/>
      <c r="M674" s="1487"/>
      <c r="N674" s="1488"/>
      <c r="O674" s="1489"/>
      <c r="P674" s="1490"/>
      <c r="X674" s="1445" t="e">
        <f ca="1"/>
        <v>#NAME?</v>
      </c>
      <c r="Y674" s="1446" t="e">
        <f ca="1"/>
        <v>#NAME?</v>
      </c>
      <c r="Z674" s="1408"/>
    </row>
    <row r="675" spans="1:26">
      <c r="A675" s="1487"/>
      <c r="B675" s="1488"/>
      <c r="C675" s="1489"/>
      <c r="D675" s="1490"/>
      <c r="E675" s="1487"/>
      <c r="F675" s="1488"/>
      <c r="G675" s="1489"/>
      <c r="H675" s="1490"/>
      <c r="I675" s="1487"/>
      <c r="J675" s="1488"/>
      <c r="K675" s="1489"/>
      <c r="L675" s="1490"/>
      <c r="M675" s="1487"/>
      <c r="N675" s="1488"/>
      <c r="O675" s="1489"/>
      <c r="P675" s="1490"/>
      <c r="X675" s="1445" t="e">
        <f ca="1"/>
        <v>#NAME?</v>
      </c>
      <c r="Y675" s="1446" t="e">
        <f ca="1"/>
        <v>#NAME?</v>
      </c>
      <c r="Z675" s="1408"/>
    </row>
    <row r="676" spans="1:26">
      <c r="A676" s="1487"/>
      <c r="B676" s="1488"/>
      <c r="C676" s="1489"/>
      <c r="D676" s="1490"/>
      <c r="E676" s="1487"/>
      <c r="F676" s="1488"/>
      <c r="G676" s="1489"/>
      <c r="H676" s="1490"/>
      <c r="I676" s="1487"/>
      <c r="J676" s="1488"/>
      <c r="K676" s="1489"/>
      <c r="L676" s="1490"/>
      <c r="M676" s="1487"/>
      <c r="N676" s="1488"/>
      <c r="O676" s="1489"/>
      <c r="P676" s="1490"/>
      <c r="X676" s="1445" t="e">
        <f ca="1"/>
        <v>#NAME?</v>
      </c>
      <c r="Y676" s="1446" t="e">
        <f ca="1"/>
        <v>#NAME?</v>
      </c>
      <c r="Z676" s="1408"/>
    </row>
    <row r="677" spans="1:26">
      <c r="A677" s="1487"/>
      <c r="B677" s="1488"/>
      <c r="C677" s="1489"/>
      <c r="D677" s="1490"/>
      <c r="E677" s="1487"/>
      <c r="F677" s="1488"/>
      <c r="G677" s="1489"/>
      <c r="H677" s="1490"/>
      <c r="I677" s="1487"/>
      <c r="J677" s="1488"/>
      <c r="K677" s="1489"/>
      <c r="L677" s="1490"/>
      <c r="M677" s="1487"/>
      <c r="N677" s="1488"/>
      <c r="O677" s="1489"/>
      <c r="P677" s="1490"/>
      <c r="X677" s="1445" t="e">
        <f ca="1"/>
        <v>#NAME?</v>
      </c>
      <c r="Y677" s="1446" t="e">
        <f ca="1"/>
        <v>#NAME?</v>
      </c>
      <c r="Z677" s="1408"/>
    </row>
    <row r="678" spans="1:26">
      <c r="A678" s="1487"/>
      <c r="B678" s="1488"/>
      <c r="C678" s="1489"/>
      <c r="D678" s="1490"/>
      <c r="E678" s="1487"/>
      <c r="F678" s="1488"/>
      <c r="G678" s="1489"/>
      <c r="H678" s="1490"/>
      <c r="I678" s="1487"/>
      <c r="J678" s="1488"/>
      <c r="K678" s="1489"/>
      <c r="L678" s="1490"/>
      <c r="M678" s="1487"/>
      <c r="N678" s="1488"/>
      <c r="O678" s="1489"/>
      <c r="P678" s="1490"/>
      <c r="X678" s="1445" t="e">
        <f ca="1"/>
        <v>#NAME?</v>
      </c>
      <c r="Y678" s="1446" t="e">
        <f ca="1"/>
        <v>#NAME?</v>
      </c>
      <c r="Z678" s="1408"/>
    </row>
    <row r="679" spans="1:26">
      <c r="A679" s="1487"/>
      <c r="B679" s="1488"/>
      <c r="C679" s="1489"/>
      <c r="D679" s="1490"/>
      <c r="E679" s="1487"/>
      <c r="F679" s="1488"/>
      <c r="G679" s="1489"/>
      <c r="H679" s="1490"/>
      <c r="I679" s="1487"/>
      <c r="J679" s="1488"/>
      <c r="K679" s="1489"/>
      <c r="L679" s="1490"/>
      <c r="M679" s="1487"/>
      <c r="N679" s="1488"/>
      <c r="O679" s="1489"/>
      <c r="P679" s="1490"/>
      <c r="X679" s="1445" t="e">
        <f ca="1"/>
        <v>#NAME?</v>
      </c>
      <c r="Y679" s="1446" t="e">
        <f ca="1"/>
        <v>#NAME?</v>
      </c>
      <c r="Z679" s="1408"/>
    </row>
    <row r="680" spans="1:26">
      <c r="A680" s="1487"/>
      <c r="B680" s="1488"/>
      <c r="C680" s="1489"/>
      <c r="D680" s="1490"/>
      <c r="E680" s="1487"/>
      <c r="F680" s="1488"/>
      <c r="G680" s="1489"/>
      <c r="H680" s="1490"/>
      <c r="I680" s="1487"/>
      <c r="J680" s="1488"/>
      <c r="K680" s="1489"/>
      <c r="L680" s="1490"/>
      <c r="M680" s="1487"/>
      <c r="N680" s="1488"/>
      <c r="O680" s="1489"/>
      <c r="P680" s="1490"/>
      <c r="X680" s="1445" t="e">
        <f ca="1"/>
        <v>#NAME?</v>
      </c>
      <c r="Y680" s="1446" t="e">
        <f ca="1"/>
        <v>#NAME?</v>
      </c>
      <c r="Z680" s="1408"/>
    </row>
    <row r="681" spans="1:26">
      <c r="A681" s="1487"/>
      <c r="B681" s="1488"/>
      <c r="C681" s="1489"/>
      <c r="D681" s="1490"/>
      <c r="E681" s="1487"/>
      <c r="F681" s="1488"/>
      <c r="G681" s="1489"/>
      <c r="H681" s="1490"/>
      <c r="I681" s="1487"/>
      <c r="J681" s="1488"/>
      <c r="K681" s="1489"/>
      <c r="L681" s="1490"/>
      <c r="M681" s="1487"/>
      <c r="N681" s="1488"/>
      <c r="O681" s="1489"/>
      <c r="P681" s="1490"/>
      <c r="X681" s="1445" t="e">
        <f ca="1"/>
        <v>#NAME?</v>
      </c>
      <c r="Y681" s="1446" t="e">
        <f ca="1"/>
        <v>#NAME?</v>
      </c>
      <c r="Z681" s="1408"/>
    </row>
    <row r="682" spans="1:26">
      <c r="A682" s="1487"/>
      <c r="B682" s="1488"/>
      <c r="C682" s="1489"/>
      <c r="D682" s="1490"/>
      <c r="E682" s="1487"/>
      <c r="F682" s="1488"/>
      <c r="G682" s="1489"/>
      <c r="H682" s="1490"/>
      <c r="I682" s="1487"/>
      <c r="J682" s="1488"/>
      <c r="K682" s="1489"/>
      <c r="L682" s="1490"/>
      <c r="M682" s="1487"/>
      <c r="N682" s="1488"/>
      <c r="O682" s="1489"/>
      <c r="P682" s="1490"/>
      <c r="X682" s="1445" t="e">
        <f ca="1"/>
        <v>#NAME?</v>
      </c>
      <c r="Y682" s="1446" t="e">
        <f ca="1"/>
        <v>#NAME?</v>
      </c>
      <c r="Z682" s="1408"/>
    </row>
    <row r="683" spans="1:26">
      <c r="A683" s="1487"/>
      <c r="B683" s="1488"/>
      <c r="C683" s="1489"/>
      <c r="D683" s="1490"/>
      <c r="E683" s="1487"/>
      <c r="F683" s="1488"/>
      <c r="G683" s="1489"/>
      <c r="H683" s="1490"/>
      <c r="I683" s="1487"/>
      <c r="J683" s="1488"/>
      <c r="K683" s="1489"/>
      <c r="L683" s="1490"/>
      <c r="M683" s="1487"/>
      <c r="N683" s="1488"/>
      <c r="O683" s="1489"/>
      <c r="P683" s="1490"/>
      <c r="X683" s="1445" t="e">
        <f ca="1"/>
        <v>#NAME?</v>
      </c>
      <c r="Y683" s="1446" t="e">
        <f ca="1"/>
        <v>#NAME?</v>
      </c>
      <c r="Z683" s="1408"/>
    </row>
    <row r="684" spans="1:26">
      <c r="A684" s="1487"/>
      <c r="B684" s="1488"/>
      <c r="C684" s="1489"/>
      <c r="D684" s="1490"/>
      <c r="E684" s="1487"/>
      <c r="F684" s="1488"/>
      <c r="G684" s="1489"/>
      <c r="H684" s="1490"/>
      <c r="I684" s="1487"/>
      <c r="J684" s="1488"/>
      <c r="K684" s="1489"/>
      <c r="L684" s="1490"/>
      <c r="M684" s="1487"/>
      <c r="N684" s="1488"/>
      <c r="O684" s="1489"/>
      <c r="P684" s="1490"/>
      <c r="X684" s="1445" t="e">
        <f ca="1"/>
        <v>#NAME?</v>
      </c>
      <c r="Y684" s="1446" t="e">
        <f ca="1"/>
        <v>#NAME?</v>
      </c>
      <c r="Z684" s="1408"/>
    </row>
    <row r="685" spans="1:26">
      <c r="A685" s="1487"/>
      <c r="B685" s="1488"/>
      <c r="C685" s="1489"/>
      <c r="D685" s="1490"/>
      <c r="E685" s="1487"/>
      <c r="F685" s="1488"/>
      <c r="G685" s="1489"/>
      <c r="H685" s="1490"/>
      <c r="I685" s="1487"/>
      <c r="J685" s="1488"/>
      <c r="K685" s="1489"/>
      <c r="L685" s="1490"/>
      <c r="M685" s="1487"/>
      <c r="N685" s="1488"/>
      <c r="O685" s="1489"/>
      <c r="P685" s="1490"/>
      <c r="X685" s="1445" t="e">
        <f ca="1"/>
        <v>#NAME?</v>
      </c>
      <c r="Y685" s="1446" t="e">
        <f ca="1"/>
        <v>#NAME?</v>
      </c>
      <c r="Z685" s="1408"/>
    </row>
    <row r="686" spans="1:26">
      <c r="A686" s="1487"/>
      <c r="B686" s="1488"/>
      <c r="C686" s="1489"/>
      <c r="D686" s="1490"/>
      <c r="E686" s="1487"/>
      <c r="F686" s="1488"/>
      <c r="G686" s="1489"/>
      <c r="H686" s="1490"/>
      <c r="I686" s="1487"/>
      <c r="J686" s="1488"/>
      <c r="K686" s="1489"/>
      <c r="L686" s="1490"/>
      <c r="M686" s="1487"/>
      <c r="N686" s="1488"/>
      <c r="O686" s="1489"/>
      <c r="P686" s="1490"/>
      <c r="X686" s="1445" t="e">
        <f ca="1"/>
        <v>#NAME?</v>
      </c>
      <c r="Y686" s="1446" t="e">
        <f ca="1"/>
        <v>#NAME?</v>
      </c>
      <c r="Z686" s="1408"/>
    </row>
    <row r="687" spans="1:26">
      <c r="A687" s="1487"/>
      <c r="B687" s="1488"/>
      <c r="C687" s="1489"/>
      <c r="D687" s="1490"/>
      <c r="E687" s="1487"/>
      <c r="F687" s="1488"/>
      <c r="G687" s="1489"/>
      <c r="H687" s="1490"/>
      <c r="I687" s="1487"/>
      <c r="J687" s="1488"/>
      <c r="K687" s="1489"/>
      <c r="L687" s="1490"/>
      <c r="M687" s="1487"/>
      <c r="N687" s="1488"/>
      <c r="O687" s="1489"/>
      <c r="P687" s="1490"/>
      <c r="X687" s="1445" t="e">
        <f ca="1"/>
        <v>#NAME?</v>
      </c>
      <c r="Y687" s="1446" t="e">
        <f ca="1"/>
        <v>#NAME?</v>
      </c>
      <c r="Z687" s="1408"/>
    </row>
    <row r="688" spans="1:26">
      <c r="A688" s="1487"/>
      <c r="B688" s="1488"/>
      <c r="C688" s="1489"/>
      <c r="D688" s="1490"/>
      <c r="E688" s="1487"/>
      <c r="F688" s="1488"/>
      <c r="G688" s="1489"/>
      <c r="H688" s="1490"/>
      <c r="I688" s="1487"/>
      <c r="J688" s="1488"/>
      <c r="K688" s="1489"/>
      <c r="L688" s="1490"/>
      <c r="M688" s="1487"/>
      <c r="N688" s="1488"/>
      <c r="O688" s="1489"/>
      <c r="P688" s="1490"/>
      <c r="X688" s="1445" t="e">
        <f ca="1"/>
        <v>#NAME?</v>
      </c>
      <c r="Y688" s="1446" t="e">
        <f ca="1"/>
        <v>#NAME?</v>
      </c>
      <c r="Z688" s="1408"/>
    </row>
    <row r="689" spans="1:26">
      <c r="A689" s="1487"/>
      <c r="B689" s="1488"/>
      <c r="C689" s="1489"/>
      <c r="D689" s="1490"/>
      <c r="E689" s="1487"/>
      <c r="F689" s="1488"/>
      <c r="G689" s="1489"/>
      <c r="H689" s="1490"/>
      <c r="I689" s="1487"/>
      <c r="J689" s="1488"/>
      <c r="K689" s="1489"/>
      <c r="L689" s="1490"/>
      <c r="M689" s="1487"/>
      <c r="N689" s="1488"/>
      <c r="O689" s="1489"/>
      <c r="P689" s="1490"/>
      <c r="X689" s="1445" t="e">
        <f ca="1"/>
        <v>#NAME?</v>
      </c>
      <c r="Y689" s="1446" t="e">
        <f ca="1"/>
        <v>#NAME?</v>
      </c>
      <c r="Z689" s="1408"/>
    </row>
    <row r="690" spans="1:26">
      <c r="A690" s="1487"/>
      <c r="B690" s="1488"/>
      <c r="C690" s="1489"/>
      <c r="D690" s="1490"/>
      <c r="E690" s="1487"/>
      <c r="F690" s="1488"/>
      <c r="G690" s="1489"/>
      <c r="H690" s="1490"/>
      <c r="I690" s="1487"/>
      <c r="J690" s="1488"/>
      <c r="K690" s="1489"/>
      <c r="L690" s="1490"/>
      <c r="M690" s="1487"/>
      <c r="N690" s="1488"/>
      <c r="O690" s="1489"/>
      <c r="P690" s="1490"/>
      <c r="X690" s="1445" t="e">
        <f ca="1"/>
        <v>#NAME?</v>
      </c>
      <c r="Y690" s="1446" t="e">
        <f ca="1"/>
        <v>#NAME?</v>
      </c>
      <c r="Z690" s="1408"/>
    </row>
    <row r="691" spans="1:26">
      <c r="A691" s="1487"/>
      <c r="B691" s="1488"/>
      <c r="C691" s="1489"/>
      <c r="D691" s="1490"/>
      <c r="E691" s="1487"/>
      <c r="F691" s="1488"/>
      <c r="G691" s="1489"/>
      <c r="H691" s="1490"/>
      <c r="I691" s="1487"/>
      <c r="J691" s="1488"/>
      <c r="K691" s="1489"/>
      <c r="L691" s="1490"/>
      <c r="M691" s="1487"/>
      <c r="N691" s="1488"/>
      <c r="O691" s="1489"/>
      <c r="P691" s="1490"/>
      <c r="X691" s="1445" t="e">
        <f ca="1"/>
        <v>#NAME?</v>
      </c>
      <c r="Y691" s="1446" t="e">
        <f ca="1"/>
        <v>#NAME?</v>
      </c>
      <c r="Z691" s="1408"/>
    </row>
    <row r="692" spans="1:26">
      <c r="A692" s="1487"/>
      <c r="B692" s="1488"/>
      <c r="C692" s="1489"/>
      <c r="D692" s="1490"/>
      <c r="E692" s="1487"/>
      <c r="F692" s="1488"/>
      <c r="G692" s="1489"/>
      <c r="H692" s="1490"/>
      <c r="I692" s="1487"/>
      <c r="J692" s="1488"/>
      <c r="K692" s="1489"/>
      <c r="L692" s="1490"/>
      <c r="M692" s="1487"/>
      <c r="N692" s="1488"/>
      <c r="O692" s="1489"/>
      <c r="P692" s="1490"/>
      <c r="X692" s="1445" t="e">
        <f ca="1"/>
        <v>#NAME?</v>
      </c>
      <c r="Y692" s="1446" t="e">
        <f ca="1"/>
        <v>#NAME?</v>
      </c>
      <c r="Z692" s="1408"/>
    </row>
    <row r="693" spans="1:26">
      <c r="A693" s="1487"/>
      <c r="B693" s="1488"/>
      <c r="C693" s="1489"/>
      <c r="D693" s="1490"/>
      <c r="E693" s="1487"/>
      <c r="F693" s="1488"/>
      <c r="G693" s="1489"/>
      <c r="H693" s="1490"/>
      <c r="I693" s="1487"/>
      <c r="J693" s="1488"/>
      <c r="K693" s="1489"/>
      <c r="L693" s="1490"/>
      <c r="M693" s="1487"/>
      <c r="N693" s="1488"/>
      <c r="O693" s="1489"/>
      <c r="P693" s="1490"/>
      <c r="X693" s="1445" t="e">
        <f ca="1"/>
        <v>#NAME?</v>
      </c>
      <c r="Y693" s="1446" t="e">
        <f ca="1"/>
        <v>#NAME?</v>
      </c>
      <c r="Z693" s="1408"/>
    </row>
    <row r="694" spans="1:26">
      <c r="A694" s="1487"/>
      <c r="B694" s="1488"/>
      <c r="C694" s="1489"/>
      <c r="D694" s="1490"/>
      <c r="E694" s="1487"/>
      <c r="F694" s="1488"/>
      <c r="G694" s="1489"/>
      <c r="H694" s="1490"/>
      <c r="I694" s="1487"/>
      <c r="J694" s="1488"/>
      <c r="K694" s="1489"/>
      <c r="L694" s="1490"/>
      <c r="M694" s="1487"/>
      <c r="N694" s="1488"/>
      <c r="O694" s="1489"/>
      <c r="P694" s="1490"/>
      <c r="X694" s="1445" t="e">
        <f ca="1"/>
        <v>#NAME?</v>
      </c>
      <c r="Y694" s="1446" t="e">
        <f ca="1"/>
        <v>#NAME?</v>
      </c>
      <c r="Z694" s="1408"/>
    </row>
    <row r="695" spans="1:26">
      <c r="A695" s="1487"/>
      <c r="B695" s="1488"/>
      <c r="C695" s="1489"/>
      <c r="D695" s="1490"/>
      <c r="E695" s="1487"/>
      <c r="F695" s="1488"/>
      <c r="G695" s="1489"/>
      <c r="H695" s="1490"/>
      <c r="I695" s="1487"/>
      <c r="J695" s="1488"/>
      <c r="K695" s="1489"/>
      <c r="L695" s="1490"/>
      <c r="M695" s="1487"/>
      <c r="N695" s="1488"/>
      <c r="O695" s="1489"/>
      <c r="P695" s="1490"/>
      <c r="X695" s="1445" t="e">
        <f ca="1"/>
        <v>#NAME?</v>
      </c>
      <c r="Y695" s="1446" t="e">
        <f ca="1"/>
        <v>#NAME?</v>
      </c>
      <c r="Z695" s="1408"/>
    </row>
    <row r="696" spans="1:26">
      <c r="A696" s="1487"/>
      <c r="B696" s="1488"/>
      <c r="C696" s="1489"/>
      <c r="D696" s="1490"/>
      <c r="E696" s="1487"/>
      <c r="F696" s="1488"/>
      <c r="G696" s="1489"/>
      <c r="H696" s="1490"/>
      <c r="I696" s="1487"/>
      <c r="J696" s="1488"/>
      <c r="K696" s="1489"/>
      <c r="L696" s="1490"/>
      <c r="M696" s="1487"/>
      <c r="N696" s="1488"/>
      <c r="O696" s="1489"/>
      <c r="P696" s="1490"/>
      <c r="X696" s="1445" t="e">
        <f ca="1"/>
        <v>#NAME?</v>
      </c>
      <c r="Y696" s="1446" t="e">
        <f ca="1"/>
        <v>#NAME?</v>
      </c>
      <c r="Z696" s="1408"/>
    </row>
    <row r="697" spans="1:26">
      <c r="A697" s="1487"/>
      <c r="B697" s="1488"/>
      <c r="C697" s="1489"/>
      <c r="D697" s="1490"/>
      <c r="E697" s="1487"/>
      <c r="F697" s="1488"/>
      <c r="G697" s="1489"/>
      <c r="H697" s="1490"/>
      <c r="I697" s="1487"/>
      <c r="J697" s="1488"/>
      <c r="K697" s="1489"/>
      <c r="L697" s="1490"/>
      <c r="M697" s="1487"/>
      <c r="N697" s="1488"/>
      <c r="O697" s="1489"/>
      <c r="P697" s="1490"/>
      <c r="X697" s="1445" t="e">
        <f ca="1"/>
        <v>#NAME?</v>
      </c>
      <c r="Y697" s="1446" t="e">
        <f ca="1"/>
        <v>#NAME?</v>
      </c>
      <c r="Z697" s="1408"/>
    </row>
    <row r="698" spans="1:26">
      <c r="A698" s="1487"/>
      <c r="B698" s="1488"/>
      <c r="C698" s="1489"/>
      <c r="D698" s="1490"/>
      <c r="E698" s="1487"/>
      <c r="F698" s="1488"/>
      <c r="G698" s="1489"/>
      <c r="H698" s="1490"/>
      <c r="I698" s="1487"/>
      <c r="J698" s="1488"/>
      <c r="K698" s="1489"/>
      <c r="L698" s="1490"/>
      <c r="M698" s="1487"/>
      <c r="N698" s="1488"/>
      <c r="O698" s="1489"/>
      <c r="P698" s="1490"/>
      <c r="X698" s="1445" t="e">
        <f ca="1"/>
        <v>#NAME?</v>
      </c>
      <c r="Y698" s="1446" t="e">
        <f ca="1"/>
        <v>#NAME?</v>
      </c>
      <c r="Z698" s="1408"/>
    </row>
    <row r="699" spans="1:26">
      <c r="A699" s="1487"/>
      <c r="B699" s="1488"/>
      <c r="C699" s="1489"/>
      <c r="D699" s="1490"/>
      <c r="E699" s="1487"/>
      <c r="F699" s="1488"/>
      <c r="G699" s="1489"/>
      <c r="H699" s="1490"/>
      <c r="I699" s="1487"/>
      <c r="J699" s="1488"/>
      <c r="K699" s="1489"/>
      <c r="L699" s="1490"/>
      <c r="M699" s="1487"/>
      <c r="N699" s="1488"/>
      <c r="O699" s="1489"/>
      <c r="P699" s="1490"/>
      <c r="X699" s="1445" t="e">
        <f ca="1"/>
        <v>#NAME?</v>
      </c>
      <c r="Y699" s="1446" t="e">
        <f ca="1"/>
        <v>#NAME?</v>
      </c>
      <c r="Z699" s="1408"/>
    </row>
    <row r="700" spans="1:26">
      <c r="A700" s="1487"/>
      <c r="B700" s="1488"/>
      <c r="C700" s="1489"/>
      <c r="D700" s="1490"/>
      <c r="E700" s="1487"/>
      <c r="F700" s="1488"/>
      <c r="G700" s="1489"/>
      <c r="H700" s="1490"/>
      <c r="I700" s="1487"/>
      <c r="J700" s="1488"/>
      <c r="K700" s="1489"/>
      <c r="L700" s="1490"/>
      <c r="M700" s="1487"/>
      <c r="N700" s="1488"/>
      <c r="O700" s="1489"/>
      <c r="P700" s="1490"/>
      <c r="X700" s="1445" t="e">
        <f ca="1"/>
        <v>#NAME?</v>
      </c>
      <c r="Y700" s="1446" t="e">
        <f ca="1"/>
        <v>#NAME?</v>
      </c>
      <c r="Z700" s="1408"/>
    </row>
    <row r="701" spans="1:26">
      <c r="A701" s="1487"/>
      <c r="B701" s="1488"/>
      <c r="C701" s="1489"/>
      <c r="D701" s="1490"/>
      <c r="E701" s="1487"/>
      <c r="F701" s="1488"/>
      <c r="G701" s="1489"/>
      <c r="H701" s="1490"/>
      <c r="I701" s="1487"/>
      <c r="J701" s="1488"/>
      <c r="K701" s="1489"/>
      <c r="L701" s="1490"/>
      <c r="M701" s="1487"/>
      <c r="N701" s="1488"/>
      <c r="O701" s="1489"/>
      <c r="P701" s="1490"/>
      <c r="X701" s="1445" t="e">
        <f ca="1"/>
        <v>#NAME?</v>
      </c>
      <c r="Y701" s="1446" t="e">
        <f ca="1"/>
        <v>#NAME?</v>
      </c>
      <c r="Z701" s="1408"/>
    </row>
    <row r="702" spans="1:26">
      <c r="A702" s="1487"/>
      <c r="B702" s="1488"/>
      <c r="C702" s="1489"/>
      <c r="D702" s="1490"/>
      <c r="E702" s="1487"/>
      <c r="F702" s="1488"/>
      <c r="G702" s="1489"/>
      <c r="H702" s="1490"/>
      <c r="I702" s="1487"/>
      <c r="J702" s="1488"/>
      <c r="K702" s="1489"/>
      <c r="L702" s="1490"/>
      <c r="M702" s="1487"/>
      <c r="N702" s="1488"/>
      <c r="O702" s="1489"/>
      <c r="P702" s="1490"/>
      <c r="X702" s="1445" t="e">
        <f ca="1"/>
        <v>#NAME?</v>
      </c>
      <c r="Y702" s="1446" t="e">
        <f ca="1"/>
        <v>#NAME?</v>
      </c>
      <c r="Z702" s="1408"/>
    </row>
    <row r="703" spans="1:26">
      <c r="A703" s="1487"/>
      <c r="B703" s="1488"/>
      <c r="C703" s="1489"/>
      <c r="D703" s="1490"/>
      <c r="E703" s="1487"/>
      <c r="F703" s="1488"/>
      <c r="G703" s="1489"/>
      <c r="H703" s="1490"/>
      <c r="I703" s="1487"/>
      <c r="J703" s="1488"/>
      <c r="K703" s="1489"/>
      <c r="L703" s="1490"/>
      <c r="M703" s="1487"/>
      <c r="N703" s="1488"/>
      <c r="O703" s="1489"/>
      <c r="P703" s="1490"/>
      <c r="X703" s="1445" t="e">
        <f ca="1"/>
        <v>#NAME?</v>
      </c>
      <c r="Y703" s="1446" t="e">
        <f ca="1"/>
        <v>#NAME?</v>
      </c>
      <c r="Z703" s="1408"/>
    </row>
    <row r="704" spans="1:26">
      <c r="A704" s="1487"/>
      <c r="B704" s="1488"/>
      <c r="C704" s="1489"/>
      <c r="D704" s="1490"/>
      <c r="E704" s="1487"/>
      <c r="F704" s="1488"/>
      <c r="G704" s="1489"/>
      <c r="H704" s="1490"/>
      <c r="I704" s="1487"/>
      <c r="J704" s="1488"/>
      <c r="K704" s="1489"/>
      <c r="L704" s="1490"/>
      <c r="M704" s="1487"/>
      <c r="N704" s="1488"/>
      <c r="O704" s="1489"/>
      <c r="P704" s="1490"/>
      <c r="X704" s="1445" t="e">
        <f ca="1"/>
        <v>#NAME?</v>
      </c>
      <c r="Y704" s="1446" t="e">
        <f ca="1"/>
        <v>#NAME?</v>
      </c>
      <c r="Z704" s="1408"/>
    </row>
    <row r="705" spans="1:26">
      <c r="A705" s="1487"/>
      <c r="B705" s="1488"/>
      <c r="C705" s="1489"/>
      <c r="D705" s="1490"/>
      <c r="E705" s="1487"/>
      <c r="F705" s="1488"/>
      <c r="G705" s="1489"/>
      <c r="H705" s="1490"/>
      <c r="I705" s="1487"/>
      <c r="J705" s="1488"/>
      <c r="K705" s="1489"/>
      <c r="L705" s="1490"/>
      <c r="M705" s="1487"/>
      <c r="N705" s="1488"/>
      <c r="O705" s="1489"/>
      <c r="P705" s="1490"/>
      <c r="X705" s="1445" t="e">
        <f ca="1"/>
        <v>#NAME?</v>
      </c>
      <c r="Y705" s="1446" t="e">
        <f ca="1"/>
        <v>#NAME?</v>
      </c>
      <c r="Z705" s="1408"/>
    </row>
    <row r="706" spans="1:26">
      <c r="A706" s="1487"/>
      <c r="B706" s="1488"/>
      <c r="C706" s="1489"/>
      <c r="D706" s="1490"/>
      <c r="E706" s="1487"/>
      <c r="F706" s="1488"/>
      <c r="G706" s="1489"/>
      <c r="H706" s="1490"/>
      <c r="I706" s="1487"/>
      <c r="J706" s="1488"/>
      <c r="K706" s="1489"/>
      <c r="L706" s="1490"/>
      <c r="M706" s="1487"/>
      <c r="N706" s="1488"/>
      <c r="O706" s="1489"/>
      <c r="P706" s="1490"/>
      <c r="X706" s="1445" t="e">
        <f ca="1"/>
        <v>#NAME?</v>
      </c>
      <c r="Y706" s="1446" t="e">
        <f ca="1"/>
        <v>#NAME?</v>
      </c>
      <c r="Z706" s="1408"/>
    </row>
    <row r="707" spans="1:26">
      <c r="A707" s="1487"/>
      <c r="B707" s="1488"/>
      <c r="C707" s="1489"/>
      <c r="D707" s="1490"/>
      <c r="E707" s="1487"/>
      <c r="F707" s="1488"/>
      <c r="G707" s="1489"/>
      <c r="H707" s="1490"/>
      <c r="I707" s="1487"/>
      <c r="J707" s="1488"/>
      <c r="K707" s="1489"/>
      <c r="L707" s="1490"/>
      <c r="M707" s="1487"/>
      <c r="N707" s="1488"/>
      <c r="O707" s="1489"/>
      <c r="P707" s="1490"/>
      <c r="X707" s="1445" t="e">
        <f ca="1"/>
        <v>#NAME?</v>
      </c>
      <c r="Y707" s="1446" t="e">
        <f ca="1"/>
        <v>#NAME?</v>
      </c>
    </row>
    <row r="708" spans="1:26">
      <c r="A708" s="1487"/>
      <c r="B708" s="1488"/>
      <c r="C708" s="1489"/>
      <c r="D708" s="1490"/>
      <c r="E708" s="1487"/>
      <c r="F708" s="1488"/>
      <c r="G708" s="1489"/>
      <c r="H708" s="1490"/>
      <c r="I708" s="1487"/>
      <c r="J708" s="1488"/>
      <c r="K708" s="1489"/>
      <c r="L708" s="1490"/>
      <c r="M708" s="1487"/>
      <c r="N708" s="1488"/>
      <c r="O708" s="1489"/>
      <c r="P708" s="1490"/>
      <c r="X708" s="1445" t="e">
        <f ca="1"/>
        <v>#NAME?</v>
      </c>
      <c r="Y708" s="1446" t="e">
        <f ca="1"/>
        <v>#NAME?</v>
      </c>
    </row>
    <row r="709" spans="1:26">
      <c r="A709" s="1487"/>
      <c r="B709" s="1488"/>
      <c r="C709" s="1489"/>
      <c r="D709" s="1490"/>
      <c r="E709" s="1487"/>
      <c r="F709" s="1488"/>
      <c r="G709" s="1489"/>
      <c r="H709" s="1490"/>
      <c r="I709" s="1487"/>
      <c r="J709" s="1488"/>
      <c r="K709" s="1489"/>
      <c r="L709" s="1490"/>
      <c r="M709" s="1487"/>
      <c r="N709" s="1488"/>
      <c r="O709" s="1489"/>
      <c r="P709" s="1490"/>
      <c r="X709" s="1445" t="e">
        <f ca="1"/>
        <v>#NAME?</v>
      </c>
      <c r="Y709" s="1446" t="e">
        <f ca="1"/>
        <v>#NAME?</v>
      </c>
    </row>
    <row r="710" spans="1:26">
      <c r="A710" s="1487"/>
      <c r="B710" s="1488"/>
      <c r="C710" s="1489"/>
      <c r="D710" s="1490"/>
      <c r="E710" s="1487"/>
      <c r="F710" s="1488"/>
      <c r="G710" s="1489"/>
      <c r="H710" s="1490"/>
      <c r="I710" s="1487"/>
      <c r="J710" s="1488"/>
      <c r="K710" s="1489"/>
      <c r="L710" s="1490"/>
      <c r="M710" s="1487"/>
      <c r="N710" s="1488"/>
      <c r="O710" s="1489"/>
      <c r="P710" s="1490"/>
      <c r="X710" s="1445" t="e">
        <f ca="1"/>
        <v>#NAME?</v>
      </c>
      <c r="Y710" s="1446" t="e">
        <f ca="1"/>
        <v>#NAME?</v>
      </c>
    </row>
    <row r="711" spans="1:26">
      <c r="A711" s="1487"/>
      <c r="B711" s="1488"/>
      <c r="C711" s="1489"/>
      <c r="D711" s="1490"/>
      <c r="E711" s="1487"/>
      <c r="F711" s="1488"/>
      <c r="G711" s="1489"/>
      <c r="H711" s="1490"/>
      <c r="I711" s="1487"/>
      <c r="J711" s="1488"/>
      <c r="K711" s="1489"/>
      <c r="L711" s="1490"/>
      <c r="M711" s="1487"/>
      <c r="N711" s="1488"/>
      <c r="O711" s="1489"/>
      <c r="P711" s="1490"/>
      <c r="X711" s="1445" t="e">
        <f ca="1"/>
        <v>#NAME?</v>
      </c>
      <c r="Y711" s="1446" t="e">
        <f ca="1"/>
        <v>#NAME?</v>
      </c>
    </row>
    <row r="712" spans="1:26">
      <c r="A712" s="1487"/>
      <c r="B712" s="1488"/>
      <c r="C712" s="1489"/>
      <c r="D712" s="1490"/>
      <c r="E712" s="1487"/>
      <c r="F712" s="1488"/>
      <c r="G712" s="1489"/>
      <c r="H712" s="1490"/>
      <c r="I712" s="1487"/>
      <c r="J712" s="1488"/>
      <c r="K712" s="1489"/>
      <c r="L712" s="1490"/>
      <c r="M712" s="1487"/>
      <c r="N712" s="1488"/>
      <c r="O712" s="1489"/>
      <c r="P712" s="1490"/>
      <c r="X712" s="1445" t="e">
        <f ca="1"/>
        <v>#NAME?</v>
      </c>
      <c r="Y712" s="1446" t="e">
        <f ca="1"/>
        <v>#NAME?</v>
      </c>
    </row>
    <row r="713" spans="1:26">
      <c r="A713" s="1487"/>
      <c r="B713" s="1488"/>
      <c r="C713" s="1489"/>
      <c r="D713" s="1490"/>
      <c r="E713" s="1487"/>
      <c r="F713" s="1488"/>
      <c r="G713" s="1489"/>
      <c r="H713" s="1490"/>
      <c r="I713" s="1487"/>
      <c r="J713" s="1488"/>
      <c r="K713" s="1489"/>
      <c r="L713" s="1490"/>
      <c r="M713" s="1487"/>
      <c r="N713" s="1488"/>
      <c r="O713" s="1489"/>
      <c r="P713" s="1490"/>
      <c r="X713" s="1445" t="e">
        <f ca="1"/>
        <v>#NAME?</v>
      </c>
      <c r="Y713" s="1446" t="e">
        <f ca="1"/>
        <v>#NAME?</v>
      </c>
    </row>
    <row r="714" spans="1:26">
      <c r="A714" s="1487"/>
      <c r="B714" s="1488"/>
      <c r="C714" s="1489"/>
      <c r="D714" s="1490"/>
      <c r="E714" s="1487"/>
      <c r="F714" s="1488"/>
      <c r="G714" s="1489"/>
      <c r="H714" s="1490"/>
      <c r="I714" s="1487"/>
      <c r="J714" s="1488"/>
      <c r="K714" s="1489"/>
      <c r="L714" s="1490"/>
      <c r="M714" s="1487"/>
      <c r="N714" s="1488"/>
      <c r="O714" s="1489"/>
      <c r="P714" s="1490"/>
      <c r="X714" s="1445" t="e">
        <f ca="1"/>
        <v>#NAME?</v>
      </c>
      <c r="Y714" s="1446" t="e">
        <f ca="1"/>
        <v>#NAME?</v>
      </c>
    </row>
    <row r="715" spans="1:26">
      <c r="A715" s="1487"/>
      <c r="B715" s="1488"/>
      <c r="C715" s="1489"/>
      <c r="D715" s="1490"/>
      <c r="E715" s="1487"/>
      <c r="F715" s="1488"/>
      <c r="G715" s="1489"/>
      <c r="H715" s="1490"/>
      <c r="I715" s="1487"/>
      <c r="J715" s="1488"/>
      <c r="K715" s="1489"/>
      <c r="L715" s="1490"/>
      <c r="M715" s="1487"/>
      <c r="N715" s="1488"/>
      <c r="O715" s="1489"/>
      <c r="P715" s="1490"/>
      <c r="X715" s="1445" t="e">
        <f ca="1"/>
        <v>#NAME?</v>
      </c>
      <c r="Y715" s="1446" t="e">
        <f ca="1"/>
        <v>#NAME?</v>
      </c>
    </row>
    <row r="716" spans="1:26">
      <c r="A716" s="1487"/>
      <c r="B716" s="1488"/>
      <c r="C716" s="1489"/>
      <c r="D716" s="1490"/>
      <c r="E716" s="1487"/>
      <c r="F716" s="1488"/>
      <c r="G716" s="1489"/>
      <c r="H716" s="1490"/>
      <c r="I716" s="1487"/>
      <c r="J716" s="1488"/>
      <c r="K716" s="1489"/>
      <c r="L716" s="1490"/>
      <c r="M716" s="1487"/>
      <c r="N716" s="1488"/>
      <c r="O716" s="1489"/>
      <c r="P716" s="1490"/>
      <c r="X716" s="1445" t="e">
        <f ca="1"/>
        <v>#NAME?</v>
      </c>
      <c r="Y716" s="1446" t="e">
        <f ca="1"/>
        <v>#NAME?</v>
      </c>
    </row>
    <row r="717" spans="1:26">
      <c r="A717" s="1487"/>
      <c r="B717" s="1488"/>
      <c r="C717" s="1489"/>
      <c r="D717" s="1490"/>
      <c r="E717" s="1487"/>
      <c r="F717" s="1488"/>
      <c r="G717" s="1489"/>
      <c r="H717" s="1490"/>
      <c r="I717" s="1487"/>
      <c r="J717" s="1488"/>
      <c r="K717" s="1489"/>
      <c r="L717" s="1490"/>
      <c r="M717" s="1487"/>
      <c r="N717" s="1488"/>
      <c r="O717" s="1489"/>
      <c r="P717" s="1490"/>
      <c r="X717" s="1445" t="e">
        <f ca="1"/>
        <v>#NAME?</v>
      </c>
      <c r="Y717" s="1446" t="e">
        <f ca="1"/>
        <v>#NAME?</v>
      </c>
    </row>
    <row r="718" spans="1:26">
      <c r="A718" s="1487"/>
      <c r="B718" s="1488"/>
      <c r="C718" s="1489"/>
      <c r="D718" s="1490"/>
      <c r="E718" s="1487"/>
      <c r="F718" s="1488"/>
      <c r="G718" s="1489"/>
      <c r="H718" s="1490"/>
      <c r="I718" s="1487"/>
      <c r="J718" s="1488"/>
      <c r="K718" s="1489"/>
      <c r="L718" s="1490"/>
      <c r="M718" s="1487"/>
      <c r="N718" s="1488"/>
      <c r="O718" s="1489"/>
      <c r="P718" s="1490"/>
      <c r="X718" s="1445" t="e">
        <f ca="1"/>
        <v>#NAME?</v>
      </c>
      <c r="Y718" s="1446" t="e">
        <f ca="1"/>
        <v>#NAME?</v>
      </c>
    </row>
    <row r="719" spans="1:26">
      <c r="A719" s="1487"/>
      <c r="B719" s="1488"/>
      <c r="C719" s="1489"/>
      <c r="D719" s="1490"/>
      <c r="E719" s="1487"/>
      <c r="F719" s="1488"/>
      <c r="G719" s="1489"/>
      <c r="H719" s="1490"/>
      <c r="I719" s="1487"/>
      <c r="J719" s="1488"/>
      <c r="K719" s="1489"/>
      <c r="L719" s="1490"/>
      <c r="M719" s="1487"/>
      <c r="N719" s="1488"/>
      <c r="O719" s="1489"/>
      <c r="P719" s="1490"/>
      <c r="X719" s="1445" t="e">
        <f ca="1"/>
        <v>#NAME?</v>
      </c>
      <c r="Y719" s="1446" t="e">
        <f ca="1"/>
        <v>#NAME?</v>
      </c>
    </row>
    <row r="720" spans="1:26">
      <c r="A720" s="1487"/>
      <c r="B720" s="1488"/>
      <c r="C720" s="1489"/>
      <c r="D720" s="1490"/>
      <c r="E720" s="1487"/>
      <c r="F720" s="1488"/>
      <c r="G720" s="1489"/>
      <c r="H720" s="1490"/>
      <c r="I720" s="1487"/>
      <c r="J720" s="1488"/>
      <c r="K720" s="1489"/>
      <c r="L720" s="1490"/>
      <c r="M720" s="1487"/>
      <c r="N720" s="1488"/>
      <c r="O720" s="1489"/>
      <c r="P720" s="1490"/>
      <c r="X720" s="1445" t="e">
        <f ca="1"/>
        <v>#NAME?</v>
      </c>
      <c r="Y720" s="1446" t="e">
        <f ca="1"/>
        <v>#NAME?</v>
      </c>
    </row>
    <row r="721" spans="1:25">
      <c r="A721" s="1487"/>
      <c r="B721" s="1488"/>
      <c r="C721" s="1489"/>
      <c r="D721" s="1490"/>
      <c r="E721" s="1487"/>
      <c r="F721" s="1488"/>
      <c r="G721" s="1489"/>
      <c r="H721" s="1490"/>
      <c r="I721" s="1487"/>
      <c r="J721" s="1488"/>
      <c r="K721" s="1489"/>
      <c r="L721" s="1490"/>
      <c r="M721" s="1487"/>
      <c r="N721" s="1488"/>
      <c r="O721" s="1489"/>
      <c r="P721" s="1490"/>
      <c r="X721" s="1445" t="e">
        <f ca="1"/>
        <v>#NAME?</v>
      </c>
      <c r="Y721" s="1446" t="e">
        <f ca="1"/>
        <v>#NAME?</v>
      </c>
    </row>
    <row r="722" spans="1:25">
      <c r="A722" s="1487"/>
      <c r="B722" s="1488"/>
      <c r="C722" s="1489"/>
      <c r="D722" s="1490"/>
      <c r="E722" s="1487"/>
      <c r="F722" s="1488"/>
      <c r="G722" s="1489"/>
      <c r="H722" s="1490"/>
      <c r="I722" s="1487"/>
      <c r="J722" s="1488"/>
      <c r="K722" s="1489"/>
      <c r="L722" s="1490"/>
      <c r="M722" s="1487"/>
      <c r="N722" s="1488"/>
      <c r="O722" s="1489"/>
      <c r="P722" s="1490"/>
      <c r="X722" s="1445" t="e">
        <f ca="1"/>
        <v>#NAME?</v>
      </c>
      <c r="Y722" s="1446" t="e">
        <f ca="1"/>
        <v>#NAME?</v>
      </c>
    </row>
    <row r="723" spans="1:25">
      <c r="A723" s="1487"/>
      <c r="B723" s="1488"/>
      <c r="C723" s="1489"/>
      <c r="D723" s="1490"/>
      <c r="E723" s="1487"/>
      <c r="F723" s="1488"/>
      <c r="G723" s="1489"/>
      <c r="H723" s="1490"/>
      <c r="I723" s="1487"/>
      <c r="J723" s="1488"/>
      <c r="K723" s="1489"/>
      <c r="L723" s="1490"/>
      <c r="M723" s="1487"/>
      <c r="N723" s="1488"/>
      <c r="O723" s="1489"/>
      <c r="P723" s="1490"/>
      <c r="X723" s="1445" t="e">
        <f ca="1"/>
        <v>#NAME?</v>
      </c>
      <c r="Y723" s="1446" t="e">
        <f ca="1"/>
        <v>#NAME?</v>
      </c>
    </row>
    <row r="724" spans="1:25">
      <c r="A724" s="1487"/>
      <c r="B724" s="1488"/>
      <c r="C724" s="1489"/>
      <c r="D724" s="1490"/>
      <c r="E724" s="1487"/>
      <c r="F724" s="1488"/>
      <c r="G724" s="1489"/>
      <c r="H724" s="1490"/>
      <c r="I724" s="1487"/>
      <c r="J724" s="1488"/>
      <c r="K724" s="1489"/>
      <c r="L724" s="1490"/>
      <c r="M724" s="1487"/>
      <c r="N724" s="1488"/>
      <c r="O724" s="1489"/>
      <c r="P724" s="1490"/>
      <c r="X724" s="1445" t="e">
        <f ca="1"/>
        <v>#NAME?</v>
      </c>
      <c r="Y724" s="1446" t="e">
        <f ca="1"/>
        <v>#NAME?</v>
      </c>
    </row>
    <row r="725" spans="1:25">
      <c r="A725" s="1487"/>
      <c r="B725" s="1488"/>
      <c r="C725" s="1489"/>
      <c r="D725" s="1490"/>
      <c r="E725" s="1487"/>
      <c r="F725" s="1488"/>
      <c r="G725" s="1489"/>
      <c r="H725" s="1490"/>
      <c r="I725" s="1487"/>
      <c r="J725" s="1488"/>
      <c r="K725" s="1489"/>
      <c r="L725" s="1490"/>
      <c r="M725" s="1487"/>
      <c r="N725" s="1488"/>
      <c r="O725" s="1489"/>
      <c r="P725" s="1490"/>
      <c r="X725" s="1445" t="e">
        <f ca="1"/>
        <v>#NAME?</v>
      </c>
      <c r="Y725" s="1446" t="e">
        <f ca="1"/>
        <v>#NAME?</v>
      </c>
    </row>
    <row r="726" spans="1:25">
      <c r="A726" s="1487"/>
      <c r="B726" s="1488"/>
      <c r="C726" s="1489"/>
      <c r="D726" s="1490"/>
      <c r="E726" s="1487"/>
      <c r="F726" s="1488"/>
      <c r="G726" s="1489"/>
      <c r="H726" s="1490"/>
      <c r="I726" s="1487"/>
      <c r="J726" s="1488"/>
      <c r="K726" s="1489"/>
      <c r="L726" s="1490"/>
      <c r="M726" s="1487"/>
      <c r="N726" s="1488"/>
      <c r="O726" s="1489"/>
      <c r="P726" s="1490"/>
      <c r="X726" s="1445" t="e">
        <f ca="1"/>
        <v>#NAME?</v>
      </c>
      <c r="Y726" s="1446" t="e">
        <f ca="1"/>
        <v>#NAME?</v>
      </c>
    </row>
    <row r="727" spans="1:25">
      <c r="A727" s="1487"/>
      <c r="B727" s="1488"/>
      <c r="C727" s="1489"/>
      <c r="D727" s="1490"/>
      <c r="E727" s="1487"/>
      <c r="F727" s="1488"/>
      <c r="G727" s="1489"/>
      <c r="H727" s="1490"/>
      <c r="I727" s="1487"/>
      <c r="J727" s="1488"/>
      <c r="K727" s="1489"/>
      <c r="L727" s="1490"/>
      <c r="M727" s="1487"/>
      <c r="N727" s="1488"/>
      <c r="O727" s="1489"/>
      <c r="P727" s="1490"/>
      <c r="X727" s="1445" t="e">
        <f ca="1"/>
        <v>#NAME?</v>
      </c>
      <c r="Y727" s="1446" t="e">
        <f ca="1"/>
        <v>#NAME?</v>
      </c>
    </row>
    <row r="728" spans="1:25">
      <c r="A728" s="1487"/>
      <c r="B728" s="1488"/>
      <c r="C728" s="1489"/>
      <c r="D728" s="1490"/>
      <c r="E728" s="1487"/>
      <c r="F728" s="1488"/>
      <c r="G728" s="1489"/>
      <c r="H728" s="1490"/>
      <c r="I728" s="1487"/>
      <c r="J728" s="1488"/>
      <c r="K728" s="1489"/>
      <c r="L728" s="1490"/>
      <c r="M728" s="1487"/>
      <c r="N728" s="1488"/>
      <c r="O728" s="1489"/>
      <c r="P728" s="1490"/>
      <c r="X728" s="1445" t="e">
        <f ca="1"/>
        <v>#NAME?</v>
      </c>
      <c r="Y728" s="1446" t="e">
        <f ca="1"/>
        <v>#NAME?</v>
      </c>
    </row>
    <row r="729" spans="1:25">
      <c r="A729" s="1487"/>
      <c r="B729" s="1488"/>
      <c r="C729" s="1489"/>
      <c r="D729" s="1490"/>
      <c r="E729" s="1487"/>
      <c r="F729" s="1488"/>
      <c r="G729" s="1489"/>
      <c r="H729" s="1490"/>
      <c r="I729" s="1487"/>
      <c r="J729" s="1488"/>
      <c r="K729" s="1489"/>
      <c r="L729" s="1490"/>
      <c r="M729" s="1487"/>
      <c r="N729" s="1488"/>
      <c r="O729" s="1489"/>
      <c r="P729" s="1490"/>
      <c r="X729" s="1445" t="e">
        <f ca="1"/>
        <v>#NAME?</v>
      </c>
      <c r="Y729" s="1446" t="e">
        <f ca="1"/>
        <v>#NAME?</v>
      </c>
    </row>
    <row r="730" spans="1:25">
      <c r="A730" s="1487"/>
      <c r="B730" s="1488"/>
      <c r="C730" s="1489"/>
      <c r="D730" s="1490"/>
      <c r="E730" s="1487"/>
      <c r="F730" s="1488"/>
      <c r="G730" s="1489"/>
      <c r="H730" s="1490"/>
      <c r="I730" s="1487"/>
      <c r="J730" s="1488"/>
      <c r="K730" s="1489"/>
      <c r="L730" s="1490"/>
      <c r="M730" s="1487"/>
      <c r="N730" s="1488"/>
      <c r="O730" s="1489"/>
      <c r="P730" s="1490"/>
      <c r="X730" s="1445" t="e">
        <f ca="1"/>
        <v>#NAME?</v>
      </c>
      <c r="Y730" s="1446" t="e">
        <f ca="1"/>
        <v>#NAME?</v>
      </c>
    </row>
    <row r="731" spans="1:25">
      <c r="A731" s="1487"/>
      <c r="B731" s="1488"/>
      <c r="C731" s="1489"/>
      <c r="D731" s="1490"/>
      <c r="E731" s="1487"/>
      <c r="F731" s="1488"/>
      <c r="G731" s="1489"/>
      <c r="H731" s="1490"/>
      <c r="I731" s="1487"/>
      <c r="J731" s="1488"/>
      <c r="K731" s="1489"/>
      <c r="L731" s="1490"/>
      <c r="M731" s="1487"/>
      <c r="N731" s="1488"/>
      <c r="O731" s="1489"/>
      <c r="P731" s="1490"/>
      <c r="X731" s="1445" t="e">
        <f ca="1"/>
        <v>#NAME?</v>
      </c>
      <c r="Y731" s="1446" t="e">
        <f ca="1"/>
        <v>#NAME?</v>
      </c>
    </row>
    <row r="732" spans="1:25">
      <c r="A732" s="1487"/>
      <c r="B732" s="1488"/>
      <c r="C732" s="1489"/>
      <c r="D732" s="1490"/>
      <c r="E732" s="1487"/>
      <c r="F732" s="1488"/>
      <c r="G732" s="1489"/>
      <c r="H732" s="1490"/>
      <c r="I732" s="1487"/>
      <c r="J732" s="1488"/>
      <c r="K732" s="1489"/>
      <c r="L732" s="1490"/>
      <c r="M732" s="1487"/>
      <c r="N732" s="1488"/>
      <c r="O732" s="1489"/>
      <c r="P732" s="1490"/>
      <c r="X732" s="1445" t="e">
        <f ca="1"/>
        <v>#NAME?</v>
      </c>
      <c r="Y732" s="1446" t="e">
        <f ca="1"/>
        <v>#NAME?</v>
      </c>
    </row>
    <row r="733" spans="1:25">
      <c r="A733" s="1487"/>
      <c r="B733" s="1488"/>
      <c r="C733" s="1489"/>
      <c r="D733" s="1490"/>
      <c r="E733" s="1487"/>
      <c r="F733" s="1488"/>
      <c r="G733" s="1489"/>
      <c r="H733" s="1490"/>
      <c r="I733" s="1487"/>
      <c r="J733" s="1488"/>
      <c r="K733" s="1489"/>
      <c r="L733" s="1490"/>
      <c r="M733" s="1487"/>
      <c r="N733" s="1488"/>
      <c r="O733" s="1489"/>
      <c r="P733" s="1490"/>
      <c r="X733" s="1445" t="e">
        <f ca="1"/>
        <v>#NAME?</v>
      </c>
      <c r="Y733" s="1446" t="e">
        <f ca="1"/>
        <v>#NAME?</v>
      </c>
    </row>
    <row r="734" spans="1:25">
      <c r="A734" s="1487"/>
      <c r="B734" s="1488"/>
      <c r="C734" s="1489"/>
      <c r="D734" s="1490"/>
      <c r="E734" s="1487"/>
      <c r="F734" s="1488"/>
      <c r="G734" s="1489"/>
      <c r="H734" s="1490"/>
      <c r="I734" s="1487"/>
      <c r="J734" s="1488"/>
      <c r="K734" s="1489"/>
      <c r="L734" s="1490"/>
      <c r="M734" s="1487"/>
      <c r="N734" s="1488"/>
      <c r="O734" s="1489"/>
      <c r="P734" s="1490"/>
      <c r="X734" s="1445" t="e">
        <f ca="1"/>
        <v>#NAME?</v>
      </c>
      <c r="Y734" s="1446" t="e">
        <f ca="1"/>
        <v>#NAME?</v>
      </c>
    </row>
    <row r="735" spans="1:25">
      <c r="A735" s="1487"/>
      <c r="B735" s="1488"/>
      <c r="C735" s="1489"/>
      <c r="D735" s="1490"/>
      <c r="E735" s="1487"/>
      <c r="F735" s="1488"/>
      <c r="G735" s="1489"/>
      <c r="H735" s="1490"/>
      <c r="I735" s="1487"/>
      <c r="J735" s="1488"/>
      <c r="K735" s="1489"/>
      <c r="L735" s="1490"/>
      <c r="M735" s="1487"/>
      <c r="N735" s="1488"/>
      <c r="O735" s="1489"/>
      <c r="P735" s="1490"/>
      <c r="X735" s="1445" t="e">
        <f ca="1"/>
        <v>#NAME?</v>
      </c>
      <c r="Y735" s="1446" t="e">
        <f ca="1"/>
        <v>#NAME?</v>
      </c>
    </row>
    <row r="736" spans="1:25">
      <c r="A736" s="1487"/>
      <c r="B736" s="1488"/>
      <c r="C736" s="1489"/>
      <c r="D736" s="1490"/>
      <c r="E736" s="1487"/>
      <c r="F736" s="1488"/>
      <c r="G736" s="1489"/>
      <c r="H736" s="1490"/>
      <c r="I736" s="1487"/>
      <c r="J736" s="1488"/>
      <c r="K736" s="1489"/>
      <c r="L736" s="1490"/>
      <c r="M736" s="1487"/>
      <c r="N736" s="1488"/>
      <c r="O736" s="1489"/>
      <c r="P736" s="1490"/>
      <c r="X736" s="1445" t="e">
        <f ca="1"/>
        <v>#NAME?</v>
      </c>
      <c r="Y736" s="1446" t="e">
        <f ca="1"/>
        <v>#NAME?</v>
      </c>
    </row>
    <row r="737" spans="1:25">
      <c r="A737" s="1487"/>
      <c r="B737" s="1488"/>
      <c r="C737" s="1489"/>
      <c r="D737" s="1490"/>
      <c r="E737" s="1487"/>
      <c r="F737" s="1488"/>
      <c r="G737" s="1489"/>
      <c r="H737" s="1490"/>
      <c r="I737" s="1487"/>
      <c r="J737" s="1488"/>
      <c r="K737" s="1489"/>
      <c r="L737" s="1490"/>
      <c r="M737" s="1487"/>
      <c r="N737" s="1488"/>
      <c r="O737" s="1489"/>
      <c r="P737" s="1490"/>
      <c r="X737" s="1445" t="e">
        <f ca="1"/>
        <v>#NAME?</v>
      </c>
      <c r="Y737" s="1446" t="e">
        <f ca="1"/>
        <v>#NAME?</v>
      </c>
    </row>
    <row r="738" spans="1:25">
      <c r="A738" s="1487"/>
      <c r="B738" s="1488"/>
      <c r="C738" s="1489"/>
      <c r="D738" s="1490"/>
      <c r="E738" s="1487"/>
      <c r="F738" s="1488"/>
      <c r="G738" s="1489"/>
      <c r="H738" s="1490"/>
      <c r="I738" s="1487"/>
      <c r="J738" s="1488"/>
      <c r="K738" s="1489"/>
      <c r="L738" s="1490"/>
      <c r="M738" s="1487"/>
      <c r="N738" s="1488"/>
      <c r="O738" s="1489"/>
      <c r="P738" s="1490"/>
      <c r="X738" s="1445" t="e">
        <f ca="1"/>
        <v>#NAME?</v>
      </c>
      <c r="Y738" s="1446" t="e">
        <f ca="1"/>
        <v>#NAME?</v>
      </c>
    </row>
    <row r="739" spans="1:25">
      <c r="A739" s="1487"/>
      <c r="B739" s="1488"/>
      <c r="C739" s="1489"/>
      <c r="D739" s="1490"/>
      <c r="E739" s="1487"/>
      <c r="F739" s="1488"/>
      <c r="G739" s="1489"/>
      <c r="H739" s="1490"/>
      <c r="I739" s="1487"/>
      <c r="J739" s="1488"/>
      <c r="K739" s="1489"/>
      <c r="L739" s="1490"/>
      <c r="M739" s="1487"/>
      <c r="N739" s="1488"/>
      <c r="O739" s="1489"/>
      <c r="P739" s="1490"/>
      <c r="X739" s="1445" t="e">
        <f ca="1"/>
        <v>#NAME?</v>
      </c>
      <c r="Y739" s="1446" t="e">
        <f ca="1"/>
        <v>#NAME?</v>
      </c>
    </row>
    <row r="740" spans="1:25">
      <c r="A740" s="1487"/>
      <c r="B740" s="1488"/>
      <c r="C740" s="1489"/>
      <c r="D740" s="1490"/>
      <c r="E740" s="1487"/>
      <c r="F740" s="1488"/>
      <c r="G740" s="1489"/>
      <c r="H740" s="1490"/>
      <c r="I740" s="1487"/>
      <c r="J740" s="1488"/>
      <c r="K740" s="1489"/>
      <c r="L740" s="1490"/>
      <c r="M740" s="1487"/>
      <c r="N740" s="1488"/>
      <c r="O740" s="1489"/>
      <c r="P740" s="1490"/>
      <c r="X740" s="1445" t="e">
        <f ca="1"/>
        <v>#NAME?</v>
      </c>
      <c r="Y740" s="1446" t="e">
        <f ca="1"/>
        <v>#NAME?</v>
      </c>
    </row>
    <row r="741" spans="1:25">
      <c r="A741" s="1487"/>
      <c r="B741" s="1488"/>
      <c r="C741" s="1489"/>
      <c r="D741" s="1490"/>
      <c r="E741" s="1487"/>
      <c r="F741" s="1488"/>
      <c r="G741" s="1489"/>
      <c r="H741" s="1490"/>
      <c r="I741" s="1487"/>
      <c r="J741" s="1488"/>
      <c r="K741" s="1489"/>
      <c r="L741" s="1490"/>
      <c r="M741" s="1487"/>
      <c r="N741" s="1488"/>
      <c r="O741" s="1489"/>
      <c r="P741" s="1490"/>
      <c r="X741" s="1445" t="e">
        <f ca="1"/>
        <v>#NAME?</v>
      </c>
      <c r="Y741" s="1446" t="e">
        <f ca="1"/>
        <v>#NAME?</v>
      </c>
    </row>
    <row r="742" spans="1:25">
      <c r="A742" s="1487"/>
      <c r="B742" s="1488"/>
      <c r="C742" s="1489"/>
      <c r="D742" s="1490"/>
      <c r="E742" s="1487"/>
      <c r="F742" s="1488"/>
      <c r="G742" s="1489"/>
      <c r="H742" s="1490"/>
      <c r="I742" s="1487"/>
      <c r="J742" s="1488"/>
      <c r="K742" s="1489"/>
      <c r="L742" s="1490"/>
      <c r="M742" s="1487"/>
      <c r="N742" s="1488"/>
      <c r="O742" s="1489"/>
      <c r="P742" s="1490"/>
      <c r="X742" s="1445" t="e">
        <f ca="1"/>
        <v>#NAME?</v>
      </c>
      <c r="Y742" s="1446" t="e">
        <f ca="1"/>
        <v>#NAME?</v>
      </c>
    </row>
    <row r="743" spans="1:25">
      <c r="A743" s="1487"/>
      <c r="B743" s="1488"/>
      <c r="C743" s="1489"/>
      <c r="D743" s="1490"/>
      <c r="E743" s="1487"/>
      <c r="F743" s="1488"/>
      <c r="G743" s="1489"/>
      <c r="H743" s="1490"/>
      <c r="I743" s="1487"/>
      <c r="J743" s="1488"/>
      <c r="K743" s="1489"/>
      <c r="L743" s="1490"/>
      <c r="M743" s="1487"/>
      <c r="N743" s="1488"/>
      <c r="O743" s="1489"/>
      <c r="P743" s="1490"/>
      <c r="X743" s="1445" t="e">
        <f ca="1"/>
        <v>#NAME?</v>
      </c>
      <c r="Y743" s="1446" t="e">
        <f ca="1"/>
        <v>#NAME?</v>
      </c>
    </row>
    <row r="744" spans="1:25">
      <c r="A744" s="1487"/>
      <c r="B744" s="1488"/>
      <c r="C744" s="1489"/>
      <c r="D744" s="1490"/>
      <c r="E744" s="1487"/>
      <c r="F744" s="1488"/>
      <c r="G744" s="1489"/>
      <c r="H744" s="1490"/>
      <c r="I744" s="1487"/>
      <c r="J744" s="1488"/>
      <c r="K744" s="1489"/>
      <c r="L744" s="1490"/>
      <c r="M744" s="1487"/>
      <c r="N744" s="1488"/>
      <c r="O744" s="1489"/>
      <c r="P744" s="1490"/>
      <c r="X744" s="1445" t="e">
        <f ca="1"/>
        <v>#NAME?</v>
      </c>
      <c r="Y744" s="1446" t="e">
        <f ca="1"/>
        <v>#NAME?</v>
      </c>
    </row>
    <row r="745" spans="1:25">
      <c r="A745" s="1487"/>
      <c r="B745" s="1488"/>
      <c r="C745" s="1489"/>
      <c r="D745" s="1490"/>
      <c r="E745" s="1487"/>
      <c r="F745" s="1488"/>
      <c r="G745" s="1489"/>
      <c r="H745" s="1490"/>
      <c r="I745" s="1487"/>
      <c r="J745" s="1488"/>
      <c r="K745" s="1489"/>
      <c r="L745" s="1490"/>
      <c r="M745" s="1487"/>
      <c r="N745" s="1488"/>
      <c r="O745" s="1489"/>
      <c r="P745" s="1490"/>
      <c r="X745" s="1445" t="e">
        <f ca="1"/>
        <v>#NAME?</v>
      </c>
      <c r="Y745" s="1446" t="e">
        <f ca="1"/>
        <v>#NAME?</v>
      </c>
    </row>
    <row r="746" spans="1:25">
      <c r="A746" s="1487"/>
      <c r="B746" s="1488"/>
      <c r="C746" s="1489"/>
      <c r="D746" s="1490"/>
      <c r="E746" s="1487"/>
      <c r="F746" s="1488"/>
      <c r="G746" s="1489"/>
      <c r="H746" s="1490"/>
      <c r="I746" s="1487"/>
      <c r="J746" s="1488"/>
      <c r="K746" s="1489"/>
      <c r="L746" s="1490"/>
      <c r="M746" s="1487"/>
      <c r="N746" s="1488"/>
      <c r="O746" s="1489"/>
      <c r="P746" s="1490"/>
      <c r="X746" s="1445" t="e">
        <f ca="1"/>
        <v>#NAME?</v>
      </c>
      <c r="Y746" s="1446" t="e">
        <f ca="1"/>
        <v>#NAME?</v>
      </c>
    </row>
    <row r="747" spans="1:25">
      <c r="A747" s="1487"/>
      <c r="B747" s="1488"/>
      <c r="C747" s="1489"/>
      <c r="D747" s="1490"/>
      <c r="E747" s="1487"/>
      <c r="F747" s="1488"/>
      <c r="G747" s="1489"/>
      <c r="H747" s="1490"/>
      <c r="I747" s="1487"/>
      <c r="J747" s="1488"/>
      <c r="K747" s="1489"/>
      <c r="L747" s="1490"/>
      <c r="M747" s="1487"/>
      <c r="N747" s="1488"/>
      <c r="O747" s="1489"/>
      <c r="P747" s="1490"/>
      <c r="X747" s="1445" t="e">
        <f ca="1"/>
        <v>#NAME?</v>
      </c>
      <c r="Y747" s="1446" t="e">
        <f ca="1"/>
        <v>#NAME?</v>
      </c>
    </row>
    <row r="748" spans="1:25">
      <c r="A748" s="1487"/>
      <c r="B748" s="1488"/>
      <c r="C748" s="1489"/>
      <c r="D748" s="1490"/>
      <c r="E748" s="1487"/>
      <c r="F748" s="1488"/>
      <c r="G748" s="1489"/>
      <c r="H748" s="1490"/>
      <c r="I748" s="1487"/>
      <c r="J748" s="1488"/>
      <c r="K748" s="1489"/>
      <c r="L748" s="1490"/>
      <c r="M748" s="1487"/>
      <c r="N748" s="1488"/>
      <c r="O748" s="1489"/>
      <c r="P748" s="1490"/>
      <c r="X748" s="1445" t="e">
        <f ca="1"/>
        <v>#NAME?</v>
      </c>
      <c r="Y748" s="1446" t="e">
        <f ca="1"/>
        <v>#NAME?</v>
      </c>
    </row>
    <row r="749" spans="1:25">
      <c r="A749" s="1487"/>
      <c r="B749" s="1488"/>
      <c r="C749" s="1489"/>
      <c r="D749" s="1490"/>
      <c r="E749" s="1487"/>
      <c r="F749" s="1488"/>
      <c r="G749" s="1489"/>
      <c r="H749" s="1490"/>
      <c r="I749" s="1487"/>
      <c r="J749" s="1488"/>
      <c r="K749" s="1489"/>
      <c r="L749" s="1490"/>
      <c r="M749" s="1487"/>
      <c r="N749" s="1488"/>
      <c r="O749" s="1489"/>
      <c r="P749" s="1490"/>
      <c r="X749" s="1445" t="e">
        <f ca="1"/>
        <v>#NAME?</v>
      </c>
      <c r="Y749" s="1446" t="e">
        <f ca="1"/>
        <v>#NAME?</v>
      </c>
    </row>
    <row r="750" spans="1:25">
      <c r="A750" s="1487"/>
      <c r="B750" s="1488"/>
      <c r="C750" s="1489"/>
      <c r="D750" s="1490"/>
      <c r="E750" s="1487"/>
      <c r="F750" s="1488"/>
      <c r="G750" s="1489"/>
      <c r="H750" s="1490"/>
      <c r="I750" s="1487"/>
      <c r="J750" s="1488"/>
      <c r="K750" s="1489"/>
      <c r="L750" s="1490"/>
      <c r="M750" s="1487"/>
      <c r="N750" s="1488"/>
      <c r="O750" s="1489"/>
      <c r="P750" s="1490"/>
      <c r="X750" s="1445" t="e">
        <f ca="1"/>
        <v>#NAME?</v>
      </c>
      <c r="Y750" s="1446" t="e">
        <f ca="1"/>
        <v>#NAME?</v>
      </c>
    </row>
    <row r="751" spans="1:25">
      <c r="A751" s="1487"/>
      <c r="B751" s="1488"/>
      <c r="C751" s="1489"/>
      <c r="D751" s="1490"/>
      <c r="E751" s="1487"/>
      <c r="F751" s="1488"/>
      <c r="G751" s="1489"/>
      <c r="H751" s="1490"/>
      <c r="I751" s="1487"/>
      <c r="J751" s="1488"/>
      <c r="K751" s="1489"/>
      <c r="L751" s="1490"/>
      <c r="M751" s="1487"/>
      <c r="N751" s="1488"/>
      <c r="O751" s="1489"/>
      <c r="P751" s="1490"/>
      <c r="X751" s="1445" t="e">
        <f ca="1"/>
        <v>#NAME?</v>
      </c>
      <c r="Y751" s="1446" t="e">
        <f ca="1"/>
        <v>#NAME?</v>
      </c>
    </row>
    <row r="752" spans="1:25">
      <c r="A752" s="1487"/>
      <c r="B752" s="1488"/>
      <c r="C752" s="1489"/>
      <c r="D752" s="1490"/>
      <c r="E752" s="1487"/>
      <c r="F752" s="1488"/>
      <c r="G752" s="1489"/>
      <c r="H752" s="1490"/>
      <c r="I752" s="1487"/>
      <c r="J752" s="1488"/>
      <c r="K752" s="1489"/>
      <c r="L752" s="1490"/>
      <c r="M752" s="1487"/>
      <c r="N752" s="1488"/>
      <c r="O752" s="1489"/>
      <c r="P752" s="1490"/>
      <c r="X752" s="1445" t="e">
        <f ca="1"/>
        <v>#NAME?</v>
      </c>
      <c r="Y752" s="1446" t="e">
        <f ca="1"/>
        <v>#NAME?</v>
      </c>
    </row>
    <row r="753" spans="1:25">
      <c r="A753" s="1487"/>
      <c r="B753" s="1488"/>
      <c r="C753" s="1489"/>
      <c r="D753" s="1490"/>
      <c r="E753" s="1487"/>
      <c r="F753" s="1488"/>
      <c r="G753" s="1489"/>
      <c r="H753" s="1490"/>
      <c r="I753" s="1487"/>
      <c r="J753" s="1488"/>
      <c r="K753" s="1489"/>
      <c r="L753" s="1490"/>
      <c r="M753" s="1487"/>
      <c r="N753" s="1488"/>
      <c r="O753" s="1489"/>
      <c r="P753" s="1490"/>
      <c r="X753" s="1445" t="e">
        <f ca="1"/>
        <v>#NAME?</v>
      </c>
      <c r="Y753" s="1446" t="e">
        <f ca="1"/>
        <v>#NAME?</v>
      </c>
    </row>
    <row r="754" spans="1:25">
      <c r="A754" s="1487"/>
      <c r="B754" s="1488"/>
      <c r="C754" s="1489"/>
      <c r="D754" s="1490"/>
      <c r="E754" s="1487"/>
      <c r="F754" s="1488"/>
      <c r="G754" s="1489"/>
      <c r="H754" s="1490"/>
      <c r="I754" s="1487"/>
      <c r="J754" s="1488"/>
      <c r="K754" s="1489"/>
      <c r="L754" s="1490"/>
      <c r="M754" s="1487"/>
      <c r="N754" s="1488"/>
      <c r="O754" s="1489"/>
      <c r="P754" s="1490"/>
      <c r="X754" s="1445" t="e">
        <f ca="1"/>
        <v>#NAME?</v>
      </c>
      <c r="Y754" s="1446" t="e">
        <f ca="1"/>
        <v>#NAME?</v>
      </c>
    </row>
    <row r="755" spans="1:25">
      <c r="A755" s="1487"/>
      <c r="B755" s="1488"/>
      <c r="C755" s="1489"/>
      <c r="D755" s="1490"/>
      <c r="E755" s="1487"/>
      <c r="F755" s="1488"/>
      <c r="G755" s="1489"/>
      <c r="H755" s="1490"/>
      <c r="I755" s="1487"/>
      <c r="J755" s="1488"/>
      <c r="K755" s="1489"/>
      <c r="L755" s="1490"/>
      <c r="M755" s="1487"/>
      <c r="N755" s="1488"/>
      <c r="O755" s="1489"/>
      <c r="P755" s="1490"/>
      <c r="X755" s="1445" t="e">
        <f ca="1"/>
        <v>#NAME?</v>
      </c>
      <c r="Y755" s="1446" t="e">
        <f ca="1"/>
        <v>#NAME?</v>
      </c>
    </row>
    <row r="756" spans="1:25">
      <c r="A756" s="1487"/>
      <c r="B756" s="1488"/>
      <c r="C756" s="1489"/>
      <c r="D756" s="1490"/>
      <c r="E756" s="1487"/>
      <c r="F756" s="1488"/>
      <c r="G756" s="1489"/>
      <c r="H756" s="1490"/>
      <c r="I756" s="1487"/>
      <c r="J756" s="1488"/>
      <c r="K756" s="1489"/>
      <c r="L756" s="1490"/>
      <c r="M756" s="1487"/>
      <c r="N756" s="1488"/>
      <c r="O756" s="1489"/>
      <c r="P756" s="1490"/>
      <c r="X756" s="1445" t="e">
        <f ca="1"/>
        <v>#NAME?</v>
      </c>
      <c r="Y756" s="1446" t="e">
        <f ca="1"/>
        <v>#NAME?</v>
      </c>
    </row>
    <row r="757" spans="1:25">
      <c r="A757" s="1487"/>
      <c r="B757" s="1488"/>
      <c r="C757" s="1489"/>
      <c r="D757" s="1490"/>
      <c r="E757" s="1487"/>
      <c r="F757" s="1488"/>
      <c r="G757" s="1489"/>
      <c r="H757" s="1490"/>
      <c r="I757" s="1487"/>
      <c r="J757" s="1488"/>
      <c r="K757" s="1489"/>
      <c r="L757" s="1490"/>
      <c r="M757" s="1487"/>
      <c r="N757" s="1488"/>
      <c r="O757" s="1489"/>
      <c r="P757" s="1490"/>
      <c r="X757" s="1445" t="e">
        <f ca="1"/>
        <v>#NAME?</v>
      </c>
      <c r="Y757" s="1446" t="e">
        <f ca="1"/>
        <v>#NAME?</v>
      </c>
    </row>
    <row r="758" spans="1:25">
      <c r="A758" s="1487"/>
      <c r="B758" s="1488"/>
      <c r="C758" s="1489"/>
      <c r="D758" s="1490"/>
      <c r="E758" s="1487"/>
      <c r="F758" s="1488"/>
      <c r="G758" s="1489"/>
      <c r="H758" s="1490"/>
      <c r="I758" s="1487"/>
      <c r="J758" s="1488"/>
      <c r="K758" s="1489"/>
      <c r="L758" s="1490"/>
      <c r="M758" s="1487"/>
      <c r="N758" s="1488"/>
      <c r="O758" s="1489"/>
      <c r="P758" s="1490"/>
      <c r="X758" s="1445" t="e">
        <f ca="1"/>
        <v>#NAME?</v>
      </c>
      <c r="Y758" s="1446" t="e">
        <f ca="1"/>
        <v>#NAME?</v>
      </c>
    </row>
    <row r="759" spans="1:25">
      <c r="A759" s="1487"/>
      <c r="B759" s="1488"/>
      <c r="C759" s="1489"/>
      <c r="D759" s="1490"/>
      <c r="E759" s="1487"/>
      <c r="F759" s="1488"/>
      <c r="G759" s="1489"/>
      <c r="H759" s="1490"/>
      <c r="I759" s="1487"/>
      <c r="J759" s="1488"/>
      <c r="K759" s="1489"/>
      <c r="L759" s="1490"/>
      <c r="M759" s="1487"/>
      <c r="N759" s="1488"/>
      <c r="O759" s="1489"/>
      <c r="P759" s="1490"/>
      <c r="X759" s="1445" t="e">
        <f ca="1"/>
        <v>#NAME?</v>
      </c>
      <c r="Y759" s="1446" t="e">
        <f ca="1"/>
        <v>#NAME?</v>
      </c>
    </row>
    <row r="760" spans="1:25">
      <c r="A760" s="1487"/>
      <c r="B760" s="1488"/>
      <c r="C760" s="1489"/>
      <c r="D760" s="1490"/>
      <c r="E760" s="1487"/>
      <c r="F760" s="1488"/>
      <c r="G760" s="1489"/>
      <c r="H760" s="1490"/>
      <c r="I760" s="1487"/>
      <c r="J760" s="1488"/>
      <c r="K760" s="1489"/>
      <c r="L760" s="1490"/>
      <c r="M760" s="1487"/>
      <c r="N760" s="1488"/>
      <c r="O760" s="1489"/>
      <c r="P760" s="1490"/>
      <c r="X760" s="1445" t="e">
        <f ca="1"/>
        <v>#NAME?</v>
      </c>
      <c r="Y760" s="1446" t="e">
        <f ca="1"/>
        <v>#NAME?</v>
      </c>
    </row>
    <row r="761" spans="1:25">
      <c r="A761" s="1487"/>
      <c r="B761" s="1488"/>
      <c r="C761" s="1489"/>
      <c r="D761" s="1490"/>
      <c r="E761" s="1487"/>
      <c r="F761" s="1488"/>
      <c r="G761" s="1489"/>
      <c r="H761" s="1490"/>
      <c r="I761" s="1487"/>
      <c r="J761" s="1488"/>
      <c r="K761" s="1489"/>
      <c r="L761" s="1490"/>
      <c r="M761" s="1487"/>
      <c r="N761" s="1488"/>
      <c r="O761" s="1489"/>
      <c r="P761" s="1490"/>
      <c r="X761" s="1445" t="e">
        <f ca="1"/>
        <v>#NAME?</v>
      </c>
      <c r="Y761" s="1446" t="e">
        <f ca="1"/>
        <v>#NAME?</v>
      </c>
    </row>
    <row r="762" spans="1:25">
      <c r="A762" s="1487"/>
      <c r="B762" s="1488"/>
      <c r="C762" s="1489"/>
      <c r="D762" s="1490"/>
      <c r="E762" s="1487"/>
      <c r="F762" s="1488"/>
      <c r="G762" s="1489"/>
      <c r="H762" s="1490"/>
      <c r="I762" s="1487"/>
      <c r="J762" s="1488"/>
      <c r="K762" s="1489"/>
      <c r="L762" s="1490"/>
      <c r="M762" s="1487"/>
      <c r="N762" s="1488"/>
      <c r="O762" s="1489"/>
      <c r="P762" s="1490"/>
      <c r="X762" s="1445" t="e">
        <f ca="1"/>
        <v>#NAME?</v>
      </c>
      <c r="Y762" s="1446" t="e">
        <f ca="1"/>
        <v>#NAME?</v>
      </c>
    </row>
    <row r="763" spans="1:25">
      <c r="A763" s="1487"/>
      <c r="B763" s="1488"/>
      <c r="C763" s="1489"/>
      <c r="D763" s="1490"/>
      <c r="E763" s="1487"/>
      <c r="F763" s="1488"/>
      <c r="G763" s="1489"/>
      <c r="H763" s="1490"/>
      <c r="I763" s="1487"/>
      <c r="J763" s="1488"/>
      <c r="K763" s="1489"/>
      <c r="L763" s="1490"/>
      <c r="M763" s="1487"/>
      <c r="N763" s="1488"/>
      <c r="O763" s="1489"/>
      <c r="P763" s="1490"/>
      <c r="X763" s="1445" t="e">
        <f ca="1"/>
        <v>#NAME?</v>
      </c>
      <c r="Y763" s="1446" t="e">
        <f ca="1"/>
        <v>#NAME?</v>
      </c>
    </row>
    <row r="764" spans="1:25">
      <c r="A764" s="1487"/>
      <c r="B764" s="1488"/>
      <c r="C764" s="1489"/>
      <c r="D764" s="1490"/>
      <c r="E764" s="1487"/>
      <c r="F764" s="1488"/>
      <c r="G764" s="1489"/>
      <c r="H764" s="1490"/>
      <c r="I764" s="1487"/>
      <c r="J764" s="1488"/>
      <c r="K764" s="1489"/>
      <c r="L764" s="1490"/>
      <c r="M764" s="1487"/>
      <c r="N764" s="1488"/>
      <c r="O764" s="1489"/>
      <c r="P764" s="1490"/>
      <c r="X764" s="1445" t="e">
        <f ca="1"/>
        <v>#NAME?</v>
      </c>
      <c r="Y764" s="1446" t="e">
        <f ca="1"/>
        <v>#NAME?</v>
      </c>
    </row>
    <row r="765" spans="1:25">
      <c r="A765" s="1487"/>
      <c r="B765" s="1488"/>
      <c r="C765" s="1489"/>
      <c r="D765" s="1490"/>
      <c r="E765" s="1487"/>
      <c r="F765" s="1488"/>
      <c r="G765" s="1489"/>
      <c r="H765" s="1490"/>
      <c r="I765" s="1487"/>
      <c r="J765" s="1488"/>
      <c r="K765" s="1489"/>
      <c r="L765" s="1490"/>
      <c r="M765" s="1487"/>
      <c r="N765" s="1488"/>
      <c r="O765" s="1489"/>
      <c r="P765" s="1490"/>
      <c r="X765" s="1445" t="e">
        <f ca="1"/>
        <v>#NAME?</v>
      </c>
      <c r="Y765" s="1446" t="e">
        <f ca="1"/>
        <v>#NAME?</v>
      </c>
    </row>
    <row r="766" spans="1:25">
      <c r="A766" s="1487"/>
      <c r="B766" s="1488"/>
      <c r="C766" s="1489"/>
      <c r="D766" s="1490"/>
      <c r="E766" s="1487"/>
      <c r="F766" s="1488"/>
      <c r="G766" s="1489"/>
      <c r="H766" s="1490"/>
      <c r="I766" s="1487"/>
      <c r="J766" s="1488"/>
      <c r="K766" s="1489"/>
      <c r="L766" s="1490"/>
      <c r="M766" s="1487"/>
      <c r="N766" s="1488"/>
      <c r="O766" s="1489"/>
      <c r="P766" s="1490"/>
      <c r="X766" s="1445" t="e">
        <f ca="1"/>
        <v>#NAME?</v>
      </c>
      <c r="Y766" s="1446" t="e">
        <f ca="1"/>
        <v>#NAME?</v>
      </c>
    </row>
    <row r="767" spans="1:25">
      <c r="A767" s="1487"/>
      <c r="B767" s="1488"/>
      <c r="C767" s="1489"/>
      <c r="D767" s="1490"/>
      <c r="E767" s="1487"/>
      <c r="F767" s="1488"/>
      <c r="G767" s="1489"/>
      <c r="H767" s="1490"/>
      <c r="I767" s="1487"/>
      <c r="J767" s="1488"/>
      <c r="K767" s="1489"/>
      <c r="L767" s="1490"/>
      <c r="M767" s="1487"/>
      <c r="N767" s="1488"/>
      <c r="O767" s="1489"/>
      <c r="P767" s="1490"/>
      <c r="X767" s="1445" t="e">
        <f ca="1"/>
        <v>#NAME?</v>
      </c>
      <c r="Y767" s="1446" t="e">
        <f ca="1"/>
        <v>#NAME?</v>
      </c>
    </row>
    <row r="768" spans="1:25">
      <c r="A768" s="1487"/>
      <c r="B768" s="1488"/>
      <c r="C768" s="1489"/>
      <c r="D768" s="1490"/>
      <c r="E768" s="1487"/>
      <c r="F768" s="1488"/>
      <c r="G768" s="1489"/>
      <c r="H768" s="1490"/>
      <c r="I768" s="1487"/>
      <c r="J768" s="1488"/>
      <c r="K768" s="1489"/>
      <c r="L768" s="1490"/>
      <c r="M768" s="1487"/>
      <c r="N768" s="1488"/>
      <c r="O768" s="1489"/>
      <c r="P768" s="1490"/>
      <c r="X768" s="1445" t="e">
        <f ca="1"/>
        <v>#NAME?</v>
      </c>
      <c r="Y768" s="1446" t="e">
        <f ca="1"/>
        <v>#NAME?</v>
      </c>
    </row>
    <row r="769" spans="1:25">
      <c r="A769" s="1487"/>
      <c r="B769" s="1488"/>
      <c r="C769" s="1489"/>
      <c r="D769" s="1490"/>
      <c r="E769" s="1487"/>
      <c r="F769" s="1488"/>
      <c r="G769" s="1489"/>
      <c r="H769" s="1490"/>
      <c r="I769" s="1487"/>
      <c r="J769" s="1488"/>
      <c r="K769" s="1489"/>
      <c r="L769" s="1490"/>
      <c r="M769" s="1487"/>
      <c r="N769" s="1488"/>
      <c r="O769" s="1489"/>
      <c r="P769" s="1490"/>
      <c r="X769" s="1445" t="e">
        <f ca="1"/>
        <v>#NAME?</v>
      </c>
      <c r="Y769" s="1446" t="e">
        <f ca="1"/>
        <v>#NAME?</v>
      </c>
    </row>
    <row r="770" spans="1:25">
      <c r="A770" s="1487"/>
      <c r="B770" s="1488"/>
      <c r="C770" s="1489"/>
      <c r="D770" s="1490"/>
      <c r="E770" s="1487"/>
      <c r="F770" s="1488"/>
      <c r="G770" s="1489"/>
      <c r="H770" s="1490"/>
      <c r="I770" s="1487"/>
      <c r="J770" s="1488"/>
      <c r="K770" s="1489"/>
      <c r="L770" s="1490"/>
      <c r="M770" s="1487"/>
      <c r="N770" s="1488"/>
      <c r="O770" s="1489"/>
      <c r="P770" s="1490"/>
      <c r="X770" s="1445" t="e">
        <f ca="1"/>
        <v>#NAME?</v>
      </c>
      <c r="Y770" s="1446" t="e">
        <f ca="1"/>
        <v>#NAME?</v>
      </c>
    </row>
    <row r="771" spans="1:25">
      <c r="A771" s="1487"/>
      <c r="B771" s="1488"/>
      <c r="C771" s="1489"/>
      <c r="D771" s="1490"/>
      <c r="E771" s="1487"/>
      <c r="F771" s="1488"/>
      <c r="G771" s="1489"/>
      <c r="H771" s="1490"/>
      <c r="I771" s="1487"/>
      <c r="J771" s="1488"/>
      <c r="K771" s="1489"/>
      <c r="L771" s="1490"/>
      <c r="M771" s="1487"/>
      <c r="N771" s="1488"/>
      <c r="O771" s="1489"/>
      <c r="P771" s="1490"/>
      <c r="X771" s="1445" t="e">
        <f ca="1"/>
        <v>#NAME?</v>
      </c>
      <c r="Y771" s="1446" t="e">
        <f ca="1"/>
        <v>#NAME?</v>
      </c>
    </row>
    <row r="772" spans="1:25">
      <c r="A772" s="1487"/>
      <c r="B772" s="1488"/>
      <c r="C772" s="1489"/>
      <c r="D772" s="1490"/>
      <c r="E772" s="1487"/>
      <c r="F772" s="1488"/>
      <c r="G772" s="1489"/>
      <c r="H772" s="1490"/>
      <c r="I772" s="1487"/>
      <c r="J772" s="1488"/>
      <c r="K772" s="1489"/>
      <c r="L772" s="1490"/>
      <c r="M772" s="1487"/>
      <c r="N772" s="1488"/>
      <c r="O772" s="1489"/>
      <c r="P772" s="1490"/>
      <c r="X772" s="1445" t="e">
        <f ca="1"/>
        <v>#NAME?</v>
      </c>
      <c r="Y772" s="1446" t="e">
        <f ca="1"/>
        <v>#NAME?</v>
      </c>
    </row>
    <row r="773" spans="1:25">
      <c r="A773" s="1487"/>
      <c r="B773" s="1488"/>
      <c r="C773" s="1489"/>
      <c r="D773" s="1490"/>
      <c r="E773" s="1487"/>
      <c r="F773" s="1488"/>
      <c r="G773" s="1489"/>
      <c r="H773" s="1490"/>
      <c r="I773" s="1487"/>
      <c r="J773" s="1488"/>
      <c r="K773" s="1489"/>
      <c r="L773" s="1490"/>
      <c r="M773" s="1487"/>
      <c r="N773" s="1488"/>
      <c r="O773" s="1489"/>
      <c r="P773" s="1490"/>
      <c r="X773" s="1445" t="e">
        <f ca="1"/>
        <v>#NAME?</v>
      </c>
      <c r="Y773" s="1446" t="e">
        <f ca="1"/>
        <v>#NAME?</v>
      </c>
    </row>
    <row r="774" spans="1:25">
      <c r="A774" s="1487"/>
      <c r="B774" s="1488"/>
      <c r="C774" s="1489"/>
      <c r="D774" s="1490"/>
      <c r="E774" s="1487"/>
      <c r="F774" s="1488"/>
      <c r="G774" s="1489"/>
      <c r="H774" s="1490"/>
      <c r="I774" s="1487"/>
      <c r="J774" s="1488"/>
      <c r="K774" s="1489"/>
      <c r="L774" s="1490"/>
      <c r="M774" s="1487"/>
      <c r="N774" s="1488"/>
      <c r="O774" s="1489"/>
      <c r="P774" s="1490"/>
      <c r="X774" s="1445" t="e">
        <f ca="1"/>
        <v>#NAME?</v>
      </c>
      <c r="Y774" s="1446" t="e">
        <f ca="1"/>
        <v>#NAME?</v>
      </c>
    </row>
    <row r="775" spans="1:25">
      <c r="A775" s="1487"/>
      <c r="B775" s="1488"/>
      <c r="C775" s="1489"/>
      <c r="D775" s="1490"/>
      <c r="E775" s="1487"/>
      <c r="F775" s="1488"/>
      <c r="G775" s="1489"/>
      <c r="H775" s="1490"/>
      <c r="I775" s="1487"/>
      <c r="J775" s="1488"/>
      <c r="K775" s="1489"/>
      <c r="L775" s="1490"/>
      <c r="M775" s="1487"/>
      <c r="N775" s="1488"/>
      <c r="O775" s="1489"/>
      <c r="P775" s="1490"/>
      <c r="X775" s="1445" t="e">
        <f ca="1"/>
        <v>#NAME?</v>
      </c>
      <c r="Y775" s="1446" t="e">
        <f ca="1"/>
        <v>#NAME?</v>
      </c>
    </row>
    <row r="776" spans="1:25">
      <c r="A776" s="1487"/>
      <c r="B776" s="1488"/>
      <c r="C776" s="1489"/>
      <c r="D776" s="1490"/>
      <c r="E776" s="1487"/>
      <c r="F776" s="1488"/>
      <c r="G776" s="1489"/>
      <c r="H776" s="1490"/>
      <c r="I776" s="1487"/>
      <c r="J776" s="1488"/>
      <c r="K776" s="1489"/>
      <c r="L776" s="1490"/>
      <c r="M776" s="1487"/>
      <c r="N776" s="1488"/>
      <c r="O776" s="1489"/>
      <c r="P776" s="1490"/>
      <c r="X776" s="1445" t="e">
        <f ca="1"/>
        <v>#NAME?</v>
      </c>
      <c r="Y776" s="1446" t="e">
        <f ca="1"/>
        <v>#NAME?</v>
      </c>
    </row>
    <row r="777" spans="1:25">
      <c r="A777" s="1487"/>
      <c r="B777" s="1488"/>
      <c r="C777" s="1489"/>
      <c r="D777" s="1490"/>
      <c r="E777" s="1487"/>
      <c r="F777" s="1488"/>
      <c r="G777" s="1489"/>
      <c r="H777" s="1490"/>
      <c r="I777" s="1487"/>
      <c r="J777" s="1488"/>
      <c r="K777" s="1489"/>
      <c r="L777" s="1490"/>
      <c r="M777" s="1487"/>
      <c r="N777" s="1488"/>
      <c r="O777" s="1489"/>
      <c r="P777" s="1490"/>
      <c r="X777" s="1445" t="e">
        <f ca="1"/>
        <v>#NAME?</v>
      </c>
      <c r="Y777" s="1446" t="e">
        <f ca="1"/>
        <v>#NAME?</v>
      </c>
    </row>
    <row r="778" spans="1:25">
      <c r="A778" s="1487"/>
      <c r="B778" s="1488"/>
      <c r="C778" s="1489"/>
      <c r="D778" s="1490"/>
      <c r="E778" s="1487"/>
      <c r="F778" s="1488"/>
      <c r="G778" s="1489"/>
      <c r="H778" s="1490"/>
      <c r="I778" s="1487"/>
      <c r="J778" s="1488"/>
      <c r="K778" s="1489"/>
      <c r="L778" s="1490"/>
      <c r="M778" s="1487"/>
      <c r="N778" s="1488"/>
      <c r="O778" s="1489"/>
      <c r="P778" s="1490"/>
      <c r="X778" s="1445" t="e">
        <f ca="1"/>
        <v>#NAME?</v>
      </c>
      <c r="Y778" s="1446" t="e">
        <f ca="1"/>
        <v>#NAME?</v>
      </c>
    </row>
    <row r="779" spans="1:25">
      <c r="A779" s="1487"/>
      <c r="B779" s="1488"/>
      <c r="C779" s="1489"/>
      <c r="D779" s="1490"/>
      <c r="E779" s="1487"/>
      <c r="F779" s="1488"/>
      <c r="G779" s="1489"/>
      <c r="H779" s="1490"/>
      <c r="I779" s="1487"/>
      <c r="J779" s="1488"/>
      <c r="K779" s="1489"/>
      <c r="L779" s="1490"/>
      <c r="M779" s="1487"/>
      <c r="N779" s="1488"/>
      <c r="O779" s="1489"/>
      <c r="P779" s="1490"/>
      <c r="X779" s="1445" t="e">
        <f ca="1"/>
        <v>#NAME?</v>
      </c>
      <c r="Y779" s="1446" t="e">
        <f ca="1"/>
        <v>#NAME?</v>
      </c>
    </row>
    <row r="780" spans="1:25">
      <c r="A780" s="1487"/>
      <c r="B780" s="1488"/>
      <c r="C780" s="1489"/>
      <c r="D780" s="1490"/>
      <c r="E780" s="1487"/>
      <c r="F780" s="1488"/>
      <c r="G780" s="1489"/>
      <c r="H780" s="1490"/>
      <c r="I780" s="1487"/>
      <c r="J780" s="1488"/>
      <c r="K780" s="1489"/>
      <c r="L780" s="1490"/>
      <c r="M780" s="1487"/>
      <c r="N780" s="1488"/>
      <c r="O780" s="1489"/>
      <c r="P780" s="1490"/>
      <c r="X780" s="1445" t="e">
        <f ca="1"/>
        <v>#NAME?</v>
      </c>
      <c r="Y780" s="1446" t="e">
        <f ca="1"/>
        <v>#NAME?</v>
      </c>
    </row>
    <row r="781" spans="1:25">
      <c r="A781" s="1487"/>
      <c r="B781" s="1488"/>
      <c r="C781" s="1489"/>
      <c r="D781" s="1490"/>
      <c r="E781" s="1487"/>
      <c r="F781" s="1488"/>
      <c r="G781" s="1489"/>
      <c r="H781" s="1490"/>
      <c r="I781" s="1487"/>
      <c r="J781" s="1488"/>
      <c r="K781" s="1489"/>
      <c r="L781" s="1490"/>
      <c r="M781" s="1487"/>
      <c r="N781" s="1488"/>
      <c r="O781" s="1489"/>
      <c r="P781" s="1490"/>
      <c r="X781" s="1445" t="e">
        <f ca="1"/>
        <v>#NAME?</v>
      </c>
      <c r="Y781" s="1446" t="e">
        <f ca="1"/>
        <v>#NAME?</v>
      </c>
    </row>
    <row r="782" spans="1:25">
      <c r="A782" s="1487"/>
      <c r="B782" s="1488"/>
      <c r="C782" s="1489"/>
      <c r="D782" s="1490"/>
      <c r="E782" s="1487"/>
      <c r="F782" s="1488"/>
      <c r="G782" s="1489"/>
      <c r="H782" s="1490"/>
      <c r="I782" s="1487"/>
      <c r="J782" s="1488"/>
      <c r="K782" s="1489"/>
      <c r="L782" s="1490"/>
      <c r="M782" s="1487"/>
      <c r="N782" s="1488"/>
      <c r="O782" s="1489"/>
      <c r="P782" s="1490"/>
      <c r="X782" s="1445" t="e">
        <f ca="1"/>
        <v>#NAME?</v>
      </c>
      <c r="Y782" s="1446" t="e">
        <f ca="1"/>
        <v>#NAME?</v>
      </c>
    </row>
    <row r="783" spans="1:25">
      <c r="A783" s="1487"/>
      <c r="B783" s="1488"/>
      <c r="C783" s="1489"/>
      <c r="D783" s="1490"/>
      <c r="E783" s="1487"/>
      <c r="F783" s="1488"/>
      <c r="G783" s="1489"/>
      <c r="H783" s="1490"/>
      <c r="I783" s="1487"/>
      <c r="J783" s="1488"/>
      <c r="K783" s="1489"/>
      <c r="L783" s="1490"/>
      <c r="M783" s="1487"/>
      <c r="N783" s="1488"/>
      <c r="O783" s="1489"/>
      <c r="P783" s="1490"/>
      <c r="X783" s="1445" t="e">
        <f ca="1"/>
        <v>#NAME?</v>
      </c>
      <c r="Y783" s="1446" t="e">
        <f ca="1"/>
        <v>#NAME?</v>
      </c>
    </row>
    <row r="784" spans="1:25">
      <c r="A784" s="1487"/>
      <c r="B784" s="1488"/>
      <c r="C784" s="1489"/>
      <c r="D784" s="1490"/>
      <c r="E784" s="1487"/>
      <c r="F784" s="1488"/>
      <c r="G784" s="1489"/>
      <c r="H784" s="1490"/>
      <c r="I784" s="1487"/>
      <c r="J784" s="1488"/>
      <c r="K784" s="1489"/>
      <c r="L784" s="1490"/>
      <c r="M784" s="1487"/>
      <c r="N784" s="1488"/>
      <c r="O784" s="1489"/>
      <c r="P784" s="1490"/>
      <c r="X784" s="1445" t="e">
        <f ca="1"/>
        <v>#NAME?</v>
      </c>
      <c r="Y784" s="1446" t="e">
        <f ca="1"/>
        <v>#NAME?</v>
      </c>
    </row>
    <row r="785" spans="1:25">
      <c r="A785" s="1487"/>
      <c r="B785" s="1488"/>
      <c r="C785" s="1489"/>
      <c r="D785" s="1490"/>
      <c r="E785" s="1487"/>
      <c r="F785" s="1488"/>
      <c r="G785" s="1489"/>
      <c r="H785" s="1490"/>
      <c r="I785" s="1487"/>
      <c r="J785" s="1488"/>
      <c r="K785" s="1489"/>
      <c r="L785" s="1490"/>
      <c r="M785" s="1487"/>
      <c r="N785" s="1488"/>
      <c r="O785" s="1489"/>
      <c r="P785" s="1490"/>
      <c r="X785" s="1445" t="e">
        <f ca="1"/>
        <v>#NAME?</v>
      </c>
      <c r="Y785" s="1446" t="e">
        <f ca="1"/>
        <v>#NAME?</v>
      </c>
    </row>
    <row r="786" spans="1:25">
      <c r="A786" s="1487"/>
      <c r="B786" s="1488"/>
      <c r="C786" s="1489"/>
      <c r="D786" s="1490"/>
      <c r="E786" s="1487"/>
      <c r="F786" s="1488"/>
      <c r="G786" s="1489"/>
      <c r="H786" s="1490"/>
      <c r="I786" s="1487"/>
      <c r="J786" s="1488"/>
      <c r="K786" s="1489"/>
      <c r="L786" s="1490"/>
      <c r="M786" s="1487"/>
      <c r="N786" s="1488"/>
      <c r="O786" s="1489"/>
      <c r="P786" s="1490"/>
      <c r="X786" s="1445" t="e">
        <f ca="1"/>
        <v>#NAME?</v>
      </c>
      <c r="Y786" s="1446" t="e">
        <f ca="1"/>
        <v>#NAME?</v>
      </c>
    </row>
    <row r="787" spans="1:25">
      <c r="A787" s="1487"/>
      <c r="B787" s="1488"/>
      <c r="C787" s="1489"/>
      <c r="D787" s="1490"/>
      <c r="E787" s="1487"/>
      <c r="F787" s="1488"/>
      <c r="G787" s="1489"/>
      <c r="H787" s="1490"/>
      <c r="I787" s="1487"/>
      <c r="J787" s="1488"/>
      <c r="K787" s="1489"/>
      <c r="L787" s="1490"/>
      <c r="M787" s="1487"/>
      <c r="N787" s="1488"/>
      <c r="O787" s="1489"/>
      <c r="P787" s="1490"/>
      <c r="X787" s="1445" t="e">
        <f ca="1"/>
        <v>#NAME?</v>
      </c>
      <c r="Y787" s="1446" t="e">
        <f ca="1"/>
        <v>#NAME?</v>
      </c>
    </row>
    <row r="788" spans="1:25">
      <c r="A788" s="1487"/>
      <c r="B788" s="1488"/>
      <c r="C788" s="1489"/>
      <c r="D788" s="1490"/>
      <c r="E788" s="1487"/>
      <c r="F788" s="1488"/>
      <c r="G788" s="1489"/>
      <c r="H788" s="1490"/>
      <c r="I788" s="1487"/>
      <c r="J788" s="1488"/>
      <c r="K788" s="1489"/>
      <c r="L788" s="1490"/>
      <c r="M788" s="1487"/>
      <c r="N788" s="1488"/>
      <c r="O788" s="1489"/>
      <c r="P788" s="1490"/>
      <c r="X788" s="1445" t="e">
        <f ca="1"/>
        <v>#NAME?</v>
      </c>
      <c r="Y788" s="1446" t="e">
        <f ca="1"/>
        <v>#NAME?</v>
      </c>
    </row>
    <row r="789" spans="1:25">
      <c r="A789" s="1487"/>
      <c r="B789" s="1488"/>
      <c r="C789" s="1489"/>
      <c r="D789" s="1490"/>
      <c r="E789" s="1487"/>
      <c r="F789" s="1488"/>
      <c r="G789" s="1489"/>
      <c r="H789" s="1490"/>
      <c r="I789" s="1487"/>
      <c r="J789" s="1488"/>
      <c r="K789" s="1489"/>
      <c r="L789" s="1490"/>
      <c r="M789" s="1487"/>
      <c r="N789" s="1488"/>
      <c r="O789" s="1489"/>
      <c r="P789" s="1490"/>
      <c r="X789" s="1445" t="e">
        <f ca="1"/>
        <v>#NAME?</v>
      </c>
      <c r="Y789" s="1446" t="e">
        <f ca="1"/>
        <v>#NAME?</v>
      </c>
    </row>
    <row r="790" spans="1:25">
      <c r="A790" s="1487"/>
      <c r="B790" s="1488"/>
      <c r="C790" s="1489"/>
      <c r="D790" s="1490"/>
      <c r="E790" s="1487"/>
      <c r="F790" s="1488"/>
      <c r="G790" s="1489"/>
      <c r="H790" s="1490"/>
      <c r="I790" s="1487"/>
      <c r="J790" s="1488"/>
      <c r="K790" s="1489"/>
      <c r="L790" s="1490"/>
      <c r="M790" s="1487"/>
      <c r="N790" s="1488"/>
      <c r="O790" s="1489"/>
      <c r="P790" s="1490"/>
      <c r="X790" s="1445" t="e">
        <f ca="1"/>
        <v>#NAME?</v>
      </c>
      <c r="Y790" s="1446" t="e">
        <f ca="1"/>
        <v>#NAME?</v>
      </c>
    </row>
    <row r="791" spans="1:25">
      <c r="A791" s="1487"/>
      <c r="B791" s="1488"/>
      <c r="C791" s="1489"/>
      <c r="D791" s="1490"/>
      <c r="E791" s="1487"/>
      <c r="F791" s="1488"/>
      <c r="G791" s="1489"/>
      <c r="H791" s="1490"/>
      <c r="I791" s="1487"/>
      <c r="J791" s="1488"/>
      <c r="K791" s="1489"/>
      <c r="L791" s="1490"/>
      <c r="M791" s="1487"/>
      <c r="N791" s="1488"/>
      <c r="O791" s="1489"/>
      <c r="P791" s="1490"/>
      <c r="X791" s="1445" t="e">
        <f ca="1"/>
        <v>#NAME?</v>
      </c>
      <c r="Y791" s="1446" t="e">
        <f ca="1"/>
        <v>#NAME?</v>
      </c>
    </row>
    <row r="792" spans="1:25">
      <c r="A792" s="1487"/>
      <c r="B792" s="1488"/>
      <c r="C792" s="1489"/>
      <c r="D792" s="1490"/>
      <c r="E792" s="1487"/>
      <c r="F792" s="1488"/>
      <c r="G792" s="1489"/>
      <c r="H792" s="1490"/>
      <c r="I792" s="1487"/>
      <c r="J792" s="1488"/>
      <c r="K792" s="1489"/>
      <c r="L792" s="1490"/>
      <c r="M792" s="1487"/>
      <c r="N792" s="1488"/>
      <c r="O792" s="1489"/>
      <c r="P792" s="1490"/>
      <c r="X792" s="1445" t="e">
        <f ca="1"/>
        <v>#NAME?</v>
      </c>
      <c r="Y792" s="1446" t="e">
        <f ca="1"/>
        <v>#NAME?</v>
      </c>
    </row>
    <row r="793" spans="1:25">
      <c r="A793" s="1487"/>
      <c r="B793" s="1488"/>
      <c r="C793" s="1489"/>
      <c r="D793" s="1490"/>
      <c r="E793" s="1487"/>
      <c r="F793" s="1488"/>
      <c r="G793" s="1489"/>
      <c r="H793" s="1490"/>
      <c r="I793" s="1487"/>
      <c r="J793" s="1488"/>
      <c r="K793" s="1489"/>
      <c r="L793" s="1490"/>
      <c r="M793" s="1487"/>
      <c r="N793" s="1488"/>
      <c r="O793" s="1489"/>
      <c r="P793" s="1490"/>
      <c r="X793" s="1445" t="e">
        <f ca="1"/>
        <v>#NAME?</v>
      </c>
      <c r="Y793" s="1446" t="e">
        <f ca="1"/>
        <v>#NAME?</v>
      </c>
    </row>
    <row r="794" spans="1:25">
      <c r="A794" s="1487"/>
      <c r="B794" s="1488"/>
      <c r="C794" s="1489"/>
      <c r="D794" s="1490"/>
      <c r="E794" s="1487"/>
      <c r="F794" s="1488"/>
      <c r="G794" s="1489"/>
      <c r="H794" s="1490"/>
      <c r="I794" s="1487"/>
      <c r="J794" s="1488"/>
      <c r="K794" s="1489"/>
      <c r="L794" s="1490"/>
      <c r="M794" s="1487"/>
      <c r="N794" s="1488"/>
      <c r="O794" s="1489"/>
      <c r="P794" s="1490"/>
      <c r="X794" s="1445" t="e">
        <f ca="1"/>
        <v>#NAME?</v>
      </c>
      <c r="Y794" s="1446" t="e">
        <f ca="1"/>
        <v>#NAME?</v>
      </c>
    </row>
    <row r="795" spans="1:25">
      <c r="A795" s="1487"/>
      <c r="B795" s="1488"/>
      <c r="C795" s="1489"/>
      <c r="D795" s="1490"/>
      <c r="E795" s="1487"/>
      <c r="F795" s="1488"/>
      <c r="G795" s="1489"/>
      <c r="H795" s="1490"/>
      <c r="I795" s="1487"/>
      <c r="J795" s="1488"/>
      <c r="K795" s="1489"/>
      <c r="L795" s="1490"/>
      <c r="M795" s="1487"/>
      <c r="N795" s="1488"/>
      <c r="O795" s="1489"/>
      <c r="P795" s="1490"/>
      <c r="X795" s="1445" t="e">
        <f ca="1"/>
        <v>#NAME?</v>
      </c>
      <c r="Y795" s="1446" t="e">
        <f ca="1"/>
        <v>#NAME?</v>
      </c>
    </row>
    <row r="796" spans="1:25">
      <c r="A796" s="1487"/>
      <c r="B796" s="1488"/>
      <c r="C796" s="1489"/>
      <c r="D796" s="1490"/>
      <c r="E796" s="1487"/>
      <c r="F796" s="1488"/>
      <c r="G796" s="1489"/>
      <c r="H796" s="1490"/>
      <c r="I796" s="1487"/>
      <c r="J796" s="1488"/>
      <c r="K796" s="1489"/>
      <c r="L796" s="1490"/>
      <c r="M796" s="1487"/>
      <c r="N796" s="1488"/>
      <c r="O796" s="1489"/>
      <c r="P796" s="1490"/>
      <c r="X796" s="1445" t="e">
        <f ca="1"/>
        <v>#NAME?</v>
      </c>
      <c r="Y796" s="1446" t="e">
        <f ca="1"/>
        <v>#NAME?</v>
      </c>
    </row>
    <row r="797" spans="1:25">
      <c r="A797" s="1487"/>
      <c r="B797" s="1488"/>
      <c r="C797" s="1489"/>
      <c r="D797" s="1490"/>
      <c r="E797" s="1487"/>
      <c r="F797" s="1488"/>
      <c r="G797" s="1489"/>
      <c r="H797" s="1490"/>
      <c r="I797" s="1487"/>
      <c r="J797" s="1488"/>
      <c r="K797" s="1489"/>
      <c r="L797" s="1490"/>
      <c r="M797" s="1487"/>
      <c r="N797" s="1488"/>
      <c r="O797" s="1489"/>
      <c r="P797" s="1490"/>
      <c r="X797" s="1445" t="e">
        <f ca="1"/>
        <v>#NAME?</v>
      </c>
      <c r="Y797" s="1446" t="e">
        <f ca="1"/>
        <v>#NAME?</v>
      </c>
    </row>
    <row r="798" spans="1:25">
      <c r="A798" s="1487"/>
      <c r="B798" s="1488"/>
      <c r="C798" s="1489"/>
      <c r="D798" s="1490"/>
      <c r="E798" s="1487"/>
      <c r="F798" s="1488"/>
      <c r="G798" s="1489"/>
      <c r="H798" s="1490"/>
      <c r="I798" s="1487"/>
      <c r="J798" s="1488"/>
      <c r="K798" s="1489"/>
      <c r="L798" s="1490"/>
      <c r="M798" s="1487"/>
      <c r="N798" s="1488"/>
      <c r="O798" s="1489"/>
      <c r="P798" s="1490"/>
      <c r="X798" s="1445" t="e">
        <f ca="1"/>
        <v>#NAME?</v>
      </c>
      <c r="Y798" s="1446" t="e">
        <f ca="1"/>
        <v>#NAME?</v>
      </c>
    </row>
    <row r="799" spans="1:25">
      <c r="A799" s="1487"/>
      <c r="B799" s="1488"/>
      <c r="C799" s="1489"/>
      <c r="D799" s="1490"/>
      <c r="E799" s="1487"/>
      <c r="F799" s="1488"/>
      <c r="G799" s="1489"/>
      <c r="H799" s="1490"/>
      <c r="I799" s="1487"/>
      <c r="J799" s="1488"/>
      <c r="K799" s="1489"/>
      <c r="L799" s="1490"/>
      <c r="M799" s="1487"/>
      <c r="N799" s="1488"/>
      <c r="O799" s="1489"/>
      <c r="P799" s="1490"/>
      <c r="X799" s="1445" t="e">
        <f ca="1"/>
        <v>#NAME?</v>
      </c>
      <c r="Y799" s="1446" t="e">
        <f ca="1"/>
        <v>#NAME?</v>
      </c>
    </row>
    <row r="800" spans="1:25">
      <c r="A800" s="1487"/>
      <c r="B800" s="1488"/>
      <c r="C800" s="1489"/>
      <c r="D800" s="1490"/>
      <c r="E800" s="1487"/>
      <c r="F800" s="1488"/>
      <c r="G800" s="1489"/>
      <c r="H800" s="1490"/>
      <c r="I800" s="1487"/>
      <c r="J800" s="1488"/>
      <c r="K800" s="1489"/>
      <c r="L800" s="1490"/>
      <c r="M800" s="1487"/>
      <c r="N800" s="1488"/>
      <c r="O800" s="1489"/>
      <c r="P800" s="1490"/>
      <c r="X800" s="1445" t="e">
        <f ca="1"/>
        <v>#NAME?</v>
      </c>
      <c r="Y800" s="1446" t="e">
        <f ca="1"/>
        <v>#NAME?</v>
      </c>
    </row>
    <row r="801" spans="1:25">
      <c r="A801" s="1487"/>
      <c r="B801" s="1488"/>
      <c r="C801" s="1489"/>
      <c r="D801" s="1490"/>
      <c r="E801" s="1487"/>
      <c r="F801" s="1488"/>
      <c r="G801" s="1489"/>
      <c r="H801" s="1490"/>
      <c r="I801" s="1487"/>
      <c r="J801" s="1488"/>
      <c r="K801" s="1489"/>
      <c r="L801" s="1490"/>
      <c r="M801" s="1487"/>
      <c r="N801" s="1488"/>
      <c r="O801" s="1489"/>
      <c r="P801" s="1490"/>
      <c r="X801" s="1445" t="e">
        <f ca="1"/>
        <v>#NAME?</v>
      </c>
      <c r="Y801" s="1446" t="e">
        <f ca="1"/>
        <v>#NAME?</v>
      </c>
    </row>
    <row r="802" spans="1:25">
      <c r="A802" s="1487"/>
      <c r="B802" s="1488"/>
      <c r="C802" s="1489"/>
      <c r="D802" s="1490"/>
      <c r="E802" s="1487"/>
      <c r="F802" s="1488"/>
      <c r="G802" s="1489"/>
      <c r="H802" s="1490"/>
      <c r="I802" s="1487"/>
      <c r="J802" s="1488"/>
      <c r="K802" s="1489"/>
      <c r="L802" s="1490"/>
      <c r="M802" s="1487"/>
      <c r="N802" s="1488"/>
      <c r="O802" s="1489"/>
      <c r="P802" s="1490"/>
      <c r="X802" s="1445" t="e">
        <f ca="1"/>
        <v>#NAME?</v>
      </c>
      <c r="Y802" s="1446" t="e">
        <f ca="1"/>
        <v>#NAME?</v>
      </c>
    </row>
    <row r="803" spans="1:25">
      <c r="A803" s="1487"/>
      <c r="B803" s="1488"/>
      <c r="C803" s="1489"/>
      <c r="D803" s="1490"/>
      <c r="E803" s="1487"/>
      <c r="F803" s="1488"/>
      <c r="G803" s="1489"/>
      <c r="H803" s="1490"/>
      <c r="I803" s="1487"/>
      <c r="J803" s="1488"/>
      <c r="K803" s="1489"/>
      <c r="L803" s="1490"/>
      <c r="M803" s="1487"/>
      <c r="N803" s="1488"/>
      <c r="O803" s="1489"/>
      <c r="P803" s="1490"/>
      <c r="X803" s="1445" t="e">
        <f ca="1"/>
        <v>#NAME?</v>
      </c>
      <c r="Y803" s="1446" t="e">
        <f ca="1"/>
        <v>#NAME?</v>
      </c>
    </row>
    <row r="804" spans="1:25">
      <c r="A804" s="1487"/>
      <c r="B804" s="1488"/>
      <c r="C804" s="1489"/>
      <c r="D804" s="1490"/>
      <c r="E804" s="1487"/>
      <c r="F804" s="1488"/>
      <c r="G804" s="1489"/>
      <c r="H804" s="1490"/>
      <c r="I804" s="1487"/>
      <c r="J804" s="1488"/>
      <c r="K804" s="1489"/>
      <c r="L804" s="1490"/>
      <c r="M804" s="1487"/>
      <c r="N804" s="1488"/>
      <c r="O804" s="1489"/>
      <c r="P804" s="1490"/>
      <c r="X804" s="1445" t="e">
        <f ca="1"/>
        <v>#NAME?</v>
      </c>
      <c r="Y804" s="1446" t="e">
        <f ca="1"/>
        <v>#NAME?</v>
      </c>
    </row>
    <row r="805" spans="1:25">
      <c r="A805" s="1487"/>
      <c r="B805" s="1488"/>
      <c r="C805" s="1489"/>
      <c r="D805" s="1490"/>
      <c r="E805" s="1487"/>
      <c r="F805" s="1488"/>
      <c r="G805" s="1489"/>
      <c r="H805" s="1490"/>
      <c r="I805" s="1487"/>
      <c r="J805" s="1488"/>
      <c r="K805" s="1489"/>
      <c r="L805" s="1490"/>
      <c r="M805" s="1487"/>
      <c r="N805" s="1488"/>
      <c r="O805" s="1489"/>
      <c r="P805" s="1490"/>
      <c r="X805" s="1445" t="e">
        <f ca="1"/>
        <v>#NAME?</v>
      </c>
      <c r="Y805" s="1446" t="e">
        <f ca="1"/>
        <v>#NAME?</v>
      </c>
    </row>
    <row r="806" spans="1:25">
      <c r="A806" s="1487"/>
      <c r="B806" s="1488"/>
      <c r="C806" s="1489"/>
      <c r="D806" s="1490"/>
      <c r="E806" s="1487"/>
      <c r="F806" s="1488"/>
      <c r="G806" s="1489"/>
      <c r="H806" s="1490"/>
      <c r="I806" s="1487"/>
      <c r="J806" s="1488"/>
      <c r="K806" s="1489"/>
      <c r="L806" s="1490"/>
      <c r="M806" s="1487"/>
      <c r="N806" s="1488"/>
      <c r="O806" s="1489"/>
      <c r="P806" s="1490"/>
      <c r="X806" s="1445" t="e">
        <f ca="1"/>
        <v>#NAME?</v>
      </c>
      <c r="Y806" s="1446" t="e">
        <f ca="1"/>
        <v>#NAME?</v>
      </c>
    </row>
    <row r="807" spans="1:25">
      <c r="A807" s="1487"/>
      <c r="B807" s="1488"/>
      <c r="C807" s="1489"/>
      <c r="D807" s="1490"/>
      <c r="E807" s="1487"/>
      <c r="F807" s="1488"/>
      <c r="G807" s="1489"/>
      <c r="H807" s="1490"/>
      <c r="I807" s="1487"/>
      <c r="J807" s="1488"/>
      <c r="K807" s="1489"/>
      <c r="L807" s="1490"/>
      <c r="M807" s="1487"/>
      <c r="N807" s="1488"/>
      <c r="O807" s="1489"/>
      <c r="P807" s="1490"/>
      <c r="X807" s="1445" t="e">
        <f ca="1"/>
        <v>#NAME?</v>
      </c>
      <c r="Y807" s="1446" t="e">
        <f ca="1"/>
        <v>#NAME?</v>
      </c>
    </row>
    <row r="808" spans="1:25">
      <c r="A808" s="1487"/>
      <c r="B808" s="1488"/>
      <c r="C808" s="1489"/>
      <c r="D808" s="1490"/>
      <c r="E808" s="1487"/>
      <c r="F808" s="1488"/>
      <c r="G808" s="1489"/>
      <c r="H808" s="1490"/>
      <c r="I808" s="1487"/>
      <c r="J808" s="1488"/>
      <c r="K808" s="1489"/>
      <c r="L808" s="1490"/>
      <c r="M808" s="1487"/>
      <c r="N808" s="1488"/>
      <c r="O808" s="1489"/>
      <c r="P808" s="1490"/>
      <c r="X808" s="1445" t="e">
        <f ca="1"/>
        <v>#NAME?</v>
      </c>
      <c r="Y808" s="1446" t="e">
        <f ca="1"/>
        <v>#NAME?</v>
      </c>
    </row>
    <row r="809" spans="1:25">
      <c r="A809" s="1487"/>
      <c r="B809" s="1488"/>
      <c r="C809" s="1489"/>
      <c r="D809" s="1490"/>
      <c r="E809" s="1487"/>
      <c r="F809" s="1488"/>
      <c r="G809" s="1489"/>
      <c r="H809" s="1490"/>
      <c r="I809" s="1487"/>
      <c r="J809" s="1488"/>
      <c r="K809" s="1489"/>
      <c r="L809" s="1490"/>
      <c r="M809" s="1487"/>
      <c r="N809" s="1488"/>
      <c r="O809" s="1489"/>
      <c r="P809" s="1490"/>
      <c r="X809" s="1445" t="e">
        <f ca="1"/>
        <v>#NAME?</v>
      </c>
      <c r="Y809" s="1446" t="e">
        <f ca="1"/>
        <v>#NAME?</v>
      </c>
    </row>
    <row r="810" spans="1:25">
      <c r="A810" s="1487"/>
      <c r="B810" s="1488"/>
      <c r="C810" s="1489"/>
      <c r="D810" s="1490"/>
      <c r="E810" s="1487"/>
      <c r="F810" s="1488"/>
      <c r="G810" s="1489"/>
      <c r="H810" s="1490"/>
      <c r="I810" s="1487"/>
      <c r="J810" s="1488"/>
      <c r="K810" s="1489"/>
      <c r="L810" s="1490"/>
      <c r="M810" s="1487"/>
      <c r="N810" s="1488"/>
      <c r="O810" s="1489"/>
      <c r="P810" s="1490"/>
      <c r="X810" s="1445" t="e">
        <f ca="1"/>
        <v>#NAME?</v>
      </c>
      <c r="Y810" s="1446" t="e">
        <f ca="1"/>
        <v>#NAME?</v>
      </c>
    </row>
    <row r="811" spans="1:25">
      <c r="A811" s="1487"/>
      <c r="B811" s="1488"/>
      <c r="C811" s="1489"/>
      <c r="D811" s="1490"/>
      <c r="E811" s="1487"/>
      <c r="F811" s="1488"/>
      <c r="G811" s="1489"/>
      <c r="H811" s="1490"/>
      <c r="I811" s="1487"/>
      <c r="J811" s="1488"/>
      <c r="K811" s="1489"/>
      <c r="L811" s="1490"/>
      <c r="M811" s="1487"/>
      <c r="N811" s="1488"/>
      <c r="O811" s="1489"/>
      <c r="P811" s="1490"/>
      <c r="X811" s="1445" t="e">
        <f ca="1"/>
        <v>#NAME?</v>
      </c>
      <c r="Y811" s="1446" t="e">
        <f ca="1"/>
        <v>#NAME?</v>
      </c>
    </row>
    <row r="812" spans="1:25">
      <c r="A812" s="1487"/>
      <c r="B812" s="1488"/>
      <c r="C812" s="1489"/>
      <c r="D812" s="1490"/>
      <c r="E812" s="1487"/>
      <c r="F812" s="1488"/>
      <c r="G812" s="1489"/>
      <c r="H812" s="1490"/>
      <c r="I812" s="1487"/>
      <c r="J812" s="1488"/>
      <c r="K812" s="1489"/>
      <c r="L812" s="1490"/>
      <c r="M812" s="1487"/>
      <c r="N812" s="1488"/>
      <c r="O812" s="1489"/>
      <c r="P812" s="1490"/>
      <c r="X812" s="1445" t="e">
        <f ca="1"/>
        <v>#NAME?</v>
      </c>
      <c r="Y812" s="1446" t="e">
        <f ca="1"/>
        <v>#NAME?</v>
      </c>
    </row>
    <row r="813" spans="1:25">
      <c r="A813" s="1487"/>
      <c r="B813" s="1488"/>
      <c r="C813" s="1489"/>
      <c r="D813" s="1490"/>
      <c r="E813" s="1487"/>
      <c r="F813" s="1488"/>
      <c r="G813" s="1489"/>
      <c r="H813" s="1490"/>
      <c r="I813" s="1487"/>
      <c r="J813" s="1488"/>
      <c r="K813" s="1489"/>
      <c r="L813" s="1490"/>
      <c r="M813" s="1487"/>
      <c r="N813" s="1488"/>
      <c r="O813" s="1489"/>
      <c r="P813" s="1490"/>
      <c r="X813" s="1445" t="e">
        <f ca="1"/>
        <v>#NAME?</v>
      </c>
      <c r="Y813" s="1446" t="e">
        <f ca="1"/>
        <v>#NAME?</v>
      </c>
    </row>
    <row r="814" spans="1:25">
      <c r="A814" s="1487"/>
      <c r="B814" s="1488"/>
      <c r="C814" s="1489"/>
      <c r="D814" s="1490"/>
      <c r="E814" s="1487"/>
      <c r="F814" s="1488"/>
      <c r="G814" s="1489"/>
      <c r="H814" s="1490"/>
      <c r="I814" s="1487"/>
      <c r="J814" s="1488"/>
      <c r="K814" s="1489"/>
      <c r="L814" s="1490"/>
      <c r="M814" s="1487"/>
      <c r="N814" s="1488"/>
      <c r="O814" s="1489"/>
      <c r="P814" s="1490"/>
      <c r="X814" s="1445" t="e">
        <f ca="1"/>
        <v>#NAME?</v>
      </c>
      <c r="Y814" s="1446" t="e">
        <f ca="1"/>
        <v>#NAME?</v>
      </c>
    </row>
    <row r="815" spans="1:25">
      <c r="A815" s="1487"/>
      <c r="B815" s="1488"/>
      <c r="C815" s="1489"/>
      <c r="D815" s="1490"/>
      <c r="E815" s="1487"/>
      <c r="F815" s="1488"/>
      <c r="G815" s="1489"/>
      <c r="H815" s="1490"/>
      <c r="I815" s="1487"/>
      <c r="J815" s="1488"/>
      <c r="K815" s="1489"/>
      <c r="L815" s="1490"/>
      <c r="M815" s="1487"/>
      <c r="N815" s="1488"/>
      <c r="O815" s="1489"/>
      <c r="P815" s="1490"/>
      <c r="X815" s="1445" t="e">
        <f ca="1"/>
        <v>#NAME?</v>
      </c>
      <c r="Y815" s="1446" t="e">
        <f ca="1"/>
        <v>#NAME?</v>
      </c>
    </row>
    <row r="816" spans="1:25">
      <c r="A816" s="1487"/>
      <c r="B816" s="1488"/>
      <c r="C816" s="1489"/>
      <c r="D816" s="1490"/>
      <c r="E816" s="1487"/>
      <c r="F816" s="1488"/>
      <c r="G816" s="1489"/>
      <c r="H816" s="1490"/>
      <c r="I816" s="1487"/>
      <c r="J816" s="1488"/>
      <c r="K816" s="1489"/>
      <c r="L816" s="1490"/>
      <c r="M816" s="1487"/>
      <c r="N816" s="1488"/>
      <c r="O816" s="1489"/>
      <c r="P816" s="1490"/>
      <c r="X816" s="1445" t="e">
        <f ca="1"/>
        <v>#NAME?</v>
      </c>
      <c r="Y816" s="1446" t="e">
        <f ca="1"/>
        <v>#NAME?</v>
      </c>
    </row>
    <row r="817" spans="1:25">
      <c r="A817" s="1487"/>
      <c r="B817" s="1488"/>
      <c r="C817" s="1489"/>
      <c r="D817" s="1490"/>
      <c r="E817" s="1487"/>
      <c r="F817" s="1488"/>
      <c r="G817" s="1489"/>
      <c r="H817" s="1490"/>
      <c r="I817" s="1487"/>
      <c r="J817" s="1488"/>
      <c r="K817" s="1489"/>
      <c r="L817" s="1490"/>
      <c r="M817" s="1487"/>
      <c r="N817" s="1488"/>
      <c r="O817" s="1489"/>
      <c r="P817" s="1490"/>
      <c r="X817" s="1445" t="e">
        <f ca="1"/>
        <v>#NAME?</v>
      </c>
      <c r="Y817" s="1446" t="e">
        <f ca="1"/>
        <v>#NAME?</v>
      </c>
    </row>
    <row r="818" spans="1:25">
      <c r="A818" s="1487"/>
      <c r="B818" s="1488"/>
      <c r="C818" s="1489"/>
      <c r="D818" s="1490"/>
      <c r="E818" s="1487"/>
      <c r="F818" s="1488"/>
      <c r="G818" s="1489"/>
      <c r="H818" s="1490"/>
      <c r="I818" s="1487"/>
      <c r="J818" s="1488"/>
      <c r="K818" s="1489"/>
      <c r="L818" s="1490"/>
      <c r="M818" s="1487"/>
      <c r="N818" s="1488"/>
      <c r="O818" s="1489"/>
      <c r="P818" s="1490"/>
      <c r="X818" s="1445" t="e">
        <f ca="1"/>
        <v>#NAME?</v>
      </c>
      <c r="Y818" s="1446" t="e">
        <f ca="1"/>
        <v>#NAME?</v>
      </c>
    </row>
    <row r="819" spans="1:25">
      <c r="A819" s="1487"/>
      <c r="B819" s="1488"/>
      <c r="C819" s="1489"/>
      <c r="D819" s="1490"/>
      <c r="E819" s="1487"/>
      <c r="F819" s="1488"/>
      <c r="G819" s="1489"/>
      <c r="H819" s="1490"/>
      <c r="I819" s="1487"/>
      <c r="J819" s="1488"/>
      <c r="K819" s="1489"/>
      <c r="L819" s="1490"/>
      <c r="M819" s="1487"/>
      <c r="N819" s="1488"/>
      <c r="O819" s="1489"/>
      <c r="P819" s="1490"/>
      <c r="X819" s="1445" t="e">
        <f ca="1"/>
        <v>#NAME?</v>
      </c>
      <c r="Y819" s="1446" t="e">
        <f ca="1"/>
        <v>#NAME?</v>
      </c>
    </row>
    <row r="820" spans="1:25">
      <c r="A820" s="1487"/>
      <c r="B820" s="1488"/>
      <c r="C820" s="1489"/>
      <c r="D820" s="1490"/>
      <c r="E820" s="1487"/>
      <c r="F820" s="1488"/>
      <c r="G820" s="1489"/>
      <c r="H820" s="1490"/>
      <c r="I820" s="1487"/>
      <c r="J820" s="1488"/>
      <c r="K820" s="1489"/>
      <c r="L820" s="1490"/>
      <c r="M820" s="1487"/>
      <c r="N820" s="1488"/>
      <c r="O820" s="1489"/>
      <c r="P820" s="1490"/>
      <c r="X820" s="1445" t="e">
        <f ca="1"/>
        <v>#NAME?</v>
      </c>
      <c r="Y820" s="1446" t="e">
        <f ca="1"/>
        <v>#NAME?</v>
      </c>
    </row>
    <row r="821" spans="1:25">
      <c r="A821" s="1487"/>
      <c r="B821" s="1488"/>
      <c r="C821" s="1489"/>
      <c r="D821" s="1490"/>
      <c r="E821" s="1487"/>
      <c r="F821" s="1488"/>
      <c r="G821" s="1489"/>
      <c r="H821" s="1490"/>
      <c r="I821" s="1487"/>
      <c r="J821" s="1488"/>
      <c r="K821" s="1489"/>
      <c r="L821" s="1490"/>
      <c r="M821" s="1487"/>
      <c r="N821" s="1488"/>
      <c r="O821" s="1489"/>
      <c r="P821" s="1490"/>
      <c r="X821" s="1445" t="e">
        <f ca="1"/>
        <v>#NAME?</v>
      </c>
      <c r="Y821" s="1446" t="e">
        <f ca="1"/>
        <v>#NAME?</v>
      </c>
    </row>
    <row r="822" spans="1:25">
      <c r="A822" s="1487"/>
      <c r="B822" s="1488"/>
      <c r="C822" s="1489"/>
      <c r="D822" s="1490"/>
      <c r="E822" s="1487"/>
      <c r="F822" s="1488"/>
      <c r="G822" s="1489"/>
      <c r="H822" s="1490"/>
      <c r="I822" s="1487"/>
      <c r="J822" s="1488"/>
      <c r="K822" s="1489"/>
      <c r="L822" s="1490"/>
      <c r="M822" s="1487"/>
      <c r="N822" s="1488"/>
      <c r="O822" s="1489"/>
      <c r="P822" s="1490"/>
      <c r="X822" s="1445" t="e">
        <f ca="1"/>
        <v>#NAME?</v>
      </c>
      <c r="Y822" s="1446" t="e">
        <f ca="1"/>
        <v>#NAME?</v>
      </c>
    </row>
    <row r="823" spans="1:25">
      <c r="A823" s="1487"/>
      <c r="B823" s="1488"/>
      <c r="C823" s="1489"/>
      <c r="D823" s="1490"/>
      <c r="E823" s="1487"/>
      <c r="F823" s="1488"/>
      <c r="G823" s="1489"/>
      <c r="H823" s="1490"/>
      <c r="I823" s="1487"/>
      <c r="J823" s="1488"/>
      <c r="K823" s="1489"/>
      <c r="L823" s="1490"/>
      <c r="M823" s="1487"/>
      <c r="N823" s="1488"/>
      <c r="O823" s="1489"/>
      <c r="P823" s="1490"/>
      <c r="X823" s="1445" t="e">
        <f ca="1"/>
        <v>#NAME?</v>
      </c>
      <c r="Y823" s="1446" t="e">
        <f ca="1"/>
        <v>#NAME?</v>
      </c>
    </row>
    <row r="824" spans="1:25">
      <c r="A824" s="1487"/>
      <c r="B824" s="1488"/>
      <c r="C824" s="1489"/>
      <c r="D824" s="1490"/>
      <c r="E824" s="1487"/>
      <c r="F824" s="1488"/>
      <c r="G824" s="1489"/>
      <c r="H824" s="1490"/>
      <c r="I824" s="1487"/>
      <c r="J824" s="1488"/>
      <c r="K824" s="1489"/>
      <c r="L824" s="1490"/>
      <c r="M824" s="1487"/>
      <c r="N824" s="1488"/>
      <c r="O824" s="1489"/>
      <c r="P824" s="1490"/>
      <c r="X824" s="1445" t="e">
        <f ca="1"/>
        <v>#NAME?</v>
      </c>
      <c r="Y824" s="1446" t="e">
        <f ca="1"/>
        <v>#NAME?</v>
      </c>
    </row>
    <row r="825" spans="1:25">
      <c r="A825" s="1487"/>
      <c r="B825" s="1488"/>
      <c r="C825" s="1489"/>
      <c r="D825" s="1490"/>
      <c r="E825" s="1487"/>
      <c r="F825" s="1488"/>
      <c r="G825" s="1489"/>
      <c r="H825" s="1490"/>
      <c r="I825" s="1487"/>
      <c r="J825" s="1488"/>
      <c r="K825" s="1489"/>
      <c r="L825" s="1490"/>
      <c r="M825" s="1487"/>
      <c r="N825" s="1488"/>
      <c r="O825" s="1489"/>
      <c r="P825" s="1490"/>
      <c r="X825" s="1445" t="e">
        <f ca="1"/>
        <v>#NAME?</v>
      </c>
      <c r="Y825" s="1446" t="e">
        <f ca="1"/>
        <v>#NAME?</v>
      </c>
    </row>
    <row r="826" spans="1:25">
      <c r="A826" s="1487"/>
      <c r="B826" s="1488"/>
      <c r="C826" s="1489"/>
      <c r="D826" s="1490"/>
      <c r="E826" s="1487"/>
      <c r="F826" s="1488"/>
      <c r="G826" s="1489"/>
      <c r="H826" s="1490"/>
      <c r="I826" s="1487"/>
      <c r="J826" s="1488"/>
      <c r="K826" s="1489"/>
      <c r="L826" s="1490"/>
      <c r="M826" s="1487"/>
      <c r="N826" s="1488"/>
      <c r="O826" s="1489"/>
      <c r="P826" s="1490"/>
      <c r="X826" s="1445" t="e">
        <f ca="1"/>
        <v>#NAME?</v>
      </c>
      <c r="Y826" s="1446" t="e">
        <f ca="1"/>
        <v>#NAME?</v>
      </c>
    </row>
    <row r="827" spans="1:25">
      <c r="A827" s="1487"/>
      <c r="B827" s="1488"/>
      <c r="C827" s="1489"/>
      <c r="D827" s="1490"/>
      <c r="E827" s="1487"/>
      <c r="F827" s="1488"/>
      <c r="G827" s="1489"/>
      <c r="H827" s="1490"/>
      <c r="I827" s="1487"/>
      <c r="J827" s="1488"/>
      <c r="K827" s="1489"/>
      <c r="L827" s="1490"/>
      <c r="M827" s="1487"/>
      <c r="N827" s="1488"/>
      <c r="O827" s="1489"/>
      <c r="P827" s="1490"/>
      <c r="X827" s="1445" t="e">
        <f ca="1"/>
        <v>#NAME?</v>
      </c>
      <c r="Y827" s="1446" t="e">
        <f ca="1"/>
        <v>#NAME?</v>
      </c>
    </row>
    <row r="828" spans="1:25">
      <c r="A828" s="1487"/>
      <c r="B828" s="1488"/>
      <c r="C828" s="1489"/>
      <c r="D828" s="1490"/>
      <c r="E828" s="1487"/>
      <c r="F828" s="1488"/>
      <c r="G828" s="1489"/>
      <c r="H828" s="1490"/>
      <c r="I828" s="1487"/>
      <c r="J828" s="1488"/>
      <c r="K828" s="1489"/>
      <c r="L828" s="1490"/>
      <c r="M828" s="1487"/>
      <c r="N828" s="1488"/>
      <c r="O828" s="1489"/>
      <c r="P828" s="1490"/>
      <c r="X828" s="1445" t="e">
        <f ca="1"/>
        <v>#NAME?</v>
      </c>
      <c r="Y828" s="1446" t="e">
        <f ca="1"/>
        <v>#NAME?</v>
      </c>
    </row>
    <row r="829" spans="1:25">
      <c r="A829" s="1487"/>
      <c r="B829" s="1488"/>
      <c r="C829" s="1489"/>
      <c r="D829" s="1490"/>
      <c r="E829" s="1487"/>
      <c r="F829" s="1488"/>
      <c r="G829" s="1489"/>
      <c r="H829" s="1490"/>
      <c r="I829" s="1487"/>
      <c r="J829" s="1488"/>
      <c r="K829" s="1489"/>
      <c r="L829" s="1490"/>
      <c r="M829" s="1487"/>
      <c r="N829" s="1488"/>
      <c r="O829" s="1489"/>
      <c r="P829" s="1490"/>
      <c r="X829" s="1445" t="e">
        <f ca="1"/>
        <v>#NAME?</v>
      </c>
      <c r="Y829" s="1446" t="e">
        <f ca="1"/>
        <v>#NAME?</v>
      </c>
    </row>
    <row r="830" spans="1:25">
      <c r="A830" s="1487"/>
      <c r="B830" s="1488"/>
      <c r="C830" s="1489"/>
      <c r="D830" s="1490"/>
      <c r="E830" s="1487"/>
      <c r="F830" s="1488"/>
      <c r="G830" s="1489"/>
      <c r="H830" s="1490"/>
      <c r="I830" s="1487"/>
      <c r="J830" s="1488"/>
      <c r="K830" s="1489"/>
      <c r="L830" s="1490"/>
      <c r="M830" s="1487"/>
      <c r="N830" s="1488"/>
      <c r="O830" s="1489"/>
      <c r="P830" s="1490"/>
      <c r="X830" s="1445" t="e">
        <f ca="1"/>
        <v>#NAME?</v>
      </c>
      <c r="Y830" s="1446" t="e">
        <f ca="1"/>
        <v>#NAME?</v>
      </c>
    </row>
    <row r="831" spans="1:25">
      <c r="A831" s="1487"/>
      <c r="B831" s="1488"/>
      <c r="C831" s="1489"/>
      <c r="D831" s="1490"/>
      <c r="E831" s="1487"/>
      <c r="F831" s="1488"/>
      <c r="G831" s="1489"/>
      <c r="H831" s="1490"/>
      <c r="I831" s="1487"/>
      <c r="J831" s="1488"/>
      <c r="K831" s="1489"/>
      <c r="L831" s="1490"/>
      <c r="M831" s="1487"/>
      <c r="N831" s="1488"/>
      <c r="O831" s="1489"/>
      <c r="P831" s="1490"/>
      <c r="X831" s="1445" t="e">
        <f ca="1"/>
        <v>#NAME?</v>
      </c>
      <c r="Y831" s="1446" t="e">
        <f ca="1"/>
        <v>#NAME?</v>
      </c>
    </row>
    <row r="832" spans="1:25">
      <c r="A832" s="1487"/>
      <c r="B832" s="1488"/>
      <c r="C832" s="1489"/>
      <c r="D832" s="1490"/>
      <c r="E832" s="1487"/>
      <c r="F832" s="1488"/>
      <c r="G832" s="1489"/>
      <c r="H832" s="1490"/>
      <c r="I832" s="1487"/>
      <c r="J832" s="1488"/>
      <c r="K832" s="1489"/>
      <c r="L832" s="1490"/>
      <c r="M832" s="1487"/>
      <c r="N832" s="1488"/>
      <c r="O832" s="1489"/>
      <c r="P832" s="1490"/>
      <c r="X832" s="1445" t="e">
        <f ca="1"/>
        <v>#NAME?</v>
      </c>
      <c r="Y832" s="1446" t="e">
        <f ca="1"/>
        <v>#NAME?</v>
      </c>
    </row>
    <row r="833" spans="1:25">
      <c r="A833" s="1487"/>
      <c r="B833" s="1488"/>
      <c r="C833" s="1489"/>
      <c r="D833" s="1490"/>
      <c r="E833" s="1487"/>
      <c r="F833" s="1488"/>
      <c r="G833" s="1489"/>
      <c r="H833" s="1490"/>
      <c r="I833" s="1487"/>
      <c r="J833" s="1488"/>
      <c r="K833" s="1489"/>
      <c r="L833" s="1490"/>
      <c r="M833" s="1487"/>
      <c r="N833" s="1488"/>
      <c r="O833" s="1489"/>
      <c r="P833" s="1490"/>
      <c r="X833" s="1445" t="e">
        <f ca="1"/>
        <v>#NAME?</v>
      </c>
      <c r="Y833" s="1446" t="e">
        <f ca="1"/>
        <v>#NAME?</v>
      </c>
    </row>
    <row r="834" spans="1:25">
      <c r="A834" s="1487"/>
      <c r="B834" s="1488"/>
      <c r="C834" s="1489"/>
      <c r="D834" s="1490"/>
      <c r="E834" s="1487"/>
      <c r="F834" s="1488"/>
      <c r="G834" s="1489"/>
      <c r="H834" s="1490"/>
      <c r="I834" s="1487"/>
      <c r="J834" s="1488"/>
      <c r="K834" s="1489"/>
      <c r="L834" s="1490"/>
      <c r="M834" s="1487"/>
      <c r="N834" s="1488"/>
      <c r="O834" s="1489"/>
      <c r="P834" s="1490"/>
      <c r="X834" s="1445" t="e">
        <f ca="1"/>
        <v>#NAME?</v>
      </c>
      <c r="Y834" s="1446" t="e">
        <f ca="1"/>
        <v>#NAME?</v>
      </c>
    </row>
    <row r="835" spans="1:25">
      <c r="A835" s="1487"/>
      <c r="B835" s="1488"/>
      <c r="C835" s="1489"/>
      <c r="D835" s="1490"/>
      <c r="E835" s="1487"/>
      <c r="F835" s="1488"/>
      <c r="G835" s="1489"/>
      <c r="H835" s="1490"/>
      <c r="I835" s="1487"/>
      <c r="J835" s="1488"/>
      <c r="K835" s="1489"/>
      <c r="L835" s="1490"/>
      <c r="M835" s="1487"/>
      <c r="N835" s="1488"/>
      <c r="O835" s="1489"/>
      <c r="P835" s="1490"/>
      <c r="X835" s="1445" t="e">
        <f ca="1"/>
        <v>#NAME?</v>
      </c>
      <c r="Y835" s="1446" t="e">
        <f ca="1"/>
        <v>#NAME?</v>
      </c>
    </row>
    <row r="836" spans="1:25">
      <c r="A836" s="1487"/>
      <c r="B836" s="1488"/>
      <c r="C836" s="1489"/>
      <c r="D836" s="1490"/>
      <c r="E836" s="1487"/>
      <c r="F836" s="1488"/>
      <c r="G836" s="1489"/>
      <c r="H836" s="1490"/>
      <c r="I836" s="1487"/>
      <c r="J836" s="1488"/>
      <c r="K836" s="1489"/>
      <c r="L836" s="1490"/>
      <c r="M836" s="1487"/>
      <c r="N836" s="1488"/>
      <c r="O836" s="1489"/>
      <c r="P836" s="1490"/>
      <c r="X836" s="1445" t="e">
        <f ca="1"/>
        <v>#NAME?</v>
      </c>
      <c r="Y836" s="1446" t="e">
        <f ca="1"/>
        <v>#NAME?</v>
      </c>
    </row>
    <row r="837" spans="1:25">
      <c r="A837" s="1487"/>
      <c r="B837" s="1488"/>
      <c r="C837" s="1489"/>
      <c r="D837" s="1490"/>
      <c r="E837" s="1487"/>
      <c r="F837" s="1488"/>
      <c r="G837" s="1489"/>
      <c r="H837" s="1490"/>
      <c r="I837" s="1487"/>
      <c r="J837" s="1488"/>
      <c r="K837" s="1489"/>
      <c r="L837" s="1490"/>
      <c r="M837" s="1487"/>
      <c r="N837" s="1488"/>
      <c r="O837" s="1489"/>
      <c r="P837" s="1490"/>
      <c r="X837" s="1445" t="e">
        <f ca="1"/>
        <v>#NAME?</v>
      </c>
      <c r="Y837" s="1446" t="e">
        <f ca="1"/>
        <v>#NAME?</v>
      </c>
    </row>
    <row r="838" spans="1:25">
      <c r="A838" s="1487"/>
      <c r="B838" s="1488"/>
      <c r="C838" s="1489"/>
      <c r="D838" s="1490"/>
      <c r="E838" s="1487"/>
      <c r="F838" s="1488"/>
      <c r="G838" s="1489"/>
      <c r="H838" s="1490"/>
      <c r="I838" s="1487"/>
      <c r="J838" s="1488"/>
      <c r="K838" s="1489"/>
      <c r="L838" s="1490"/>
      <c r="M838" s="1487"/>
      <c r="N838" s="1488"/>
      <c r="O838" s="1489"/>
      <c r="P838" s="1490"/>
      <c r="X838" s="1445" t="e">
        <f ca="1"/>
        <v>#NAME?</v>
      </c>
      <c r="Y838" s="1446" t="e">
        <f ca="1"/>
        <v>#NAME?</v>
      </c>
    </row>
    <row r="839" spans="1:25">
      <c r="A839" s="1487"/>
      <c r="B839" s="1488"/>
      <c r="C839" s="1489"/>
      <c r="D839" s="1490"/>
      <c r="E839" s="1487"/>
      <c r="F839" s="1488"/>
      <c r="G839" s="1489"/>
      <c r="H839" s="1490"/>
      <c r="I839" s="1487"/>
      <c r="J839" s="1488"/>
      <c r="K839" s="1489"/>
      <c r="L839" s="1490"/>
      <c r="M839" s="1487"/>
      <c r="N839" s="1488"/>
      <c r="O839" s="1489"/>
      <c r="P839" s="1490"/>
      <c r="X839" s="1445" t="e">
        <f ca="1"/>
        <v>#NAME?</v>
      </c>
      <c r="Y839" s="1446" t="e">
        <f ca="1"/>
        <v>#NAME?</v>
      </c>
    </row>
    <row r="840" spans="1:25">
      <c r="A840" s="1487"/>
      <c r="B840" s="1488"/>
      <c r="C840" s="1489"/>
      <c r="D840" s="1490"/>
      <c r="E840" s="1487"/>
      <c r="F840" s="1488"/>
      <c r="G840" s="1489"/>
      <c r="H840" s="1490"/>
      <c r="I840" s="1487"/>
      <c r="J840" s="1488"/>
      <c r="K840" s="1489"/>
      <c r="L840" s="1490"/>
      <c r="M840" s="1487"/>
      <c r="N840" s="1488"/>
      <c r="O840" s="1489"/>
      <c r="P840" s="1490"/>
      <c r="X840" s="1445" t="e">
        <f ca="1"/>
        <v>#NAME?</v>
      </c>
      <c r="Y840" s="1446" t="e">
        <f ca="1"/>
        <v>#NAME?</v>
      </c>
    </row>
    <row r="841" spans="1:25">
      <c r="A841" s="1487"/>
      <c r="B841" s="1488"/>
      <c r="C841" s="1489"/>
      <c r="D841" s="1490"/>
      <c r="E841" s="1487"/>
      <c r="F841" s="1488"/>
      <c r="G841" s="1489"/>
      <c r="H841" s="1490"/>
      <c r="I841" s="1487"/>
      <c r="J841" s="1488"/>
      <c r="K841" s="1489"/>
      <c r="L841" s="1490"/>
      <c r="M841" s="1487"/>
      <c r="N841" s="1488"/>
      <c r="O841" s="1489"/>
      <c r="P841" s="1490"/>
      <c r="X841" s="1445" t="e">
        <f ca="1"/>
        <v>#NAME?</v>
      </c>
      <c r="Y841" s="1446" t="e">
        <f ca="1"/>
        <v>#NAME?</v>
      </c>
    </row>
    <row r="842" spans="1:25">
      <c r="A842" s="1487"/>
      <c r="B842" s="1488"/>
      <c r="C842" s="1489"/>
      <c r="D842" s="1490"/>
      <c r="E842" s="1487"/>
      <c r="F842" s="1488"/>
      <c r="G842" s="1489"/>
      <c r="H842" s="1490"/>
      <c r="I842" s="1487"/>
      <c r="J842" s="1488"/>
      <c r="K842" s="1489"/>
      <c r="L842" s="1490"/>
      <c r="M842" s="1487"/>
      <c r="N842" s="1488"/>
      <c r="O842" s="1489"/>
      <c r="P842" s="1490"/>
      <c r="X842" s="1445" t="e">
        <f ca="1"/>
        <v>#NAME?</v>
      </c>
      <c r="Y842" s="1446" t="e">
        <f ca="1"/>
        <v>#NAME?</v>
      </c>
    </row>
    <row r="843" spans="1:25">
      <c r="A843" s="1487"/>
      <c r="B843" s="1488"/>
      <c r="C843" s="1489"/>
      <c r="D843" s="1490"/>
      <c r="E843" s="1487"/>
      <c r="F843" s="1488"/>
      <c r="G843" s="1489"/>
      <c r="H843" s="1490"/>
      <c r="I843" s="1487"/>
      <c r="J843" s="1488"/>
      <c r="K843" s="1489"/>
      <c r="L843" s="1490"/>
      <c r="M843" s="1487"/>
      <c r="N843" s="1488"/>
      <c r="O843" s="1489"/>
      <c r="P843" s="1490"/>
      <c r="X843" s="1445" t="e">
        <f ca="1"/>
        <v>#NAME?</v>
      </c>
      <c r="Y843" s="1446" t="e">
        <f ca="1"/>
        <v>#NAME?</v>
      </c>
    </row>
    <row r="844" spans="1:25">
      <c r="A844" s="1487"/>
      <c r="B844" s="1488"/>
      <c r="C844" s="1489"/>
      <c r="D844" s="1490"/>
      <c r="E844" s="1487"/>
      <c r="F844" s="1488"/>
      <c r="G844" s="1489"/>
      <c r="H844" s="1490"/>
      <c r="I844" s="1487"/>
      <c r="J844" s="1488"/>
      <c r="K844" s="1489"/>
      <c r="L844" s="1490"/>
      <c r="M844" s="1487"/>
      <c r="N844" s="1488"/>
      <c r="O844" s="1489"/>
      <c r="P844" s="1490"/>
      <c r="X844" s="1445" t="e">
        <f ca="1"/>
        <v>#NAME?</v>
      </c>
      <c r="Y844" s="1446" t="e">
        <f ca="1"/>
        <v>#NAME?</v>
      </c>
    </row>
    <row r="845" spans="1:25">
      <c r="A845" s="1487"/>
      <c r="B845" s="1488"/>
      <c r="C845" s="1489"/>
      <c r="D845" s="1490"/>
      <c r="E845" s="1487"/>
      <c r="F845" s="1488"/>
      <c r="G845" s="1489"/>
      <c r="H845" s="1490"/>
      <c r="I845" s="1487"/>
      <c r="J845" s="1488"/>
      <c r="K845" s="1489"/>
      <c r="L845" s="1490"/>
      <c r="M845" s="1487"/>
      <c r="N845" s="1488"/>
      <c r="O845" s="1489"/>
      <c r="P845" s="1490"/>
      <c r="X845" s="1445" t="e">
        <f ca="1"/>
        <v>#NAME?</v>
      </c>
      <c r="Y845" s="1446" t="e">
        <f ca="1"/>
        <v>#NAME?</v>
      </c>
    </row>
    <row r="846" spans="1:25">
      <c r="A846" s="1487"/>
      <c r="B846" s="1488"/>
      <c r="C846" s="1489"/>
      <c r="D846" s="1490"/>
      <c r="E846" s="1487"/>
      <c r="F846" s="1488"/>
      <c r="G846" s="1489"/>
      <c r="H846" s="1490"/>
      <c r="I846" s="1487"/>
      <c r="J846" s="1488"/>
      <c r="K846" s="1489"/>
      <c r="L846" s="1490"/>
      <c r="M846" s="1487"/>
      <c r="N846" s="1488"/>
      <c r="O846" s="1489"/>
      <c r="P846" s="1490"/>
      <c r="X846" s="1445" t="e">
        <f ca="1"/>
        <v>#NAME?</v>
      </c>
      <c r="Y846" s="1446" t="e">
        <f ca="1"/>
        <v>#NAME?</v>
      </c>
    </row>
    <row r="847" spans="1:25">
      <c r="A847" s="1487"/>
      <c r="B847" s="1488"/>
      <c r="C847" s="1489"/>
      <c r="D847" s="1490"/>
      <c r="E847" s="1487"/>
      <c r="F847" s="1488"/>
      <c r="G847" s="1489"/>
      <c r="H847" s="1490"/>
      <c r="I847" s="1487"/>
      <c r="J847" s="1488"/>
      <c r="K847" s="1489"/>
      <c r="L847" s="1490"/>
      <c r="M847" s="1487"/>
      <c r="N847" s="1488"/>
      <c r="O847" s="1489"/>
      <c r="P847" s="1490"/>
      <c r="X847" s="1445" t="e">
        <f ca="1"/>
        <v>#NAME?</v>
      </c>
      <c r="Y847" s="1446" t="e">
        <f ca="1"/>
        <v>#NAME?</v>
      </c>
    </row>
    <row r="848" spans="1:25">
      <c r="A848" s="1487"/>
      <c r="B848" s="1488"/>
      <c r="C848" s="1489"/>
      <c r="D848" s="1490"/>
      <c r="E848" s="1487"/>
      <c r="F848" s="1488"/>
      <c r="G848" s="1489"/>
      <c r="H848" s="1490"/>
      <c r="I848" s="1487"/>
      <c r="J848" s="1488"/>
      <c r="K848" s="1489"/>
      <c r="L848" s="1490"/>
      <c r="M848" s="1487"/>
      <c r="N848" s="1488"/>
      <c r="O848" s="1489"/>
      <c r="P848" s="1490"/>
      <c r="X848" s="1445" t="e">
        <f ca="1"/>
        <v>#NAME?</v>
      </c>
      <c r="Y848" s="1446" t="e">
        <f ca="1"/>
        <v>#NAME?</v>
      </c>
    </row>
    <row r="849" spans="1:25">
      <c r="A849" s="1487"/>
      <c r="B849" s="1488"/>
      <c r="C849" s="1489"/>
      <c r="D849" s="1490"/>
      <c r="E849" s="1487"/>
      <c r="F849" s="1488"/>
      <c r="G849" s="1489"/>
      <c r="H849" s="1490"/>
      <c r="I849" s="1487"/>
      <c r="J849" s="1488"/>
      <c r="K849" s="1489"/>
      <c r="L849" s="1490"/>
      <c r="M849" s="1487"/>
      <c r="N849" s="1488"/>
      <c r="O849" s="1489"/>
      <c r="P849" s="1490"/>
      <c r="X849" s="1445" t="e">
        <f ca="1"/>
        <v>#NAME?</v>
      </c>
      <c r="Y849" s="1446" t="e">
        <f ca="1"/>
        <v>#NAME?</v>
      </c>
    </row>
    <row r="850" spans="1:25">
      <c r="A850" s="1487"/>
      <c r="B850" s="1488"/>
      <c r="C850" s="1489"/>
      <c r="D850" s="1490"/>
      <c r="E850" s="1487"/>
      <c r="F850" s="1488"/>
      <c r="G850" s="1489"/>
      <c r="H850" s="1490"/>
      <c r="I850" s="1487"/>
      <c r="J850" s="1488"/>
      <c r="K850" s="1489"/>
      <c r="L850" s="1490"/>
      <c r="M850" s="1487"/>
      <c r="N850" s="1488"/>
      <c r="O850" s="1489"/>
      <c r="P850" s="1490"/>
      <c r="X850" s="1445" t="e">
        <f ca="1"/>
        <v>#NAME?</v>
      </c>
      <c r="Y850" s="1446" t="e">
        <f ca="1"/>
        <v>#NAME?</v>
      </c>
    </row>
    <row r="851" spans="1:25">
      <c r="A851" s="1487"/>
      <c r="B851" s="1488"/>
      <c r="C851" s="1489"/>
      <c r="D851" s="1490"/>
      <c r="E851" s="1487"/>
      <c r="F851" s="1488"/>
      <c r="G851" s="1489"/>
      <c r="H851" s="1490"/>
      <c r="I851" s="1487"/>
      <c r="J851" s="1488"/>
      <c r="K851" s="1489"/>
      <c r="L851" s="1490"/>
      <c r="M851" s="1487"/>
      <c r="N851" s="1488"/>
      <c r="O851" s="1489"/>
      <c r="P851" s="1490"/>
      <c r="X851" s="1445" t="e">
        <f ca="1"/>
        <v>#NAME?</v>
      </c>
      <c r="Y851" s="1446" t="e">
        <f ca="1"/>
        <v>#NAME?</v>
      </c>
    </row>
    <row r="852" spans="1:25">
      <c r="A852" s="1487"/>
      <c r="B852" s="1488"/>
      <c r="C852" s="1489"/>
      <c r="D852" s="1490"/>
      <c r="E852" s="1487"/>
      <c r="F852" s="1488"/>
      <c r="G852" s="1489"/>
      <c r="H852" s="1490"/>
      <c r="I852" s="1487"/>
      <c r="J852" s="1488"/>
      <c r="K852" s="1489"/>
      <c r="L852" s="1490"/>
      <c r="M852" s="1487"/>
      <c r="N852" s="1488"/>
      <c r="O852" s="1489"/>
      <c r="P852" s="1490"/>
      <c r="X852" s="1445" t="e">
        <f ca="1"/>
        <v>#NAME?</v>
      </c>
      <c r="Y852" s="1446" t="e">
        <f ca="1"/>
        <v>#NAME?</v>
      </c>
    </row>
    <row r="853" spans="1:25">
      <c r="A853" s="1487"/>
      <c r="B853" s="1488"/>
      <c r="C853" s="1489"/>
      <c r="D853" s="1490"/>
      <c r="E853" s="1487"/>
      <c r="F853" s="1488"/>
      <c r="G853" s="1489"/>
      <c r="H853" s="1490"/>
      <c r="I853" s="1487"/>
      <c r="J853" s="1488"/>
      <c r="K853" s="1489"/>
      <c r="L853" s="1490"/>
      <c r="M853" s="1487"/>
      <c r="N853" s="1488"/>
      <c r="O853" s="1489"/>
      <c r="P853" s="1490"/>
      <c r="X853" s="1445" t="e">
        <f ca="1"/>
        <v>#NAME?</v>
      </c>
      <c r="Y853" s="1446" t="e">
        <f ca="1"/>
        <v>#NAME?</v>
      </c>
    </row>
    <row r="854" spans="1:25">
      <c r="A854" s="1487"/>
      <c r="B854" s="1488"/>
      <c r="C854" s="1489"/>
      <c r="D854" s="1490"/>
      <c r="E854" s="1487"/>
      <c r="F854" s="1488"/>
      <c r="G854" s="1489"/>
      <c r="H854" s="1490"/>
      <c r="I854" s="1487"/>
      <c r="J854" s="1488"/>
      <c r="K854" s="1489"/>
      <c r="L854" s="1490"/>
      <c r="M854" s="1487"/>
      <c r="N854" s="1488"/>
      <c r="O854" s="1489"/>
      <c r="P854" s="1490"/>
      <c r="X854" s="1445" t="e">
        <f ca="1"/>
        <v>#NAME?</v>
      </c>
      <c r="Y854" s="1446" t="e">
        <f ca="1"/>
        <v>#NAME?</v>
      </c>
    </row>
    <row r="855" spans="1:25">
      <c r="A855" s="1487"/>
      <c r="B855" s="1488"/>
      <c r="C855" s="1489"/>
      <c r="D855" s="1490"/>
      <c r="E855" s="1487"/>
      <c r="F855" s="1488"/>
      <c r="G855" s="1489"/>
      <c r="H855" s="1490"/>
      <c r="I855" s="1487"/>
      <c r="J855" s="1488"/>
      <c r="K855" s="1489"/>
      <c r="L855" s="1490"/>
      <c r="M855" s="1487"/>
      <c r="N855" s="1488"/>
      <c r="O855" s="1489"/>
      <c r="P855" s="1490"/>
      <c r="X855" s="1445" t="e">
        <f ca="1"/>
        <v>#NAME?</v>
      </c>
      <c r="Y855" s="1446" t="e">
        <f ca="1"/>
        <v>#NAME?</v>
      </c>
    </row>
    <row r="856" spans="1:25">
      <c r="A856" s="1487"/>
      <c r="B856" s="1488"/>
      <c r="C856" s="1489"/>
      <c r="D856" s="1490"/>
      <c r="E856" s="1487"/>
      <c r="F856" s="1488"/>
      <c r="G856" s="1489"/>
      <c r="H856" s="1490"/>
      <c r="I856" s="1487"/>
      <c r="J856" s="1488"/>
      <c r="K856" s="1489"/>
      <c r="L856" s="1490"/>
      <c r="M856" s="1487"/>
      <c r="N856" s="1488"/>
      <c r="O856" s="1489"/>
      <c r="P856" s="1490"/>
      <c r="X856" s="1445" t="e">
        <f ca="1"/>
        <v>#NAME?</v>
      </c>
      <c r="Y856" s="1446" t="e">
        <f ca="1"/>
        <v>#NAME?</v>
      </c>
    </row>
    <row r="857" spans="1:25">
      <c r="A857" s="1487"/>
      <c r="B857" s="1488"/>
      <c r="C857" s="1489"/>
      <c r="D857" s="1490"/>
      <c r="E857" s="1487"/>
      <c r="F857" s="1488"/>
      <c r="G857" s="1489"/>
      <c r="H857" s="1490"/>
      <c r="I857" s="1487"/>
      <c r="J857" s="1488"/>
      <c r="K857" s="1489"/>
      <c r="L857" s="1490"/>
      <c r="M857" s="1487"/>
      <c r="N857" s="1488"/>
      <c r="O857" s="1489"/>
      <c r="P857" s="1490"/>
      <c r="X857" s="1445" t="e">
        <f ca="1"/>
        <v>#NAME?</v>
      </c>
      <c r="Y857" s="1446" t="e">
        <f ca="1"/>
        <v>#NAME?</v>
      </c>
    </row>
    <row r="858" spans="1:25">
      <c r="A858" s="1487"/>
      <c r="B858" s="1488"/>
      <c r="C858" s="1489"/>
      <c r="D858" s="1490"/>
      <c r="E858" s="1487"/>
      <c r="F858" s="1488"/>
      <c r="G858" s="1489"/>
      <c r="H858" s="1490"/>
      <c r="I858" s="1487"/>
      <c r="J858" s="1488"/>
      <c r="K858" s="1489"/>
      <c r="L858" s="1490"/>
      <c r="M858" s="1487"/>
      <c r="N858" s="1488"/>
      <c r="O858" s="1489"/>
      <c r="P858" s="1490"/>
      <c r="X858" s="1445" t="e">
        <f ca="1"/>
        <v>#NAME?</v>
      </c>
      <c r="Y858" s="1446" t="e">
        <f ca="1"/>
        <v>#NAME?</v>
      </c>
    </row>
    <row r="859" spans="1:25">
      <c r="A859" s="1487"/>
      <c r="B859" s="1488"/>
      <c r="C859" s="1489"/>
      <c r="D859" s="1490"/>
      <c r="E859" s="1487"/>
      <c r="F859" s="1488"/>
      <c r="G859" s="1489"/>
      <c r="H859" s="1490"/>
      <c r="I859" s="1487"/>
      <c r="J859" s="1488"/>
      <c r="K859" s="1489"/>
      <c r="L859" s="1490"/>
      <c r="M859" s="1487"/>
      <c r="N859" s="1488"/>
      <c r="O859" s="1489"/>
      <c r="P859" s="1490"/>
      <c r="X859" s="1445" t="e">
        <f ca="1"/>
        <v>#NAME?</v>
      </c>
      <c r="Y859" s="1446" t="e">
        <f ca="1"/>
        <v>#NAME?</v>
      </c>
    </row>
    <row r="860" spans="1:25">
      <c r="A860" s="1487"/>
      <c r="B860" s="1488"/>
      <c r="C860" s="1489"/>
      <c r="D860" s="1490"/>
      <c r="E860" s="1487"/>
      <c r="F860" s="1488"/>
      <c r="G860" s="1489"/>
      <c r="H860" s="1490"/>
      <c r="I860" s="1487"/>
      <c r="J860" s="1488"/>
      <c r="K860" s="1489"/>
      <c r="L860" s="1490"/>
      <c r="M860" s="1487"/>
      <c r="N860" s="1488"/>
      <c r="O860" s="1489"/>
      <c r="P860" s="1490"/>
      <c r="X860" s="1445" t="e">
        <f ca="1"/>
        <v>#NAME?</v>
      </c>
      <c r="Y860" s="1446" t="e">
        <f ca="1"/>
        <v>#NAME?</v>
      </c>
    </row>
    <row r="861" spans="1:25">
      <c r="A861" s="1487"/>
      <c r="B861" s="1488"/>
      <c r="C861" s="1489"/>
      <c r="D861" s="1490"/>
      <c r="E861" s="1487"/>
      <c r="F861" s="1488"/>
      <c r="G861" s="1489"/>
      <c r="H861" s="1490"/>
      <c r="I861" s="1487"/>
      <c r="J861" s="1488"/>
      <c r="K861" s="1489"/>
      <c r="L861" s="1490"/>
      <c r="M861" s="1487"/>
      <c r="N861" s="1488"/>
      <c r="O861" s="1489"/>
      <c r="P861" s="1490"/>
      <c r="X861" s="1445" t="e">
        <f ca="1"/>
        <v>#NAME?</v>
      </c>
      <c r="Y861" s="1446" t="e">
        <f ca="1"/>
        <v>#NAME?</v>
      </c>
    </row>
    <row r="862" spans="1:25">
      <c r="A862" s="1487"/>
      <c r="B862" s="1488"/>
      <c r="C862" s="1489"/>
      <c r="D862" s="1490"/>
      <c r="E862" s="1487"/>
      <c r="F862" s="1488"/>
      <c r="G862" s="1489"/>
      <c r="H862" s="1490"/>
      <c r="I862" s="1487"/>
      <c r="J862" s="1488"/>
      <c r="K862" s="1489"/>
      <c r="L862" s="1490"/>
      <c r="M862" s="1487"/>
      <c r="N862" s="1488"/>
      <c r="O862" s="1489"/>
      <c r="P862" s="1490"/>
      <c r="X862" s="1445" t="e">
        <f ca="1"/>
        <v>#NAME?</v>
      </c>
      <c r="Y862" s="1446" t="e">
        <f ca="1"/>
        <v>#NAME?</v>
      </c>
    </row>
    <row r="863" spans="1:25">
      <c r="A863" s="1487"/>
      <c r="B863" s="1488"/>
      <c r="C863" s="1489"/>
      <c r="D863" s="1490"/>
      <c r="E863" s="1487"/>
      <c r="F863" s="1488"/>
      <c r="G863" s="1489"/>
      <c r="H863" s="1490"/>
      <c r="I863" s="1487"/>
      <c r="J863" s="1488"/>
      <c r="K863" s="1489"/>
      <c r="L863" s="1490"/>
      <c r="M863" s="1487"/>
      <c r="N863" s="1488"/>
      <c r="O863" s="1489"/>
      <c r="P863" s="1490"/>
      <c r="X863" s="1445" t="e">
        <f ca="1"/>
        <v>#NAME?</v>
      </c>
      <c r="Y863" s="1446" t="e">
        <f ca="1"/>
        <v>#NAME?</v>
      </c>
    </row>
    <row r="864" spans="1:25">
      <c r="A864" s="1487"/>
      <c r="B864" s="1488"/>
      <c r="C864" s="1489"/>
      <c r="D864" s="1490"/>
      <c r="E864" s="1487"/>
      <c r="F864" s="1488"/>
      <c r="G864" s="1489"/>
      <c r="H864" s="1490"/>
      <c r="I864" s="1487"/>
      <c r="J864" s="1488"/>
      <c r="K864" s="1489"/>
      <c r="L864" s="1490"/>
      <c r="M864" s="1487"/>
      <c r="N864" s="1488"/>
      <c r="O864" s="1489"/>
      <c r="P864" s="1490"/>
      <c r="X864" s="1445" t="e">
        <f ca="1"/>
        <v>#NAME?</v>
      </c>
      <c r="Y864" s="1446" t="e">
        <f ca="1"/>
        <v>#NAME?</v>
      </c>
    </row>
    <row r="865" spans="1:25">
      <c r="A865" s="1487"/>
      <c r="B865" s="1488"/>
      <c r="C865" s="1489"/>
      <c r="D865" s="1490"/>
      <c r="E865" s="1487"/>
      <c r="F865" s="1488"/>
      <c r="G865" s="1489"/>
      <c r="H865" s="1490"/>
      <c r="I865" s="1487"/>
      <c r="J865" s="1488"/>
      <c r="K865" s="1489"/>
      <c r="L865" s="1490"/>
      <c r="M865" s="1487"/>
      <c r="N865" s="1488"/>
      <c r="O865" s="1489"/>
      <c r="P865" s="1490"/>
      <c r="X865" s="1445" t="e">
        <f ca="1"/>
        <v>#NAME?</v>
      </c>
      <c r="Y865" s="1446" t="e">
        <f ca="1"/>
        <v>#NAME?</v>
      </c>
    </row>
    <row r="866" spans="1:25">
      <c r="A866" s="1487"/>
      <c r="B866" s="1488"/>
      <c r="C866" s="1489"/>
      <c r="D866" s="1490"/>
      <c r="E866" s="1487"/>
      <c r="F866" s="1488"/>
      <c r="G866" s="1489"/>
      <c r="H866" s="1490"/>
      <c r="I866" s="1487"/>
      <c r="J866" s="1488"/>
      <c r="K866" s="1489"/>
      <c r="L866" s="1490"/>
      <c r="M866" s="1487"/>
      <c r="N866" s="1488"/>
      <c r="O866" s="1489"/>
      <c r="P866" s="1490"/>
      <c r="X866" s="1445" t="e">
        <f ca="1"/>
        <v>#NAME?</v>
      </c>
      <c r="Y866" s="1446" t="e">
        <f ca="1"/>
        <v>#NAME?</v>
      </c>
    </row>
    <row r="867" spans="1:25">
      <c r="A867" s="1487"/>
      <c r="B867" s="1488"/>
      <c r="C867" s="1489"/>
      <c r="D867" s="1490"/>
      <c r="E867" s="1487"/>
      <c r="F867" s="1488"/>
      <c r="G867" s="1489"/>
      <c r="H867" s="1490"/>
      <c r="I867" s="1487"/>
      <c r="J867" s="1488"/>
      <c r="K867" s="1489"/>
      <c r="L867" s="1490"/>
      <c r="M867" s="1487"/>
      <c r="N867" s="1488"/>
      <c r="O867" s="1489"/>
      <c r="P867" s="1490"/>
      <c r="X867" s="1445" t="e">
        <f ca="1"/>
        <v>#NAME?</v>
      </c>
      <c r="Y867" s="1446" t="e">
        <f ca="1"/>
        <v>#NAME?</v>
      </c>
    </row>
    <row r="868" spans="1:25">
      <c r="A868" s="1487"/>
      <c r="B868" s="1488"/>
      <c r="C868" s="1489"/>
      <c r="D868" s="1490"/>
      <c r="E868" s="1487"/>
      <c r="F868" s="1488"/>
      <c r="G868" s="1489"/>
      <c r="H868" s="1490"/>
      <c r="I868" s="1487"/>
      <c r="J868" s="1488"/>
      <c r="K868" s="1489"/>
      <c r="L868" s="1490"/>
      <c r="M868" s="1487"/>
      <c r="N868" s="1488"/>
      <c r="O868" s="1489"/>
      <c r="P868" s="1490"/>
      <c r="X868" s="1445" t="e">
        <f ca="1"/>
        <v>#NAME?</v>
      </c>
      <c r="Y868" s="1446" t="e">
        <f ca="1"/>
        <v>#NAME?</v>
      </c>
    </row>
    <row r="869" spans="1:25">
      <c r="A869" s="1487"/>
      <c r="B869" s="1488"/>
      <c r="C869" s="1489"/>
      <c r="D869" s="1490"/>
      <c r="E869" s="1487"/>
      <c r="F869" s="1488"/>
      <c r="G869" s="1489"/>
      <c r="H869" s="1490"/>
      <c r="I869" s="1487"/>
      <c r="J869" s="1488"/>
      <c r="K869" s="1489"/>
      <c r="L869" s="1490"/>
      <c r="M869" s="1487"/>
      <c r="N869" s="1488"/>
      <c r="O869" s="1489"/>
      <c r="P869" s="1490"/>
      <c r="X869" s="1445" t="e">
        <f ca="1"/>
        <v>#NAME?</v>
      </c>
      <c r="Y869" s="1446" t="e">
        <f ca="1"/>
        <v>#NAME?</v>
      </c>
    </row>
    <row r="870" spans="1:25">
      <c r="A870" s="1487"/>
      <c r="B870" s="1488"/>
      <c r="C870" s="1489"/>
      <c r="D870" s="1490"/>
      <c r="E870" s="1487"/>
      <c r="F870" s="1488"/>
      <c r="G870" s="1489"/>
      <c r="H870" s="1490"/>
      <c r="I870" s="1487"/>
      <c r="J870" s="1488"/>
      <c r="K870" s="1489"/>
      <c r="L870" s="1490"/>
      <c r="M870" s="1487"/>
      <c r="N870" s="1488"/>
      <c r="O870" s="1489"/>
      <c r="P870" s="1490"/>
      <c r="X870" s="1445" t="e">
        <f ca="1"/>
        <v>#NAME?</v>
      </c>
      <c r="Y870" s="1446" t="e">
        <f ca="1"/>
        <v>#NAME?</v>
      </c>
    </row>
    <row r="871" spans="1:25">
      <c r="A871" s="1487"/>
      <c r="B871" s="1488"/>
      <c r="C871" s="1489"/>
      <c r="D871" s="1490"/>
      <c r="E871" s="1487"/>
      <c r="F871" s="1488"/>
      <c r="G871" s="1489"/>
      <c r="H871" s="1490"/>
      <c r="I871" s="1487"/>
      <c r="J871" s="1488"/>
      <c r="K871" s="1489"/>
      <c r="L871" s="1490"/>
      <c r="M871" s="1487"/>
      <c r="N871" s="1488"/>
      <c r="O871" s="1489"/>
      <c r="P871" s="1490"/>
      <c r="X871" s="1445" t="e">
        <f ca="1"/>
        <v>#NAME?</v>
      </c>
      <c r="Y871" s="1446" t="e">
        <f ca="1"/>
        <v>#NAME?</v>
      </c>
    </row>
    <row r="872" spans="1:25">
      <c r="A872" s="1487"/>
      <c r="B872" s="1488"/>
      <c r="C872" s="1489"/>
      <c r="D872" s="1490"/>
      <c r="E872" s="1487"/>
      <c r="F872" s="1488"/>
      <c r="G872" s="1489"/>
      <c r="H872" s="1490"/>
      <c r="I872" s="1487"/>
      <c r="J872" s="1488"/>
      <c r="K872" s="1489"/>
      <c r="L872" s="1490"/>
      <c r="M872" s="1487"/>
      <c r="N872" s="1488"/>
      <c r="O872" s="1489"/>
      <c r="P872" s="1490"/>
      <c r="X872" s="1445" t="e">
        <f ca="1"/>
        <v>#NAME?</v>
      </c>
      <c r="Y872" s="1446" t="e">
        <f ca="1"/>
        <v>#NAME?</v>
      </c>
    </row>
    <row r="873" spans="1:25">
      <c r="A873" s="1487"/>
      <c r="B873" s="1488"/>
      <c r="C873" s="1489"/>
      <c r="D873" s="1490"/>
      <c r="E873" s="1487"/>
      <c r="F873" s="1488"/>
      <c r="G873" s="1489"/>
      <c r="H873" s="1490"/>
      <c r="I873" s="1487"/>
      <c r="J873" s="1488"/>
      <c r="K873" s="1489"/>
      <c r="L873" s="1490"/>
      <c r="M873" s="1487"/>
      <c r="N873" s="1488"/>
      <c r="O873" s="1489"/>
      <c r="P873" s="1490"/>
      <c r="X873" s="1445" t="e">
        <f ca="1"/>
        <v>#NAME?</v>
      </c>
      <c r="Y873" s="1446" t="e">
        <f ca="1"/>
        <v>#NAME?</v>
      </c>
    </row>
    <row r="874" spans="1:25">
      <c r="A874" s="1487"/>
      <c r="B874" s="1488"/>
      <c r="C874" s="1489"/>
      <c r="D874" s="1490"/>
      <c r="E874" s="1487"/>
      <c r="F874" s="1488"/>
      <c r="G874" s="1489"/>
      <c r="H874" s="1490"/>
      <c r="I874" s="1487"/>
      <c r="J874" s="1488"/>
      <c r="K874" s="1489"/>
      <c r="L874" s="1490"/>
      <c r="M874" s="1487"/>
      <c r="N874" s="1488"/>
      <c r="O874" s="1489"/>
      <c r="P874" s="1490"/>
      <c r="X874" s="1445" t="e">
        <f ca="1"/>
        <v>#NAME?</v>
      </c>
      <c r="Y874" s="1446" t="e">
        <f ca="1"/>
        <v>#NAME?</v>
      </c>
    </row>
    <row r="875" spans="1:25">
      <c r="A875" s="1487"/>
      <c r="B875" s="1488"/>
      <c r="C875" s="1489"/>
      <c r="D875" s="1490"/>
      <c r="E875" s="1487"/>
      <c r="F875" s="1488"/>
      <c r="G875" s="1489"/>
      <c r="H875" s="1490"/>
      <c r="I875" s="1487"/>
      <c r="J875" s="1488"/>
      <c r="K875" s="1489"/>
      <c r="L875" s="1490"/>
      <c r="M875" s="1487"/>
      <c r="N875" s="1488"/>
      <c r="O875" s="1489"/>
      <c r="P875" s="1490"/>
      <c r="X875" s="1445" t="e">
        <f ca="1"/>
        <v>#NAME?</v>
      </c>
      <c r="Y875" s="1446" t="e">
        <f ca="1"/>
        <v>#NAME?</v>
      </c>
    </row>
    <row r="876" spans="1:25">
      <c r="A876" s="1487"/>
      <c r="B876" s="1488"/>
      <c r="C876" s="1489"/>
      <c r="D876" s="1490"/>
      <c r="E876" s="1487"/>
      <c r="F876" s="1488"/>
      <c r="G876" s="1489"/>
      <c r="H876" s="1490"/>
      <c r="I876" s="1487"/>
      <c r="J876" s="1488"/>
      <c r="K876" s="1489"/>
      <c r="L876" s="1490"/>
      <c r="M876" s="1487"/>
      <c r="N876" s="1488"/>
      <c r="O876" s="1489"/>
      <c r="P876" s="1490"/>
      <c r="X876" s="1445" t="e">
        <f ca="1"/>
        <v>#NAME?</v>
      </c>
      <c r="Y876" s="1446" t="e">
        <f ca="1"/>
        <v>#NAME?</v>
      </c>
    </row>
    <row r="877" spans="1:25">
      <c r="A877" s="1487"/>
      <c r="B877" s="1488"/>
      <c r="C877" s="1489"/>
      <c r="D877" s="1490"/>
      <c r="E877" s="1487"/>
      <c r="F877" s="1488"/>
      <c r="G877" s="1489"/>
      <c r="H877" s="1490"/>
      <c r="I877" s="1487"/>
      <c r="J877" s="1488"/>
      <c r="K877" s="1489"/>
      <c r="L877" s="1490"/>
      <c r="M877" s="1487"/>
      <c r="N877" s="1488"/>
      <c r="O877" s="1489"/>
      <c r="P877" s="1490"/>
      <c r="X877" s="1445" t="e">
        <f ca="1"/>
        <v>#NAME?</v>
      </c>
      <c r="Y877" s="1446" t="e">
        <f ca="1"/>
        <v>#NAME?</v>
      </c>
    </row>
    <row r="878" spans="1:25">
      <c r="A878" s="1487"/>
      <c r="B878" s="1488"/>
      <c r="C878" s="1489"/>
      <c r="D878" s="1490"/>
      <c r="E878" s="1487"/>
      <c r="F878" s="1488"/>
      <c r="G878" s="1489"/>
      <c r="H878" s="1490"/>
      <c r="I878" s="1487"/>
      <c r="J878" s="1488"/>
      <c r="K878" s="1489"/>
      <c r="L878" s="1490"/>
      <c r="M878" s="1487"/>
      <c r="N878" s="1488"/>
      <c r="O878" s="1489"/>
      <c r="P878" s="1490"/>
      <c r="X878" s="1445" t="e">
        <f ca="1"/>
        <v>#NAME?</v>
      </c>
      <c r="Y878" s="1446" t="e">
        <f ca="1"/>
        <v>#NAME?</v>
      </c>
    </row>
    <row r="879" spans="1:25">
      <c r="A879" s="1487"/>
      <c r="B879" s="1488"/>
      <c r="C879" s="1489"/>
      <c r="D879" s="1490"/>
      <c r="E879" s="1487"/>
      <c r="F879" s="1488"/>
      <c r="G879" s="1489"/>
      <c r="H879" s="1490"/>
      <c r="I879" s="1487"/>
      <c r="J879" s="1488"/>
      <c r="K879" s="1489"/>
      <c r="L879" s="1490"/>
      <c r="M879" s="1487"/>
      <c r="N879" s="1488"/>
      <c r="O879" s="1489"/>
      <c r="P879" s="1490"/>
      <c r="X879" s="1445" t="e">
        <f ca="1"/>
        <v>#NAME?</v>
      </c>
      <c r="Y879" s="1446" t="e">
        <f ca="1"/>
        <v>#NAME?</v>
      </c>
    </row>
    <row r="880" spans="1:25">
      <c r="A880" s="1487"/>
      <c r="B880" s="1488"/>
      <c r="C880" s="1489"/>
      <c r="D880" s="1490"/>
      <c r="E880" s="1487"/>
      <c r="F880" s="1488"/>
      <c r="G880" s="1489"/>
      <c r="H880" s="1490"/>
      <c r="I880" s="1487"/>
      <c r="J880" s="1488"/>
      <c r="K880" s="1489"/>
      <c r="L880" s="1490"/>
      <c r="M880" s="1487"/>
      <c r="N880" s="1488"/>
      <c r="O880" s="1489"/>
      <c r="P880" s="1490"/>
      <c r="X880" s="1445" t="e">
        <f ca="1"/>
        <v>#NAME?</v>
      </c>
      <c r="Y880" s="1446" t="e">
        <f ca="1"/>
        <v>#NAME?</v>
      </c>
    </row>
    <row r="881" spans="1:25">
      <c r="A881" s="1487"/>
      <c r="B881" s="1488"/>
      <c r="C881" s="1489"/>
      <c r="D881" s="1490"/>
      <c r="E881" s="1487"/>
      <c r="F881" s="1488"/>
      <c r="G881" s="1489"/>
      <c r="H881" s="1490"/>
      <c r="I881" s="1487"/>
      <c r="J881" s="1488"/>
      <c r="K881" s="1489"/>
      <c r="L881" s="1490"/>
      <c r="M881" s="1487"/>
      <c r="N881" s="1488"/>
      <c r="O881" s="1489"/>
      <c r="P881" s="1490"/>
      <c r="X881" s="1445" t="e">
        <f ca="1"/>
        <v>#NAME?</v>
      </c>
      <c r="Y881" s="1446" t="e">
        <f ca="1"/>
        <v>#NAME?</v>
      </c>
    </row>
    <row r="882" spans="1:25">
      <c r="A882" s="1487"/>
      <c r="B882" s="1488"/>
      <c r="C882" s="1489"/>
      <c r="D882" s="1490"/>
      <c r="E882" s="1487"/>
      <c r="F882" s="1488"/>
      <c r="G882" s="1489"/>
      <c r="H882" s="1490"/>
      <c r="I882" s="1487"/>
      <c r="J882" s="1488"/>
      <c r="K882" s="1489"/>
      <c r="L882" s="1490"/>
      <c r="M882" s="1487"/>
      <c r="N882" s="1488"/>
      <c r="O882" s="1489"/>
      <c r="P882" s="1490"/>
      <c r="X882" s="1445" t="e">
        <f ca="1"/>
        <v>#NAME?</v>
      </c>
      <c r="Y882" s="1446" t="e">
        <f ca="1"/>
        <v>#NAME?</v>
      </c>
    </row>
    <row r="883" spans="1:25">
      <c r="A883" s="1487"/>
      <c r="B883" s="1488"/>
      <c r="C883" s="1489"/>
      <c r="D883" s="1490"/>
      <c r="E883" s="1487"/>
      <c r="F883" s="1488"/>
      <c r="G883" s="1489"/>
      <c r="H883" s="1490"/>
      <c r="I883" s="1487"/>
      <c r="J883" s="1488"/>
      <c r="K883" s="1489"/>
      <c r="L883" s="1490"/>
      <c r="M883" s="1487"/>
      <c r="N883" s="1488"/>
      <c r="O883" s="1489"/>
      <c r="P883" s="1490"/>
      <c r="X883" s="1445" t="e">
        <f ca="1"/>
        <v>#NAME?</v>
      </c>
      <c r="Y883" s="1446" t="e">
        <f ca="1"/>
        <v>#NAME?</v>
      </c>
    </row>
    <row r="884" spans="1:25">
      <c r="A884" s="1487"/>
      <c r="B884" s="1488"/>
      <c r="C884" s="1489"/>
      <c r="D884" s="1490"/>
      <c r="E884" s="1487"/>
      <c r="F884" s="1488"/>
      <c r="G884" s="1489"/>
      <c r="H884" s="1490"/>
      <c r="I884" s="1487"/>
      <c r="J884" s="1488"/>
      <c r="K884" s="1489"/>
      <c r="L884" s="1490"/>
      <c r="M884" s="1487"/>
      <c r="N884" s="1488"/>
      <c r="O884" s="1489"/>
      <c r="P884" s="1490"/>
      <c r="X884" s="1445" t="e">
        <f ca="1"/>
        <v>#NAME?</v>
      </c>
      <c r="Y884" s="1446" t="e">
        <f ca="1"/>
        <v>#NAME?</v>
      </c>
    </row>
    <row r="885" spans="1:25">
      <c r="A885" s="1487"/>
      <c r="B885" s="1488"/>
      <c r="C885" s="1489"/>
      <c r="D885" s="1490"/>
      <c r="E885" s="1487"/>
      <c r="F885" s="1488"/>
      <c r="G885" s="1489"/>
      <c r="H885" s="1490"/>
      <c r="I885" s="1487"/>
      <c r="J885" s="1488"/>
      <c r="K885" s="1489"/>
      <c r="L885" s="1490"/>
      <c r="M885" s="1487"/>
      <c r="N885" s="1488"/>
      <c r="O885" s="1489"/>
      <c r="P885" s="1490"/>
      <c r="X885" s="1445" t="e">
        <f ca="1"/>
        <v>#NAME?</v>
      </c>
      <c r="Y885" s="1446" t="e">
        <f ca="1"/>
        <v>#NAME?</v>
      </c>
    </row>
    <row r="886" spans="1:25">
      <c r="A886" s="1487"/>
      <c r="B886" s="1488"/>
      <c r="C886" s="1489"/>
      <c r="D886" s="1490"/>
      <c r="E886" s="1487"/>
      <c r="F886" s="1488"/>
      <c r="G886" s="1489"/>
      <c r="H886" s="1490"/>
      <c r="I886" s="1487"/>
      <c r="J886" s="1488"/>
      <c r="K886" s="1489"/>
      <c r="L886" s="1490"/>
      <c r="M886" s="1487"/>
      <c r="N886" s="1488"/>
      <c r="O886" s="1489"/>
      <c r="P886" s="1490"/>
      <c r="X886" s="1445" t="e">
        <f ca="1"/>
        <v>#NAME?</v>
      </c>
      <c r="Y886" s="1446" t="e">
        <f ca="1"/>
        <v>#NAME?</v>
      </c>
    </row>
    <row r="887" spans="1:25">
      <c r="A887" s="1487"/>
      <c r="B887" s="1488"/>
      <c r="C887" s="1489"/>
      <c r="D887" s="1490"/>
      <c r="E887" s="1487"/>
      <c r="F887" s="1488"/>
      <c r="G887" s="1489"/>
      <c r="H887" s="1490"/>
      <c r="I887" s="1487"/>
      <c r="J887" s="1488"/>
      <c r="K887" s="1489"/>
      <c r="L887" s="1490"/>
      <c r="M887" s="1487"/>
      <c r="N887" s="1488"/>
      <c r="O887" s="1489"/>
      <c r="P887" s="1490"/>
      <c r="X887" s="1445" t="e">
        <f ca="1"/>
        <v>#NAME?</v>
      </c>
      <c r="Y887" s="1446" t="e">
        <f ca="1"/>
        <v>#NAME?</v>
      </c>
    </row>
    <row r="888" spans="1:25">
      <c r="A888" s="1487"/>
      <c r="B888" s="1488"/>
      <c r="C888" s="1489"/>
      <c r="D888" s="1490"/>
      <c r="E888" s="1487"/>
      <c r="F888" s="1488"/>
      <c r="G888" s="1489"/>
      <c r="H888" s="1490"/>
      <c r="I888" s="1487"/>
      <c r="J888" s="1488"/>
      <c r="K888" s="1489"/>
      <c r="L888" s="1490"/>
      <c r="M888" s="1487"/>
      <c r="N888" s="1488"/>
      <c r="O888" s="1489"/>
      <c r="P888" s="1490"/>
      <c r="X888" s="1445" t="e">
        <f ca="1"/>
        <v>#NAME?</v>
      </c>
      <c r="Y888" s="1446" t="e">
        <f ca="1"/>
        <v>#NAME?</v>
      </c>
    </row>
    <row r="889" spans="1:25">
      <c r="A889" s="1487"/>
      <c r="B889" s="1488"/>
      <c r="C889" s="1489"/>
      <c r="D889" s="1490"/>
      <c r="E889" s="1487"/>
      <c r="F889" s="1488"/>
      <c r="G889" s="1489"/>
      <c r="H889" s="1490"/>
      <c r="I889" s="1487"/>
      <c r="J889" s="1488"/>
      <c r="K889" s="1489"/>
      <c r="L889" s="1490"/>
      <c r="M889" s="1487"/>
      <c r="N889" s="1488"/>
      <c r="O889" s="1489"/>
      <c r="P889" s="1490"/>
      <c r="X889" s="1445" t="e">
        <f ca="1"/>
        <v>#NAME?</v>
      </c>
      <c r="Y889" s="1446" t="e">
        <f ca="1"/>
        <v>#NAME?</v>
      </c>
    </row>
    <row r="890" spans="1:25">
      <c r="A890" s="1487"/>
      <c r="B890" s="1488"/>
      <c r="C890" s="1489"/>
      <c r="D890" s="1490"/>
      <c r="E890" s="1487"/>
      <c r="F890" s="1488"/>
      <c r="G890" s="1489"/>
      <c r="H890" s="1490"/>
      <c r="I890" s="1487"/>
      <c r="J890" s="1488"/>
      <c r="K890" s="1489"/>
      <c r="L890" s="1490"/>
      <c r="M890" s="1487"/>
      <c r="N890" s="1488"/>
      <c r="O890" s="1489"/>
      <c r="P890" s="1490"/>
      <c r="X890" s="1445" t="e">
        <f ca="1"/>
        <v>#NAME?</v>
      </c>
      <c r="Y890" s="1446" t="e">
        <f ca="1"/>
        <v>#NAME?</v>
      </c>
    </row>
    <row r="891" spans="1:25">
      <c r="A891" s="1487"/>
      <c r="B891" s="1488"/>
      <c r="C891" s="1489"/>
      <c r="D891" s="1490"/>
      <c r="E891" s="1487"/>
      <c r="F891" s="1488"/>
      <c r="G891" s="1489"/>
      <c r="H891" s="1490"/>
      <c r="I891" s="1487"/>
      <c r="J891" s="1488"/>
      <c r="K891" s="1489"/>
      <c r="L891" s="1490"/>
      <c r="M891" s="1487"/>
      <c r="N891" s="1488"/>
      <c r="O891" s="1489"/>
      <c r="P891" s="1490"/>
      <c r="X891" s="1445" t="e">
        <f ca="1"/>
        <v>#NAME?</v>
      </c>
      <c r="Y891" s="1446" t="e">
        <f ca="1"/>
        <v>#NAME?</v>
      </c>
    </row>
    <row r="892" spans="1:25">
      <c r="A892" s="1487"/>
      <c r="B892" s="1488"/>
      <c r="C892" s="1489"/>
      <c r="D892" s="1490"/>
      <c r="E892" s="1487"/>
      <c r="F892" s="1488"/>
      <c r="G892" s="1489"/>
      <c r="H892" s="1490"/>
      <c r="I892" s="1487"/>
      <c r="J892" s="1488"/>
      <c r="K892" s="1489"/>
      <c r="L892" s="1490"/>
      <c r="M892" s="1487"/>
      <c r="N892" s="1488"/>
      <c r="O892" s="1489"/>
      <c r="P892" s="1490"/>
      <c r="X892" s="1445" t="e">
        <f ca="1"/>
        <v>#NAME?</v>
      </c>
      <c r="Y892" s="1446" t="e">
        <f ca="1"/>
        <v>#NAME?</v>
      </c>
    </row>
    <row r="893" spans="1:25">
      <c r="A893" s="1487"/>
      <c r="B893" s="1488"/>
      <c r="C893" s="1489"/>
      <c r="D893" s="1490"/>
      <c r="E893" s="1487"/>
      <c r="F893" s="1488"/>
      <c r="G893" s="1489"/>
      <c r="H893" s="1490"/>
      <c r="I893" s="1487"/>
      <c r="J893" s="1488"/>
      <c r="K893" s="1489"/>
      <c r="L893" s="1490"/>
      <c r="M893" s="1487"/>
      <c r="N893" s="1488"/>
      <c r="O893" s="1489"/>
      <c r="P893" s="1490"/>
      <c r="X893" s="1445" t="e">
        <f ca="1"/>
        <v>#NAME?</v>
      </c>
      <c r="Y893" s="1446" t="e">
        <f ca="1"/>
        <v>#NAME?</v>
      </c>
    </row>
    <row r="894" spans="1:25">
      <c r="A894" s="1487"/>
      <c r="B894" s="1488"/>
      <c r="C894" s="1489"/>
      <c r="D894" s="1490"/>
      <c r="E894" s="1487"/>
      <c r="F894" s="1488"/>
      <c r="G894" s="1489"/>
      <c r="H894" s="1490"/>
      <c r="I894" s="1487"/>
      <c r="J894" s="1488"/>
      <c r="K894" s="1489"/>
      <c r="L894" s="1490"/>
      <c r="M894" s="1487"/>
      <c r="N894" s="1488"/>
      <c r="O894" s="1489"/>
      <c r="P894" s="1490"/>
      <c r="X894" s="1445" t="e">
        <f ca="1"/>
        <v>#NAME?</v>
      </c>
      <c r="Y894" s="1446" t="e">
        <f ca="1"/>
        <v>#NAME?</v>
      </c>
    </row>
    <row r="895" spans="1:25">
      <c r="A895" s="1487"/>
      <c r="B895" s="1488"/>
      <c r="C895" s="1489"/>
      <c r="D895" s="1490"/>
      <c r="E895" s="1487"/>
      <c r="F895" s="1488"/>
      <c r="G895" s="1489"/>
      <c r="H895" s="1490"/>
      <c r="I895" s="1487"/>
      <c r="J895" s="1488"/>
      <c r="K895" s="1489"/>
      <c r="L895" s="1490"/>
      <c r="M895" s="1487"/>
      <c r="N895" s="1488"/>
      <c r="O895" s="1489"/>
      <c r="P895" s="1490"/>
      <c r="X895" s="1445" t="e">
        <f ca="1"/>
        <v>#NAME?</v>
      </c>
      <c r="Y895" s="1446" t="e">
        <f ca="1"/>
        <v>#NAME?</v>
      </c>
    </row>
    <row r="896" spans="1:25">
      <c r="A896" s="1487"/>
      <c r="B896" s="1488"/>
      <c r="C896" s="1489"/>
      <c r="D896" s="1490"/>
      <c r="E896" s="1487"/>
      <c r="F896" s="1488"/>
      <c r="G896" s="1489"/>
      <c r="H896" s="1490"/>
      <c r="I896" s="1487"/>
      <c r="J896" s="1488"/>
      <c r="K896" s="1489"/>
      <c r="L896" s="1490"/>
      <c r="M896" s="1487"/>
      <c r="N896" s="1488"/>
      <c r="O896" s="1489"/>
      <c r="P896" s="1490"/>
      <c r="X896" s="1445" t="e">
        <f ca="1"/>
        <v>#NAME?</v>
      </c>
      <c r="Y896" s="1446" t="e">
        <f ca="1"/>
        <v>#NAME?</v>
      </c>
    </row>
    <row r="897" spans="1:25">
      <c r="A897" s="1487"/>
      <c r="B897" s="1488"/>
      <c r="C897" s="1489"/>
      <c r="D897" s="1490"/>
      <c r="E897" s="1487"/>
      <c r="F897" s="1488"/>
      <c r="G897" s="1489"/>
      <c r="H897" s="1490"/>
      <c r="I897" s="1487"/>
      <c r="J897" s="1488"/>
      <c r="K897" s="1489"/>
      <c r="L897" s="1490"/>
      <c r="M897" s="1487"/>
      <c r="N897" s="1488"/>
      <c r="O897" s="1489"/>
      <c r="P897" s="1490"/>
      <c r="X897" s="1445" t="e">
        <f ca="1"/>
        <v>#NAME?</v>
      </c>
      <c r="Y897" s="1446" t="e">
        <f ca="1"/>
        <v>#NAME?</v>
      </c>
    </row>
    <row r="898" spans="1:25">
      <c r="A898" s="1487"/>
      <c r="B898" s="1488"/>
      <c r="C898" s="1489"/>
      <c r="D898" s="1490"/>
      <c r="E898" s="1487"/>
      <c r="F898" s="1488"/>
      <c r="G898" s="1489"/>
      <c r="H898" s="1490"/>
      <c r="I898" s="1487"/>
      <c r="J898" s="1488"/>
      <c r="K898" s="1489"/>
      <c r="L898" s="1490"/>
      <c r="M898" s="1487"/>
      <c r="N898" s="1488"/>
      <c r="O898" s="1489"/>
      <c r="P898" s="1490"/>
      <c r="X898" s="1445" t="e">
        <f ca="1"/>
        <v>#NAME?</v>
      </c>
      <c r="Y898" s="1446" t="e">
        <f ca="1"/>
        <v>#NAME?</v>
      </c>
    </row>
    <row r="899" spans="1:25">
      <c r="A899" s="1487"/>
      <c r="B899" s="1488"/>
      <c r="C899" s="1489"/>
      <c r="D899" s="1490"/>
      <c r="E899" s="1487"/>
      <c r="F899" s="1488"/>
      <c r="G899" s="1489"/>
      <c r="H899" s="1490"/>
      <c r="I899" s="1487"/>
      <c r="J899" s="1488"/>
      <c r="K899" s="1489"/>
      <c r="L899" s="1490"/>
      <c r="M899" s="1487"/>
      <c r="N899" s="1488"/>
      <c r="O899" s="1489"/>
      <c r="P899" s="1490"/>
      <c r="X899" s="1445" t="e">
        <f ca="1"/>
        <v>#NAME?</v>
      </c>
      <c r="Y899" s="1446" t="e">
        <f ca="1"/>
        <v>#NAME?</v>
      </c>
    </row>
    <row r="900" spans="1:25">
      <c r="A900" s="1487"/>
      <c r="B900" s="1488"/>
      <c r="C900" s="1489"/>
      <c r="D900" s="1490"/>
      <c r="E900" s="1487"/>
      <c r="F900" s="1488"/>
      <c r="G900" s="1489"/>
      <c r="H900" s="1490"/>
      <c r="I900" s="1487"/>
      <c r="J900" s="1488"/>
      <c r="K900" s="1489"/>
      <c r="L900" s="1490"/>
      <c r="M900" s="1487"/>
      <c r="N900" s="1488"/>
      <c r="O900" s="1489"/>
      <c r="P900" s="1490"/>
      <c r="X900" s="1445" t="e">
        <f ca="1"/>
        <v>#NAME?</v>
      </c>
      <c r="Y900" s="1446" t="e">
        <f ca="1"/>
        <v>#NAME?</v>
      </c>
    </row>
    <row r="901" spans="1:25">
      <c r="A901" s="1487"/>
      <c r="B901" s="1488"/>
      <c r="C901" s="1489"/>
      <c r="D901" s="1490"/>
      <c r="E901" s="1487"/>
      <c r="F901" s="1488"/>
      <c r="G901" s="1489"/>
      <c r="H901" s="1490"/>
      <c r="I901" s="1487"/>
      <c r="J901" s="1488"/>
      <c r="K901" s="1489"/>
      <c r="L901" s="1490"/>
      <c r="M901" s="1487"/>
      <c r="N901" s="1488"/>
      <c r="O901" s="1489"/>
      <c r="P901" s="1490"/>
      <c r="X901" s="1445" t="e">
        <f ca="1"/>
        <v>#NAME?</v>
      </c>
      <c r="Y901" s="1446" t="e">
        <f ca="1"/>
        <v>#NAME?</v>
      </c>
    </row>
    <row r="902" spans="1:25">
      <c r="A902" s="1487"/>
      <c r="B902" s="1488"/>
      <c r="C902" s="1489"/>
      <c r="D902" s="1490"/>
      <c r="E902" s="1487"/>
      <c r="F902" s="1488"/>
      <c r="G902" s="1489"/>
      <c r="H902" s="1490"/>
      <c r="I902" s="1487"/>
      <c r="J902" s="1488"/>
      <c r="K902" s="1489"/>
      <c r="L902" s="1490"/>
      <c r="M902" s="1487"/>
      <c r="N902" s="1488"/>
      <c r="O902" s="1489"/>
      <c r="P902" s="1490"/>
      <c r="X902" s="1445" t="e">
        <f ca="1"/>
        <v>#NAME?</v>
      </c>
      <c r="Y902" s="1446" t="e">
        <f ca="1"/>
        <v>#NAME?</v>
      </c>
    </row>
    <row r="903" spans="1:25">
      <c r="A903" s="1487"/>
      <c r="B903" s="1488"/>
      <c r="C903" s="1489"/>
      <c r="D903" s="1490"/>
      <c r="E903" s="1487"/>
      <c r="F903" s="1488"/>
      <c r="G903" s="1489"/>
      <c r="H903" s="1490"/>
      <c r="I903" s="1487"/>
      <c r="J903" s="1488"/>
      <c r="K903" s="1489"/>
      <c r="L903" s="1490"/>
      <c r="M903" s="1487"/>
      <c r="N903" s="1488"/>
      <c r="O903" s="1489"/>
      <c r="P903" s="1490"/>
      <c r="X903" s="1445" t="e">
        <f ca="1"/>
        <v>#NAME?</v>
      </c>
      <c r="Y903" s="1446" t="e">
        <f ca="1"/>
        <v>#NAME?</v>
      </c>
    </row>
    <row r="904" spans="1:25">
      <c r="A904" s="1487"/>
      <c r="B904" s="1488"/>
      <c r="C904" s="1489"/>
      <c r="D904" s="1490"/>
      <c r="E904" s="1487"/>
      <c r="F904" s="1488"/>
      <c r="G904" s="1489"/>
      <c r="H904" s="1490"/>
      <c r="I904" s="1487"/>
      <c r="J904" s="1488"/>
      <c r="K904" s="1489"/>
      <c r="L904" s="1490"/>
      <c r="M904" s="1487"/>
      <c r="N904" s="1488"/>
      <c r="O904" s="1489"/>
      <c r="P904" s="1490"/>
      <c r="X904" s="1445" t="e">
        <f ca="1"/>
        <v>#NAME?</v>
      </c>
      <c r="Y904" s="1446" t="e">
        <f ca="1"/>
        <v>#NAME?</v>
      </c>
    </row>
    <row r="905" spans="1:25">
      <c r="A905" s="1487"/>
      <c r="B905" s="1488"/>
      <c r="C905" s="1489"/>
      <c r="D905" s="1490"/>
      <c r="E905" s="1487"/>
      <c r="F905" s="1488"/>
      <c r="G905" s="1489"/>
      <c r="H905" s="1490"/>
      <c r="I905" s="1487"/>
      <c r="J905" s="1488"/>
      <c r="K905" s="1489"/>
      <c r="L905" s="1490"/>
      <c r="M905" s="1487"/>
      <c r="N905" s="1488"/>
      <c r="O905" s="1489"/>
      <c r="P905" s="1490"/>
      <c r="X905" s="1445" t="e">
        <f ca="1"/>
        <v>#NAME?</v>
      </c>
      <c r="Y905" s="1446" t="e">
        <f ca="1"/>
        <v>#NAME?</v>
      </c>
    </row>
    <row r="906" spans="1:25">
      <c r="A906" s="1487"/>
      <c r="B906" s="1488"/>
      <c r="C906" s="1489"/>
      <c r="D906" s="1490"/>
      <c r="E906" s="1487"/>
      <c r="F906" s="1488"/>
      <c r="G906" s="1489"/>
      <c r="H906" s="1490"/>
      <c r="I906" s="1487"/>
      <c r="J906" s="1488"/>
      <c r="K906" s="1489"/>
      <c r="L906" s="1490"/>
      <c r="M906" s="1487"/>
      <c r="N906" s="1488"/>
      <c r="O906" s="1489"/>
      <c r="P906" s="1490"/>
      <c r="X906" s="1445" t="e">
        <f ca="1"/>
        <v>#NAME?</v>
      </c>
      <c r="Y906" s="1446" t="e">
        <f ca="1"/>
        <v>#NAME?</v>
      </c>
    </row>
    <row r="907" spans="1:25">
      <c r="A907" s="1487"/>
      <c r="B907" s="1488"/>
      <c r="C907" s="1489"/>
      <c r="D907" s="1490"/>
      <c r="E907" s="1487"/>
      <c r="F907" s="1488"/>
      <c r="G907" s="1489"/>
      <c r="H907" s="1490"/>
      <c r="I907" s="1487"/>
      <c r="J907" s="1488"/>
      <c r="K907" s="1489"/>
      <c r="L907" s="1490"/>
      <c r="M907" s="1487"/>
      <c r="N907" s="1488"/>
      <c r="O907" s="1489"/>
      <c r="P907" s="1490"/>
      <c r="X907" s="1445" t="e">
        <f ca="1"/>
        <v>#NAME?</v>
      </c>
      <c r="Y907" s="1446" t="e">
        <f ca="1"/>
        <v>#NAME?</v>
      </c>
    </row>
    <row r="908" spans="1:25">
      <c r="A908" s="1487"/>
      <c r="B908" s="1488"/>
      <c r="C908" s="1489"/>
      <c r="D908" s="1490"/>
      <c r="E908" s="1487"/>
      <c r="F908" s="1488"/>
      <c r="G908" s="1489"/>
      <c r="H908" s="1490"/>
      <c r="I908" s="1487"/>
      <c r="J908" s="1488"/>
      <c r="K908" s="1489"/>
      <c r="L908" s="1490"/>
      <c r="M908" s="1487"/>
      <c r="N908" s="1488"/>
      <c r="O908" s="1489"/>
      <c r="P908" s="1490"/>
      <c r="X908" s="1445" t="e">
        <f ca="1"/>
        <v>#NAME?</v>
      </c>
      <c r="Y908" s="1446" t="e">
        <f ca="1"/>
        <v>#NAME?</v>
      </c>
    </row>
    <row r="909" spans="1:25">
      <c r="A909" s="1487"/>
      <c r="B909" s="1488"/>
      <c r="C909" s="1489"/>
      <c r="D909" s="1490"/>
      <c r="E909" s="1487"/>
      <c r="F909" s="1488"/>
      <c r="G909" s="1489"/>
      <c r="H909" s="1490"/>
      <c r="I909" s="1487"/>
      <c r="J909" s="1488"/>
      <c r="K909" s="1489"/>
      <c r="L909" s="1490"/>
      <c r="M909" s="1487"/>
      <c r="N909" s="1488"/>
      <c r="O909" s="1489"/>
      <c r="P909" s="1490"/>
      <c r="X909" s="1445" t="e">
        <f ca="1"/>
        <v>#NAME?</v>
      </c>
      <c r="Y909" s="1446" t="e">
        <f ca="1"/>
        <v>#NAME?</v>
      </c>
    </row>
    <row r="910" spans="1:25">
      <c r="A910" s="1487"/>
      <c r="B910" s="1488"/>
      <c r="C910" s="1489"/>
      <c r="D910" s="1490"/>
      <c r="E910" s="1487"/>
      <c r="F910" s="1488"/>
      <c r="G910" s="1489"/>
      <c r="H910" s="1490"/>
      <c r="I910" s="1487"/>
      <c r="J910" s="1488"/>
      <c r="K910" s="1489"/>
      <c r="L910" s="1490"/>
      <c r="M910" s="1487"/>
      <c r="N910" s="1488"/>
      <c r="O910" s="1489"/>
      <c r="P910" s="1490"/>
      <c r="X910" s="1445" t="e">
        <f ca="1"/>
        <v>#NAME?</v>
      </c>
      <c r="Y910" s="1446" t="e">
        <f ca="1"/>
        <v>#NAME?</v>
      </c>
    </row>
    <row r="911" spans="1:25">
      <c r="A911" s="1487"/>
      <c r="B911" s="1488"/>
      <c r="C911" s="1489"/>
      <c r="D911" s="1490"/>
      <c r="E911" s="1487"/>
      <c r="F911" s="1488"/>
      <c r="G911" s="1489"/>
      <c r="H911" s="1490"/>
      <c r="I911" s="1487"/>
      <c r="J911" s="1488"/>
      <c r="K911" s="1489"/>
      <c r="L911" s="1490"/>
      <c r="M911" s="1487"/>
      <c r="N911" s="1488"/>
      <c r="O911" s="1489"/>
      <c r="P911" s="1490"/>
      <c r="X911" s="1445" t="e">
        <f ca="1"/>
        <v>#NAME?</v>
      </c>
      <c r="Y911" s="1446" t="e">
        <f ca="1"/>
        <v>#NAME?</v>
      </c>
    </row>
    <row r="912" spans="1:25">
      <c r="A912" s="1487"/>
      <c r="B912" s="1488"/>
      <c r="C912" s="1489"/>
      <c r="D912" s="1490"/>
      <c r="E912" s="1487"/>
      <c r="F912" s="1488"/>
      <c r="G912" s="1489"/>
      <c r="H912" s="1490"/>
      <c r="I912" s="1487"/>
      <c r="J912" s="1488"/>
      <c r="K912" s="1489"/>
      <c r="L912" s="1490"/>
      <c r="M912" s="1487"/>
      <c r="N912" s="1488"/>
      <c r="O912" s="1489"/>
      <c r="P912" s="1490"/>
      <c r="X912" s="1445" t="e">
        <f ca="1"/>
        <v>#NAME?</v>
      </c>
      <c r="Y912" s="1446" t="e">
        <f ca="1"/>
        <v>#NAME?</v>
      </c>
    </row>
    <row r="913" spans="1:25">
      <c r="A913" s="1487"/>
      <c r="B913" s="1488"/>
      <c r="C913" s="1489"/>
      <c r="D913" s="1490"/>
      <c r="E913" s="1487"/>
      <c r="F913" s="1488"/>
      <c r="G913" s="1489"/>
      <c r="H913" s="1490"/>
      <c r="I913" s="1487"/>
      <c r="J913" s="1488"/>
      <c r="K913" s="1489"/>
      <c r="L913" s="1490"/>
      <c r="M913" s="1487"/>
      <c r="N913" s="1488"/>
      <c r="O913" s="1489"/>
      <c r="P913" s="1490"/>
      <c r="X913" s="1445" t="e">
        <f ca="1"/>
        <v>#NAME?</v>
      </c>
      <c r="Y913" s="1446" t="e">
        <f ca="1"/>
        <v>#NAME?</v>
      </c>
    </row>
    <row r="914" spans="1:25">
      <c r="A914" s="1487"/>
      <c r="B914" s="1488"/>
      <c r="C914" s="1489"/>
      <c r="D914" s="1490"/>
      <c r="E914" s="1487"/>
      <c r="F914" s="1488"/>
      <c r="G914" s="1489"/>
      <c r="H914" s="1490"/>
      <c r="I914" s="1487"/>
      <c r="J914" s="1488"/>
      <c r="K914" s="1489"/>
      <c r="L914" s="1490"/>
      <c r="M914" s="1487"/>
      <c r="N914" s="1488"/>
      <c r="O914" s="1489"/>
      <c r="P914" s="1490"/>
      <c r="X914" s="1445" t="e">
        <f ca="1"/>
        <v>#NAME?</v>
      </c>
      <c r="Y914" s="1446" t="e">
        <f ca="1"/>
        <v>#NAME?</v>
      </c>
    </row>
    <row r="915" spans="1:25">
      <c r="A915" s="1487"/>
      <c r="B915" s="1488"/>
      <c r="C915" s="1489"/>
      <c r="D915" s="1490"/>
      <c r="E915" s="1487"/>
      <c r="F915" s="1488"/>
      <c r="G915" s="1489"/>
      <c r="H915" s="1490"/>
      <c r="I915" s="1487"/>
      <c r="J915" s="1488"/>
      <c r="K915" s="1489"/>
      <c r="L915" s="1490"/>
      <c r="M915" s="1487"/>
      <c r="N915" s="1488"/>
      <c r="O915" s="1489"/>
      <c r="P915" s="1490"/>
      <c r="X915" s="1445" t="e">
        <f ca="1"/>
        <v>#NAME?</v>
      </c>
      <c r="Y915" s="1446" t="e">
        <f ca="1"/>
        <v>#NAME?</v>
      </c>
    </row>
    <row r="916" spans="1:25">
      <c r="A916" s="1487"/>
      <c r="B916" s="1488"/>
      <c r="C916" s="1489"/>
      <c r="D916" s="1490"/>
      <c r="E916" s="1487"/>
      <c r="F916" s="1488"/>
      <c r="G916" s="1489"/>
      <c r="H916" s="1490"/>
      <c r="I916" s="1487"/>
      <c r="J916" s="1488"/>
      <c r="K916" s="1489"/>
      <c r="L916" s="1490"/>
      <c r="M916" s="1487"/>
      <c r="N916" s="1488"/>
      <c r="O916" s="1489"/>
      <c r="P916" s="1490"/>
      <c r="X916" s="1445" t="e">
        <f ca="1"/>
        <v>#NAME?</v>
      </c>
      <c r="Y916" s="1446" t="e">
        <f ca="1"/>
        <v>#NAME?</v>
      </c>
    </row>
    <row r="917" spans="1:25">
      <c r="A917" s="1487"/>
      <c r="B917" s="1488"/>
      <c r="C917" s="1489"/>
      <c r="D917" s="1490"/>
      <c r="E917" s="1487"/>
      <c r="F917" s="1488"/>
      <c r="G917" s="1489"/>
      <c r="H917" s="1490"/>
      <c r="I917" s="1487"/>
      <c r="J917" s="1488"/>
      <c r="K917" s="1489"/>
      <c r="L917" s="1490"/>
      <c r="M917" s="1487"/>
      <c r="N917" s="1488"/>
      <c r="O917" s="1489"/>
      <c r="P917" s="1490"/>
      <c r="X917" s="1445" t="e">
        <f ca="1"/>
        <v>#NAME?</v>
      </c>
      <c r="Y917" s="1446" t="e">
        <f ca="1"/>
        <v>#NAME?</v>
      </c>
    </row>
    <row r="918" spans="1:25">
      <c r="A918" s="1487"/>
      <c r="B918" s="1488"/>
      <c r="C918" s="1489"/>
      <c r="D918" s="1490"/>
      <c r="E918" s="1487"/>
      <c r="F918" s="1488"/>
      <c r="G918" s="1489"/>
      <c r="H918" s="1490"/>
      <c r="I918" s="1487"/>
      <c r="J918" s="1488"/>
      <c r="K918" s="1489"/>
      <c r="L918" s="1490"/>
      <c r="M918" s="1487"/>
      <c r="N918" s="1488"/>
      <c r="O918" s="1489"/>
      <c r="P918" s="1490"/>
      <c r="X918" s="1445" t="e">
        <f ca="1"/>
        <v>#NAME?</v>
      </c>
      <c r="Y918" s="1446" t="e">
        <f ca="1"/>
        <v>#NAME?</v>
      </c>
    </row>
    <row r="919" spans="1:25">
      <c r="A919" s="1487"/>
      <c r="B919" s="1488"/>
      <c r="C919" s="1489"/>
      <c r="D919" s="1490"/>
      <c r="E919" s="1487"/>
      <c r="F919" s="1488"/>
      <c r="G919" s="1489"/>
      <c r="H919" s="1490"/>
      <c r="I919" s="1487"/>
      <c r="J919" s="1488"/>
      <c r="K919" s="1489"/>
      <c r="L919" s="1490"/>
      <c r="M919" s="1487"/>
      <c r="N919" s="1488"/>
      <c r="O919" s="1489"/>
      <c r="P919" s="1490"/>
      <c r="X919" s="1445" t="e">
        <f ca="1"/>
        <v>#NAME?</v>
      </c>
      <c r="Y919" s="1446" t="e">
        <f ca="1"/>
        <v>#NAME?</v>
      </c>
    </row>
    <row r="920" spans="1:25">
      <c r="A920" s="1487"/>
      <c r="B920" s="1488"/>
      <c r="C920" s="1489"/>
      <c r="D920" s="1490"/>
      <c r="E920" s="1487"/>
      <c r="F920" s="1488"/>
      <c r="G920" s="1489"/>
      <c r="H920" s="1490"/>
      <c r="I920" s="1487"/>
      <c r="J920" s="1488"/>
      <c r="K920" s="1489"/>
      <c r="L920" s="1490"/>
      <c r="M920" s="1487"/>
      <c r="N920" s="1488"/>
      <c r="O920" s="1489"/>
      <c r="P920" s="1490"/>
      <c r="X920" s="1445" t="e">
        <f ca="1"/>
        <v>#NAME?</v>
      </c>
      <c r="Y920" s="1446" t="e">
        <f ca="1"/>
        <v>#NAME?</v>
      </c>
    </row>
    <row r="921" spans="1:25">
      <c r="A921" s="1487"/>
      <c r="B921" s="1488"/>
      <c r="C921" s="1489"/>
      <c r="D921" s="1490"/>
      <c r="E921" s="1487"/>
      <c r="F921" s="1488"/>
      <c r="G921" s="1489"/>
      <c r="H921" s="1490"/>
      <c r="I921" s="1487"/>
      <c r="J921" s="1488"/>
      <c r="K921" s="1489"/>
      <c r="L921" s="1490"/>
      <c r="M921" s="1487"/>
      <c r="N921" s="1488"/>
      <c r="O921" s="1489"/>
      <c r="P921" s="1490"/>
      <c r="X921" s="1445" t="e">
        <f ca="1"/>
        <v>#NAME?</v>
      </c>
      <c r="Y921" s="1446" t="e">
        <f ca="1"/>
        <v>#NAME?</v>
      </c>
    </row>
    <row r="922" spans="1:25">
      <c r="A922" s="1487"/>
      <c r="B922" s="1488"/>
      <c r="C922" s="1489"/>
      <c r="D922" s="1490"/>
      <c r="E922" s="1487"/>
      <c r="F922" s="1488"/>
      <c r="G922" s="1489"/>
      <c r="H922" s="1490"/>
      <c r="I922" s="1487"/>
      <c r="J922" s="1488"/>
      <c r="K922" s="1489"/>
      <c r="L922" s="1490"/>
      <c r="M922" s="1487"/>
      <c r="N922" s="1488"/>
      <c r="O922" s="1489"/>
      <c r="P922" s="1490"/>
      <c r="X922" s="1445" t="e">
        <f ca="1"/>
        <v>#NAME?</v>
      </c>
      <c r="Y922" s="1446" t="e">
        <f ca="1"/>
        <v>#NAME?</v>
      </c>
    </row>
    <row r="923" spans="1:25">
      <c r="A923" s="1487"/>
      <c r="B923" s="1488"/>
      <c r="C923" s="1489"/>
      <c r="D923" s="1490"/>
      <c r="E923" s="1487"/>
      <c r="F923" s="1488"/>
      <c r="G923" s="1489"/>
      <c r="H923" s="1490"/>
      <c r="I923" s="1487"/>
      <c r="J923" s="1488"/>
      <c r="K923" s="1489"/>
      <c r="L923" s="1490"/>
      <c r="M923" s="1487"/>
      <c r="N923" s="1488"/>
      <c r="O923" s="1489"/>
      <c r="P923" s="1490"/>
      <c r="X923" s="1445" t="e">
        <f ca="1"/>
        <v>#NAME?</v>
      </c>
      <c r="Y923" s="1446" t="e">
        <f ca="1"/>
        <v>#NAME?</v>
      </c>
    </row>
    <row r="924" spans="1:25">
      <c r="A924" s="1487"/>
      <c r="B924" s="1488"/>
      <c r="C924" s="1489"/>
      <c r="D924" s="1490"/>
      <c r="E924" s="1487"/>
      <c r="F924" s="1488"/>
      <c r="G924" s="1489"/>
      <c r="H924" s="1490"/>
      <c r="I924" s="1487"/>
      <c r="J924" s="1488"/>
      <c r="K924" s="1489"/>
      <c r="L924" s="1490"/>
      <c r="M924" s="1487"/>
      <c r="N924" s="1488"/>
      <c r="O924" s="1489"/>
      <c r="P924" s="1490"/>
      <c r="X924" s="1445" t="e">
        <f ca="1"/>
        <v>#NAME?</v>
      </c>
      <c r="Y924" s="1446" t="e">
        <f ca="1"/>
        <v>#NAME?</v>
      </c>
    </row>
    <row r="925" spans="1:25">
      <c r="A925" s="1487"/>
      <c r="B925" s="1488"/>
      <c r="C925" s="1489"/>
      <c r="D925" s="1490"/>
      <c r="E925" s="1487"/>
      <c r="F925" s="1488"/>
      <c r="G925" s="1489"/>
      <c r="H925" s="1490"/>
      <c r="I925" s="1487"/>
      <c r="J925" s="1488"/>
      <c r="K925" s="1489"/>
      <c r="L925" s="1490"/>
      <c r="M925" s="1487"/>
      <c r="N925" s="1488"/>
      <c r="O925" s="1489"/>
      <c r="P925" s="1490"/>
      <c r="X925" s="1445" t="e">
        <f ca="1"/>
        <v>#NAME?</v>
      </c>
      <c r="Y925" s="1446" t="e">
        <f ca="1"/>
        <v>#NAME?</v>
      </c>
    </row>
    <row r="926" spans="1:25">
      <c r="A926" s="1487"/>
      <c r="B926" s="1488"/>
      <c r="C926" s="1489"/>
      <c r="D926" s="1490"/>
      <c r="E926" s="1487"/>
      <c r="F926" s="1488"/>
      <c r="G926" s="1489"/>
      <c r="H926" s="1490"/>
      <c r="I926" s="1487"/>
      <c r="J926" s="1488"/>
      <c r="K926" s="1489"/>
      <c r="L926" s="1490"/>
      <c r="M926" s="1487"/>
      <c r="N926" s="1488"/>
      <c r="O926" s="1489"/>
      <c r="P926" s="1490"/>
      <c r="X926" s="1445" t="e">
        <f ca="1"/>
        <v>#NAME?</v>
      </c>
      <c r="Y926" s="1446" t="e">
        <f ca="1"/>
        <v>#NAME?</v>
      </c>
    </row>
    <row r="927" spans="1:25">
      <c r="A927" s="1487"/>
      <c r="B927" s="1488"/>
      <c r="C927" s="1489"/>
      <c r="D927" s="1490"/>
      <c r="E927" s="1487"/>
      <c r="F927" s="1488"/>
      <c r="G927" s="1489"/>
      <c r="H927" s="1490"/>
      <c r="I927" s="1487"/>
      <c r="J927" s="1488"/>
      <c r="K927" s="1489"/>
      <c r="L927" s="1490"/>
      <c r="M927" s="1487"/>
      <c r="N927" s="1488"/>
      <c r="O927" s="1489"/>
      <c r="P927" s="1490"/>
      <c r="X927" s="1445" t="e">
        <f ca="1"/>
        <v>#NAME?</v>
      </c>
      <c r="Y927" s="1446" t="e">
        <f ca="1"/>
        <v>#NAME?</v>
      </c>
    </row>
    <row r="928" spans="1:25">
      <c r="A928" s="1487"/>
      <c r="B928" s="1488"/>
      <c r="C928" s="1489"/>
      <c r="D928" s="1490"/>
      <c r="E928" s="1487"/>
      <c r="F928" s="1488"/>
      <c r="G928" s="1489"/>
      <c r="H928" s="1490"/>
      <c r="I928" s="1487"/>
      <c r="J928" s="1488"/>
      <c r="K928" s="1489"/>
      <c r="L928" s="1490"/>
      <c r="M928" s="1487"/>
      <c r="N928" s="1488"/>
      <c r="O928" s="1489"/>
      <c r="P928" s="1490"/>
      <c r="X928" s="1445" t="e">
        <f ca="1"/>
        <v>#NAME?</v>
      </c>
      <c r="Y928" s="1446" t="e">
        <f ca="1"/>
        <v>#NAME?</v>
      </c>
    </row>
    <row r="929" spans="1:25">
      <c r="A929" s="1487"/>
      <c r="B929" s="1488"/>
      <c r="C929" s="1489"/>
      <c r="D929" s="1490"/>
      <c r="E929" s="1487"/>
      <c r="F929" s="1488"/>
      <c r="G929" s="1489"/>
      <c r="H929" s="1490"/>
      <c r="I929" s="1487"/>
      <c r="J929" s="1488"/>
      <c r="K929" s="1489"/>
      <c r="L929" s="1490"/>
      <c r="M929" s="1487"/>
      <c r="N929" s="1488"/>
      <c r="O929" s="1489"/>
      <c r="P929" s="1490"/>
      <c r="X929" s="1445" t="e">
        <f ca="1"/>
        <v>#NAME?</v>
      </c>
      <c r="Y929" s="1446" t="e">
        <f ca="1"/>
        <v>#NAME?</v>
      </c>
    </row>
    <row r="930" spans="1:25">
      <c r="A930" s="1487"/>
      <c r="B930" s="1488"/>
      <c r="C930" s="1489"/>
      <c r="D930" s="1490"/>
      <c r="E930" s="1487"/>
      <c r="F930" s="1488"/>
      <c r="G930" s="1489"/>
      <c r="H930" s="1490"/>
      <c r="I930" s="1487"/>
      <c r="J930" s="1488"/>
      <c r="K930" s="1489"/>
      <c r="L930" s="1490"/>
      <c r="M930" s="1487"/>
      <c r="N930" s="1488"/>
      <c r="O930" s="1489"/>
      <c r="P930" s="1490"/>
      <c r="X930" s="1445" t="e">
        <f ca="1"/>
        <v>#NAME?</v>
      </c>
      <c r="Y930" s="1446" t="e">
        <f ca="1"/>
        <v>#NAME?</v>
      </c>
    </row>
    <row r="931" spans="1:25">
      <c r="A931" s="1487"/>
      <c r="B931" s="1488"/>
      <c r="C931" s="1489"/>
      <c r="D931" s="1490"/>
      <c r="E931" s="1487"/>
      <c r="F931" s="1488"/>
      <c r="G931" s="1489"/>
      <c r="H931" s="1490"/>
      <c r="I931" s="1487"/>
      <c r="J931" s="1488"/>
      <c r="K931" s="1489"/>
      <c r="L931" s="1490"/>
      <c r="M931" s="1487"/>
      <c r="N931" s="1488"/>
      <c r="O931" s="1489"/>
      <c r="P931" s="1490"/>
      <c r="X931" s="1445" t="e">
        <f ca="1"/>
        <v>#NAME?</v>
      </c>
      <c r="Y931" s="1446" t="e">
        <f ca="1"/>
        <v>#NAME?</v>
      </c>
    </row>
    <row r="932" spans="1:25">
      <c r="A932" s="1487"/>
      <c r="B932" s="1488"/>
      <c r="C932" s="1489"/>
      <c r="D932" s="1490"/>
      <c r="E932" s="1487"/>
      <c r="F932" s="1488"/>
      <c r="G932" s="1489"/>
      <c r="H932" s="1490"/>
      <c r="I932" s="1487"/>
      <c r="J932" s="1488"/>
      <c r="K932" s="1489"/>
      <c r="L932" s="1490"/>
      <c r="M932" s="1487"/>
      <c r="N932" s="1488"/>
      <c r="O932" s="1489"/>
      <c r="P932" s="1490"/>
      <c r="X932" s="1445" t="e">
        <f ca="1"/>
        <v>#NAME?</v>
      </c>
      <c r="Y932" s="1446" t="e">
        <f ca="1"/>
        <v>#NAME?</v>
      </c>
    </row>
    <row r="933" spans="1:25">
      <c r="A933" s="1487"/>
      <c r="B933" s="1488"/>
      <c r="C933" s="1489"/>
      <c r="D933" s="1490"/>
      <c r="E933" s="1487"/>
      <c r="F933" s="1488"/>
      <c r="G933" s="1489"/>
      <c r="H933" s="1490"/>
      <c r="I933" s="1487"/>
      <c r="J933" s="1488"/>
      <c r="K933" s="1489"/>
      <c r="L933" s="1490"/>
      <c r="M933" s="1487"/>
      <c r="N933" s="1488"/>
      <c r="O933" s="1489"/>
      <c r="P933" s="1490"/>
      <c r="X933" s="1445" t="e">
        <f ca="1"/>
        <v>#NAME?</v>
      </c>
      <c r="Y933" s="1446" t="e">
        <f ca="1"/>
        <v>#NAME?</v>
      </c>
    </row>
    <row r="934" spans="1:25">
      <c r="A934" s="1487"/>
      <c r="B934" s="1488"/>
      <c r="C934" s="1489"/>
      <c r="D934" s="1490"/>
      <c r="E934" s="1487"/>
      <c r="F934" s="1488"/>
      <c r="G934" s="1489"/>
      <c r="H934" s="1490"/>
      <c r="I934" s="1487"/>
      <c r="J934" s="1488"/>
      <c r="K934" s="1489"/>
      <c r="L934" s="1490"/>
      <c r="M934" s="1487"/>
      <c r="N934" s="1488"/>
      <c r="O934" s="1489"/>
      <c r="P934" s="1490"/>
      <c r="X934" s="1445" t="e">
        <f ca="1"/>
        <v>#NAME?</v>
      </c>
      <c r="Y934" s="1446" t="e">
        <f ca="1"/>
        <v>#NAME?</v>
      </c>
    </row>
    <row r="935" spans="1:25">
      <c r="A935" s="1487"/>
      <c r="B935" s="1488"/>
      <c r="C935" s="1489"/>
      <c r="D935" s="1490"/>
      <c r="E935" s="1487"/>
      <c r="F935" s="1488"/>
      <c r="G935" s="1489"/>
      <c r="H935" s="1490"/>
      <c r="I935" s="1487"/>
      <c r="J935" s="1488"/>
      <c r="K935" s="1489"/>
      <c r="L935" s="1490"/>
      <c r="M935" s="1487"/>
      <c r="N935" s="1488"/>
      <c r="O935" s="1489"/>
      <c r="P935" s="1490"/>
      <c r="X935" s="1445" t="e">
        <f ca="1"/>
        <v>#NAME?</v>
      </c>
      <c r="Y935" s="1446" t="e">
        <f ca="1"/>
        <v>#NAME?</v>
      </c>
    </row>
    <row r="936" spans="1:25">
      <c r="A936" s="1487"/>
      <c r="B936" s="1488"/>
      <c r="C936" s="1489"/>
      <c r="D936" s="1490"/>
      <c r="E936" s="1487"/>
      <c r="F936" s="1488"/>
      <c r="G936" s="1489"/>
      <c r="H936" s="1490"/>
      <c r="I936" s="1487"/>
      <c r="J936" s="1488"/>
      <c r="K936" s="1489"/>
      <c r="L936" s="1490"/>
      <c r="M936" s="1487"/>
      <c r="N936" s="1488"/>
      <c r="O936" s="1489"/>
      <c r="P936" s="1490"/>
      <c r="X936" s="1445" t="e">
        <f ca="1"/>
        <v>#NAME?</v>
      </c>
      <c r="Y936" s="1446" t="e">
        <f ca="1"/>
        <v>#NAME?</v>
      </c>
    </row>
    <row r="937" spans="1:25">
      <c r="A937" s="1487"/>
      <c r="B937" s="1488"/>
      <c r="C937" s="1489"/>
      <c r="D937" s="1490"/>
      <c r="E937" s="1487"/>
      <c r="F937" s="1488"/>
      <c r="G937" s="1489"/>
      <c r="H937" s="1490"/>
      <c r="I937" s="1487"/>
      <c r="J937" s="1488"/>
      <c r="K937" s="1489"/>
      <c r="L937" s="1490"/>
      <c r="M937" s="1487"/>
      <c r="N937" s="1488"/>
      <c r="O937" s="1489"/>
      <c r="P937" s="1490"/>
      <c r="X937" s="1445" t="e">
        <f ca="1"/>
        <v>#NAME?</v>
      </c>
      <c r="Y937" s="1446" t="e">
        <f ca="1"/>
        <v>#NAME?</v>
      </c>
    </row>
    <row r="938" spans="1:25">
      <c r="A938" s="1487"/>
      <c r="B938" s="1488"/>
      <c r="C938" s="1489"/>
      <c r="D938" s="1490"/>
      <c r="E938" s="1487"/>
      <c r="F938" s="1488"/>
      <c r="G938" s="1489"/>
      <c r="H938" s="1490"/>
      <c r="I938" s="1487"/>
      <c r="J938" s="1488"/>
      <c r="K938" s="1489"/>
      <c r="L938" s="1490"/>
      <c r="M938" s="1487"/>
      <c r="N938" s="1488"/>
      <c r="O938" s="1489"/>
      <c r="P938" s="1490"/>
      <c r="X938" s="1445" t="e">
        <f ca="1"/>
        <v>#NAME?</v>
      </c>
      <c r="Y938" s="1446" t="e">
        <f ca="1"/>
        <v>#NAME?</v>
      </c>
    </row>
    <row r="939" spans="1:25">
      <c r="A939" s="1487"/>
      <c r="B939" s="1488"/>
      <c r="C939" s="1489"/>
      <c r="D939" s="1490"/>
      <c r="E939" s="1487"/>
      <c r="F939" s="1488"/>
      <c r="G939" s="1489"/>
      <c r="H939" s="1490"/>
      <c r="I939" s="1487"/>
      <c r="J939" s="1488"/>
      <c r="K939" s="1489"/>
      <c r="L939" s="1490"/>
      <c r="M939" s="1487"/>
      <c r="N939" s="1488"/>
      <c r="O939" s="1489"/>
      <c r="P939" s="1490"/>
      <c r="X939" s="1445" t="e">
        <f ca="1"/>
        <v>#NAME?</v>
      </c>
      <c r="Y939" s="1446" t="e">
        <f ca="1"/>
        <v>#NAME?</v>
      </c>
    </row>
    <row r="940" spans="1:25">
      <c r="A940" s="1487"/>
      <c r="B940" s="1488"/>
      <c r="C940" s="1489"/>
      <c r="D940" s="1490"/>
      <c r="E940" s="1487"/>
      <c r="F940" s="1488"/>
      <c r="G940" s="1489"/>
      <c r="H940" s="1490"/>
      <c r="I940" s="1487"/>
      <c r="J940" s="1488"/>
      <c r="K940" s="1489"/>
      <c r="L940" s="1490"/>
      <c r="M940" s="1487"/>
      <c r="N940" s="1488"/>
      <c r="O940" s="1489"/>
      <c r="P940" s="1490"/>
      <c r="X940" s="1445" t="e">
        <f ca="1"/>
        <v>#NAME?</v>
      </c>
      <c r="Y940" s="1446" t="e">
        <f ca="1"/>
        <v>#NAME?</v>
      </c>
    </row>
    <row r="941" spans="1:25">
      <c r="A941" s="1487"/>
      <c r="B941" s="1488"/>
      <c r="C941" s="1489"/>
      <c r="D941" s="1490"/>
      <c r="E941" s="1487"/>
      <c r="F941" s="1488"/>
      <c r="G941" s="1489"/>
      <c r="H941" s="1490"/>
      <c r="I941" s="1487"/>
      <c r="J941" s="1488"/>
      <c r="K941" s="1489"/>
      <c r="L941" s="1490"/>
      <c r="M941" s="1487"/>
      <c r="N941" s="1488"/>
      <c r="O941" s="1489"/>
      <c r="P941" s="1490"/>
      <c r="X941" s="1445" t="e">
        <f ca="1"/>
        <v>#NAME?</v>
      </c>
      <c r="Y941" s="1446" t="e">
        <f ca="1"/>
        <v>#NAME?</v>
      </c>
    </row>
    <row r="942" spans="1:25">
      <c r="A942" s="1487"/>
      <c r="B942" s="1488"/>
      <c r="C942" s="1489"/>
      <c r="D942" s="1490"/>
      <c r="E942" s="1487"/>
      <c r="F942" s="1488"/>
      <c r="G942" s="1489"/>
      <c r="H942" s="1490"/>
      <c r="I942" s="1487"/>
      <c r="J942" s="1488"/>
      <c r="K942" s="1489"/>
      <c r="L942" s="1490"/>
      <c r="M942" s="1487"/>
      <c r="N942" s="1488"/>
      <c r="O942" s="1489"/>
      <c r="P942" s="1490"/>
      <c r="X942" s="1445" t="e">
        <f ca="1"/>
        <v>#NAME?</v>
      </c>
      <c r="Y942" s="1446" t="e">
        <f ca="1"/>
        <v>#NAME?</v>
      </c>
    </row>
    <row r="943" spans="1:25">
      <c r="A943" s="1487"/>
      <c r="B943" s="1488"/>
      <c r="C943" s="1489"/>
      <c r="D943" s="1490"/>
      <c r="E943" s="1487"/>
      <c r="F943" s="1488"/>
      <c r="G943" s="1489"/>
      <c r="H943" s="1490"/>
      <c r="I943" s="1487"/>
      <c r="J943" s="1488"/>
      <c r="K943" s="1489"/>
      <c r="L943" s="1490"/>
      <c r="M943" s="1487"/>
      <c r="N943" s="1488"/>
      <c r="O943" s="1489"/>
      <c r="P943" s="1490"/>
      <c r="X943" s="1445" t="e">
        <f ca="1"/>
        <v>#NAME?</v>
      </c>
      <c r="Y943" s="1446" t="e">
        <f ca="1"/>
        <v>#NAME?</v>
      </c>
    </row>
    <row r="944" spans="1:25">
      <c r="A944" s="1487"/>
      <c r="B944" s="1488"/>
      <c r="C944" s="1489"/>
      <c r="D944" s="1490"/>
      <c r="E944" s="1487"/>
      <c r="F944" s="1488"/>
      <c r="G944" s="1489"/>
      <c r="H944" s="1490"/>
      <c r="I944" s="1487"/>
      <c r="J944" s="1488"/>
      <c r="K944" s="1489"/>
      <c r="L944" s="1490"/>
      <c r="M944" s="1487"/>
      <c r="N944" s="1488"/>
      <c r="O944" s="1489"/>
      <c r="P944" s="1490"/>
      <c r="X944" s="1445" t="e">
        <f ca="1"/>
        <v>#NAME?</v>
      </c>
      <c r="Y944" s="1446" t="e">
        <f ca="1"/>
        <v>#NAME?</v>
      </c>
    </row>
    <row r="945" spans="1:25">
      <c r="A945" s="1487"/>
      <c r="B945" s="1488"/>
      <c r="C945" s="1489"/>
      <c r="D945" s="1490"/>
      <c r="E945" s="1487"/>
      <c r="F945" s="1488"/>
      <c r="G945" s="1489"/>
      <c r="H945" s="1490"/>
      <c r="I945" s="1487"/>
      <c r="J945" s="1488"/>
      <c r="K945" s="1489"/>
      <c r="L945" s="1490"/>
      <c r="M945" s="1487"/>
      <c r="N945" s="1488"/>
      <c r="O945" s="1489"/>
      <c r="P945" s="1490"/>
      <c r="X945" s="1445" t="e">
        <f ca="1"/>
        <v>#NAME?</v>
      </c>
      <c r="Y945" s="1446" t="e">
        <f ca="1"/>
        <v>#NAME?</v>
      </c>
    </row>
    <row r="946" spans="1:25">
      <c r="A946" s="1487"/>
      <c r="B946" s="1488"/>
      <c r="C946" s="1489"/>
      <c r="D946" s="1490"/>
      <c r="E946" s="1487"/>
      <c r="F946" s="1488"/>
      <c r="G946" s="1489"/>
      <c r="H946" s="1490"/>
      <c r="I946" s="1487"/>
      <c r="J946" s="1488"/>
      <c r="K946" s="1489"/>
      <c r="L946" s="1490"/>
      <c r="M946" s="1487"/>
      <c r="N946" s="1488"/>
      <c r="O946" s="1489"/>
      <c r="P946" s="1490"/>
      <c r="X946" s="1445" t="e">
        <f ca="1"/>
        <v>#NAME?</v>
      </c>
      <c r="Y946" s="1446" t="e">
        <f ca="1"/>
        <v>#NAME?</v>
      </c>
    </row>
    <row r="947" spans="1:25">
      <c r="A947" s="1487"/>
      <c r="B947" s="1488"/>
      <c r="C947" s="1489"/>
      <c r="D947" s="1490"/>
      <c r="E947" s="1487"/>
      <c r="F947" s="1488"/>
      <c r="G947" s="1489"/>
      <c r="H947" s="1490"/>
      <c r="I947" s="1487"/>
      <c r="J947" s="1488"/>
      <c r="K947" s="1489"/>
      <c r="L947" s="1490"/>
      <c r="M947" s="1487"/>
      <c r="N947" s="1488"/>
      <c r="O947" s="1489"/>
      <c r="P947" s="1490"/>
      <c r="X947" s="1445" t="e">
        <f ca="1"/>
        <v>#NAME?</v>
      </c>
      <c r="Y947" s="1446" t="e">
        <f ca="1"/>
        <v>#NAME?</v>
      </c>
    </row>
    <row r="948" spans="1:25">
      <c r="A948" s="1487"/>
      <c r="B948" s="1488"/>
      <c r="C948" s="1489"/>
      <c r="D948" s="1490"/>
      <c r="E948" s="1487"/>
      <c r="F948" s="1488"/>
      <c r="G948" s="1489"/>
      <c r="H948" s="1490"/>
      <c r="I948" s="1487"/>
      <c r="J948" s="1488"/>
      <c r="K948" s="1489"/>
      <c r="L948" s="1490"/>
      <c r="M948" s="1487"/>
      <c r="N948" s="1488"/>
      <c r="O948" s="1489"/>
      <c r="P948" s="1490"/>
      <c r="X948" s="1445" t="e">
        <f ca="1"/>
        <v>#NAME?</v>
      </c>
      <c r="Y948" s="1446" t="e">
        <f ca="1"/>
        <v>#NAME?</v>
      </c>
    </row>
    <row r="949" spans="1:25">
      <c r="A949" s="1487"/>
      <c r="B949" s="1488"/>
      <c r="C949" s="1489"/>
      <c r="D949" s="1490"/>
      <c r="E949" s="1487"/>
      <c r="F949" s="1488"/>
      <c r="G949" s="1489"/>
      <c r="H949" s="1490"/>
      <c r="I949" s="1487"/>
      <c r="J949" s="1488"/>
      <c r="K949" s="1489"/>
      <c r="L949" s="1490"/>
      <c r="M949" s="1487"/>
      <c r="N949" s="1488"/>
      <c r="O949" s="1489"/>
      <c r="P949" s="1490"/>
      <c r="X949" s="1445" t="e">
        <f ca="1"/>
        <v>#NAME?</v>
      </c>
      <c r="Y949" s="1446" t="e">
        <f ca="1"/>
        <v>#NAME?</v>
      </c>
    </row>
    <row r="950" spans="1:25">
      <c r="A950" s="1487"/>
      <c r="B950" s="1488"/>
      <c r="C950" s="1489"/>
      <c r="D950" s="1490"/>
      <c r="E950" s="1487"/>
      <c r="F950" s="1488"/>
      <c r="G950" s="1489"/>
      <c r="H950" s="1490"/>
      <c r="I950" s="1487"/>
      <c r="J950" s="1488"/>
      <c r="K950" s="1489"/>
      <c r="L950" s="1490"/>
      <c r="M950" s="1487"/>
      <c r="N950" s="1488"/>
      <c r="O950" s="1489"/>
      <c r="P950" s="1490"/>
      <c r="X950" s="1445" t="e">
        <f ca="1"/>
        <v>#NAME?</v>
      </c>
      <c r="Y950" s="1446" t="e">
        <f ca="1"/>
        <v>#NAME?</v>
      </c>
    </row>
    <row r="951" spans="1:25">
      <c r="A951" s="1487"/>
      <c r="B951" s="1488"/>
      <c r="C951" s="1489"/>
      <c r="D951" s="1490"/>
      <c r="E951" s="1487"/>
      <c r="F951" s="1488"/>
      <c r="G951" s="1489"/>
      <c r="H951" s="1490"/>
      <c r="I951" s="1487"/>
      <c r="J951" s="1488"/>
      <c r="K951" s="1489"/>
      <c r="L951" s="1490"/>
      <c r="M951" s="1487"/>
      <c r="N951" s="1488"/>
      <c r="O951" s="1489"/>
      <c r="P951" s="1490"/>
      <c r="X951" s="1445" t="e">
        <f ca="1"/>
        <v>#NAME?</v>
      </c>
      <c r="Y951" s="1446" t="e">
        <f ca="1"/>
        <v>#NAME?</v>
      </c>
    </row>
    <row r="952" spans="1:25">
      <c r="A952" s="1487"/>
      <c r="B952" s="1488"/>
      <c r="C952" s="1489"/>
      <c r="D952" s="1490"/>
      <c r="E952" s="1487"/>
      <c r="F952" s="1488"/>
      <c r="G952" s="1489"/>
      <c r="H952" s="1490"/>
      <c r="I952" s="1487"/>
      <c r="J952" s="1488"/>
      <c r="K952" s="1489"/>
      <c r="L952" s="1490"/>
      <c r="M952" s="1487"/>
      <c r="N952" s="1488"/>
      <c r="O952" s="1489"/>
      <c r="P952" s="1490"/>
      <c r="X952" s="1445" t="e">
        <f ca="1"/>
        <v>#NAME?</v>
      </c>
      <c r="Y952" s="1446" t="e">
        <f ca="1"/>
        <v>#NAME?</v>
      </c>
    </row>
    <row r="953" spans="1:25">
      <c r="A953" s="1487"/>
      <c r="B953" s="1488"/>
      <c r="C953" s="1489"/>
      <c r="D953" s="1490"/>
      <c r="E953" s="1487"/>
      <c r="F953" s="1488"/>
      <c r="G953" s="1489"/>
      <c r="H953" s="1490"/>
      <c r="I953" s="1487"/>
      <c r="J953" s="1488"/>
      <c r="K953" s="1489"/>
      <c r="L953" s="1490"/>
      <c r="M953" s="1487"/>
      <c r="N953" s="1488"/>
      <c r="O953" s="1489"/>
      <c r="P953" s="1490"/>
      <c r="X953" s="1445" t="e">
        <f ca="1"/>
        <v>#NAME?</v>
      </c>
      <c r="Y953" s="1446" t="e">
        <f ca="1"/>
        <v>#NAME?</v>
      </c>
    </row>
    <row r="954" spans="1:25">
      <c r="A954" s="1487"/>
      <c r="B954" s="1488"/>
      <c r="C954" s="1489"/>
      <c r="D954" s="1490"/>
      <c r="E954" s="1487"/>
      <c r="F954" s="1488"/>
      <c r="G954" s="1489"/>
      <c r="H954" s="1490"/>
      <c r="I954" s="1487"/>
      <c r="J954" s="1488"/>
      <c r="K954" s="1489"/>
      <c r="L954" s="1490"/>
      <c r="M954" s="1487"/>
      <c r="N954" s="1488"/>
      <c r="O954" s="1489"/>
      <c r="P954" s="1490"/>
      <c r="X954" s="1445" t="e">
        <f ca="1"/>
        <v>#NAME?</v>
      </c>
      <c r="Y954" s="1446" t="e">
        <f ca="1"/>
        <v>#NAME?</v>
      </c>
    </row>
    <row r="955" spans="1:25">
      <c r="A955" s="1487"/>
      <c r="B955" s="1488"/>
      <c r="C955" s="1489"/>
      <c r="D955" s="1490"/>
      <c r="E955" s="1487"/>
      <c r="F955" s="1488"/>
      <c r="G955" s="1489"/>
      <c r="H955" s="1490"/>
      <c r="I955" s="1487"/>
      <c r="J955" s="1488"/>
      <c r="K955" s="1489"/>
      <c r="L955" s="1490"/>
      <c r="M955" s="1487"/>
      <c r="N955" s="1488"/>
      <c r="O955" s="1489"/>
      <c r="P955" s="1490"/>
      <c r="X955" s="1445" t="e">
        <f ca="1"/>
        <v>#NAME?</v>
      </c>
      <c r="Y955" s="1446" t="e">
        <f ca="1"/>
        <v>#NAME?</v>
      </c>
    </row>
    <row r="956" spans="1:25">
      <c r="A956" s="1487"/>
      <c r="B956" s="1488"/>
      <c r="C956" s="1489"/>
      <c r="D956" s="1490"/>
      <c r="E956" s="1487"/>
      <c r="F956" s="1488"/>
      <c r="G956" s="1489"/>
      <c r="H956" s="1490"/>
      <c r="I956" s="1487"/>
      <c r="J956" s="1488"/>
      <c r="K956" s="1489"/>
      <c r="L956" s="1490"/>
      <c r="M956" s="1487"/>
      <c r="N956" s="1488"/>
      <c r="O956" s="1489"/>
      <c r="P956" s="1490"/>
      <c r="X956" s="1445" t="e">
        <f ca="1"/>
        <v>#NAME?</v>
      </c>
      <c r="Y956" s="1446" t="e">
        <f ca="1"/>
        <v>#NAME?</v>
      </c>
    </row>
    <row r="957" spans="1:25">
      <c r="A957" s="1487"/>
      <c r="B957" s="1488"/>
      <c r="C957" s="1489"/>
      <c r="D957" s="1490"/>
      <c r="E957" s="1487"/>
      <c r="F957" s="1488"/>
      <c r="G957" s="1489"/>
      <c r="H957" s="1490"/>
      <c r="I957" s="1487"/>
      <c r="J957" s="1488"/>
      <c r="K957" s="1489"/>
      <c r="L957" s="1490"/>
      <c r="M957" s="1487"/>
      <c r="N957" s="1488"/>
      <c r="O957" s="1489"/>
      <c r="P957" s="1490"/>
      <c r="X957" s="1445" t="e">
        <f ca="1"/>
        <v>#NAME?</v>
      </c>
      <c r="Y957" s="1446" t="e">
        <f ca="1"/>
        <v>#NAME?</v>
      </c>
    </row>
    <row r="958" spans="1:25">
      <c r="A958" s="1487"/>
      <c r="B958" s="1488"/>
      <c r="C958" s="1489"/>
      <c r="D958" s="1490"/>
      <c r="E958" s="1487"/>
      <c r="F958" s="1488"/>
      <c r="G958" s="1489"/>
      <c r="H958" s="1490"/>
      <c r="I958" s="1487"/>
      <c r="J958" s="1488"/>
      <c r="K958" s="1489"/>
      <c r="L958" s="1490"/>
      <c r="M958" s="1487"/>
      <c r="N958" s="1488"/>
      <c r="O958" s="1489"/>
      <c r="P958" s="1490"/>
      <c r="X958" s="1445" t="e">
        <f ca="1"/>
        <v>#NAME?</v>
      </c>
      <c r="Y958" s="1446" t="e">
        <f ca="1"/>
        <v>#NAME?</v>
      </c>
    </row>
    <row r="959" spans="1:25">
      <c r="A959" s="1487"/>
      <c r="B959" s="1488"/>
      <c r="C959" s="1489"/>
      <c r="D959" s="1490"/>
      <c r="E959" s="1487"/>
      <c r="F959" s="1488"/>
      <c r="G959" s="1489"/>
      <c r="H959" s="1490"/>
      <c r="I959" s="1487"/>
      <c r="J959" s="1488"/>
      <c r="K959" s="1489"/>
      <c r="L959" s="1490"/>
      <c r="M959" s="1487"/>
      <c r="N959" s="1488"/>
      <c r="O959" s="1489"/>
      <c r="P959" s="1490"/>
      <c r="X959" s="1445" t="e">
        <f ca="1"/>
        <v>#NAME?</v>
      </c>
      <c r="Y959" s="1446" t="e">
        <f ca="1"/>
        <v>#NAME?</v>
      </c>
    </row>
    <row r="960" spans="1:25">
      <c r="A960" s="1487"/>
      <c r="B960" s="1488"/>
      <c r="C960" s="1489"/>
      <c r="D960" s="1490"/>
      <c r="E960" s="1487"/>
      <c r="F960" s="1488"/>
      <c r="G960" s="1489"/>
      <c r="H960" s="1490"/>
      <c r="I960" s="1487"/>
      <c r="J960" s="1488"/>
      <c r="K960" s="1489"/>
      <c r="L960" s="1490"/>
      <c r="M960" s="1487"/>
      <c r="N960" s="1488"/>
      <c r="O960" s="1489"/>
      <c r="P960" s="1490"/>
      <c r="X960" s="1445" t="e">
        <f ca="1"/>
        <v>#NAME?</v>
      </c>
      <c r="Y960" s="1446" t="e">
        <f ca="1"/>
        <v>#NAME?</v>
      </c>
    </row>
    <row r="961" spans="1:25">
      <c r="A961" s="1487"/>
      <c r="B961" s="1488"/>
      <c r="C961" s="1489"/>
      <c r="D961" s="1490"/>
      <c r="E961" s="1487"/>
      <c r="F961" s="1488"/>
      <c r="G961" s="1489"/>
      <c r="H961" s="1490"/>
      <c r="I961" s="1487"/>
      <c r="J961" s="1488"/>
      <c r="K961" s="1489"/>
      <c r="L961" s="1490"/>
      <c r="M961" s="1487"/>
      <c r="N961" s="1488"/>
      <c r="O961" s="1489"/>
      <c r="P961" s="1490"/>
      <c r="X961" s="1445" t="e">
        <f ca="1"/>
        <v>#NAME?</v>
      </c>
      <c r="Y961" s="1446" t="e">
        <f ca="1"/>
        <v>#NAME?</v>
      </c>
    </row>
    <row r="962" spans="1:25">
      <c r="A962" s="1487"/>
      <c r="B962" s="1488"/>
      <c r="C962" s="1489"/>
      <c r="D962" s="1490"/>
      <c r="E962" s="1487"/>
      <c r="F962" s="1488"/>
      <c r="G962" s="1489"/>
      <c r="H962" s="1490"/>
      <c r="I962" s="1487"/>
      <c r="J962" s="1488"/>
      <c r="K962" s="1489"/>
      <c r="L962" s="1490"/>
      <c r="M962" s="1487"/>
      <c r="N962" s="1488"/>
      <c r="O962" s="1489"/>
      <c r="P962" s="1490"/>
      <c r="X962" s="1445" t="e">
        <f ca="1"/>
        <v>#NAME?</v>
      </c>
      <c r="Y962" s="1446" t="e">
        <f ca="1"/>
        <v>#NAME?</v>
      </c>
    </row>
    <row r="963" spans="1:25">
      <c r="A963" s="1487"/>
      <c r="B963" s="1488"/>
      <c r="C963" s="1489"/>
      <c r="D963" s="1490"/>
      <c r="E963" s="1487"/>
      <c r="F963" s="1488"/>
      <c r="G963" s="1489"/>
      <c r="H963" s="1490"/>
      <c r="I963" s="1487"/>
      <c r="J963" s="1488"/>
      <c r="K963" s="1489"/>
      <c r="L963" s="1490"/>
      <c r="M963" s="1487"/>
      <c r="N963" s="1488"/>
      <c r="O963" s="1489"/>
      <c r="P963" s="1490"/>
      <c r="X963" s="1445" t="e">
        <f ca="1"/>
        <v>#NAME?</v>
      </c>
      <c r="Y963" s="1446" t="e">
        <f ca="1"/>
        <v>#NAME?</v>
      </c>
    </row>
    <row r="964" spans="1:25">
      <c r="A964" s="1487"/>
      <c r="B964" s="1488"/>
      <c r="C964" s="1489"/>
      <c r="D964" s="1490"/>
      <c r="E964" s="1487"/>
      <c r="F964" s="1488"/>
      <c r="G964" s="1489"/>
      <c r="H964" s="1490"/>
      <c r="I964" s="1487"/>
      <c r="J964" s="1488"/>
      <c r="K964" s="1489"/>
      <c r="L964" s="1490"/>
      <c r="M964" s="1487"/>
      <c r="N964" s="1488"/>
      <c r="O964" s="1489"/>
      <c r="P964" s="1490"/>
      <c r="X964" s="1445" t="e">
        <f ca="1"/>
        <v>#NAME?</v>
      </c>
      <c r="Y964" s="1446" t="e">
        <f ca="1"/>
        <v>#NAME?</v>
      </c>
    </row>
    <row r="965" spans="1:25">
      <c r="A965" s="1487"/>
      <c r="B965" s="1488"/>
      <c r="C965" s="1489"/>
      <c r="D965" s="1490"/>
      <c r="E965" s="1487"/>
      <c r="F965" s="1488"/>
      <c r="G965" s="1489"/>
      <c r="H965" s="1490"/>
      <c r="I965" s="1487"/>
      <c r="J965" s="1488"/>
      <c r="K965" s="1489"/>
      <c r="L965" s="1490"/>
      <c r="M965" s="1487"/>
      <c r="N965" s="1488"/>
      <c r="O965" s="1489"/>
      <c r="P965" s="1490"/>
      <c r="X965" s="1445" t="e">
        <f ca="1"/>
        <v>#NAME?</v>
      </c>
      <c r="Y965" s="1446" t="e">
        <f ca="1"/>
        <v>#NAME?</v>
      </c>
    </row>
    <row r="966" spans="1:25">
      <c r="A966" s="1487"/>
      <c r="B966" s="1488"/>
      <c r="C966" s="1489"/>
      <c r="D966" s="1490"/>
      <c r="E966" s="1487"/>
      <c r="F966" s="1488"/>
      <c r="G966" s="1489"/>
      <c r="H966" s="1490"/>
      <c r="I966" s="1487"/>
      <c r="J966" s="1488"/>
      <c r="K966" s="1489"/>
      <c r="L966" s="1490"/>
      <c r="M966" s="1487"/>
      <c r="N966" s="1488"/>
      <c r="O966" s="1489"/>
      <c r="P966" s="1490"/>
      <c r="X966" s="1445" t="e">
        <f ca="1"/>
        <v>#NAME?</v>
      </c>
      <c r="Y966" s="1446" t="e">
        <f ca="1"/>
        <v>#NAME?</v>
      </c>
    </row>
    <row r="967" spans="1:25">
      <c r="A967" s="1487"/>
      <c r="B967" s="1488"/>
      <c r="C967" s="1489"/>
      <c r="D967" s="1490"/>
      <c r="E967" s="1487"/>
      <c r="F967" s="1488"/>
      <c r="G967" s="1489"/>
      <c r="H967" s="1490"/>
      <c r="I967" s="1487"/>
      <c r="J967" s="1488"/>
      <c r="K967" s="1489"/>
      <c r="L967" s="1490"/>
      <c r="M967" s="1487"/>
      <c r="N967" s="1488"/>
      <c r="O967" s="1489"/>
      <c r="P967" s="1490"/>
      <c r="X967" s="1445" t="e">
        <f ca="1"/>
        <v>#NAME?</v>
      </c>
      <c r="Y967" s="1446" t="e">
        <f ca="1"/>
        <v>#NAME?</v>
      </c>
    </row>
    <row r="968" spans="1:25">
      <c r="A968" s="1487"/>
      <c r="B968" s="1488"/>
      <c r="C968" s="1489"/>
      <c r="D968" s="1490"/>
      <c r="E968" s="1487"/>
      <c r="F968" s="1488"/>
      <c r="G968" s="1489"/>
      <c r="H968" s="1490"/>
      <c r="I968" s="1487"/>
      <c r="J968" s="1488"/>
      <c r="K968" s="1489"/>
      <c r="L968" s="1490"/>
      <c r="M968" s="1487"/>
      <c r="N968" s="1488"/>
      <c r="O968" s="1489"/>
      <c r="P968" s="1490"/>
      <c r="X968" s="1445" t="e">
        <f ca="1"/>
        <v>#NAME?</v>
      </c>
      <c r="Y968" s="1446" t="e">
        <f ca="1"/>
        <v>#NAME?</v>
      </c>
    </row>
    <row r="969" spans="1:25">
      <c r="A969" s="1487"/>
      <c r="B969" s="1488"/>
      <c r="C969" s="1489"/>
      <c r="D969" s="1490"/>
      <c r="E969" s="1487"/>
      <c r="F969" s="1488"/>
      <c r="G969" s="1489"/>
      <c r="H969" s="1490"/>
      <c r="I969" s="1487"/>
      <c r="J969" s="1488"/>
      <c r="K969" s="1489"/>
      <c r="L969" s="1490"/>
      <c r="M969" s="1487"/>
      <c r="N969" s="1488"/>
      <c r="O969" s="1489"/>
      <c r="P969" s="1490"/>
      <c r="X969" s="1445" t="e">
        <f ca="1"/>
        <v>#NAME?</v>
      </c>
      <c r="Y969" s="1446" t="e">
        <f ca="1"/>
        <v>#NAME?</v>
      </c>
    </row>
    <row r="970" spans="1:25">
      <c r="A970" s="1487"/>
      <c r="B970" s="1488"/>
      <c r="C970" s="1489"/>
      <c r="D970" s="1490"/>
      <c r="E970" s="1487"/>
      <c r="F970" s="1488"/>
      <c r="G970" s="1489"/>
      <c r="H970" s="1490"/>
      <c r="I970" s="1487"/>
      <c r="J970" s="1488"/>
      <c r="K970" s="1489"/>
      <c r="L970" s="1490"/>
      <c r="M970" s="1487"/>
      <c r="N970" s="1488"/>
      <c r="O970" s="1489"/>
      <c r="P970" s="1490"/>
      <c r="X970" s="1445" t="e">
        <f ca="1"/>
        <v>#NAME?</v>
      </c>
      <c r="Y970" s="1446" t="e">
        <f ca="1"/>
        <v>#NAME?</v>
      </c>
    </row>
    <row r="971" spans="1:25">
      <c r="A971" s="1487"/>
      <c r="B971" s="1488"/>
      <c r="C971" s="1489"/>
      <c r="D971" s="1490"/>
      <c r="E971" s="1487"/>
      <c r="F971" s="1488"/>
      <c r="G971" s="1489"/>
      <c r="H971" s="1490"/>
      <c r="I971" s="1487"/>
      <c r="J971" s="1488"/>
      <c r="K971" s="1489"/>
      <c r="L971" s="1490"/>
      <c r="M971" s="1487"/>
      <c r="N971" s="1488"/>
      <c r="O971" s="1489"/>
      <c r="P971" s="1490"/>
      <c r="X971" s="1445" t="e">
        <f ca="1"/>
        <v>#NAME?</v>
      </c>
      <c r="Y971" s="1446" t="e">
        <f ca="1"/>
        <v>#NAME?</v>
      </c>
    </row>
    <row r="972" spans="1:25">
      <c r="A972" s="1487"/>
      <c r="B972" s="1488"/>
      <c r="C972" s="1489"/>
      <c r="D972" s="1490"/>
      <c r="E972" s="1487"/>
      <c r="F972" s="1488"/>
      <c r="G972" s="1489"/>
      <c r="H972" s="1490"/>
      <c r="I972" s="1487"/>
      <c r="J972" s="1488"/>
      <c r="K972" s="1489"/>
      <c r="L972" s="1490"/>
      <c r="M972" s="1487"/>
      <c r="N972" s="1488"/>
      <c r="O972" s="1489"/>
      <c r="P972" s="1490"/>
      <c r="X972" s="1445" t="e">
        <f ca="1"/>
        <v>#NAME?</v>
      </c>
      <c r="Y972" s="1446" t="e">
        <f ca="1"/>
        <v>#NAME?</v>
      </c>
    </row>
    <row r="973" spans="1:25">
      <c r="A973" s="1487"/>
      <c r="B973" s="1488"/>
      <c r="C973" s="1489"/>
      <c r="D973" s="1490"/>
      <c r="E973" s="1487"/>
      <c r="F973" s="1488"/>
      <c r="G973" s="1489"/>
      <c r="H973" s="1490"/>
      <c r="I973" s="1487"/>
      <c r="J973" s="1488"/>
      <c r="K973" s="1489"/>
      <c r="L973" s="1490"/>
      <c r="M973" s="1487"/>
      <c r="N973" s="1488"/>
      <c r="O973" s="1489"/>
      <c r="P973" s="1490"/>
      <c r="X973" s="1445" t="e">
        <f ca="1"/>
        <v>#NAME?</v>
      </c>
      <c r="Y973" s="1446" t="e">
        <f ca="1"/>
        <v>#NAME?</v>
      </c>
    </row>
    <row r="974" spans="1:25">
      <c r="A974" s="1487"/>
      <c r="B974" s="1488"/>
      <c r="C974" s="1489"/>
      <c r="D974" s="1490"/>
      <c r="E974" s="1487"/>
      <c r="F974" s="1488"/>
      <c r="G974" s="1489"/>
      <c r="H974" s="1490"/>
      <c r="I974" s="1487"/>
      <c r="J974" s="1488"/>
      <c r="K974" s="1489"/>
      <c r="L974" s="1490"/>
      <c r="M974" s="1487"/>
      <c r="N974" s="1488"/>
      <c r="O974" s="1489"/>
      <c r="P974" s="1490"/>
      <c r="X974" s="1445" t="e">
        <f ca="1"/>
        <v>#NAME?</v>
      </c>
      <c r="Y974" s="1446" t="e">
        <f ca="1"/>
        <v>#NAME?</v>
      </c>
    </row>
    <row r="975" spans="1:25">
      <c r="A975" s="1487"/>
      <c r="B975" s="1488"/>
      <c r="C975" s="1489"/>
      <c r="D975" s="1490"/>
      <c r="E975" s="1487"/>
      <c r="F975" s="1488"/>
      <c r="G975" s="1489"/>
      <c r="H975" s="1490"/>
      <c r="I975" s="1487"/>
      <c r="J975" s="1488"/>
      <c r="K975" s="1489"/>
      <c r="L975" s="1490"/>
      <c r="M975" s="1487"/>
      <c r="N975" s="1488"/>
      <c r="O975" s="1489"/>
      <c r="P975" s="1490"/>
      <c r="X975" s="1445" t="e">
        <f ca="1"/>
        <v>#NAME?</v>
      </c>
      <c r="Y975" s="1446" t="e">
        <f ca="1"/>
        <v>#NAME?</v>
      </c>
    </row>
    <row r="976" spans="1:25">
      <c r="A976" s="1487"/>
      <c r="B976" s="1488"/>
      <c r="C976" s="1489"/>
      <c r="D976" s="1490"/>
      <c r="E976" s="1487"/>
      <c r="F976" s="1488"/>
      <c r="G976" s="1489"/>
      <c r="H976" s="1490"/>
      <c r="I976" s="1487"/>
      <c r="J976" s="1488"/>
      <c r="K976" s="1489"/>
      <c r="L976" s="1490"/>
      <c r="M976" s="1487"/>
      <c r="N976" s="1488"/>
      <c r="O976" s="1489"/>
      <c r="P976" s="1490"/>
      <c r="X976" s="1445" t="e">
        <f ca="1"/>
        <v>#NAME?</v>
      </c>
      <c r="Y976" s="1446" t="e">
        <f ca="1"/>
        <v>#NAME?</v>
      </c>
    </row>
    <row r="977" spans="1:25">
      <c r="A977" s="1487"/>
      <c r="B977" s="1488"/>
      <c r="C977" s="1489"/>
      <c r="D977" s="1490"/>
      <c r="E977" s="1487"/>
      <c r="F977" s="1488"/>
      <c r="G977" s="1489"/>
      <c r="H977" s="1490"/>
      <c r="I977" s="1487"/>
      <c r="J977" s="1488"/>
      <c r="K977" s="1489"/>
      <c r="L977" s="1490"/>
      <c r="M977" s="1487"/>
      <c r="N977" s="1488"/>
      <c r="O977" s="1489"/>
      <c r="P977" s="1490"/>
      <c r="X977" s="1445" t="e">
        <f ca="1"/>
        <v>#NAME?</v>
      </c>
      <c r="Y977" s="1446" t="e">
        <f ca="1"/>
        <v>#NAME?</v>
      </c>
    </row>
    <row r="978" spans="1:25">
      <c r="A978" s="1487"/>
      <c r="B978" s="1488"/>
      <c r="C978" s="1489"/>
      <c r="D978" s="1490"/>
      <c r="E978" s="1487"/>
      <c r="F978" s="1488"/>
      <c r="G978" s="1489"/>
      <c r="H978" s="1490"/>
      <c r="I978" s="1487"/>
      <c r="J978" s="1488"/>
      <c r="K978" s="1489"/>
      <c r="L978" s="1490"/>
      <c r="M978" s="1487"/>
      <c r="N978" s="1488"/>
      <c r="O978" s="1489"/>
      <c r="P978" s="1490"/>
      <c r="X978" s="1445" t="e">
        <f ca="1"/>
        <v>#NAME?</v>
      </c>
      <c r="Y978" s="1446" t="e">
        <f ca="1"/>
        <v>#NAME?</v>
      </c>
    </row>
    <row r="979" spans="1:25">
      <c r="A979" s="1487"/>
      <c r="B979" s="1488"/>
      <c r="C979" s="1489"/>
      <c r="D979" s="1490"/>
      <c r="E979" s="1487"/>
      <c r="F979" s="1488"/>
      <c r="G979" s="1489"/>
      <c r="H979" s="1490"/>
      <c r="I979" s="1487"/>
      <c r="J979" s="1488"/>
      <c r="K979" s="1489"/>
      <c r="L979" s="1490"/>
      <c r="M979" s="1487"/>
      <c r="N979" s="1488"/>
      <c r="O979" s="1489"/>
      <c r="P979" s="1490"/>
      <c r="X979" s="1445" t="e">
        <f ca="1"/>
        <v>#NAME?</v>
      </c>
      <c r="Y979" s="1446" t="e">
        <f ca="1"/>
        <v>#NAME?</v>
      </c>
    </row>
    <row r="980" spans="1:25">
      <c r="A980" s="1487"/>
      <c r="B980" s="1488"/>
      <c r="C980" s="1489"/>
      <c r="D980" s="1490"/>
      <c r="E980" s="1487"/>
      <c r="F980" s="1488"/>
      <c r="G980" s="1489"/>
      <c r="H980" s="1490"/>
      <c r="I980" s="1487"/>
      <c r="J980" s="1488"/>
      <c r="K980" s="1489"/>
      <c r="L980" s="1490"/>
      <c r="M980" s="1487"/>
      <c r="N980" s="1488"/>
      <c r="O980" s="1489"/>
      <c r="P980" s="1490"/>
      <c r="X980" s="1445" t="e">
        <f ca="1"/>
        <v>#NAME?</v>
      </c>
      <c r="Y980" s="1446" t="e">
        <f ca="1"/>
        <v>#NAME?</v>
      </c>
    </row>
    <row r="981" spans="1:25">
      <c r="A981" s="1487"/>
      <c r="B981" s="1488"/>
      <c r="C981" s="1489"/>
      <c r="D981" s="1490"/>
      <c r="E981" s="1487"/>
      <c r="F981" s="1488"/>
      <c r="G981" s="1489"/>
      <c r="H981" s="1490"/>
      <c r="I981" s="1487"/>
      <c r="J981" s="1488"/>
      <c r="K981" s="1489"/>
      <c r="L981" s="1490"/>
      <c r="M981" s="1487"/>
      <c r="N981" s="1488"/>
      <c r="O981" s="1489"/>
      <c r="P981" s="1490"/>
      <c r="X981" s="1445" t="e">
        <f ca="1"/>
        <v>#NAME?</v>
      </c>
      <c r="Y981" s="1446" t="e">
        <f ca="1"/>
        <v>#NAME?</v>
      </c>
    </row>
    <row r="982" spans="1:25">
      <c r="A982" s="1487"/>
      <c r="B982" s="1488"/>
      <c r="C982" s="1489"/>
      <c r="D982" s="1490"/>
      <c r="E982" s="1487"/>
      <c r="F982" s="1488"/>
      <c r="G982" s="1489"/>
      <c r="H982" s="1490"/>
      <c r="I982" s="1487"/>
      <c r="J982" s="1488"/>
      <c r="K982" s="1489"/>
      <c r="L982" s="1490"/>
      <c r="M982" s="1487"/>
      <c r="N982" s="1488"/>
      <c r="O982" s="1489"/>
      <c r="P982" s="1490"/>
      <c r="X982" s="1445" t="e">
        <f ca="1"/>
        <v>#NAME?</v>
      </c>
      <c r="Y982" s="1446" t="e">
        <f ca="1"/>
        <v>#NAME?</v>
      </c>
    </row>
    <row r="983" spans="1:25">
      <c r="A983" s="1487"/>
      <c r="B983" s="1488"/>
      <c r="C983" s="1489"/>
      <c r="D983" s="1490"/>
      <c r="E983" s="1487"/>
      <c r="F983" s="1488"/>
      <c r="G983" s="1489"/>
      <c r="H983" s="1490"/>
      <c r="I983" s="1487"/>
      <c r="J983" s="1488"/>
      <c r="K983" s="1489"/>
      <c r="L983" s="1490"/>
      <c r="M983" s="1487"/>
      <c r="N983" s="1488"/>
      <c r="O983" s="1489"/>
      <c r="P983" s="1490"/>
      <c r="X983" s="1445" t="e">
        <f ca="1"/>
        <v>#NAME?</v>
      </c>
      <c r="Y983" s="1446" t="e">
        <f ca="1"/>
        <v>#NAME?</v>
      </c>
    </row>
    <row r="984" spans="1:25">
      <c r="A984" s="1487"/>
      <c r="B984" s="1488"/>
      <c r="C984" s="1489"/>
      <c r="D984" s="1490"/>
      <c r="E984" s="1487"/>
      <c r="F984" s="1488"/>
      <c r="G984" s="1489"/>
      <c r="H984" s="1490"/>
      <c r="I984" s="1487"/>
      <c r="J984" s="1488"/>
      <c r="K984" s="1489"/>
      <c r="L984" s="1490"/>
      <c r="M984" s="1487"/>
      <c r="N984" s="1488"/>
      <c r="O984" s="1489"/>
      <c r="P984" s="1490"/>
      <c r="X984" s="1445" t="e">
        <f ca="1"/>
        <v>#NAME?</v>
      </c>
      <c r="Y984" s="1446" t="e">
        <f ca="1"/>
        <v>#NAME?</v>
      </c>
    </row>
    <row r="985" spans="1:25">
      <c r="A985" s="1487"/>
      <c r="B985" s="1488"/>
      <c r="C985" s="1489"/>
      <c r="D985" s="1490"/>
      <c r="E985" s="1487"/>
      <c r="F985" s="1488"/>
      <c r="G985" s="1489"/>
      <c r="H985" s="1490"/>
      <c r="I985" s="1487"/>
      <c r="J985" s="1488"/>
      <c r="K985" s="1489"/>
      <c r="L985" s="1490"/>
      <c r="M985" s="1487"/>
      <c r="N985" s="1488"/>
      <c r="O985" s="1489"/>
      <c r="P985" s="1490"/>
      <c r="X985" s="1445" t="e">
        <f ca="1"/>
        <v>#NAME?</v>
      </c>
      <c r="Y985" s="1446" t="e">
        <f ca="1"/>
        <v>#NAME?</v>
      </c>
    </row>
    <row r="986" spans="1:25">
      <c r="A986" s="1487"/>
      <c r="B986" s="1488"/>
      <c r="C986" s="1489"/>
      <c r="D986" s="1490"/>
      <c r="E986" s="1487"/>
      <c r="F986" s="1488"/>
      <c r="G986" s="1489"/>
      <c r="H986" s="1490"/>
      <c r="I986" s="1487"/>
      <c r="J986" s="1488"/>
      <c r="K986" s="1489"/>
      <c r="L986" s="1490"/>
      <c r="M986" s="1487"/>
      <c r="N986" s="1488"/>
      <c r="O986" s="1489"/>
      <c r="P986" s="1490"/>
      <c r="X986" s="1445" t="e">
        <f ca="1"/>
        <v>#NAME?</v>
      </c>
      <c r="Y986" s="1446" t="e">
        <f ca="1"/>
        <v>#NAME?</v>
      </c>
    </row>
    <row r="987" spans="1:25">
      <c r="A987" s="1487"/>
      <c r="B987" s="1488"/>
      <c r="C987" s="1489"/>
      <c r="D987" s="1490"/>
      <c r="E987" s="1487"/>
      <c r="F987" s="1488"/>
      <c r="G987" s="1489"/>
      <c r="H987" s="1490"/>
      <c r="I987" s="1487"/>
      <c r="J987" s="1488"/>
      <c r="K987" s="1489"/>
      <c r="L987" s="1490"/>
      <c r="M987" s="1487"/>
      <c r="N987" s="1488"/>
      <c r="O987" s="1489"/>
      <c r="P987" s="1490"/>
      <c r="X987" s="1445" t="e">
        <f ca="1"/>
        <v>#NAME?</v>
      </c>
      <c r="Y987" s="1446" t="e">
        <f ca="1"/>
        <v>#NAME?</v>
      </c>
    </row>
    <row r="988" spans="1:25">
      <c r="A988" s="1487"/>
      <c r="B988" s="1488"/>
      <c r="C988" s="1489"/>
      <c r="D988" s="1490"/>
      <c r="E988" s="1487"/>
      <c r="F988" s="1488"/>
      <c r="G988" s="1489"/>
      <c r="H988" s="1490"/>
      <c r="I988" s="1487"/>
      <c r="J988" s="1488"/>
      <c r="K988" s="1489"/>
      <c r="L988" s="1490"/>
      <c r="M988" s="1487"/>
      <c r="N988" s="1488"/>
      <c r="O988" s="1489"/>
      <c r="P988" s="1490"/>
      <c r="X988" s="1445" t="e">
        <f ca="1"/>
        <v>#NAME?</v>
      </c>
      <c r="Y988" s="1446" t="e">
        <f ca="1"/>
        <v>#NAME?</v>
      </c>
    </row>
    <row r="989" spans="1:25">
      <c r="A989" s="1487"/>
      <c r="B989" s="1488"/>
      <c r="C989" s="1489"/>
      <c r="D989" s="1490"/>
      <c r="E989" s="1487"/>
      <c r="F989" s="1488"/>
      <c r="G989" s="1489"/>
      <c r="H989" s="1490"/>
      <c r="I989" s="1487"/>
      <c r="J989" s="1488"/>
      <c r="K989" s="1489"/>
      <c r="L989" s="1490"/>
      <c r="M989" s="1487"/>
      <c r="N989" s="1488"/>
      <c r="O989" s="1489"/>
      <c r="P989" s="1490"/>
      <c r="X989" s="1445" t="e">
        <f ca="1"/>
        <v>#NAME?</v>
      </c>
      <c r="Y989" s="1446" t="e">
        <f ca="1"/>
        <v>#NAME?</v>
      </c>
    </row>
    <row r="990" spans="1:25">
      <c r="A990" s="1487"/>
      <c r="B990" s="1488"/>
      <c r="C990" s="1489"/>
      <c r="D990" s="1490"/>
      <c r="E990" s="1487"/>
      <c r="F990" s="1488"/>
      <c r="G990" s="1489"/>
      <c r="H990" s="1490"/>
      <c r="I990" s="1487"/>
      <c r="J990" s="1488"/>
      <c r="K990" s="1489"/>
      <c r="L990" s="1490"/>
      <c r="M990" s="1487"/>
      <c r="N990" s="1488"/>
      <c r="O990" s="1489"/>
      <c r="P990" s="1490"/>
      <c r="X990" s="1445" t="e">
        <f ca="1"/>
        <v>#NAME?</v>
      </c>
      <c r="Y990" s="1446" t="e">
        <f ca="1"/>
        <v>#NAME?</v>
      </c>
    </row>
    <row r="991" spans="1:25">
      <c r="A991" s="1487"/>
      <c r="B991" s="1488"/>
      <c r="C991" s="1489"/>
      <c r="D991" s="1490"/>
      <c r="E991" s="1487"/>
      <c r="F991" s="1488"/>
      <c r="G991" s="1489"/>
      <c r="H991" s="1490"/>
      <c r="I991" s="1487"/>
      <c r="J991" s="1488"/>
      <c r="K991" s="1489"/>
      <c r="L991" s="1490"/>
      <c r="M991" s="1487"/>
      <c r="N991" s="1488"/>
      <c r="O991" s="1489"/>
      <c r="P991" s="1490"/>
      <c r="X991" s="1445" t="e">
        <f ca="1"/>
        <v>#NAME?</v>
      </c>
      <c r="Y991" s="1446" t="e">
        <f ca="1"/>
        <v>#NAME?</v>
      </c>
    </row>
    <row r="992" spans="1:25">
      <c r="A992" s="1487"/>
      <c r="B992" s="1488"/>
      <c r="C992" s="1489"/>
      <c r="D992" s="1490"/>
      <c r="E992" s="1487"/>
      <c r="F992" s="1488"/>
      <c r="G992" s="1489"/>
      <c r="H992" s="1490"/>
      <c r="I992" s="1487"/>
      <c r="J992" s="1488"/>
      <c r="K992" s="1489"/>
      <c r="L992" s="1490"/>
      <c r="M992" s="1487"/>
      <c r="N992" s="1488"/>
      <c r="O992" s="1489"/>
      <c r="P992" s="1490"/>
      <c r="X992" s="1445" t="e">
        <f ca="1"/>
        <v>#NAME?</v>
      </c>
      <c r="Y992" s="1446" t="e">
        <f ca="1"/>
        <v>#NAME?</v>
      </c>
    </row>
    <row r="993" spans="1:25">
      <c r="A993" s="1487"/>
      <c r="B993" s="1488"/>
      <c r="C993" s="1489"/>
      <c r="D993" s="1490"/>
      <c r="E993" s="1487"/>
      <c r="F993" s="1488"/>
      <c r="G993" s="1489"/>
      <c r="H993" s="1490"/>
      <c r="I993" s="1487"/>
      <c r="J993" s="1488"/>
      <c r="K993" s="1489"/>
      <c r="L993" s="1490"/>
      <c r="M993" s="1487"/>
      <c r="N993" s="1488"/>
      <c r="O993" s="1489"/>
      <c r="P993" s="1490"/>
      <c r="X993" s="1445" t="e">
        <f ca="1"/>
        <v>#NAME?</v>
      </c>
      <c r="Y993" s="1446" t="e">
        <f ca="1"/>
        <v>#NAME?</v>
      </c>
    </row>
    <row r="994" spans="1:25">
      <c r="A994" s="1487"/>
      <c r="B994" s="1488"/>
      <c r="C994" s="1489"/>
      <c r="D994" s="1490"/>
      <c r="E994" s="1487"/>
      <c r="F994" s="1488"/>
      <c r="G994" s="1489"/>
      <c r="H994" s="1490"/>
      <c r="I994" s="1487"/>
      <c r="J994" s="1488"/>
      <c r="K994" s="1489"/>
      <c r="L994" s="1490"/>
      <c r="M994" s="1487"/>
      <c r="N994" s="1488"/>
      <c r="O994" s="1489"/>
      <c r="P994" s="1490"/>
      <c r="X994" s="1445" t="e">
        <f ca="1"/>
        <v>#NAME?</v>
      </c>
      <c r="Y994" s="1446" t="e">
        <f ca="1"/>
        <v>#NAME?</v>
      </c>
    </row>
    <row r="995" spans="1:25">
      <c r="A995" s="1487"/>
      <c r="B995" s="1488"/>
      <c r="C995" s="1489"/>
      <c r="D995" s="1490"/>
      <c r="E995" s="1487"/>
      <c r="F995" s="1488"/>
      <c r="G995" s="1489"/>
      <c r="H995" s="1490"/>
      <c r="I995" s="1487"/>
      <c r="J995" s="1488"/>
      <c r="K995" s="1489"/>
      <c r="L995" s="1490"/>
      <c r="M995" s="1487"/>
      <c r="N995" s="1488"/>
      <c r="O995" s="1489"/>
      <c r="P995" s="1490"/>
      <c r="X995" s="1445" t="e">
        <f ca="1"/>
        <v>#NAME?</v>
      </c>
      <c r="Y995" s="1446" t="e">
        <f ca="1"/>
        <v>#NAME?</v>
      </c>
    </row>
    <row r="996" spans="1:25">
      <c r="A996" s="1487"/>
      <c r="B996" s="1488"/>
      <c r="C996" s="1489"/>
      <c r="D996" s="1490"/>
      <c r="E996" s="1487"/>
      <c r="F996" s="1488"/>
      <c r="G996" s="1489"/>
      <c r="H996" s="1490"/>
      <c r="I996" s="1487"/>
      <c r="J996" s="1488"/>
      <c r="K996" s="1489"/>
      <c r="L996" s="1490"/>
      <c r="M996" s="1487"/>
      <c r="N996" s="1488"/>
      <c r="O996" s="1489"/>
      <c r="P996" s="1490"/>
      <c r="X996" s="1445" t="e">
        <f ca="1"/>
        <v>#NAME?</v>
      </c>
      <c r="Y996" s="1446" t="e">
        <f ca="1"/>
        <v>#NAME?</v>
      </c>
    </row>
    <row r="997" spans="1:25">
      <c r="A997" s="1487"/>
      <c r="B997" s="1488"/>
      <c r="C997" s="1489"/>
      <c r="D997" s="1490"/>
      <c r="E997" s="1487"/>
      <c r="F997" s="1488"/>
      <c r="G997" s="1489"/>
      <c r="H997" s="1490"/>
      <c r="I997" s="1487"/>
      <c r="J997" s="1488"/>
      <c r="K997" s="1489"/>
      <c r="L997" s="1490"/>
      <c r="M997" s="1487"/>
      <c r="N997" s="1488"/>
      <c r="O997" s="1489"/>
      <c r="P997" s="1490"/>
      <c r="X997" s="1445" t="e">
        <f ca="1"/>
        <v>#NAME?</v>
      </c>
      <c r="Y997" s="1446" t="e">
        <f ca="1"/>
        <v>#NAME?</v>
      </c>
    </row>
    <row r="998" spans="1:25">
      <c r="A998" s="1487"/>
      <c r="B998" s="1488"/>
      <c r="C998" s="1489"/>
      <c r="D998" s="1490"/>
      <c r="E998" s="1487"/>
      <c r="F998" s="1488"/>
      <c r="G998" s="1489"/>
      <c r="H998" s="1490"/>
      <c r="I998" s="1487"/>
      <c r="J998" s="1488"/>
      <c r="K998" s="1489"/>
      <c r="L998" s="1490"/>
      <c r="M998" s="1487"/>
      <c r="N998" s="1488"/>
      <c r="O998" s="1489"/>
      <c r="P998" s="1490"/>
      <c r="X998" s="1445" t="e">
        <f ca="1"/>
        <v>#NAME?</v>
      </c>
      <c r="Y998" s="1446" t="e">
        <f ca="1"/>
        <v>#NAME?</v>
      </c>
    </row>
    <row r="999" spans="1:25">
      <c r="A999" s="1487"/>
      <c r="B999" s="1488"/>
      <c r="C999" s="1489"/>
      <c r="D999" s="1490"/>
      <c r="E999" s="1487"/>
      <c r="F999" s="1488"/>
      <c r="G999" s="1489"/>
      <c r="H999" s="1490"/>
      <c r="I999" s="1487"/>
      <c r="J999" s="1488"/>
      <c r="K999" s="1489"/>
      <c r="L999" s="1490"/>
      <c r="M999" s="1487"/>
      <c r="N999" s="1488"/>
      <c r="O999" s="1489"/>
      <c r="P999" s="1490"/>
      <c r="X999" s="1445" t="e">
        <f ca="1"/>
        <v>#NAME?</v>
      </c>
      <c r="Y999" s="1446" t="e">
        <f ca="1"/>
        <v>#NAME?</v>
      </c>
    </row>
    <row r="1000" spans="1:25">
      <c r="A1000" s="1487"/>
      <c r="B1000" s="1488"/>
      <c r="C1000" s="1489"/>
      <c r="D1000" s="1490"/>
      <c r="E1000" s="1487"/>
      <c r="F1000" s="1488"/>
      <c r="G1000" s="1489"/>
      <c r="H1000" s="1490"/>
      <c r="I1000" s="1487"/>
      <c r="J1000" s="1488"/>
      <c r="K1000" s="1489"/>
      <c r="L1000" s="1490"/>
      <c r="M1000" s="1487"/>
      <c r="N1000" s="1488"/>
      <c r="O1000" s="1489"/>
      <c r="P1000" s="1490"/>
      <c r="X1000" s="1445" t="e">
        <f ca="1"/>
        <v>#NAME?</v>
      </c>
      <c r="Y1000" s="1446" t="e">
        <f ca="1"/>
        <v>#NAME?</v>
      </c>
    </row>
    <row r="1001" spans="1:25">
      <c r="A1001" s="1487"/>
      <c r="B1001" s="1488"/>
      <c r="C1001" s="1489"/>
      <c r="D1001" s="1490"/>
      <c r="E1001" s="1487"/>
      <c r="F1001" s="1488"/>
      <c r="G1001" s="1489"/>
      <c r="H1001" s="1490"/>
      <c r="I1001" s="1487"/>
      <c r="J1001" s="1488"/>
      <c r="K1001" s="1489"/>
      <c r="L1001" s="1490"/>
      <c r="M1001" s="1487"/>
      <c r="N1001" s="1488"/>
      <c r="O1001" s="1489"/>
      <c r="P1001" s="1490"/>
      <c r="X1001" s="1445" t="e">
        <f ca="1"/>
        <v>#NAME?</v>
      </c>
      <c r="Y1001" s="1446" t="e">
        <f ca="1"/>
        <v>#NAME?</v>
      </c>
    </row>
    <row r="1002" spans="1:25">
      <c r="A1002" s="1487"/>
      <c r="B1002" s="1488"/>
      <c r="C1002" s="1489"/>
      <c r="D1002" s="1490"/>
      <c r="E1002" s="1487"/>
      <c r="F1002" s="1488"/>
      <c r="G1002" s="1489"/>
      <c r="H1002" s="1490"/>
      <c r="I1002" s="1487"/>
      <c r="J1002" s="1488"/>
      <c r="K1002" s="1489"/>
      <c r="L1002" s="1490"/>
      <c r="M1002" s="1487"/>
      <c r="N1002" s="1488"/>
      <c r="O1002" s="1489"/>
      <c r="P1002" s="1490"/>
      <c r="X1002" s="1445" t="e">
        <f ca="1"/>
        <v>#NAME?</v>
      </c>
      <c r="Y1002" s="1446" t="e">
        <f ca="1"/>
        <v>#NAME?</v>
      </c>
    </row>
    <row r="1003" spans="1:25">
      <c r="A1003" s="1487"/>
      <c r="B1003" s="1488"/>
      <c r="C1003" s="1489"/>
      <c r="D1003" s="1490"/>
      <c r="E1003" s="1487"/>
      <c r="F1003" s="1488"/>
      <c r="G1003" s="1489"/>
      <c r="H1003" s="1490"/>
      <c r="I1003" s="1487"/>
      <c r="J1003" s="1488"/>
      <c r="K1003" s="1489"/>
      <c r="L1003" s="1490"/>
      <c r="M1003" s="1487"/>
      <c r="N1003" s="1488"/>
      <c r="O1003" s="1489"/>
      <c r="P1003" s="1490"/>
      <c r="X1003" s="1445" t="e">
        <f ca="1"/>
        <v>#NAME?</v>
      </c>
      <c r="Y1003" s="1446" t="e">
        <f ca="1"/>
        <v>#NAME?</v>
      </c>
    </row>
    <row r="1004" spans="1:25">
      <c r="A1004" s="1487"/>
      <c r="B1004" s="1488"/>
      <c r="C1004" s="1489"/>
      <c r="D1004" s="1490"/>
      <c r="E1004" s="1487"/>
      <c r="F1004" s="1488"/>
      <c r="G1004" s="1489"/>
      <c r="H1004" s="1490"/>
      <c r="I1004" s="1487"/>
      <c r="J1004" s="1488"/>
      <c r="K1004" s="1489"/>
      <c r="L1004" s="1490"/>
      <c r="M1004" s="1487"/>
      <c r="N1004" s="1488"/>
      <c r="O1004" s="1489"/>
      <c r="P1004" s="1490"/>
      <c r="X1004" s="1445" t="e">
        <f ca="1"/>
        <v>#NAME?</v>
      </c>
      <c r="Y1004" s="1446" t="e">
        <f ca="1"/>
        <v>#NAME?</v>
      </c>
    </row>
    <row r="1005" spans="1:25">
      <c r="A1005" s="1487"/>
      <c r="B1005" s="1488"/>
      <c r="C1005" s="1489"/>
      <c r="D1005" s="1490"/>
      <c r="E1005" s="1487"/>
      <c r="F1005" s="1488"/>
      <c r="G1005" s="1489"/>
      <c r="H1005" s="1490"/>
      <c r="I1005" s="1487"/>
      <c r="J1005" s="1488"/>
      <c r="K1005" s="1489"/>
      <c r="L1005" s="1490"/>
      <c r="M1005" s="1487"/>
      <c r="N1005" s="1488"/>
      <c r="O1005" s="1489"/>
      <c r="P1005" s="1490"/>
      <c r="X1005" s="1445" t="e">
        <f ca="1"/>
        <v>#NAME?</v>
      </c>
      <c r="Y1005" s="1446" t="e">
        <f ca="1"/>
        <v>#NAME?</v>
      </c>
    </row>
    <row r="1006" spans="1:25">
      <c r="A1006" s="1487"/>
      <c r="B1006" s="1488"/>
      <c r="C1006" s="1489"/>
      <c r="D1006" s="1490"/>
      <c r="E1006" s="1487"/>
      <c r="F1006" s="1488"/>
      <c r="G1006" s="1489"/>
      <c r="H1006" s="1490"/>
      <c r="I1006" s="1487"/>
      <c r="J1006" s="1488"/>
      <c r="K1006" s="1489"/>
      <c r="L1006" s="1490"/>
      <c r="M1006" s="1487"/>
      <c r="N1006" s="1488"/>
      <c r="O1006" s="1489"/>
      <c r="P1006" s="1490"/>
      <c r="X1006" s="1445" t="e">
        <f ca="1"/>
        <v>#NAME?</v>
      </c>
      <c r="Y1006" s="1446" t="e">
        <f ca="1"/>
        <v>#NAME?</v>
      </c>
    </row>
    <row r="1007" spans="1:25">
      <c r="A1007" s="1487"/>
      <c r="B1007" s="1488"/>
      <c r="C1007" s="1489"/>
      <c r="D1007" s="1490"/>
      <c r="E1007" s="1487"/>
      <c r="F1007" s="1488"/>
      <c r="G1007" s="1489"/>
      <c r="H1007" s="1490"/>
      <c r="I1007" s="1487"/>
      <c r="J1007" s="1488"/>
      <c r="K1007" s="1489"/>
      <c r="L1007" s="1490"/>
      <c r="M1007" s="1487"/>
      <c r="N1007" s="1488"/>
      <c r="O1007" s="1489"/>
      <c r="P1007" s="1490"/>
      <c r="X1007" s="1445" t="e">
        <f ca="1"/>
        <v>#NAME?</v>
      </c>
      <c r="Y1007" s="1446" t="e">
        <f ca="1"/>
        <v>#NAME?</v>
      </c>
    </row>
    <row r="1008" spans="1:25">
      <c r="A1008" s="1487"/>
      <c r="B1008" s="1488"/>
      <c r="C1008" s="1489"/>
      <c r="D1008" s="1490"/>
      <c r="E1008" s="1487"/>
      <c r="F1008" s="1488"/>
      <c r="G1008" s="1489"/>
      <c r="H1008" s="1490"/>
      <c r="I1008" s="1487"/>
      <c r="J1008" s="1488"/>
      <c r="K1008" s="1489"/>
      <c r="L1008" s="1490"/>
      <c r="M1008" s="1487"/>
      <c r="N1008" s="1488"/>
      <c r="O1008" s="1489"/>
      <c r="P1008" s="1490"/>
      <c r="X1008" s="1445" t="e">
        <f ca="1"/>
        <v>#NAME?</v>
      </c>
      <c r="Y1008" s="1446" t="e">
        <f ca="1"/>
        <v>#NAME?</v>
      </c>
    </row>
    <row r="1009" spans="1:25">
      <c r="A1009" s="1487"/>
      <c r="B1009" s="1488"/>
      <c r="C1009" s="1489"/>
      <c r="D1009" s="1490"/>
      <c r="E1009" s="1487"/>
      <c r="F1009" s="1488"/>
      <c r="G1009" s="1489"/>
      <c r="H1009" s="1490"/>
      <c r="I1009" s="1487"/>
      <c r="J1009" s="1488"/>
      <c r="K1009" s="1489"/>
      <c r="L1009" s="1490"/>
      <c r="M1009" s="1487"/>
      <c r="N1009" s="1488"/>
      <c r="O1009" s="1489"/>
      <c r="P1009" s="1490"/>
      <c r="X1009" s="1445" t="e">
        <f ca="1"/>
        <v>#NAME?</v>
      </c>
      <c r="Y1009" s="1446" t="e">
        <f ca="1"/>
        <v>#NAME?</v>
      </c>
    </row>
    <row r="1010" spans="1:25">
      <c r="A1010" s="1487"/>
      <c r="B1010" s="1488"/>
      <c r="C1010" s="1489"/>
      <c r="D1010" s="1490"/>
      <c r="E1010" s="1487"/>
      <c r="F1010" s="1488"/>
      <c r="G1010" s="1489"/>
      <c r="H1010" s="1490"/>
      <c r="I1010" s="1487"/>
      <c r="J1010" s="1488"/>
      <c r="K1010" s="1489"/>
      <c r="L1010" s="1490"/>
      <c r="M1010" s="1487"/>
      <c r="N1010" s="1488"/>
      <c r="O1010" s="1489"/>
      <c r="P1010" s="1490"/>
      <c r="X1010" s="1445" t="e">
        <f ca="1"/>
        <v>#NAME?</v>
      </c>
      <c r="Y1010" s="1446" t="e">
        <f ca="1"/>
        <v>#NAME?</v>
      </c>
    </row>
    <row r="1011" spans="1:25">
      <c r="A1011" s="1487"/>
      <c r="B1011" s="1488"/>
      <c r="C1011" s="1489"/>
      <c r="D1011" s="1490"/>
      <c r="E1011" s="1487"/>
      <c r="F1011" s="1488"/>
      <c r="G1011" s="1489"/>
      <c r="H1011" s="1490"/>
      <c r="I1011" s="1487"/>
      <c r="J1011" s="1488"/>
      <c r="K1011" s="1489"/>
      <c r="L1011" s="1490"/>
      <c r="M1011" s="1487"/>
      <c r="N1011" s="1488"/>
      <c r="O1011" s="1489"/>
      <c r="P1011" s="1490"/>
      <c r="X1011" s="1445" t="e">
        <f ca="1"/>
        <v>#NAME?</v>
      </c>
      <c r="Y1011" s="1446" t="e">
        <f ca="1"/>
        <v>#NAME?</v>
      </c>
    </row>
    <row r="1012" spans="1:25">
      <c r="A1012" s="1487"/>
      <c r="B1012" s="1488"/>
      <c r="C1012" s="1489"/>
      <c r="D1012" s="1490"/>
      <c r="E1012" s="1487"/>
      <c r="F1012" s="1488"/>
      <c r="G1012" s="1489"/>
      <c r="H1012" s="1490"/>
      <c r="I1012" s="1487"/>
      <c r="J1012" s="1488"/>
      <c r="K1012" s="1489"/>
      <c r="L1012" s="1490"/>
      <c r="M1012" s="1487"/>
      <c r="N1012" s="1488"/>
      <c r="O1012" s="1489"/>
      <c r="P1012" s="1490"/>
      <c r="X1012" s="1445" t="e">
        <f ca="1"/>
        <v>#NAME?</v>
      </c>
      <c r="Y1012" s="1446" t="e">
        <f ca="1"/>
        <v>#NAME?</v>
      </c>
    </row>
    <row r="1013" spans="1:25">
      <c r="A1013" s="1487"/>
      <c r="B1013" s="1488"/>
      <c r="C1013" s="1489"/>
      <c r="D1013" s="1490"/>
      <c r="E1013" s="1487"/>
      <c r="F1013" s="1488"/>
      <c r="G1013" s="1489"/>
      <c r="H1013" s="1490"/>
      <c r="I1013" s="1487"/>
      <c r="J1013" s="1488"/>
      <c r="K1013" s="1489"/>
      <c r="L1013" s="1490"/>
      <c r="M1013" s="1487"/>
      <c r="N1013" s="1488"/>
      <c r="O1013" s="1489"/>
      <c r="P1013" s="1490"/>
      <c r="X1013" s="1445" t="e">
        <f ca="1"/>
        <v>#NAME?</v>
      </c>
      <c r="Y1013" s="1446" t="e">
        <f ca="1"/>
        <v>#NAME?</v>
      </c>
    </row>
    <row r="1014" spans="1:25">
      <c r="A1014" s="1487"/>
      <c r="B1014" s="1488"/>
      <c r="C1014" s="1489"/>
      <c r="D1014" s="1490"/>
      <c r="E1014" s="1487"/>
      <c r="F1014" s="1488"/>
      <c r="G1014" s="1489"/>
      <c r="H1014" s="1490"/>
      <c r="I1014" s="1487"/>
      <c r="J1014" s="1488"/>
      <c r="K1014" s="1489"/>
      <c r="L1014" s="1490"/>
      <c r="M1014" s="1487"/>
      <c r="N1014" s="1488"/>
      <c r="O1014" s="1489"/>
      <c r="P1014" s="1490"/>
      <c r="X1014" s="1445" t="e">
        <f ca="1"/>
        <v>#NAME?</v>
      </c>
      <c r="Y1014" s="1446" t="e">
        <f ca="1"/>
        <v>#NAME?</v>
      </c>
    </row>
    <row r="1015" spans="1:25">
      <c r="A1015" s="1487"/>
      <c r="B1015" s="1488"/>
      <c r="C1015" s="1489"/>
      <c r="D1015" s="1490"/>
      <c r="E1015" s="1487"/>
      <c r="F1015" s="1488"/>
      <c r="G1015" s="1489"/>
      <c r="H1015" s="1490"/>
      <c r="I1015" s="1487"/>
      <c r="J1015" s="1488"/>
      <c r="K1015" s="1489"/>
      <c r="L1015" s="1490"/>
      <c r="M1015" s="1487"/>
      <c r="N1015" s="1488"/>
      <c r="O1015" s="1489"/>
      <c r="P1015" s="1490"/>
      <c r="X1015" s="1445" t="e">
        <f ca="1"/>
        <v>#NAME?</v>
      </c>
      <c r="Y1015" s="1446" t="e">
        <f ca="1"/>
        <v>#NAME?</v>
      </c>
    </row>
    <row r="1016" spans="1:25">
      <c r="A1016" s="1487"/>
      <c r="B1016" s="1488"/>
      <c r="C1016" s="1489"/>
      <c r="D1016" s="1490"/>
      <c r="E1016" s="1487"/>
      <c r="F1016" s="1488"/>
      <c r="G1016" s="1489"/>
      <c r="H1016" s="1490"/>
      <c r="I1016" s="1487"/>
      <c r="J1016" s="1488"/>
      <c r="K1016" s="1489"/>
      <c r="L1016" s="1490"/>
      <c r="M1016" s="1487"/>
      <c r="N1016" s="1488"/>
      <c r="O1016" s="1489"/>
      <c r="P1016" s="1490"/>
      <c r="X1016" s="1445" t="e">
        <f ca="1"/>
        <v>#NAME?</v>
      </c>
      <c r="Y1016" s="1446" t="e">
        <f ca="1"/>
        <v>#NAME?</v>
      </c>
    </row>
    <row r="1017" spans="1:25">
      <c r="A1017" s="1487"/>
      <c r="B1017" s="1488"/>
      <c r="C1017" s="1489"/>
      <c r="D1017" s="1490"/>
      <c r="E1017" s="1487"/>
      <c r="F1017" s="1488"/>
      <c r="G1017" s="1489"/>
      <c r="H1017" s="1490"/>
      <c r="I1017" s="1487"/>
      <c r="J1017" s="1488"/>
      <c r="K1017" s="1489"/>
      <c r="L1017" s="1490"/>
      <c r="M1017" s="1487"/>
      <c r="N1017" s="1488"/>
      <c r="O1017" s="1489"/>
      <c r="P1017" s="1490"/>
      <c r="X1017" s="1445" t="e">
        <f ca="1"/>
        <v>#NAME?</v>
      </c>
      <c r="Y1017" s="1446" t="e">
        <f ca="1"/>
        <v>#NAME?</v>
      </c>
    </row>
    <row r="1018" spans="1:25">
      <c r="A1018" s="1487"/>
      <c r="B1018" s="1488"/>
      <c r="C1018" s="1489"/>
      <c r="D1018" s="1490"/>
      <c r="E1018" s="1487"/>
      <c r="F1018" s="1488"/>
      <c r="G1018" s="1489"/>
      <c r="H1018" s="1490"/>
      <c r="I1018" s="1487"/>
      <c r="J1018" s="1488"/>
      <c r="K1018" s="1489"/>
      <c r="L1018" s="1490"/>
      <c r="M1018" s="1487"/>
      <c r="N1018" s="1488"/>
      <c r="O1018" s="1489"/>
      <c r="P1018" s="1490"/>
      <c r="X1018" s="1445" t="e">
        <f ca="1"/>
        <v>#NAME?</v>
      </c>
      <c r="Y1018" s="1446" t="e">
        <f ca="1"/>
        <v>#NAME?</v>
      </c>
    </row>
    <row r="1019" spans="1:25">
      <c r="A1019" s="1487"/>
      <c r="B1019" s="1488"/>
      <c r="C1019" s="1489"/>
      <c r="D1019" s="1490"/>
      <c r="E1019" s="1487"/>
      <c r="F1019" s="1488"/>
      <c r="G1019" s="1489"/>
      <c r="H1019" s="1490"/>
      <c r="I1019" s="1487"/>
      <c r="J1019" s="1488"/>
      <c r="K1019" s="1489"/>
      <c r="L1019" s="1490"/>
      <c r="M1019" s="1487"/>
      <c r="N1019" s="1488"/>
      <c r="O1019" s="1489"/>
      <c r="P1019" s="1490"/>
      <c r="X1019" s="1445" t="e">
        <f ca="1"/>
        <v>#NAME?</v>
      </c>
      <c r="Y1019" s="1446" t="e">
        <f ca="1"/>
        <v>#NAME?</v>
      </c>
    </row>
    <row r="1020" spans="1:25">
      <c r="A1020" s="1487"/>
      <c r="B1020" s="1488"/>
      <c r="C1020" s="1489"/>
      <c r="D1020" s="1490"/>
      <c r="E1020" s="1487"/>
      <c r="F1020" s="1488"/>
      <c r="G1020" s="1489"/>
      <c r="H1020" s="1490"/>
      <c r="I1020" s="1487"/>
      <c r="J1020" s="1488"/>
      <c r="K1020" s="1489"/>
      <c r="L1020" s="1490"/>
      <c r="M1020" s="1487"/>
      <c r="N1020" s="1488"/>
      <c r="O1020" s="1489"/>
      <c r="P1020" s="1490"/>
      <c r="X1020" s="1445" t="e">
        <f ca="1"/>
        <v>#NAME?</v>
      </c>
      <c r="Y1020" s="1446" t="e">
        <f ca="1"/>
        <v>#NAME?</v>
      </c>
    </row>
    <row r="1021" spans="1:25">
      <c r="A1021" s="1487"/>
      <c r="B1021" s="1488"/>
      <c r="C1021" s="1489"/>
      <c r="D1021" s="1490"/>
      <c r="E1021" s="1487"/>
      <c r="F1021" s="1488"/>
      <c r="G1021" s="1489"/>
      <c r="H1021" s="1490"/>
      <c r="I1021" s="1487"/>
      <c r="J1021" s="1488"/>
      <c r="K1021" s="1489"/>
      <c r="L1021" s="1490"/>
      <c r="M1021" s="1487"/>
      <c r="N1021" s="1488"/>
      <c r="O1021" s="1489"/>
      <c r="P1021" s="1490"/>
      <c r="X1021" s="1445" t="e">
        <f ca="1"/>
        <v>#NAME?</v>
      </c>
      <c r="Y1021" s="1446" t="e">
        <f ca="1"/>
        <v>#NAME?</v>
      </c>
    </row>
    <row r="1022" spans="1:25">
      <c r="A1022" s="1487"/>
      <c r="B1022" s="1488"/>
      <c r="C1022" s="1489"/>
      <c r="D1022" s="1490"/>
      <c r="E1022" s="1487"/>
      <c r="F1022" s="1488"/>
      <c r="G1022" s="1489"/>
      <c r="H1022" s="1490"/>
      <c r="I1022" s="1487"/>
      <c r="J1022" s="1488"/>
      <c r="K1022" s="1489"/>
      <c r="L1022" s="1490"/>
      <c r="M1022" s="1487"/>
      <c r="N1022" s="1488"/>
      <c r="O1022" s="1489"/>
      <c r="P1022" s="1490"/>
      <c r="X1022" s="1445" t="e">
        <f ca="1"/>
        <v>#NAME?</v>
      </c>
      <c r="Y1022" s="1446" t="e">
        <f ca="1"/>
        <v>#NAME?</v>
      </c>
    </row>
    <row r="1023" spans="1:25">
      <c r="A1023" s="1487"/>
      <c r="B1023" s="1488"/>
      <c r="C1023" s="1489"/>
      <c r="D1023" s="1490"/>
      <c r="E1023" s="1487"/>
      <c r="F1023" s="1488"/>
      <c r="G1023" s="1489"/>
      <c r="H1023" s="1490"/>
      <c r="I1023" s="1487"/>
      <c r="J1023" s="1488"/>
      <c r="K1023" s="1489"/>
      <c r="L1023" s="1490"/>
      <c r="M1023" s="1487"/>
      <c r="N1023" s="1488"/>
      <c r="O1023" s="1489"/>
      <c r="P1023" s="1490"/>
      <c r="X1023" s="1445" t="e">
        <f ca="1"/>
        <v>#NAME?</v>
      </c>
      <c r="Y1023" s="1446" t="e">
        <f ca="1"/>
        <v>#NAME?</v>
      </c>
    </row>
    <row r="1024" spans="1:25">
      <c r="A1024" s="1487"/>
      <c r="B1024" s="1488"/>
      <c r="C1024" s="1489"/>
      <c r="D1024" s="1490"/>
      <c r="E1024" s="1487"/>
      <c r="F1024" s="1488"/>
      <c r="G1024" s="1489"/>
      <c r="H1024" s="1490"/>
      <c r="I1024" s="1487"/>
      <c r="J1024" s="1488"/>
      <c r="K1024" s="1489"/>
      <c r="L1024" s="1490"/>
      <c r="M1024" s="1487"/>
      <c r="N1024" s="1488"/>
      <c r="O1024" s="1489"/>
      <c r="P1024" s="1490"/>
      <c r="X1024" s="1445" t="e">
        <f ca="1"/>
        <v>#NAME?</v>
      </c>
      <c r="Y1024" s="1446" t="e">
        <f ca="1"/>
        <v>#NAME?</v>
      </c>
    </row>
    <row r="1025" spans="1:25">
      <c r="A1025" s="1487"/>
      <c r="B1025" s="1488"/>
      <c r="C1025" s="1489"/>
      <c r="D1025" s="1490"/>
      <c r="E1025" s="1487"/>
      <c r="F1025" s="1488"/>
      <c r="G1025" s="1489"/>
      <c r="H1025" s="1490"/>
      <c r="I1025" s="1487"/>
      <c r="J1025" s="1488"/>
      <c r="K1025" s="1489"/>
      <c r="L1025" s="1490"/>
      <c r="M1025" s="1487"/>
      <c r="N1025" s="1488"/>
      <c r="O1025" s="1489"/>
      <c r="P1025" s="1490"/>
      <c r="X1025" s="1445" t="e">
        <f ca="1"/>
        <v>#NAME?</v>
      </c>
      <c r="Y1025" s="1446" t="e">
        <f ca="1"/>
        <v>#NAME?</v>
      </c>
    </row>
    <row r="1026" spans="1:25">
      <c r="A1026" s="1487"/>
      <c r="B1026" s="1488"/>
      <c r="C1026" s="1489"/>
      <c r="D1026" s="1490"/>
      <c r="E1026" s="1487"/>
      <c r="F1026" s="1488"/>
      <c r="G1026" s="1489"/>
      <c r="H1026" s="1490"/>
      <c r="I1026" s="1487"/>
      <c r="J1026" s="1488"/>
      <c r="K1026" s="1489"/>
      <c r="L1026" s="1490"/>
      <c r="M1026" s="1487"/>
      <c r="N1026" s="1488"/>
      <c r="O1026" s="1489"/>
      <c r="P1026" s="1490"/>
      <c r="X1026" s="1445" t="e">
        <f ca="1"/>
        <v>#NAME?</v>
      </c>
      <c r="Y1026" s="1446" t="e">
        <f ca="1"/>
        <v>#NAME?</v>
      </c>
    </row>
    <row r="1027" spans="1:25">
      <c r="A1027" s="1487"/>
      <c r="B1027" s="1488"/>
      <c r="C1027" s="1489"/>
      <c r="D1027" s="1490"/>
      <c r="E1027" s="1487"/>
      <c r="F1027" s="1488"/>
      <c r="G1027" s="1489"/>
      <c r="H1027" s="1490"/>
      <c r="I1027" s="1487"/>
      <c r="J1027" s="1488"/>
      <c r="K1027" s="1489"/>
      <c r="L1027" s="1490"/>
      <c r="M1027" s="1487"/>
      <c r="N1027" s="1488"/>
      <c r="O1027" s="1489"/>
      <c r="P1027" s="1490"/>
      <c r="X1027" s="1445" t="e">
        <f ca="1"/>
        <v>#NAME?</v>
      </c>
      <c r="Y1027" s="1446" t="e">
        <f ca="1"/>
        <v>#NAME?</v>
      </c>
    </row>
    <row r="1028" spans="1:25">
      <c r="A1028" s="1487"/>
      <c r="B1028" s="1488"/>
      <c r="C1028" s="1489"/>
      <c r="D1028" s="1490"/>
      <c r="E1028" s="1487"/>
      <c r="F1028" s="1488"/>
      <c r="G1028" s="1489"/>
      <c r="H1028" s="1490"/>
      <c r="I1028" s="1487"/>
      <c r="J1028" s="1488"/>
      <c r="K1028" s="1489"/>
      <c r="L1028" s="1490"/>
      <c r="M1028" s="1487"/>
      <c r="N1028" s="1488"/>
      <c r="O1028" s="1489"/>
      <c r="P1028" s="1490"/>
      <c r="X1028" s="1445" t="e">
        <f ca="1"/>
        <v>#NAME?</v>
      </c>
      <c r="Y1028" s="1446" t="e">
        <f ca="1"/>
        <v>#NAME?</v>
      </c>
    </row>
    <row r="1029" spans="1:25">
      <c r="A1029" s="1487"/>
      <c r="B1029" s="1488"/>
      <c r="C1029" s="1489"/>
      <c r="D1029" s="1490"/>
      <c r="E1029" s="1487"/>
      <c r="F1029" s="1488"/>
      <c r="G1029" s="1489"/>
      <c r="H1029" s="1490"/>
      <c r="I1029" s="1487"/>
      <c r="J1029" s="1488"/>
      <c r="K1029" s="1489"/>
      <c r="L1029" s="1490"/>
      <c r="M1029" s="1487"/>
      <c r="N1029" s="1488"/>
      <c r="O1029" s="1489"/>
      <c r="P1029" s="1490"/>
      <c r="X1029" s="1445" t="e">
        <f ca="1"/>
        <v>#NAME?</v>
      </c>
      <c r="Y1029" s="1446" t="e">
        <f ca="1"/>
        <v>#NAME?</v>
      </c>
    </row>
    <row r="1030" spans="1:25">
      <c r="A1030" s="1487"/>
      <c r="B1030" s="1488"/>
      <c r="C1030" s="1489"/>
      <c r="D1030" s="1490"/>
      <c r="E1030" s="1487"/>
      <c r="F1030" s="1488"/>
      <c r="G1030" s="1489"/>
      <c r="H1030" s="1490"/>
      <c r="I1030" s="1487"/>
      <c r="J1030" s="1488"/>
      <c r="K1030" s="1489"/>
      <c r="L1030" s="1490"/>
      <c r="M1030" s="1487"/>
      <c r="N1030" s="1488"/>
      <c r="O1030" s="1489"/>
      <c r="P1030" s="1490"/>
      <c r="X1030" s="1445" t="e">
        <f ca="1"/>
        <v>#NAME?</v>
      </c>
      <c r="Y1030" s="1446" t="e">
        <f ca="1"/>
        <v>#NAME?</v>
      </c>
    </row>
    <row r="1031" spans="1:25" ht="13.5" thickBot="1">
      <c r="A1031" s="1494"/>
      <c r="B1031" s="1495"/>
      <c r="C1031" s="1496"/>
      <c r="D1031" s="1497"/>
      <c r="E1031" s="1494"/>
      <c r="F1031" s="1495"/>
      <c r="G1031" s="1496"/>
      <c r="H1031" s="1497"/>
      <c r="I1031" s="1494"/>
      <c r="J1031" s="1495"/>
      <c r="K1031" s="1496"/>
      <c r="L1031" s="1497"/>
      <c r="M1031" s="1494"/>
      <c r="N1031" s="1495"/>
      <c r="O1031" s="1496"/>
      <c r="P1031" s="1497"/>
      <c r="X1031" s="1447" t="e">
        <f ca="1"/>
        <v>#NAME?</v>
      </c>
      <c r="Y1031" s="1448" t="e">
        <f ca="1"/>
        <v>#NAME?</v>
      </c>
    </row>
  </sheetData>
  <sheetProtection algorithmName="SHA-512" hashValue="0HdjEQ1XTpa1nuJXc/bfB6oKIIeH0exeY7XwrRdiBhHSW0vw5wIm149/KkfZcKZ6vPUKEBvruGqPnTV7XZWSqQ==" saltValue="dwrd/Sf5rR6vfRFffbGojw==" spinCount="100000" sheet="1" objects="1" scenarios="1"/>
  <mergeCells count="11">
    <mergeCell ref="O28:P28"/>
    <mergeCell ref="D1:N1"/>
    <mergeCell ref="B4:P4"/>
    <mergeCell ref="A27:P27"/>
    <mergeCell ref="A28:B28"/>
    <mergeCell ref="C28:D28"/>
    <mergeCell ref="E28:F28"/>
    <mergeCell ref="G28:H28"/>
    <mergeCell ref="I28:J28"/>
    <mergeCell ref="K28:L28"/>
    <mergeCell ref="M28:N28"/>
  </mergeCells>
  <dataValidations count="1">
    <dataValidation type="list" allowBlank="1" showInputMessage="1" showErrorMessage="1" sqref="R18" xr:uid="{00000000-0002-0000-1300-000000000000}">
      <formula1>$R$8:$R$14</formula1>
    </dataValidation>
  </dataValidations>
  <printOptions horizontalCentered="1"/>
  <pageMargins left="0.25" right="0.25" top="0.25" bottom="0.25" header="0.5" footer="0.5"/>
  <pageSetup scale="67" orientation="landscape" verticalDpi="599" r:id="rId1"/>
  <headerFooter alignWithMargins="0"/>
  <drawing r:id="rId2"/>
  <legacyDrawing r:id="rId3"/>
  <controls>
    <mc:AlternateContent xmlns:mc="http://schemas.openxmlformats.org/markup-compatibility/2006">
      <mc:Choice Requires="x14">
        <control shapeId="65537" r:id="rId4" name="Label1">
          <controlPr defaultSize="0" autoFill="0" autoLine="0" r:id="rId5">
            <anchor moveWithCells="1">
              <from>
                <xdr:col>8</xdr:col>
                <xdr:colOff>180975</xdr:colOff>
                <xdr:row>1</xdr:row>
                <xdr:rowOff>247650</xdr:rowOff>
              </from>
              <to>
                <xdr:col>15</xdr:col>
                <xdr:colOff>104775</xdr:colOff>
                <xdr:row>1</xdr:row>
                <xdr:rowOff>676275</xdr:rowOff>
              </to>
            </anchor>
          </controlPr>
        </control>
      </mc:Choice>
      <mc:Fallback>
        <control shapeId="65537" r:id="rId4" name="Label1"/>
      </mc:Fallback>
    </mc:AlternateContent>
    <mc:AlternateContent xmlns:mc="http://schemas.openxmlformats.org/markup-compatibility/2006">
      <mc:Choice Requires="x14">
        <control shapeId="65538" r:id="rId6" name="cbLoadData">
          <controlPr autoLine="0" r:id="rId7">
            <anchor moveWithCells="1">
              <from>
                <xdr:col>3</xdr:col>
                <xdr:colOff>0</xdr:colOff>
                <xdr:row>1</xdr:row>
                <xdr:rowOff>371475</xdr:rowOff>
              </from>
              <to>
                <xdr:col>5</xdr:col>
                <xdr:colOff>0</xdr:colOff>
                <xdr:row>1</xdr:row>
                <xdr:rowOff>752475</xdr:rowOff>
              </to>
            </anchor>
          </controlPr>
        </control>
      </mc:Choice>
      <mc:Fallback>
        <control shapeId="65538" r:id="rId6" name="cbLoadDat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5"/>
  <dimension ref="A1:AE1031"/>
  <sheetViews>
    <sheetView zoomScaleNormal="100" workbookViewId="0">
      <pane ySplit="30" topLeftCell="A31" activePane="bottomLeft" state="frozen"/>
      <selection pane="bottomLeft"/>
    </sheetView>
  </sheetViews>
  <sheetFormatPr defaultRowHeight="12.75"/>
  <cols>
    <col min="1" max="16" width="12.5703125" style="1400" customWidth="1"/>
    <col min="17" max="17" width="9.140625" style="1400"/>
    <col min="18" max="21" width="9.140625" style="1408" hidden="1" customWidth="1"/>
    <col min="22" max="23" width="9.140625" style="1408" customWidth="1"/>
    <col min="24" max="25" width="19.5703125" style="1408" hidden="1" customWidth="1"/>
    <col min="26" max="26" width="9.140625" style="1399" customWidth="1"/>
    <col min="27" max="27" width="9.140625" style="1408"/>
    <col min="28" max="16384" width="9.140625" style="1400"/>
  </cols>
  <sheetData>
    <row r="1" spans="1:31" ht="26.25" customHeight="1" thickBot="1">
      <c r="A1" s="1395" t="s">
        <v>2754</v>
      </c>
      <c r="B1" s="1396" t="s">
        <v>2755</v>
      </c>
      <c r="C1" s="1397"/>
      <c r="D1" s="1687" t="s">
        <v>1627</v>
      </c>
      <c r="E1" s="1687"/>
      <c r="F1" s="1687"/>
      <c r="G1" s="1687"/>
      <c r="H1" s="1687"/>
      <c r="I1" s="1687"/>
      <c r="J1" s="1687"/>
      <c r="K1" s="1687"/>
      <c r="L1" s="1687"/>
      <c r="M1" s="1687"/>
      <c r="N1" s="1687"/>
      <c r="O1" s="1397"/>
      <c r="P1" s="1398" t="str">
        <f>'KYCT Data Sublot # 1'!P1</f>
        <v>February 2020</v>
      </c>
      <c r="Q1" s="1399"/>
      <c r="R1" s="1399"/>
      <c r="S1" s="1399"/>
      <c r="T1" s="1399"/>
      <c r="U1" s="1399"/>
      <c r="V1" s="1399"/>
      <c r="W1" s="1399"/>
      <c r="X1" s="1399"/>
      <c r="Y1" s="1399"/>
      <c r="AA1" s="1399"/>
      <c r="AB1" s="1399"/>
      <c r="AC1" s="1399"/>
      <c r="AD1" s="1399"/>
      <c r="AE1" s="1399"/>
    </row>
    <row r="2" spans="1:31" ht="69" customHeight="1">
      <c r="A2" s="1401"/>
      <c r="B2" s="1402"/>
      <c r="C2" s="1403"/>
      <c r="D2" s="1403"/>
      <c r="E2" s="1403"/>
      <c r="F2" s="1403"/>
      <c r="G2" s="1403"/>
      <c r="H2" s="1403"/>
      <c r="I2" s="1403"/>
      <c r="J2" s="1403"/>
      <c r="K2" s="1403"/>
      <c r="L2" s="1403"/>
      <c r="M2" s="1403"/>
      <c r="N2" s="1403"/>
      <c r="O2" s="1403"/>
      <c r="P2" s="1404"/>
      <c r="Q2" s="1399"/>
      <c r="R2" s="1399"/>
      <c r="S2" s="1399"/>
      <c r="T2" s="1399"/>
      <c r="U2" s="1399"/>
      <c r="V2" s="1399"/>
      <c r="W2" s="1399"/>
      <c r="X2" s="1399"/>
      <c r="Y2" s="1399"/>
      <c r="AA2" s="1399"/>
      <c r="AB2" s="1399"/>
      <c r="AC2" s="1399"/>
      <c r="AD2" s="1399"/>
      <c r="AE2" s="1399"/>
    </row>
    <row r="3" spans="1:31" ht="18" customHeight="1" thickBot="1">
      <c r="A3" s="1405"/>
      <c r="B3" s="1406"/>
      <c r="C3" s="1406"/>
      <c r="D3" s="1406"/>
      <c r="E3" s="1406"/>
      <c r="F3" s="1406"/>
      <c r="G3" s="1406"/>
      <c r="H3" s="1406"/>
      <c r="I3" s="1406"/>
      <c r="J3" s="1406"/>
      <c r="K3" s="1406"/>
      <c r="L3" s="1406"/>
      <c r="M3" s="1406"/>
      <c r="N3" s="1406"/>
      <c r="O3" s="1406"/>
      <c r="P3" s="1407" t="s">
        <v>2756</v>
      </c>
      <c r="Q3" s="1399"/>
      <c r="R3" s="1399"/>
      <c r="S3" s="1399"/>
      <c r="T3" s="1399"/>
      <c r="U3" s="1399"/>
      <c r="V3" s="1399"/>
      <c r="X3" s="1409" t="s">
        <v>1152</v>
      </c>
      <c r="Y3" s="1409">
        <v>1</v>
      </c>
      <c r="AB3" s="1399"/>
      <c r="AC3" s="1399"/>
      <c r="AD3" s="1399"/>
      <c r="AE3" s="1399"/>
    </row>
    <row r="4" spans="1:31" ht="22.5" customHeight="1" thickBot="1">
      <c r="A4" s="1410" t="s">
        <v>2757</v>
      </c>
      <c r="B4" s="1688"/>
      <c r="C4" s="1689"/>
      <c r="D4" s="1689"/>
      <c r="E4" s="1689"/>
      <c r="F4" s="1689"/>
      <c r="G4" s="1689"/>
      <c r="H4" s="1689"/>
      <c r="I4" s="1689"/>
      <c r="J4" s="1689"/>
      <c r="K4" s="1689"/>
      <c r="L4" s="1689"/>
      <c r="M4" s="1689"/>
      <c r="N4" s="1689"/>
      <c r="O4" s="1689"/>
      <c r="P4" s="1690"/>
      <c r="Q4" s="1399"/>
      <c r="R4" s="1399"/>
      <c r="S4" s="1399"/>
      <c r="T4" s="1399"/>
      <c r="U4" s="1399"/>
      <c r="V4" s="1399"/>
      <c r="W4" s="1399"/>
      <c r="X4" s="1411">
        <f>B4</f>
        <v>0</v>
      </c>
      <c r="Y4" s="1412"/>
      <c r="AA4" s="1399"/>
      <c r="AB4" s="1399"/>
      <c r="AC4" s="1399"/>
      <c r="AD4" s="1399"/>
      <c r="AE4" s="1399"/>
    </row>
    <row r="5" spans="1:31" ht="12.75" hidden="1" customHeight="1">
      <c r="A5" s="1413" t="s">
        <v>2758</v>
      </c>
      <c r="B5" s="1414">
        <f ca="1">COUNTA(INDIRECT("A"&amp;FirstRow&amp;":A"&amp;FirstRow+1000))</f>
        <v>0</v>
      </c>
      <c r="C5" s="1415" t="s">
        <v>2758</v>
      </c>
      <c r="D5" s="1416">
        <f ca="1">COUNTA(INDIRECT("C"&amp;FirstRow&amp;":C"&amp;FirstRow+1000))</f>
        <v>0</v>
      </c>
      <c r="E5" s="1413" t="s">
        <v>2758</v>
      </c>
      <c r="F5" s="1414">
        <f ca="1">COUNTA(INDIRECT("E"&amp;FirstRow&amp;":E"&amp;FirstRow+1000))</f>
        <v>0</v>
      </c>
      <c r="G5" s="1415" t="s">
        <v>2758</v>
      </c>
      <c r="H5" s="1416">
        <f ca="1">COUNTA(INDIRECT("G"&amp;FirstRow&amp;":G"&amp;FirstRow+1000))</f>
        <v>0</v>
      </c>
      <c r="I5" s="1413" t="s">
        <v>2758</v>
      </c>
      <c r="J5" s="1414">
        <f ca="1">COUNTA(INDIRECT("I"&amp;FirstRow&amp;":I"&amp;FirstRow+1000))</f>
        <v>0</v>
      </c>
      <c r="K5" s="1415" t="s">
        <v>2758</v>
      </c>
      <c r="L5" s="1416">
        <f ca="1">COUNTA(INDIRECT("K"&amp;FirstRow&amp;":K"&amp;FirstRow+1000))</f>
        <v>0</v>
      </c>
      <c r="M5" s="1413" t="s">
        <v>2758</v>
      </c>
      <c r="N5" s="1414">
        <f ca="1">COUNTA(INDIRECT("M"&amp;FirstRow&amp;":M"&amp;FirstRow+1000))</f>
        <v>0</v>
      </c>
      <c r="O5" s="1415" t="s">
        <v>2758</v>
      </c>
      <c r="P5" s="1416">
        <f ca="1">COUNTA(INDIRECT("O"&amp;FirstRow&amp;":O"&amp;FirstRow+1000))</f>
        <v>0</v>
      </c>
      <c r="Q5" s="1399"/>
      <c r="R5" s="1399"/>
      <c r="S5" s="1399"/>
      <c r="T5" s="1399"/>
      <c r="U5" s="1399"/>
      <c r="V5" s="1399"/>
      <c r="W5" s="1399"/>
      <c r="X5" s="1417" t="e">
        <f t="array" aca="1" ref="X5:Y1031" ca="1">IF(OFFSET(A5:P1031,0,(TestNum-1)*2)="",NA(),OFFSET(A5:P1031,0,(TestNum-1)*2))</f>
        <v>#NAME?</v>
      </c>
      <c r="Y5" s="1418" t="e">
        <f ca="1"/>
        <v>#NAME?</v>
      </c>
      <c r="AA5" s="1399"/>
      <c r="AB5" s="1399"/>
      <c r="AC5" s="1399"/>
      <c r="AD5" s="1399"/>
      <c r="AE5" s="1399"/>
    </row>
    <row r="6" spans="1:31" ht="12.75" hidden="1" customHeight="1">
      <c r="A6" s="1417" t="s">
        <v>2759</v>
      </c>
      <c r="B6" s="1419">
        <f ca="1">MAX(INDIRECT("B"&amp;FirstRow&amp;":B"&amp;FirstRow+B5))</f>
        <v>0</v>
      </c>
      <c r="C6" s="1449" t="s">
        <v>2759</v>
      </c>
      <c r="D6" s="1450">
        <f ca="1">MAX(INDIRECT("D"&amp;FirstRow&amp;":D"&amp;FirstRow+D5))</f>
        <v>0</v>
      </c>
      <c r="E6" s="1417" t="s">
        <v>2759</v>
      </c>
      <c r="F6" s="1419">
        <f ca="1">MAX(INDIRECT("F"&amp;FirstRow&amp;":F"&amp;FirstRow+F5))</f>
        <v>0</v>
      </c>
      <c r="G6" s="1449" t="s">
        <v>2759</v>
      </c>
      <c r="H6" s="1450">
        <f ca="1">MAX(INDIRECT("H"&amp;FirstRow&amp;":H"&amp;FirstRow+H5))</f>
        <v>0</v>
      </c>
      <c r="I6" s="1417" t="s">
        <v>2759</v>
      </c>
      <c r="J6" s="1419">
        <f ca="1">MAX(INDIRECT("J"&amp;FirstRow&amp;":J"&amp;FirstRow+J5))</f>
        <v>0</v>
      </c>
      <c r="K6" s="1449" t="s">
        <v>2759</v>
      </c>
      <c r="L6" s="1450">
        <f ca="1">MAX(INDIRECT("L"&amp;FirstRow&amp;":L"&amp;FirstRow+L5))</f>
        <v>0</v>
      </c>
      <c r="M6" s="1417" t="s">
        <v>2759</v>
      </c>
      <c r="N6" s="1419">
        <f ca="1">MAX(INDIRECT("N"&amp;FirstRow&amp;":N"&amp;FirstRow+N5))</f>
        <v>0</v>
      </c>
      <c r="O6" s="1449" t="s">
        <v>2759</v>
      </c>
      <c r="P6" s="1450">
        <f ca="1">MAX(INDIRECT("P"&amp;FirstRow&amp;":P"&amp;FirstRow+P5))</f>
        <v>0</v>
      </c>
      <c r="Q6" s="1399"/>
      <c r="R6" s="1451" t="s">
        <v>2760</v>
      </c>
      <c r="S6" s="1399">
        <v>31</v>
      </c>
      <c r="T6" s="1399"/>
      <c r="U6" s="1399"/>
      <c r="V6" s="1399"/>
      <c r="W6" s="1399"/>
      <c r="X6" s="1417" t="e">
        <f ca="1"/>
        <v>#NAME?</v>
      </c>
      <c r="Y6" s="1419" t="e">
        <f ca="1"/>
        <v>#NAME?</v>
      </c>
      <c r="AA6" s="1399"/>
      <c r="AB6" s="1399"/>
      <c r="AC6" s="1399"/>
      <c r="AD6" s="1399"/>
      <c r="AE6" s="1399"/>
    </row>
    <row r="7" spans="1:31" ht="12.75" hidden="1" customHeight="1">
      <c r="A7" s="1417" t="s">
        <v>2761</v>
      </c>
      <c r="B7" s="1419">
        <f ca="1">0.85*B6</f>
        <v>0</v>
      </c>
      <c r="C7" s="1449" t="s">
        <v>2761</v>
      </c>
      <c r="D7" s="1450">
        <f ca="1">0.85*D6</f>
        <v>0</v>
      </c>
      <c r="E7" s="1417" t="s">
        <v>2761</v>
      </c>
      <c r="F7" s="1419">
        <f ca="1">0.85*F6</f>
        <v>0</v>
      </c>
      <c r="G7" s="1449" t="s">
        <v>2761</v>
      </c>
      <c r="H7" s="1450">
        <f ca="1">0.85*H6</f>
        <v>0</v>
      </c>
      <c r="I7" s="1417" t="s">
        <v>2761</v>
      </c>
      <c r="J7" s="1419">
        <f ca="1">0.85*J6</f>
        <v>0</v>
      </c>
      <c r="K7" s="1449" t="s">
        <v>2761</v>
      </c>
      <c r="L7" s="1450">
        <f ca="1">0.85*L6</f>
        <v>0</v>
      </c>
      <c r="M7" s="1417" t="s">
        <v>2761</v>
      </c>
      <c r="N7" s="1419">
        <f ca="1">0.85*N6</f>
        <v>0</v>
      </c>
      <c r="O7" s="1449" t="s">
        <v>2761</v>
      </c>
      <c r="P7" s="1450">
        <f ca="1">0.85*P6</f>
        <v>0</v>
      </c>
      <c r="Q7" s="1399"/>
      <c r="R7" s="1399"/>
      <c r="S7" s="1399"/>
      <c r="T7" s="1399"/>
      <c r="U7" s="1399"/>
      <c r="V7" s="1399"/>
      <c r="W7" s="1399"/>
      <c r="X7" s="1417" t="e">
        <f ca="1"/>
        <v>#NAME?</v>
      </c>
      <c r="Y7" s="1419" t="e">
        <f ca="1"/>
        <v>#NAME?</v>
      </c>
      <c r="AA7" s="1399"/>
      <c r="AB7" s="1399"/>
      <c r="AC7" s="1399"/>
      <c r="AD7" s="1399"/>
      <c r="AE7" s="1399"/>
    </row>
    <row r="8" spans="1:31" ht="12.75" hidden="1" customHeight="1">
      <c r="A8" s="1417" t="s">
        <v>2762</v>
      </c>
      <c r="B8" s="1419">
        <f ca="1">0.75*B6</f>
        <v>0</v>
      </c>
      <c r="C8" s="1449" t="s">
        <v>2762</v>
      </c>
      <c r="D8" s="1450">
        <f ca="1">0.75*D6</f>
        <v>0</v>
      </c>
      <c r="E8" s="1417" t="s">
        <v>2762</v>
      </c>
      <c r="F8" s="1419">
        <f ca="1">0.75*F6</f>
        <v>0</v>
      </c>
      <c r="G8" s="1449" t="s">
        <v>2762</v>
      </c>
      <c r="H8" s="1450">
        <f ca="1">0.75*H6</f>
        <v>0</v>
      </c>
      <c r="I8" s="1417" t="s">
        <v>2762</v>
      </c>
      <c r="J8" s="1419">
        <f ca="1">0.75*J6</f>
        <v>0</v>
      </c>
      <c r="K8" s="1449" t="s">
        <v>2762</v>
      </c>
      <c r="L8" s="1450">
        <f ca="1">0.75*L6</f>
        <v>0</v>
      </c>
      <c r="M8" s="1417" t="s">
        <v>2762</v>
      </c>
      <c r="N8" s="1419">
        <f ca="1">0.75*N6</f>
        <v>0</v>
      </c>
      <c r="O8" s="1449" t="s">
        <v>2762</v>
      </c>
      <c r="P8" s="1450">
        <f ca="1">0.75*P6</f>
        <v>0</v>
      </c>
      <c r="Q8" s="1399"/>
      <c r="R8" s="1399"/>
      <c r="S8" s="1399"/>
      <c r="T8" s="1399"/>
      <c r="U8" s="1399"/>
      <c r="V8" s="1399"/>
      <c r="W8" s="1399"/>
      <c r="X8" s="1417" t="e">
        <f ca="1"/>
        <v>#NAME?</v>
      </c>
      <c r="Y8" s="1419" t="e">
        <f ca="1"/>
        <v>#NAME?</v>
      </c>
      <c r="AA8" s="1399"/>
      <c r="AB8" s="1399"/>
      <c r="AC8" s="1399"/>
      <c r="AD8" s="1399"/>
      <c r="AE8" s="1399"/>
    </row>
    <row r="9" spans="1:31" ht="12.75" hidden="1" customHeight="1">
      <c r="A9" s="1417" t="s">
        <v>2763</v>
      </c>
      <c r="B9" s="1419">
        <f ca="1">0.65*B6</f>
        <v>0</v>
      </c>
      <c r="C9" s="1449" t="s">
        <v>2763</v>
      </c>
      <c r="D9" s="1450">
        <f ca="1">0.65*D6</f>
        <v>0</v>
      </c>
      <c r="E9" s="1417" t="s">
        <v>2763</v>
      </c>
      <c r="F9" s="1419">
        <f ca="1">0.65*F6</f>
        <v>0</v>
      </c>
      <c r="G9" s="1449" t="s">
        <v>2763</v>
      </c>
      <c r="H9" s="1450">
        <f ca="1">0.65*H6</f>
        <v>0</v>
      </c>
      <c r="I9" s="1417" t="s">
        <v>2763</v>
      </c>
      <c r="J9" s="1419">
        <f ca="1">0.65*J6</f>
        <v>0</v>
      </c>
      <c r="K9" s="1449" t="s">
        <v>2763</v>
      </c>
      <c r="L9" s="1450">
        <f ca="1">0.65*L6</f>
        <v>0</v>
      </c>
      <c r="M9" s="1417" t="s">
        <v>2763</v>
      </c>
      <c r="N9" s="1419">
        <f ca="1">0.65*N6</f>
        <v>0</v>
      </c>
      <c r="O9" s="1449" t="s">
        <v>2763</v>
      </c>
      <c r="P9" s="1450">
        <f ca="1">0.65*P6</f>
        <v>0</v>
      </c>
      <c r="Q9" s="1399"/>
      <c r="R9" s="1399"/>
      <c r="S9" s="1399"/>
      <c r="T9" s="1399"/>
      <c r="U9" s="1399"/>
      <c r="V9" s="1399"/>
      <c r="W9" s="1399"/>
      <c r="X9" s="1417" t="e">
        <f ca="1"/>
        <v>#NAME?</v>
      </c>
      <c r="Y9" s="1419" t="e">
        <f ca="1"/>
        <v>#NAME?</v>
      </c>
      <c r="AA9" s="1399"/>
      <c r="AB9" s="1399"/>
      <c r="AC9" s="1399"/>
      <c r="AD9" s="1399"/>
      <c r="AE9" s="1399"/>
    </row>
    <row r="10" spans="1:31" ht="12.75" hidden="1" customHeight="1">
      <c r="A10" s="1417" t="s">
        <v>2764</v>
      </c>
      <c r="B10" s="1420" t="e">
        <f ca="1">MATCH(B6,INDIRECT("B"&amp;FirstRow&amp;":B"&amp;FirstRow+B5),0)+FirstRow-1</f>
        <v>#N/A</v>
      </c>
      <c r="C10" s="1449" t="s">
        <v>2764</v>
      </c>
      <c r="D10" s="1452" t="e">
        <f ca="1">MATCH(D6,INDIRECT("D"&amp;FirstRow&amp;":D"&amp;FirstRow+D5),0)+FirstRow-1</f>
        <v>#N/A</v>
      </c>
      <c r="E10" s="1417" t="s">
        <v>2764</v>
      </c>
      <c r="F10" s="1420" t="e">
        <f ca="1">MATCH(F6,INDIRECT("F"&amp;FirstRow&amp;":F"&amp;FirstRow+F5),0)+FirstRow-1</f>
        <v>#N/A</v>
      </c>
      <c r="G10" s="1449" t="s">
        <v>2764</v>
      </c>
      <c r="H10" s="1452" t="e">
        <f ca="1">MATCH(H6,INDIRECT("H"&amp;FirstRow&amp;":H"&amp;FirstRow+H5),0)+FirstRow-1</f>
        <v>#N/A</v>
      </c>
      <c r="I10" s="1417" t="s">
        <v>2764</v>
      </c>
      <c r="J10" s="1420" t="e">
        <f ca="1">MATCH(J6,INDIRECT("J"&amp;FirstRow&amp;":J"&amp;FirstRow+J5),0)+FirstRow-1</f>
        <v>#N/A</v>
      </c>
      <c r="K10" s="1449" t="s">
        <v>2764</v>
      </c>
      <c r="L10" s="1452" t="e">
        <f ca="1">MATCH(L6,INDIRECT("L"&amp;FirstRow&amp;":L"&amp;FirstRow+L5),0)+FirstRow-1</f>
        <v>#N/A</v>
      </c>
      <c r="M10" s="1417" t="s">
        <v>2764</v>
      </c>
      <c r="N10" s="1420" t="e">
        <f ca="1">MATCH(N6,INDIRECT("N"&amp;FirstRow&amp;":N"&amp;FirstRow+N5),0)+FirstRow-1</f>
        <v>#N/A</v>
      </c>
      <c r="O10" s="1449" t="s">
        <v>2764</v>
      </c>
      <c r="P10" s="1452" t="e">
        <f ca="1">MATCH(P6,INDIRECT("P"&amp;FirstRow&amp;":P"&amp;FirstRow+P5),0)+FirstRow-1</f>
        <v>#N/A</v>
      </c>
      <c r="Q10" s="1399"/>
      <c r="R10" s="1399"/>
      <c r="S10" s="1399"/>
      <c r="T10" s="1399"/>
      <c r="U10" s="1399"/>
      <c r="V10" s="1399"/>
      <c r="W10" s="1399"/>
      <c r="X10" s="1417" t="e">
        <f ca="1"/>
        <v>#NAME?</v>
      </c>
      <c r="Y10" s="1420" t="e">
        <f ca="1"/>
        <v>#NAME?</v>
      </c>
      <c r="AA10" s="1399"/>
      <c r="AB10" s="1399"/>
      <c r="AC10" s="1399"/>
      <c r="AD10" s="1399"/>
      <c r="AE10" s="1399"/>
    </row>
    <row r="11" spans="1:31" ht="12.75" hidden="1" customHeight="1">
      <c r="A11" s="1417" t="s">
        <v>2765</v>
      </c>
      <c r="B11" s="1420" t="e">
        <f ca="1">MATCH(B7,INDIRECT("B"&amp;B10&amp;":B"&amp;FirstRow+B5),-1)+B10</f>
        <v>#N/A</v>
      </c>
      <c r="C11" s="1449" t="s">
        <v>2765</v>
      </c>
      <c r="D11" s="1452" t="e">
        <f ca="1">MATCH(D7,INDIRECT("D"&amp;D10&amp;":D"&amp;FirstRow+D5),-1)+D10</f>
        <v>#N/A</v>
      </c>
      <c r="E11" s="1417" t="s">
        <v>2765</v>
      </c>
      <c r="F11" s="1420" t="e">
        <f ca="1">MATCH(F7,INDIRECT("F"&amp;F10&amp;":F"&amp;FirstRow+F5),-1)+F10</f>
        <v>#N/A</v>
      </c>
      <c r="G11" s="1449" t="s">
        <v>2765</v>
      </c>
      <c r="H11" s="1452" t="e">
        <f ca="1">MATCH(H7,INDIRECT("H"&amp;H10&amp;":H"&amp;FirstRow+H5),-1)+H10</f>
        <v>#N/A</v>
      </c>
      <c r="I11" s="1417" t="s">
        <v>2765</v>
      </c>
      <c r="J11" s="1420" t="e">
        <f ca="1">MATCH(J7,INDIRECT("J"&amp;J10&amp;":J"&amp;FirstRow+J5),-1)+J10</f>
        <v>#N/A</v>
      </c>
      <c r="K11" s="1449" t="s">
        <v>2765</v>
      </c>
      <c r="L11" s="1452" t="e">
        <f ca="1">MATCH(L7,INDIRECT("L"&amp;L10&amp;":L"&amp;FirstRow+L5),-1)+L10</f>
        <v>#N/A</v>
      </c>
      <c r="M11" s="1417" t="s">
        <v>2765</v>
      </c>
      <c r="N11" s="1420" t="e">
        <f ca="1">MATCH(N7,INDIRECT("N"&amp;N10&amp;":N"&amp;FirstRow+N5),-1)+N10</f>
        <v>#N/A</v>
      </c>
      <c r="O11" s="1449" t="s">
        <v>2765</v>
      </c>
      <c r="P11" s="1452" t="e">
        <f ca="1">MATCH(P7,INDIRECT("P"&amp;P10&amp;":P"&amp;FirstRow+P5),-1)+P10</f>
        <v>#N/A</v>
      </c>
      <c r="Q11" s="1399"/>
      <c r="R11" s="1399"/>
      <c r="S11" s="1399"/>
      <c r="T11" s="1399"/>
      <c r="U11" s="1399"/>
      <c r="V11" s="1399"/>
      <c r="W11" s="1399"/>
      <c r="X11" s="1417" t="e">
        <f ca="1"/>
        <v>#NAME?</v>
      </c>
      <c r="Y11" s="1420" t="e">
        <f ca="1"/>
        <v>#NAME?</v>
      </c>
      <c r="AA11" s="1399"/>
      <c r="AB11" s="1399"/>
      <c r="AC11" s="1399"/>
      <c r="AD11" s="1399"/>
      <c r="AE11" s="1399"/>
    </row>
    <row r="12" spans="1:31" ht="12.75" hidden="1" customHeight="1">
      <c r="A12" s="1417" t="s">
        <v>2766</v>
      </c>
      <c r="B12" s="1420" t="e">
        <f ca="1">MATCH(B8,INDIRECT("B"&amp;B10&amp;":B"&amp;FirstRow+B5),-1)+B10</f>
        <v>#N/A</v>
      </c>
      <c r="C12" s="1449" t="s">
        <v>2766</v>
      </c>
      <c r="D12" s="1452" t="e">
        <f ca="1">MATCH(D8,INDIRECT("D"&amp;D10&amp;":D"&amp;FirstRow+D5),-1)+D10</f>
        <v>#N/A</v>
      </c>
      <c r="E12" s="1417" t="s">
        <v>2766</v>
      </c>
      <c r="F12" s="1420" t="e">
        <f ca="1">MATCH(F8,INDIRECT("F"&amp;F10&amp;":F"&amp;FirstRow+F5),-1)+F10</f>
        <v>#N/A</v>
      </c>
      <c r="G12" s="1449" t="s">
        <v>2766</v>
      </c>
      <c r="H12" s="1452" t="e">
        <f ca="1">MATCH(H8,INDIRECT("H"&amp;H10&amp;":H"&amp;FirstRow+H5),-1)+H10</f>
        <v>#N/A</v>
      </c>
      <c r="I12" s="1417" t="s">
        <v>2766</v>
      </c>
      <c r="J12" s="1420" t="e">
        <f ca="1">MATCH(J8,INDIRECT("J"&amp;J10&amp;":J"&amp;FirstRow+J5),-1)+J10</f>
        <v>#N/A</v>
      </c>
      <c r="K12" s="1449" t="s">
        <v>2766</v>
      </c>
      <c r="L12" s="1452" t="e">
        <f ca="1">MATCH(L8,INDIRECT("L"&amp;L10&amp;":L"&amp;FirstRow+L5),-1)+L10</f>
        <v>#N/A</v>
      </c>
      <c r="M12" s="1417" t="s">
        <v>2766</v>
      </c>
      <c r="N12" s="1420" t="e">
        <f ca="1">MATCH(N8,INDIRECT("N"&amp;N10&amp;":N"&amp;FirstRow+N5),-1)+N10</f>
        <v>#N/A</v>
      </c>
      <c r="O12" s="1449" t="s">
        <v>2766</v>
      </c>
      <c r="P12" s="1452" t="e">
        <f ca="1">MATCH(P8,INDIRECT("P"&amp;P10&amp;":P"&amp;FirstRow+P5),-1)+P10</f>
        <v>#N/A</v>
      </c>
      <c r="Q12" s="1399"/>
      <c r="R12" s="1399"/>
      <c r="S12" s="1399"/>
      <c r="T12" s="1399"/>
      <c r="U12" s="1399"/>
      <c r="V12" s="1399"/>
      <c r="W12" s="1399"/>
      <c r="X12" s="1417" t="e">
        <f ca="1"/>
        <v>#NAME?</v>
      </c>
      <c r="Y12" s="1420" t="e">
        <f ca="1"/>
        <v>#NAME?</v>
      </c>
      <c r="AA12" s="1399"/>
      <c r="AB12" s="1399"/>
      <c r="AC12" s="1399"/>
      <c r="AD12" s="1399"/>
      <c r="AE12" s="1399"/>
    </row>
    <row r="13" spans="1:31" ht="12.75" hidden="1" customHeight="1" thickBot="1">
      <c r="A13" s="1417" t="s">
        <v>2767</v>
      </c>
      <c r="B13" s="1420" t="e">
        <f ca="1">MATCH(B9,INDIRECT("B"&amp;B10&amp;":B"&amp;FirstRow+B5),-1)+B10</f>
        <v>#N/A</v>
      </c>
      <c r="C13" s="1449" t="s">
        <v>2767</v>
      </c>
      <c r="D13" s="1452" t="e">
        <f ca="1">MATCH(D9,INDIRECT("D"&amp;D10&amp;":D"&amp;FirstRow+D5),-1)+D10</f>
        <v>#N/A</v>
      </c>
      <c r="E13" s="1417" t="s">
        <v>2767</v>
      </c>
      <c r="F13" s="1420" t="e">
        <f ca="1">MATCH(F9,INDIRECT("F"&amp;F10&amp;":F"&amp;FirstRow+F5),-1)+F10</f>
        <v>#N/A</v>
      </c>
      <c r="G13" s="1449" t="s">
        <v>2767</v>
      </c>
      <c r="H13" s="1452" t="e">
        <f ca="1">MATCH(H9,INDIRECT("H"&amp;H10&amp;":H"&amp;FirstRow+H5),-1)+H10</f>
        <v>#N/A</v>
      </c>
      <c r="I13" s="1417" t="s">
        <v>2767</v>
      </c>
      <c r="J13" s="1420" t="e">
        <f ca="1">MATCH(J9,INDIRECT("J"&amp;J10&amp;":J"&amp;FirstRow+J5),-1)+J10</f>
        <v>#N/A</v>
      </c>
      <c r="K13" s="1449" t="s">
        <v>2767</v>
      </c>
      <c r="L13" s="1452" t="e">
        <f ca="1">MATCH(L9,INDIRECT("L"&amp;L10&amp;":L"&amp;FirstRow+L5),-1)+L10</f>
        <v>#N/A</v>
      </c>
      <c r="M13" s="1417" t="s">
        <v>2767</v>
      </c>
      <c r="N13" s="1420" t="e">
        <f ca="1">MATCH(N9,INDIRECT("N"&amp;N10&amp;":N"&amp;FirstRow+N5),-1)+N10</f>
        <v>#N/A</v>
      </c>
      <c r="O13" s="1449" t="s">
        <v>2767</v>
      </c>
      <c r="P13" s="1452" t="e">
        <f ca="1">MATCH(P9,INDIRECT("P"&amp;P10&amp;":P"&amp;FirstRow+P5),-1)+P10</f>
        <v>#N/A</v>
      </c>
      <c r="Q13" s="1399"/>
      <c r="R13" s="1399"/>
      <c r="S13" s="1399"/>
      <c r="T13" s="1399"/>
      <c r="U13" s="1399"/>
      <c r="V13" s="1399"/>
      <c r="W13" s="1399"/>
      <c r="X13" s="1417" t="e">
        <f ca="1"/>
        <v>#NAME?</v>
      </c>
      <c r="Y13" s="1420" t="e">
        <f ca="1"/>
        <v>#NAME?</v>
      </c>
      <c r="AA13" s="1399"/>
      <c r="AB13" s="1399"/>
      <c r="AC13" s="1399"/>
      <c r="AD13" s="1399"/>
      <c r="AE13" s="1399"/>
    </row>
    <row r="14" spans="1:31" ht="15.75" customHeight="1">
      <c r="A14" s="1453" t="s">
        <v>2768</v>
      </c>
      <c r="B14" s="1454" t="str">
        <f ca="1">IF(ISNA(B12),"",INDIRECT("A"&amp;B12))</f>
        <v/>
      </c>
      <c r="C14" s="1453" t="s">
        <v>2768</v>
      </c>
      <c r="D14" s="1454" t="str">
        <f ca="1">IF(ISNA(D12),"",INDIRECT("C"&amp;D12))</f>
        <v/>
      </c>
      <c r="E14" s="1453" t="s">
        <v>2768</v>
      </c>
      <c r="F14" s="1454" t="str">
        <f ca="1">IF(ISNA(F12),"",INDIRECT("E"&amp;F12))</f>
        <v/>
      </c>
      <c r="G14" s="1453" t="s">
        <v>2768</v>
      </c>
      <c r="H14" s="1454" t="str">
        <f ca="1">IF(ISNA(H12),"",INDIRECT("G"&amp;H12))</f>
        <v/>
      </c>
      <c r="I14" s="1453" t="s">
        <v>2768</v>
      </c>
      <c r="J14" s="1454" t="str">
        <f ca="1">IF(ISNA(J12),"",INDIRECT("I"&amp;J12))</f>
        <v/>
      </c>
      <c r="K14" s="1453" t="s">
        <v>2768</v>
      </c>
      <c r="L14" s="1454" t="str">
        <f ca="1">IF(ISNA(L12),"",INDIRECT("K"&amp;L12))</f>
        <v/>
      </c>
      <c r="M14" s="1453" t="s">
        <v>2768</v>
      </c>
      <c r="N14" s="1454" t="str">
        <f ca="1">IF(ISNA(N12),"",INDIRECT("M"&amp;N12))</f>
        <v/>
      </c>
      <c r="O14" s="1453" t="s">
        <v>2768</v>
      </c>
      <c r="P14" s="1454" t="str">
        <f ca="1">IF(ISNA(P12),"",INDIRECT("O"&amp;P12))</f>
        <v/>
      </c>
      <c r="Q14" s="1399"/>
      <c r="R14" s="1399"/>
      <c r="S14" s="1399"/>
      <c r="T14" s="1399"/>
      <c r="U14" s="1399"/>
      <c r="V14" s="1399"/>
      <c r="W14" s="1399"/>
      <c r="X14" s="1421" t="e">
        <f ca="1"/>
        <v>#NAME?</v>
      </c>
      <c r="Y14" s="1422" t="e">
        <f ca="1"/>
        <v>#NAME?</v>
      </c>
      <c r="AA14" s="1399"/>
      <c r="AB14" s="1399"/>
      <c r="AC14" s="1399"/>
      <c r="AD14" s="1399"/>
      <c r="AE14" s="1399"/>
    </row>
    <row r="15" spans="1:31" ht="12.75" hidden="1" customHeight="1">
      <c r="A15" s="1455" t="s">
        <v>2131</v>
      </c>
      <c r="B15" s="1456" t="e">
        <f ca="1">ABS(SLOPE((INDEX(B:B,B11):INDEX(B:B,B13)),(INDEX(A:A,B11):INDEX(A:A,B13))))</f>
        <v>#N/A</v>
      </c>
      <c r="C15" s="1457" t="s">
        <v>2131</v>
      </c>
      <c r="D15" s="1456" t="e">
        <f ca="1">ABS(SLOPE((INDEX(D:D,D11):INDEX(D:D,D13)),(INDEX(C:C,D11):INDEX(C:C,D13))))</f>
        <v>#N/A</v>
      </c>
      <c r="E15" s="1457" t="s">
        <v>2131</v>
      </c>
      <c r="F15" s="1456" t="e">
        <f ca="1">ABS(SLOPE((INDEX(F:F,F11):INDEX(F:F,F13)),(INDEX(E:E,F11):INDEX(E:E,F13))))</f>
        <v>#N/A</v>
      </c>
      <c r="G15" s="1458" t="s">
        <v>2131</v>
      </c>
      <c r="H15" s="1456" t="e">
        <f ca="1">ABS(SLOPE((INDEX(H:H,H11):INDEX(H:H,H13)),(INDEX(G:G,H11):INDEX(G:G,H13))))</f>
        <v>#N/A</v>
      </c>
      <c r="I15" s="1457" t="s">
        <v>2131</v>
      </c>
      <c r="J15" s="1456" t="e">
        <f ca="1">ABS(SLOPE((INDEX(J:J,J11):INDEX(J:J,J13)),(INDEX(I:I,J11):INDEX(I:I,J13))))</f>
        <v>#N/A</v>
      </c>
      <c r="K15" s="1458" t="s">
        <v>2131</v>
      </c>
      <c r="L15" s="1456" t="e">
        <f ca="1">ABS(SLOPE((INDEX(L:L,L11):INDEX(L:L,L13)),(INDEX(K:K,L11):INDEX(K:K,L13))))</f>
        <v>#N/A</v>
      </c>
      <c r="M15" s="1457" t="s">
        <v>2131</v>
      </c>
      <c r="N15" s="1456" t="e">
        <f ca="1">ABS(SLOPE((INDEX(N:N,N11):INDEX(N:N,N13)),(INDEX(M:M,N11):INDEX(M:M,N13))))</f>
        <v>#N/A</v>
      </c>
      <c r="O15" s="1458" t="s">
        <v>2131</v>
      </c>
      <c r="P15" s="1456" t="e">
        <f ca="1">ABS(SLOPE((INDEX(P:P,P11):INDEX(P:P,P13)),(INDEX(O:O,P11):INDEX(O:O,P13))))</f>
        <v>#N/A</v>
      </c>
      <c r="Q15" s="1399"/>
      <c r="R15" s="1399"/>
      <c r="S15" s="1399"/>
      <c r="T15" s="1399"/>
      <c r="U15" s="1399"/>
      <c r="V15" s="1399"/>
      <c r="W15" s="1399"/>
      <c r="X15" s="1417" t="e">
        <f ca="1"/>
        <v>#NAME?</v>
      </c>
      <c r="Y15" s="1419" t="e">
        <f ca="1"/>
        <v>#NAME?</v>
      </c>
      <c r="AA15" s="1399"/>
      <c r="AB15" s="1399"/>
      <c r="AC15" s="1399"/>
      <c r="AD15" s="1399"/>
      <c r="AE15" s="1399"/>
    </row>
    <row r="16" spans="1:31" ht="12.75" hidden="1" customHeight="1">
      <c r="A16" s="1455" t="s">
        <v>2769</v>
      </c>
      <c r="B16" s="1459" t="str">
        <f>IF(ISBLANK(B22),IF(ISBLANK(A28),"",A28),B22)</f>
        <v/>
      </c>
      <c r="C16" s="1455" t="s">
        <v>2769</v>
      </c>
      <c r="D16" s="1459" t="str">
        <f>IF(ISBLANK(D22),IF(ISBLANK(C28),"",C28),D22)</f>
        <v/>
      </c>
      <c r="E16" s="1455" t="s">
        <v>2769</v>
      </c>
      <c r="F16" s="1459" t="str">
        <f>IF(ISBLANK(F22),IF(ISBLANK(E28),"",E28),F22)</f>
        <v/>
      </c>
      <c r="G16" s="1455" t="s">
        <v>2769</v>
      </c>
      <c r="H16" s="1459" t="str">
        <f>IF(ISBLANK(H22),IF(ISBLANK(G28),"",G28),H22)</f>
        <v/>
      </c>
      <c r="I16" s="1455" t="s">
        <v>2769</v>
      </c>
      <c r="J16" s="1459" t="str">
        <f>IF(ISBLANK(J22),IF(ISBLANK(I28),"",I28),J22)</f>
        <v/>
      </c>
      <c r="K16" s="1455" t="s">
        <v>2769</v>
      </c>
      <c r="L16" s="1459" t="str">
        <f>IF(ISBLANK(L22),IF(ISBLANK(K28),"",K28),L22)</f>
        <v/>
      </c>
      <c r="M16" s="1455" t="s">
        <v>2769</v>
      </c>
      <c r="N16" s="1459" t="str">
        <f>IF(ISBLANK(N22),IF(ISBLANK(M28),"",M28),N22)</f>
        <v/>
      </c>
      <c r="O16" s="1455" t="s">
        <v>2769</v>
      </c>
      <c r="P16" s="1459" t="str">
        <f>IF(ISBLANK(P22),IF(ISBLANK(O28),"",O28),P22)</f>
        <v/>
      </c>
      <c r="Q16" s="1399"/>
      <c r="R16" s="1399"/>
      <c r="S16" s="1399"/>
      <c r="T16" s="1399"/>
      <c r="U16" s="1399"/>
      <c r="V16" s="1399"/>
      <c r="W16" s="1399"/>
      <c r="X16" s="1423" t="e">
        <f ca="1"/>
        <v>#NAME?</v>
      </c>
      <c r="Y16" s="1418" t="e">
        <f ca="1"/>
        <v>#NAME?</v>
      </c>
      <c r="AA16" s="1399"/>
      <c r="AB16" s="1399"/>
      <c r="AC16" s="1399"/>
      <c r="AD16" s="1399"/>
      <c r="AE16" s="1399"/>
    </row>
    <row r="17" spans="1:31" ht="12.75" hidden="1" customHeight="1">
      <c r="A17" s="1460" t="s">
        <v>2770</v>
      </c>
      <c r="B17" s="1461" t="e">
        <f ca="1">MATCH(0.1,INDIRECT("B"&amp;B10&amp;":B"&amp;FirstRow+B5),-1)+B10</f>
        <v>#N/A</v>
      </c>
      <c r="C17" s="1460" t="s">
        <v>2770</v>
      </c>
      <c r="D17" s="1461" t="e">
        <f ca="1">MATCH(0.1,INDIRECT("D"&amp;D10&amp;":D"&amp;FirstRow+D5),-1)+D10</f>
        <v>#N/A</v>
      </c>
      <c r="E17" s="1460" t="s">
        <v>2770</v>
      </c>
      <c r="F17" s="1461" t="e">
        <f ca="1">MATCH(0.1,INDIRECT("F"&amp;F10&amp;":F"&amp;FirstRow+F5),-1)+F10</f>
        <v>#N/A</v>
      </c>
      <c r="G17" s="1460" t="s">
        <v>2770</v>
      </c>
      <c r="H17" s="1461" t="e">
        <f ca="1">MATCH(0.1,INDIRECT("H"&amp;H10&amp;":H"&amp;FirstRow+H5),-1)+H10</f>
        <v>#N/A</v>
      </c>
      <c r="I17" s="1460" t="s">
        <v>2770</v>
      </c>
      <c r="J17" s="1461" t="e">
        <f ca="1">MATCH(0.1,INDIRECT("J"&amp;J10&amp;":J"&amp;FirstRow+J5),-1)+J10</f>
        <v>#N/A</v>
      </c>
      <c r="K17" s="1460" t="s">
        <v>2770</v>
      </c>
      <c r="L17" s="1461" t="e">
        <f ca="1">MATCH(0.1,INDIRECT("L"&amp;L10&amp;":L"&amp;FirstRow+L5),-1)+L10</f>
        <v>#N/A</v>
      </c>
      <c r="M17" s="1460" t="s">
        <v>2770</v>
      </c>
      <c r="N17" s="1461" t="e">
        <f ca="1">MATCH(0.1,INDIRECT("N"&amp;N10&amp;":N"&amp;FirstRow+N5),-1)+N10</f>
        <v>#N/A</v>
      </c>
      <c r="O17" s="1460" t="s">
        <v>2770</v>
      </c>
      <c r="P17" s="1461" t="e">
        <f ca="1">MATCH(0.1,INDIRECT("P"&amp;P10&amp;":P"&amp;FirstRow+P5),-1)+P10</f>
        <v>#N/A</v>
      </c>
      <c r="Q17" s="1399"/>
      <c r="R17" s="1399"/>
      <c r="S17" s="1399"/>
      <c r="T17" s="1399"/>
      <c r="U17" s="1399"/>
      <c r="V17" s="1399"/>
      <c r="W17" s="1399"/>
      <c r="X17" s="1417" t="e">
        <f ca="1"/>
        <v>#NAME?</v>
      </c>
      <c r="Y17" s="1420" t="e">
        <f ca="1"/>
        <v>#NAME?</v>
      </c>
      <c r="AA17" s="1399"/>
      <c r="AB17" s="1399"/>
      <c r="AC17" s="1399"/>
      <c r="AD17" s="1399"/>
      <c r="AE17" s="1399"/>
    </row>
    <row r="18" spans="1:31" ht="15.75" customHeight="1">
      <c r="A18" s="1462" t="s">
        <v>2771</v>
      </c>
      <c r="B18" s="1463" t="str">
        <f ca="1">IF(ISERROR(B15),"",ABS(B15))</f>
        <v/>
      </c>
      <c r="C18" s="1462" t="s">
        <v>2771</v>
      </c>
      <c r="D18" s="1463" t="str">
        <f ca="1">IF(ISERROR(D15),"",ABS(D15))</f>
        <v/>
      </c>
      <c r="E18" s="1462" t="s">
        <v>2771</v>
      </c>
      <c r="F18" s="1463" t="str">
        <f ca="1">IF(ISERROR(F15),"",ABS(F15))</f>
        <v/>
      </c>
      <c r="G18" s="1462" t="s">
        <v>2771</v>
      </c>
      <c r="H18" s="1463" t="str">
        <f ca="1">IF(ISERROR(H15),"",ABS(H15))</f>
        <v/>
      </c>
      <c r="I18" s="1462" t="s">
        <v>2771</v>
      </c>
      <c r="J18" s="1463" t="str">
        <f ca="1">IF(ISERROR(J15),"",ABS(J15))</f>
        <v/>
      </c>
      <c r="K18" s="1462" t="s">
        <v>2771</v>
      </c>
      <c r="L18" s="1463" t="str">
        <f ca="1">IF(ISERROR(L15),"",ABS(L15))</f>
        <v/>
      </c>
      <c r="M18" s="1462" t="s">
        <v>2771</v>
      </c>
      <c r="N18" s="1463" t="str">
        <f ca="1">IF(ISERROR(N15),"",ABS(N15))</f>
        <v/>
      </c>
      <c r="O18" s="1462" t="s">
        <v>2771</v>
      </c>
      <c r="P18" s="1463" t="str">
        <f ca="1">IF(ISERROR(P15),"",ABS(P15))</f>
        <v/>
      </c>
      <c r="Q18" s="1399"/>
      <c r="R18" s="1399"/>
      <c r="S18" s="1399"/>
      <c r="T18" s="1399"/>
      <c r="U18" s="1399"/>
      <c r="V18" s="1399"/>
      <c r="W18" s="1399"/>
      <c r="X18" s="1424" t="e">
        <f ca="1"/>
        <v>#NAME?</v>
      </c>
      <c r="Y18" s="1425" t="e">
        <f ca="1"/>
        <v>#NAME?</v>
      </c>
      <c r="AA18" s="1399"/>
      <c r="AB18" s="1399"/>
      <c r="AC18" s="1399"/>
      <c r="AD18" s="1399"/>
      <c r="AE18" s="1399"/>
    </row>
    <row r="19" spans="1:31" ht="15.75" customHeight="1">
      <c r="A19" s="1462" t="s">
        <v>2772</v>
      </c>
      <c r="B19" s="1464" t="str">
        <f ca="1">IF(ISNA(B17),"",SUMPRODUCT((INDIRECT("A"&amp;FirstRow+1&amp;":A"&amp;B17))-(INDIRECT("A"&amp;FirstRow&amp;":A"&amp;B17-1)),(((INDIRECT("B"&amp;FirstRow+1&amp;":B"&amp;B17))+(INDIRECT("B"&amp;FirstRow&amp;":B"&amp;B17-1)))/2)))</f>
        <v/>
      </c>
      <c r="C19" s="1462" t="s">
        <v>2772</v>
      </c>
      <c r="D19" s="1464" t="str">
        <f ca="1">IF(ISNA(D17),"",SUMPRODUCT((INDIRECT("C"&amp;FirstRow+1&amp;":C"&amp;D17))-(INDIRECT("C"&amp;FirstRow&amp;":C"&amp;D17-1)),(((INDIRECT("D"&amp;FirstRow+1&amp;":D"&amp;D17))+(INDIRECT("D"&amp;FirstRow&amp;":D"&amp;D17-1)))/2)))</f>
        <v/>
      </c>
      <c r="E19" s="1462" t="s">
        <v>2772</v>
      </c>
      <c r="F19" s="1464" t="str">
        <f ca="1">IF(ISNA(F17),"",SUMPRODUCT((INDIRECT("E"&amp;FirstRow+1&amp;":E"&amp;F17))-(INDIRECT("E"&amp;FirstRow&amp;":E"&amp;F17-1)),(((INDIRECT("F"&amp;FirstRow+1&amp;":F"&amp;F17))+(INDIRECT("F"&amp;FirstRow&amp;":F"&amp;F17-1)))/2)))</f>
        <v/>
      </c>
      <c r="G19" s="1462" t="s">
        <v>2772</v>
      </c>
      <c r="H19" s="1464" t="str">
        <f ca="1">IF(ISNA(H17),"",SUMPRODUCT((INDIRECT("G"&amp;FirstRow+1&amp;":G"&amp;H17))-(INDIRECT("G"&amp;FirstRow&amp;":G"&amp;H17-1)),(((INDIRECT("H"&amp;FirstRow+1&amp;":H"&amp;H17))+(INDIRECT("H"&amp;FirstRow&amp;":H"&amp;H17-1)))/2)))</f>
        <v/>
      </c>
      <c r="I19" s="1462" t="s">
        <v>2772</v>
      </c>
      <c r="J19" s="1464" t="str">
        <f ca="1">IF(ISNA(J17),"",SUMPRODUCT((INDIRECT("I"&amp;FirstRow+1&amp;":I"&amp;J17))-(INDIRECT("I"&amp;FirstRow&amp;":I"&amp;J17-1)),(((INDIRECT("J"&amp;FirstRow+1&amp;":J"&amp;J17))+(INDIRECT("J"&amp;FirstRow&amp;":J"&amp;J17-1)))/2)))</f>
        <v/>
      </c>
      <c r="K19" s="1462" t="s">
        <v>2772</v>
      </c>
      <c r="L19" s="1464" t="str">
        <f ca="1">IF(ISNA(L17),"",SUMPRODUCT((INDIRECT("K"&amp;FirstRow+1&amp;":K"&amp;L17))-(INDIRECT("K"&amp;FirstRow&amp;":K"&amp;L17-1)),(((INDIRECT("L"&amp;FirstRow+1&amp;":L"&amp;L17))+(INDIRECT("L"&amp;FirstRow&amp;":L"&amp;L17-1)))/2)))</f>
        <v/>
      </c>
      <c r="M19" s="1462" t="s">
        <v>2772</v>
      </c>
      <c r="N19" s="1464" t="str">
        <f ca="1">IF(ISNA(N17),"",SUMPRODUCT((INDIRECT("M"&amp;FirstRow+1&amp;":M"&amp;N17))-(INDIRECT("M"&amp;FirstRow&amp;":M"&amp;N17-1)),(((INDIRECT("N"&amp;FirstRow+1&amp;":N"&amp;N17))+(INDIRECT("N"&amp;FirstRow&amp;":N"&amp;N17-1)))/2)))</f>
        <v/>
      </c>
      <c r="O19" s="1462" t="s">
        <v>2772</v>
      </c>
      <c r="P19" s="1464" t="str">
        <f ca="1">IF(ISNA(P17),"",SUMPRODUCT((INDIRECT("O"&amp;FirstRow+1&amp;":O"&amp;P17))-(INDIRECT("O"&amp;FirstRow&amp;":O"&amp;P17-1)),(((INDIRECT("P"&amp;FirstRow+1&amp;":P"&amp;P17))+(INDIRECT("P"&amp;FirstRow&amp;":P"&amp;P17-1)))/2)))</f>
        <v/>
      </c>
      <c r="Q19" s="1399"/>
      <c r="R19" s="1399"/>
      <c r="S19" s="1399"/>
      <c r="T19" s="1399"/>
      <c r="U19" s="1399"/>
      <c r="V19" s="1399"/>
      <c r="W19" s="1399"/>
      <c r="X19" s="1424" t="e">
        <f ca="1"/>
        <v>#NAME?</v>
      </c>
      <c r="Y19" s="1426" t="e">
        <f ca="1"/>
        <v>#NAME?</v>
      </c>
      <c r="AA19" s="1399"/>
      <c r="AB19" s="1399"/>
      <c r="AC19" s="1399"/>
      <c r="AD19" s="1399"/>
      <c r="AE19" s="1399"/>
    </row>
    <row r="20" spans="1:31" ht="15.75" customHeight="1" thickBot="1">
      <c r="A20" s="1465" t="s">
        <v>2773</v>
      </c>
      <c r="B20" s="1466" t="str">
        <f ca="1">IF(B19="","",(B19/(B25*B26))*1000000)</f>
        <v/>
      </c>
      <c r="C20" s="1465" t="s">
        <v>2773</v>
      </c>
      <c r="D20" s="1466" t="str">
        <f ca="1">IF(D19="","",(D19/(D25*D26))*1000000)</f>
        <v/>
      </c>
      <c r="E20" s="1465" t="s">
        <v>2773</v>
      </c>
      <c r="F20" s="1466" t="str">
        <f ca="1">IF(F19="","",(F19/(F25*F26))*1000000)</f>
        <v/>
      </c>
      <c r="G20" s="1465" t="s">
        <v>2773</v>
      </c>
      <c r="H20" s="1466" t="str">
        <f ca="1">IF(H19="","",(H19/(H25*H26))*1000000)</f>
        <v/>
      </c>
      <c r="I20" s="1465" t="s">
        <v>2773</v>
      </c>
      <c r="J20" s="1466" t="str">
        <f ca="1">IF(J19="","",(J19/(J25*J26))*1000000)</f>
        <v/>
      </c>
      <c r="K20" s="1465" t="s">
        <v>2773</v>
      </c>
      <c r="L20" s="1466" t="str">
        <f ca="1">IF(L19="","",(L19/(L25*L26))*1000000)</f>
        <v/>
      </c>
      <c r="M20" s="1465" t="s">
        <v>2773</v>
      </c>
      <c r="N20" s="1466" t="str">
        <f ca="1">IF(N19="","",(N19/(N25*N26))*1000000)</f>
        <v/>
      </c>
      <c r="O20" s="1465" t="s">
        <v>2773</v>
      </c>
      <c r="P20" s="1466" t="str">
        <f ca="1">IF(P19="","",(P19/(P25*P26))*1000000)</f>
        <v/>
      </c>
      <c r="Q20" s="1399"/>
      <c r="R20" s="1399"/>
      <c r="S20" s="1399"/>
      <c r="T20" s="1399"/>
      <c r="U20" s="1399"/>
      <c r="V20" s="1399"/>
      <c r="W20" s="1399"/>
      <c r="X20" s="1424" t="e">
        <f ca="1"/>
        <v>#NAME?</v>
      </c>
      <c r="Y20" s="1427" t="e">
        <f ca="1"/>
        <v>#NAME?</v>
      </c>
      <c r="AA20" s="1399"/>
      <c r="AB20" s="1399"/>
      <c r="AC20" s="1399"/>
      <c r="AD20" s="1399"/>
      <c r="AE20" s="1399"/>
    </row>
    <row r="21" spans="1:31" ht="21.75" customHeight="1" thickBot="1">
      <c r="A21" s="1467" t="s">
        <v>2774</v>
      </c>
      <c r="B21" s="1468" t="str">
        <f ca="1">IF(B20="","",(B26/62)*(B14/B25)*(B20/B18))</f>
        <v/>
      </c>
      <c r="C21" s="1467" t="s">
        <v>2774</v>
      </c>
      <c r="D21" s="1468" t="str">
        <f ca="1">IF(D20="","",(D26/62)*(D14/D25)*(D20/D18))</f>
        <v/>
      </c>
      <c r="E21" s="1467" t="s">
        <v>2774</v>
      </c>
      <c r="F21" s="1468" t="str">
        <f ca="1">IF(F20="","",(F26/62)*(F14/F25)*(F20/F18))</f>
        <v/>
      </c>
      <c r="G21" s="1467" t="s">
        <v>2774</v>
      </c>
      <c r="H21" s="1468" t="str">
        <f ca="1">IF(H20="","",(H26/62)*(H14/H25)*(H20/H18))</f>
        <v/>
      </c>
      <c r="I21" s="1467" t="s">
        <v>2774</v>
      </c>
      <c r="J21" s="1468" t="str">
        <f ca="1">IF(J20="","",(J26/62)*(J14/J25)*(J20/J18))</f>
        <v/>
      </c>
      <c r="K21" s="1467" t="s">
        <v>2774</v>
      </c>
      <c r="L21" s="1468" t="str">
        <f ca="1">IF(L20="","",(L26/62)*(L14/L25)*(L20/L18))</f>
        <v/>
      </c>
      <c r="M21" s="1467" t="s">
        <v>2774</v>
      </c>
      <c r="N21" s="1468" t="str">
        <f ca="1">IF(N20="","",(N26/62)*(N14/N25)*(N20/N18))</f>
        <v/>
      </c>
      <c r="O21" s="1467" t="s">
        <v>2774</v>
      </c>
      <c r="P21" s="1468" t="str">
        <f ca="1">IF(P20="","",(P26/62)*(P14/P25)*(P20/P18))</f>
        <v/>
      </c>
      <c r="Q21" s="1399"/>
      <c r="R21" s="1399"/>
      <c r="S21" s="1399"/>
      <c r="T21" s="1399"/>
      <c r="U21" s="1399"/>
      <c r="V21" s="1399"/>
      <c r="W21" s="1399"/>
      <c r="X21" s="1428" t="e">
        <f ca="1"/>
        <v>#NAME?</v>
      </c>
      <c r="Y21" s="1429" t="e">
        <f ca="1"/>
        <v>#NAME?</v>
      </c>
      <c r="AA21" s="1399"/>
      <c r="AB21" s="1399"/>
      <c r="AC21" s="1399"/>
      <c r="AD21" s="1399"/>
      <c r="AE21" s="1399"/>
    </row>
    <row r="22" spans="1:31" ht="21.75" customHeight="1">
      <c r="A22" s="1430" t="s">
        <v>2775</v>
      </c>
      <c r="B22" s="1469"/>
      <c r="C22" s="1470" t="s">
        <v>2776</v>
      </c>
      <c r="D22" s="1469"/>
      <c r="E22" s="1470" t="s">
        <v>2777</v>
      </c>
      <c r="F22" s="1469"/>
      <c r="G22" s="1470" t="s">
        <v>2778</v>
      </c>
      <c r="H22" s="1469"/>
      <c r="I22" s="1470" t="s">
        <v>2779</v>
      </c>
      <c r="J22" s="1469"/>
      <c r="K22" s="1470" t="s">
        <v>2780</v>
      </c>
      <c r="L22" s="1469"/>
      <c r="M22" s="1470" t="s">
        <v>2781</v>
      </c>
      <c r="N22" s="1469"/>
      <c r="O22" s="1470" t="s">
        <v>2782</v>
      </c>
      <c r="P22" s="1471"/>
      <c r="Q22" s="1399"/>
      <c r="R22" s="1399"/>
      <c r="S22" s="1399"/>
      <c r="T22" s="1399"/>
      <c r="U22" s="1399"/>
      <c r="V22" s="1399"/>
      <c r="W22" s="1399"/>
      <c r="X22" s="1430" t="e">
        <f ca="1"/>
        <v>#NAME?</v>
      </c>
      <c r="Y22" s="1431" t="e">
        <f ca="1"/>
        <v>#NAME?</v>
      </c>
      <c r="AA22" s="1399"/>
      <c r="AB22" s="1399"/>
      <c r="AC22" s="1399"/>
      <c r="AD22" s="1399"/>
      <c r="AE22" s="1399"/>
    </row>
    <row r="23" spans="1:31" ht="12.75" customHeight="1">
      <c r="A23" s="1432" t="s">
        <v>2783</v>
      </c>
      <c r="B23" s="1472"/>
      <c r="C23" s="1473" t="s">
        <v>2783</v>
      </c>
      <c r="D23" s="1472"/>
      <c r="E23" s="1473" t="s">
        <v>2783</v>
      </c>
      <c r="F23" s="1472"/>
      <c r="G23" s="1473" t="s">
        <v>2783</v>
      </c>
      <c r="H23" s="1472"/>
      <c r="I23" s="1473" t="s">
        <v>2783</v>
      </c>
      <c r="J23" s="1472"/>
      <c r="K23" s="1473" t="s">
        <v>2783</v>
      </c>
      <c r="L23" s="1472"/>
      <c r="M23" s="1473" t="s">
        <v>2783</v>
      </c>
      <c r="N23" s="1472"/>
      <c r="O23" s="1473" t="s">
        <v>2783</v>
      </c>
      <c r="P23" s="1474"/>
      <c r="Q23" s="1399"/>
      <c r="R23" s="1399"/>
      <c r="S23" s="1399"/>
      <c r="T23" s="1399"/>
      <c r="U23" s="1399"/>
      <c r="V23" s="1399"/>
      <c r="W23" s="1399"/>
      <c r="X23" s="1432" t="e">
        <f ca="1"/>
        <v>#NAME?</v>
      </c>
      <c r="Y23" s="1433" t="e">
        <f ca="1"/>
        <v>#NAME?</v>
      </c>
      <c r="AA23" s="1399"/>
      <c r="AB23" s="1399"/>
      <c r="AC23" s="1399"/>
      <c r="AD23" s="1399"/>
      <c r="AE23" s="1399"/>
    </row>
    <row r="24" spans="1:31" ht="12.75" customHeight="1">
      <c r="A24" s="1432" t="s">
        <v>1642</v>
      </c>
      <c r="B24" s="1475"/>
      <c r="C24" s="1473" t="s">
        <v>1642</v>
      </c>
      <c r="D24" s="1475"/>
      <c r="E24" s="1473" t="s">
        <v>1642</v>
      </c>
      <c r="F24" s="1475"/>
      <c r="G24" s="1473" t="s">
        <v>1642</v>
      </c>
      <c r="H24" s="1475"/>
      <c r="I24" s="1473" t="s">
        <v>1642</v>
      </c>
      <c r="J24" s="1475"/>
      <c r="K24" s="1473" t="s">
        <v>1642</v>
      </c>
      <c r="L24" s="1475"/>
      <c r="M24" s="1473" t="s">
        <v>1642</v>
      </c>
      <c r="N24" s="1475"/>
      <c r="O24" s="1473" t="s">
        <v>1642</v>
      </c>
      <c r="P24" s="1476"/>
      <c r="Q24" s="1399"/>
      <c r="R24" s="1399"/>
      <c r="S24" s="1399"/>
      <c r="T24" s="1399"/>
      <c r="U24" s="1399"/>
      <c r="V24" s="1399"/>
      <c r="W24" s="1399"/>
      <c r="X24" s="1432" t="e">
        <f ca="1"/>
        <v>#NAME?</v>
      </c>
      <c r="Y24" s="1434" t="e">
        <f ca="1"/>
        <v>#NAME?</v>
      </c>
      <c r="AA24" s="1399"/>
      <c r="AB24" s="1399"/>
      <c r="AC24" s="1399"/>
      <c r="AD24" s="1399"/>
      <c r="AE24" s="1399"/>
    </row>
    <row r="25" spans="1:31" ht="12.75" customHeight="1">
      <c r="A25" s="1432" t="s">
        <v>2784</v>
      </c>
      <c r="B25" s="1472"/>
      <c r="C25" s="1473" t="s">
        <v>2784</v>
      </c>
      <c r="D25" s="1472"/>
      <c r="E25" s="1473" t="s">
        <v>2784</v>
      </c>
      <c r="F25" s="1472"/>
      <c r="G25" s="1473" t="s">
        <v>2784</v>
      </c>
      <c r="H25" s="1472"/>
      <c r="I25" s="1473" t="s">
        <v>2784</v>
      </c>
      <c r="J25" s="1472"/>
      <c r="K25" s="1473" t="s">
        <v>2784</v>
      </c>
      <c r="L25" s="1472"/>
      <c r="M25" s="1473" t="s">
        <v>2784</v>
      </c>
      <c r="N25" s="1477"/>
      <c r="O25" s="1473" t="s">
        <v>2784</v>
      </c>
      <c r="P25" s="1474"/>
      <c r="Q25" s="1399"/>
      <c r="R25" s="1399"/>
      <c r="S25" s="1399"/>
      <c r="T25" s="1399"/>
      <c r="U25" s="1399"/>
      <c r="V25" s="1399"/>
      <c r="W25" s="1399"/>
      <c r="X25" s="1432" t="e">
        <f ca="1"/>
        <v>#NAME?</v>
      </c>
      <c r="Y25" s="1433" t="e">
        <f ca="1"/>
        <v>#NAME?</v>
      </c>
      <c r="AA25" s="1399"/>
      <c r="AB25" s="1399"/>
      <c r="AC25" s="1399"/>
      <c r="AD25" s="1399"/>
      <c r="AE25" s="1399"/>
    </row>
    <row r="26" spans="1:31" ht="12.75" customHeight="1" thickBot="1">
      <c r="A26" s="1435" t="s">
        <v>2785</v>
      </c>
      <c r="B26" s="1478"/>
      <c r="C26" s="1479" t="s">
        <v>2785</v>
      </c>
      <c r="D26" s="1478"/>
      <c r="E26" s="1479" t="s">
        <v>2785</v>
      </c>
      <c r="F26" s="1478"/>
      <c r="G26" s="1479" t="s">
        <v>2785</v>
      </c>
      <c r="H26" s="1478"/>
      <c r="I26" s="1479" t="s">
        <v>2785</v>
      </c>
      <c r="J26" s="1478"/>
      <c r="K26" s="1479" t="s">
        <v>2785</v>
      </c>
      <c r="L26" s="1478"/>
      <c r="M26" s="1479" t="s">
        <v>2785</v>
      </c>
      <c r="N26" s="1480"/>
      <c r="O26" s="1479" t="s">
        <v>2785</v>
      </c>
      <c r="P26" s="1481"/>
      <c r="Q26" s="1399"/>
      <c r="R26" s="1399"/>
      <c r="S26" s="1399"/>
      <c r="T26" s="1399"/>
      <c r="U26" s="1399"/>
      <c r="V26" s="1399"/>
      <c r="W26" s="1399"/>
      <c r="X26" s="1435" t="e">
        <f ca="1"/>
        <v>#NAME?</v>
      </c>
      <c r="Y26" s="1436" t="e">
        <f ca="1"/>
        <v>#NAME?</v>
      </c>
      <c r="AA26" s="1399"/>
      <c r="AB26" s="1399"/>
      <c r="AC26" s="1399"/>
      <c r="AD26" s="1399"/>
      <c r="AE26" s="1399"/>
    </row>
    <row r="27" spans="1:31" ht="20.25" customHeight="1" thickBot="1">
      <c r="A27" s="1691" t="s">
        <v>2786</v>
      </c>
      <c r="B27" s="1692"/>
      <c r="C27" s="1693"/>
      <c r="D27" s="1693"/>
      <c r="E27" s="1693"/>
      <c r="F27" s="1693"/>
      <c r="G27" s="1693"/>
      <c r="H27" s="1693"/>
      <c r="I27" s="1693"/>
      <c r="J27" s="1693"/>
      <c r="K27" s="1693"/>
      <c r="L27" s="1693"/>
      <c r="M27" s="1693"/>
      <c r="N27" s="1693"/>
      <c r="O27" s="1693"/>
      <c r="P27" s="1694"/>
      <c r="Q27" s="1399"/>
      <c r="R27" s="1399"/>
      <c r="S27" s="1399"/>
      <c r="T27" s="1399"/>
      <c r="U27" s="1399"/>
      <c r="V27" s="1399"/>
      <c r="W27" s="1399"/>
      <c r="X27" s="1437" t="e">
        <f ca="1"/>
        <v>#NAME?</v>
      </c>
      <c r="Y27" s="1438" t="e">
        <f ca="1"/>
        <v>#NAME?</v>
      </c>
      <c r="AA27" s="1399"/>
      <c r="AB27" s="1399"/>
      <c r="AC27" s="1399"/>
      <c r="AD27" s="1399"/>
      <c r="AE27" s="1399"/>
    </row>
    <row r="28" spans="1:31" ht="18" customHeight="1" thickBot="1">
      <c r="A28" s="1695"/>
      <c r="B28" s="1696"/>
      <c r="C28" s="1695"/>
      <c r="D28" s="1696"/>
      <c r="E28" s="1695"/>
      <c r="F28" s="1696"/>
      <c r="G28" s="1695"/>
      <c r="H28" s="1696"/>
      <c r="I28" s="1695"/>
      <c r="J28" s="1696"/>
      <c r="K28" s="1695"/>
      <c r="L28" s="1696"/>
      <c r="M28" s="1695"/>
      <c r="N28" s="1696"/>
      <c r="O28" s="1695"/>
      <c r="P28" s="1696"/>
      <c r="Q28" s="1399"/>
      <c r="R28" s="1399"/>
      <c r="S28" s="1399"/>
      <c r="T28" s="1399"/>
      <c r="U28" s="1399"/>
      <c r="V28" s="1399"/>
      <c r="W28" s="1399"/>
      <c r="X28" s="1439" t="e">
        <f ca="1"/>
        <v>#NAME?</v>
      </c>
      <c r="Y28" s="1440" t="e">
        <f ca="1"/>
        <v>#NAME?</v>
      </c>
      <c r="AA28" s="1399"/>
      <c r="AB28" s="1399"/>
      <c r="AC28" s="1399"/>
      <c r="AD28" s="1399"/>
      <c r="AE28" s="1399"/>
    </row>
    <row r="29" spans="1:31" ht="18" customHeight="1">
      <c r="A29" s="1482" t="str">
        <f ca="1">IF(ISBLANK(A31),"",INDIRECT("A$"&amp;MATCH(MAX(B31:B1031),B31:B1031,0)+FirstRow-1))</f>
        <v/>
      </c>
      <c r="B29" s="1483" t="str">
        <f>IF(ISBLANK(B31),"",MAX(B31:B1031))</f>
        <v/>
      </c>
      <c r="C29" s="1482" t="str">
        <f ca="1">IF(ISBLANK(C31),"",INDIRECT("C$"&amp;MATCH(MAX(D31:D1031),D31:D1031,0)+FirstRow-1))</f>
        <v/>
      </c>
      <c r="D29" s="1483" t="str">
        <f>IF(ISBLANK(D31),"",MAX(D31:D1031))</f>
        <v/>
      </c>
      <c r="E29" s="1482" t="str">
        <f ca="1">IF(ISBLANK(E31),"",INDIRECT("E$"&amp;MATCH(MAX(F31:F1031),F31:F1031,0)+FirstRow-1))</f>
        <v/>
      </c>
      <c r="F29" s="1483" t="str">
        <f>IF(ISBLANK(F31),"",MAX(F31:F1031))</f>
        <v/>
      </c>
      <c r="G29" s="1482" t="str">
        <f ca="1">IF(ISBLANK(G31),"",INDIRECT("g$"&amp;MATCH(MAX(H31:H1031),H31:H1031,0)+FirstRow-1))</f>
        <v/>
      </c>
      <c r="H29" s="1483" t="str">
        <f>IF(ISBLANK(H31),"",MAX(H31:H1031))</f>
        <v/>
      </c>
      <c r="I29" s="1482" t="str">
        <f ca="1">IF(ISBLANK(I31),"",INDIRECT("I$"&amp;MATCH(MAX(J31:J1031),J31:J1031,0)+FirstRow-1))</f>
        <v/>
      </c>
      <c r="J29" s="1483" t="str">
        <f>IF(ISBLANK(J31),"",MAX(J31:J1031))</f>
        <v/>
      </c>
      <c r="K29" s="1482" t="str">
        <f ca="1">IF(ISBLANK(K31),"",INDIRECT("K$"&amp;MATCH(MAX(L31:L1031),L31:L1031,0)+FirstRow-1))</f>
        <v/>
      </c>
      <c r="L29" s="1483" t="str">
        <f>IF(ISBLANK(L31),"",MAX(L31:L1031))</f>
        <v/>
      </c>
      <c r="M29" s="1482" t="str">
        <f ca="1">IF(ISBLANK(M31),"",INDIRECT("M$"&amp;MATCH(MAX(N31:N1031),N31:N1031,0)+FirstRow-1))</f>
        <v/>
      </c>
      <c r="N29" s="1483" t="str">
        <f>IF(ISBLANK(N31),"",MAX(N31:N1031))</f>
        <v/>
      </c>
      <c r="O29" s="1482" t="str">
        <f ca="1">IF(ISBLANK(O31),"",INDIRECT("O$"&amp;MATCH(MAX(P31:P1031),P31:P1031,0)+FirstRow-1))</f>
        <v/>
      </c>
      <c r="P29" s="1483" t="str">
        <f>IF(ISBLANK(P31),"",MAX(P31:P1031))</f>
        <v/>
      </c>
      <c r="Q29" s="1399"/>
      <c r="R29" s="1399"/>
      <c r="S29" s="1399"/>
      <c r="T29" s="1399"/>
      <c r="U29" s="1399"/>
      <c r="V29" s="1399"/>
      <c r="W29" s="1399"/>
      <c r="X29" s="1441" t="e">
        <f ca="1"/>
        <v>#NAME?</v>
      </c>
      <c r="Y29" s="1442" t="e">
        <f ca="1"/>
        <v>#NAME?</v>
      </c>
      <c r="AA29" s="1399"/>
      <c r="AB29" s="1399"/>
      <c r="AC29" s="1399"/>
      <c r="AD29" s="1399"/>
      <c r="AE29" s="1399"/>
    </row>
    <row r="30" spans="1:31">
      <c r="A30" s="1443" t="s">
        <v>2787</v>
      </c>
      <c r="B30" s="1444" t="s">
        <v>2788</v>
      </c>
      <c r="C30" s="1484" t="s">
        <v>2789</v>
      </c>
      <c r="D30" s="1485" t="s">
        <v>2790</v>
      </c>
      <c r="E30" s="1443" t="s">
        <v>2789</v>
      </c>
      <c r="F30" s="1444" t="s">
        <v>2790</v>
      </c>
      <c r="G30" s="1484" t="s">
        <v>2789</v>
      </c>
      <c r="H30" s="1485" t="s">
        <v>2790</v>
      </c>
      <c r="I30" s="1443" t="s">
        <v>2789</v>
      </c>
      <c r="J30" s="1444" t="s">
        <v>2790</v>
      </c>
      <c r="K30" s="1484" t="s">
        <v>2789</v>
      </c>
      <c r="L30" s="1485" t="s">
        <v>2790</v>
      </c>
      <c r="M30" s="1443" t="s">
        <v>2789</v>
      </c>
      <c r="N30" s="1444" t="s">
        <v>2790</v>
      </c>
      <c r="O30" s="1484" t="s">
        <v>2789</v>
      </c>
      <c r="P30" s="1485" t="s">
        <v>2790</v>
      </c>
      <c r="Q30" s="1399"/>
      <c r="R30" s="1399"/>
      <c r="S30" s="1399"/>
      <c r="T30" s="1399"/>
      <c r="U30" s="1399"/>
      <c r="V30" s="1399"/>
      <c r="W30" s="1486"/>
      <c r="X30" s="1443" t="e">
        <f ca="1"/>
        <v>#NAME?</v>
      </c>
      <c r="Y30" s="1444" t="e">
        <f ca="1"/>
        <v>#NAME?</v>
      </c>
      <c r="Z30" s="1486"/>
      <c r="AA30" s="1486"/>
      <c r="AB30" s="1399"/>
      <c r="AC30" s="1399"/>
      <c r="AD30" s="1399"/>
      <c r="AE30" s="1399"/>
    </row>
    <row r="31" spans="1:31">
      <c r="A31" s="1487"/>
      <c r="B31" s="1488"/>
      <c r="C31" s="1489"/>
      <c r="D31" s="1490"/>
      <c r="E31" s="1487"/>
      <c r="F31" s="1488"/>
      <c r="G31" s="1489"/>
      <c r="H31" s="1490"/>
      <c r="I31" s="1487"/>
      <c r="J31" s="1488"/>
      <c r="K31" s="1489"/>
      <c r="L31" s="1490"/>
      <c r="M31" s="1487"/>
      <c r="N31" s="1488"/>
      <c r="O31" s="1489"/>
      <c r="P31" s="1490"/>
      <c r="Q31" s="1491"/>
      <c r="R31" s="1399" t="s">
        <v>2791</v>
      </c>
      <c r="S31" s="1492">
        <f>MAX(B31:B706,D31:D706,F31:F706,H31:H706,J31:J706,L31:L706,N31:N706,P31:P706)</f>
        <v>0</v>
      </c>
      <c r="T31" s="1399"/>
      <c r="U31" s="1399"/>
      <c r="V31" s="1399"/>
      <c r="W31" s="1399"/>
      <c r="X31" s="1445" t="e">
        <f ca="1"/>
        <v>#NAME?</v>
      </c>
      <c r="Y31" s="1446" t="e">
        <f ca="1"/>
        <v>#NAME?</v>
      </c>
      <c r="AA31" s="1399"/>
      <c r="AB31" s="1399"/>
      <c r="AC31" s="1399"/>
      <c r="AD31" s="1399"/>
      <c r="AE31" s="1399"/>
    </row>
    <row r="32" spans="1:31">
      <c r="A32" s="1487"/>
      <c r="B32" s="1488"/>
      <c r="C32" s="1489"/>
      <c r="D32" s="1490"/>
      <c r="E32" s="1487"/>
      <c r="F32" s="1488"/>
      <c r="G32" s="1489"/>
      <c r="H32" s="1490"/>
      <c r="I32" s="1487"/>
      <c r="J32" s="1488"/>
      <c r="K32" s="1489"/>
      <c r="L32" s="1490"/>
      <c r="M32" s="1487"/>
      <c r="N32" s="1488"/>
      <c r="O32" s="1489"/>
      <c r="P32" s="1490"/>
      <c r="Q32" s="1399"/>
      <c r="R32" s="1399" t="s">
        <v>2792</v>
      </c>
      <c r="S32" s="1399" t="s">
        <v>2793</v>
      </c>
      <c r="T32" s="1399"/>
      <c r="U32" s="1399"/>
      <c r="V32" s="1399"/>
      <c r="W32" s="1399"/>
      <c r="X32" s="1445" t="e">
        <f ca="1"/>
        <v>#NAME?</v>
      </c>
      <c r="Y32" s="1446" t="e">
        <f ca="1"/>
        <v>#NAME?</v>
      </c>
      <c r="AA32" s="1399"/>
      <c r="AB32" s="1399"/>
      <c r="AC32" s="1399"/>
      <c r="AD32" s="1399"/>
      <c r="AE32" s="1399"/>
    </row>
    <row r="33" spans="1:31">
      <c r="A33" s="1487"/>
      <c r="B33" s="1488"/>
      <c r="C33" s="1489"/>
      <c r="D33" s="1490"/>
      <c r="E33" s="1487"/>
      <c r="F33" s="1488"/>
      <c r="G33" s="1489"/>
      <c r="H33" s="1490"/>
      <c r="I33" s="1487"/>
      <c r="J33" s="1488"/>
      <c r="K33" s="1489"/>
      <c r="L33" s="1490"/>
      <c r="M33" s="1487"/>
      <c r="N33" s="1488"/>
      <c r="O33" s="1489"/>
      <c r="P33" s="1490"/>
      <c r="Q33" s="1399"/>
      <c r="R33" s="1399" t="s">
        <v>2794</v>
      </c>
      <c r="S33" s="1399" t="s">
        <v>2795</v>
      </c>
      <c r="T33" s="1399"/>
      <c r="U33" s="1399"/>
      <c r="V33" s="1399"/>
      <c r="W33" s="1399"/>
      <c r="X33" s="1445" t="e">
        <f ca="1"/>
        <v>#NAME?</v>
      </c>
      <c r="Y33" s="1446" t="e">
        <f ca="1"/>
        <v>#NAME?</v>
      </c>
      <c r="AA33" s="1399"/>
      <c r="AB33" s="1399"/>
      <c r="AC33" s="1399"/>
      <c r="AD33" s="1399"/>
      <c r="AE33" s="1399"/>
    </row>
    <row r="34" spans="1:31">
      <c r="A34" s="1487"/>
      <c r="B34" s="1488"/>
      <c r="C34" s="1489"/>
      <c r="D34" s="1490"/>
      <c r="E34" s="1487"/>
      <c r="F34" s="1488"/>
      <c r="G34" s="1489"/>
      <c r="H34" s="1490"/>
      <c r="I34" s="1487"/>
      <c r="J34" s="1488"/>
      <c r="K34" s="1489"/>
      <c r="L34" s="1490"/>
      <c r="M34" s="1487"/>
      <c r="N34" s="1488"/>
      <c r="O34" s="1489"/>
      <c r="P34" s="1490"/>
      <c r="Q34" s="1399"/>
      <c r="R34" s="1399"/>
      <c r="S34" s="1399"/>
      <c r="T34" s="1399"/>
      <c r="U34" s="1399"/>
      <c r="V34" s="1399"/>
      <c r="W34" s="1399"/>
      <c r="X34" s="1445" t="e">
        <f ca="1"/>
        <v>#NAME?</v>
      </c>
      <c r="Y34" s="1446" t="e">
        <f ca="1"/>
        <v>#NAME?</v>
      </c>
      <c r="AA34" s="1399"/>
      <c r="AB34" s="1399"/>
      <c r="AC34" s="1399"/>
      <c r="AD34" s="1399"/>
      <c r="AE34" s="1399"/>
    </row>
    <row r="35" spans="1:31">
      <c r="A35" s="1487"/>
      <c r="B35" s="1488"/>
      <c r="C35" s="1489"/>
      <c r="D35" s="1490"/>
      <c r="E35" s="1487"/>
      <c r="F35" s="1488"/>
      <c r="G35" s="1489"/>
      <c r="H35" s="1490"/>
      <c r="I35" s="1487"/>
      <c r="J35" s="1488"/>
      <c r="K35" s="1489"/>
      <c r="L35" s="1490"/>
      <c r="M35" s="1487"/>
      <c r="N35" s="1488"/>
      <c r="O35" s="1489"/>
      <c r="P35" s="1490"/>
      <c r="Q35" s="1493"/>
      <c r="R35" s="1399"/>
      <c r="S35" s="1399"/>
      <c r="T35" s="1399"/>
      <c r="U35" s="1399"/>
      <c r="V35" s="1399"/>
      <c r="W35" s="1399"/>
      <c r="X35" s="1445" t="e">
        <f ca="1"/>
        <v>#NAME?</v>
      </c>
      <c r="Y35" s="1446" t="e">
        <f ca="1"/>
        <v>#NAME?</v>
      </c>
      <c r="AA35" s="1399"/>
      <c r="AB35" s="1399"/>
      <c r="AC35" s="1399"/>
      <c r="AD35" s="1399"/>
      <c r="AE35" s="1399"/>
    </row>
    <row r="36" spans="1:31">
      <c r="A36" s="1487"/>
      <c r="B36" s="1488"/>
      <c r="C36" s="1489"/>
      <c r="D36" s="1490"/>
      <c r="E36" s="1487"/>
      <c r="F36" s="1488"/>
      <c r="G36" s="1489"/>
      <c r="H36" s="1490"/>
      <c r="I36" s="1487"/>
      <c r="J36" s="1488"/>
      <c r="K36" s="1489"/>
      <c r="L36" s="1490"/>
      <c r="M36" s="1487"/>
      <c r="N36" s="1488"/>
      <c r="O36" s="1489"/>
      <c r="P36" s="1490"/>
      <c r="Q36" s="1399"/>
      <c r="R36" s="1399"/>
      <c r="S36" s="1486"/>
      <c r="T36" s="1399"/>
      <c r="U36" s="1399"/>
      <c r="V36" s="1399"/>
      <c r="W36" s="1399"/>
      <c r="X36" s="1445" t="e">
        <f ca="1"/>
        <v>#NAME?</v>
      </c>
      <c r="Y36" s="1446" t="e">
        <f ca="1"/>
        <v>#NAME?</v>
      </c>
      <c r="AA36" s="1399"/>
      <c r="AB36" s="1399"/>
      <c r="AC36" s="1399"/>
      <c r="AD36" s="1399"/>
      <c r="AE36" s="1399"/>
    </row>
    <row r="37" spans="1:31">
      <c r="A37" s="1487"/>
      <c r="B37" s="1488"/>
      <c r="C37" s="1489"/>
      <c r="D37" s="1490"/>
      <c r="E37" s="1487"/>
      <c r="F37" s="1488"/>
      <c r="G37" s="1489"/>
      <c r="H37" s="1490"/>
      <c r="I37" s="1487"/>
      <c r="J37" s="1488"/>
      <c r="K37" s="1489"/>
      <c r="L37" s="1490"/>
      <c r="M37" s="1487"/>
      <c r="N37" s="1488"/>
      <c r="O37" s="1489"/>
      <c r="P37" s="1490"/>
      <c r="Q37" s="1493"/>
      <c r="R37" s="1399"/>
      <c r="S37" s="1399"/>
      <c r="T37" s="1399"/>
      <c r="U37" s="1399"/>
      <c r="V37" s="1399"/>
      <c r="W37" s="1399"/>
      <c r="X37" s="1445" t="e">
        <f ca="1"/>
        <v>#NAME?</v>
      </c>
      <c r="Y37" s="1446" t="e">
        <f ca="1"/>
        <v>#NAME?</v>
      </c>
      <c r="AA37" s="1399"/>
      <c r="AB37" s="1399"/>
      <c r="AC37" s="1399"/>
      <c r="AD37" s="1399"/>
      <c r="AE37" s="1399"/>
    </row>
    <row r="38" spans="1:31">
      <c r="A38" s="1487"/>
      <c r="B38" s="1488"/>
      <c r="C38" s="1489"/>
      <c r="D38" s="1490"/>
      <c r="E38" s="1487"/>
      <c r="F38" s="1488"/>
      <c r="G38" s="1489"/>
      <c r="H38" s="1490"/>
      <c r="I38" s="1487"/>
      <c r="J38" s="1488"/>
      <c r="K38" s="1489"/>
      <c r="L38" s="1490"/>
      <c r="M38" s="1487"/>
      <c r="N38" s="1488"/>
      <c r="O38" s="1489"/>
      <c r="P38" s="1490"/>
      <c r="Q38" s="1399"/>
      <c r="R38" s="1399"/>
      <c r="S38" s="1399"/>
      <c r="T38" s="1399"/>
      <c r="U38" s="1399"/>
      <c r="V38" s="1399"/>
      <c r="W38" s="1399"/>
      <c r="X38" s="1445" t="e">
        <f ca="1"/>
        <v>#NAME?</v>
      </c>
      <c r="Y38" s="1446" t="e">
        <f ca="1"/>
        <v>#NAME?</v>
      </c>
      <c r="AA38" s="1399"/>
      <c r="AB38" s="1399"/>
      <c r="AC38" s="1399"/>
      <c r="AD38" s="1399"/>
      <c r="AE38" s="1399"/>
    </row>
    <row r="39" spans="1:31">
      <c r="A39" s="1487"/>
      <c r="B39" s="1488"/>
      <c r="C39" s="1489"/>
      <c r="D39" s="1490"/>
      <c r="E39" s="1487"/>
      <c r="F39" s="1488"/>
      <c r="G39" s="1489"/>
      <c r="H39" s="1490"/>
      <c r="I39" s="1487"/>
      <c r="J39" s="1488"/>
      <c r="K39" s="1489"/>
      <c r="L39" s="1490"/>
      <c r="M39" s="1487"/>
      <c r="N39" s="1488"/>
      <c r="O39" s="1489"/>
      <c r="P39" s="1490"/>
      <c r="Q39" s="1399"/>
      <c r="R39" s="1399"/>
      <c r="S39" s="1399"/>
      <c r="T39" s="1399"/>
      <c r="U39" s="1399"/>
      <c r="V39" s="1399"/>
      <c r="W39" s="1399"/>
      <c r="X39" s="1445" t="e">
        <f ca="1"/>
        <v>#NAME?</v>
      </c>
      <c r="Y39" s="1446" t="e">
        <f ca="1"/>
        <v>#NAME?</v>
      </c>
      <c r="AA39" s="1399"/>
      <c r="AB39" s="1399"/>
      <c r="AC39" s="1399"/>
      <c r="AD39" s="1399"/>
      <c r="AE39" s="1399"/>
    </row>
    <row r="40" spans="1:31">
      <c r="A40" s="1487"/>
      <c r="B40" s="1488"/>
      <c r="C40" s="1489"/>
      <c r="D40" s="1490"/>
      <c r="E40" s="1487"/>
      <c r="F40" s="1488"/>
      <c r="G40" s="1489"/>
      <c r="H40" s="1490"/>
      <c r="I40" s="1487"/>
      <c r="J40" s="1488"/>
      <c r="K40" s="1489"/>
      <c r="L40" s="1490"/>
      <c r="M40" s="1487"/>
      <c r="N40" s="1488"/>
      <c r="O40" s="1489"/>
      <c r="P40" s="1490"/>
      <c r="Q40" s="1399"/>
      <c r="R40" s="1399"/>
      <c r="S40" s="1399"/>
      <c r="T40" s="1399"/>
      <c r="U40" s="1399"/>
      <c r="V40" s="1399"/>
      <c r="W40" s="1399"/>
      <c r="X40" s="1445" t="e">
        <f ca="1"/>
        <v>#NAME?</v>
      </c>
      <c r="Y40" s="1446" t="e">
        <f ca="1"/>
        <v>#NAME?</v>
      </c>
      <c r="AA40" s="1399"/>
      <c r="AB40" s="1399"/>
      <c r="AC40" s="1399"/>
      <c r="AD40" s="1399"/>
      <c r="AE40" s="1399"/>
    </row>
    <row r="41" spans="1:31">
      <c r="A41" s="1487"/>
      <c r="B41" s="1488"/>
      <c r="C41" s="1489"/>
      <c r="D41" s="1490"/>
      <c r="E41" s="1487"/>
      <c r="F41" s="1488"/>
      <c r="G41" s="1489"/>
      <c r="H41" s="1490"/>
      <c r="I41" s="1487"/>
      <c r="J41" s="1488"/>
      <c r="K41" s="1489"/>
      <c r="L41" s="1490"/>
      <c r="M41" s="1487"/>
      <c r="N41" s="1488"/>
      <c r="O41" s="1489"/>
      <c r="P41" s="1490"/>
      <c r="Q41" s="1399"/>
      <c r="R41" s="1399"/>
      <c r="S41" s="1399"/>
      <c r="T41" s="1399"/>
      <c r="U41" s="1399"/>
      <c r="V41" s="1399"/>
      <c r="W41" s="1399"/>
      <c r="X41" s="1445" t="e">
        <f ca="1"/>
        <v>#NAME?</v>
      </c>
      <c r="Y41" s="1446" t="e">
        <f ca="1"/>
        <v>#NAME?</v>
      </c>
      <c r="AA41" s="1399"/>
      <c r="AB41" s="1399"/>
      <c r="AC41" s="1399"/>
      <c r="AD41" s="1399"/>
      <c r="AE41" s="1399"/>
    </row>
    <row r="42" spans="1:31">
      <c r="A42" s="1487"/>
      <c r="B42" s="1488"/>
      <c r="C42" s="1489"/>
      <c r="D42" s="1490"/>
      <c r="E42" s="1487"/>
      <c r="F42" s="1488"/>
      <c r="G42" s="1489"/>
      <c r="H42" s="1490"/>
      <c r="I42" s="1487"/>
      <c r="J42" s="1488"/>
      <c r="K42" s="1489"/>
      <c r="L42" s="1490"/>
      <c r="M42" s="1487"/>
      <c r="N42" s="1488"/>
      <c r="O42" s="1489"/>
      <c r="P42" s="1490"/>
      <c r="Q42" s="1399"/>
      <c r="R42" s="1399"/>
      <c r="S42" s="1399"/>
      <c r="T42" s="1399"/>
      <c r="U42" s="1399"/>
      <c r="V42" s="1399"/>
      <c r="W42" s="1399"/>
      <c r="X42" s="1445" t="e">
        <f ca="1"/>
        <v>#NAME?</v>
      </c>
      <c r="Y42" s="1446" t="e">
        <f ca="1"/>
        <v>#NAME?</v>
      </c>
      <c r="AA42" s="1399"/>
      <c r="AB42" s="1399"/>
      <c r="AC42" s="1399"/>
      <c r="AD42" s="1399"/>
      <c r="AE42" s="1399"/>
    </row>
    <row r="43" spans="1:31">
      <c r="A43" s="1487"/>
      <c r="B43" s="1488"/>
      <c r="C43" s="1489"/>
      <c r="D43" s="1490"/>
      <c r="E43" s="1487"/>
      <c r="F43" s="1488"/>
      <c r="G43" s="1489"/>
      <c r="H43" s="1490"/>
      <c r="I43" s="1487"/>
      <c r="J43" s="1488"/>
      <c r="K43" s="1489"/>
      <c r="L43" s="1490"/>
      <c r="M43" s="1487"/>
      <c r="N43" s="1488"/>
      <c r="O43" s="1489"/>
      <c r="P43" s="1490"/>
      <c r="Q43" s="1399"/>
      <c r="R43" s="1399"/>
      <c r="S43" s="1399"/>
      <c r="T43" s="1399"/>
      <c r="U43" s="1399"/>
      <c r="V43" s="1399"/>
      <c r="W43" s="1399"/>
      <c r="X43" s="1445" t="e">
        <f ca="1"/>
        <v>#NAME?</v>
      </c>
      <c r="Y43" s="1446" t="e">
        <f ca="1"/>
        <v>#NAME?</v>
      </c>
      <c r="AA43" s="1399"/>
      <c r="AB43" s="1399"/>
      <c r="AC43" s="1399"/>
      <c r="AD43" s="1399"/>
      <c r="AE43" s="1399"/>
    </row>
    <row r="44" spans="1:31">
      <c r="A44" s="1487"/>
      <c r="B44" s="1488"/>
      <c r="C44" s="1489"/>
      <c r="D44" s="1490"/>
      <c r="E44" s="1487"/>
      <c r="F44" s="1488"/>
      <c r="G44" s="1489"/>
      <c r="H44" s="1490"/>
      <c r="I44" s="1487"/>
      <c r="J44" s="1488"/>
      <c r="K44" s="1489"/>
      <c r="L44" s="1490"/>
      <c r="M44" s="1487"/>
      <c r="N44" s="1488"/>
      <c r="O44" s="1489"/>
      <c r="P44" s="1490"/>
      <c r="Q44" s="1399"/>
      <c r="R44" s="1399"/>
      <c r="S44" s="1399"/>
      <c r="T44" s="1399"/>
      <c r="U44" s="1399"/>
      <c r="V44" s="1399"/>
      <c r="W44" s="1399"/>
      <c r="X44" s="1445" t="e">
        <f ca="1"/>
        <v>#NAME?</v>
      </c>
      <c r="Y44" s="1446" t="e">
        <f ca="1"/>
        <v>#NAME?</v>
      </c>
      <c r="AA44" s="1399"/>
      <c r="AB44" s="1399"/>
      <c r="AC44" s="1399"/>
      <c r="AD44" s="1399"/>
      <c r="AE44" s="1399"/>
    </row>
    <row r="45" spans="1:31">
      <c r="A45" s="1487"/>
      <c r="B45" s="1488"/>
      <c r="C45" s="1489"/>
      <c r="D45" s="1490"/>
      <c r="E45" s="1487"/>
      <c r="F45" s="1488"/>
      <c r="G45" s="1489"/>
      <c r="H45" s="1490"/>
      <c r="I45" s="1487"/>
      <c r="J45" s="1488"/>
      <c r="K45" s="1489"/>
      <c r="L45" s="1490"/>
      <c r="M45" s="1487"/>
      <c r="N45" s="1488"/>
      <c r="O45" s="1489"/>
      <c r="P45" s="1490"/>
      <c r="Q45" s="1399"/>
      <c r="R45" s="1399"/>
      <c r="S45" s="1399"/>
      <c r="T45" s="1399"/>
      <c r="U45" s="1399"/>
      <c r="V45" s="1399"/>
      <c r="W45" s="1399"/>
      <c r="X45" s="1445" t="e">
        <f ca="1"/>
        <v>#NAME?</v>
      </c>
      <c r="Y45" s="1446" t="e">
        <f ca="1"/>
        <v>#NAME?</v>
      </c>
      <c r="AA45" s="1399"/>
      <c r="AB45" s="1399"/>
      <c r="AC45" s="1399"/>
      <c r="AD45" s="1399"/>
      <c r="AE45" s="1399"/>
    </row>
    <row r="46" spans="1:31">
      <c r="A46" s="1487"/>
      <c r="B46" s="1488"/>
      <c r="C46" s="1489"/>
      <c r="D46" s="1490"/>
      <c r="E46" s="1487"/>
      <c r="F46" s="1488"/>
      <c r="G46" s="1489"/>
      <c r="H46" s="1490"/>
      <c r="I46" s="1487"/>
      <c r="J46" s="1488"/>
      <c r="K46" s="1489"/>
      <c r="L46" s="1490"/>
      <c r="M46" s="1487"/>
      <c r="N46" s="1488"/>
      <c r="O46" s="1489"/>
      <c r="P46" s="1490"/>
      <c r="Q46" s="1399"/>
      <c r="R46" s="1399"/>
      <c r="S46" s="1399"/>
      <c r="T46" s="1399"/>
      <c r="U46" s="1399"/>
      <c r="V46" s="1399"/>
      <c r="W46" s="1399"/>
      <c r="X46" s="1445" t="e">
        <f ca="1"/>
        <v>#NAME?</v>
      </c>
      <c r="Y46" s="1446" t="e">
        <f ca="1"/>
        <v>#NAME?</v>
      </c>
      <c r="AA46" s="1399"/>
      <c r="AB46" s="1399"/>
      <c r="AC46" s="1399"/>
      <c r="AD46" s="1399"/>
      <c r="AE46" s="1399"/>
    </row>
    <row r="47" spans="1:31">
      <c r="A47" s="1487"/>
      <c r="B47" s="1488"/>
      <c r="C47" s="1489"/>
      <c r="D47" s="1490"/>
      <c r="E47" s="1487"/>
      <c r="F47" s="1488"/>
      <c r="G47" s="1489"/>
      <c r="H47" s="1490"/>
      <c r="I47" s="1487"/>
      <c r="J47" s="1488"/>
      <c r="K47" s="1489"/>
      <c r="L47" s="1490"/>
      <c r="M47" s="1487"/>
      <c r="N47" s="1488"/>
      <c r="O47" s="1489"/>
      <c r="P47" s="1490"/>
      <c r="Q47" s="1399"/>
      <c r="R47" s="1399"/>
      <c r="S47" s="1399"/>
      <c r="T47" s="1399"/>
      <c r="U47" s="1399"/>
      <c r="V47" s="1399"/>
      <c r="W47" s="1399"/>
      <c r="X47" s="1445" t="e">
        <f ca="1"/>
        <v>#NAME?</v>
      </c>
      <c r="Y47" s="1446" t="e">
        <f ca="1"/>
        <v>#NAME?</v>
      </c>
      <c r="AA47" s="1399"/>
      <c r="AB47" s="1399"/>
      <c r="AC47" s="1399"/>
      <c r="AD47" s="1399"/>
      <c r="AE47" s="1399"/>
    </row>
    <row r="48" spans="1:31">
      <c r="A48" s="1487"/>
      <c r="B48" s="1488"/>
      <c r="C48" s="1489"/>
      <c r="D48" s="1490"/>
      <c r="E48" s="1487"/>
      <c r="F48" s="1488"/>
      <c r="G48" s="1489"/>
      <c r="H48" s="1490"/>
      <c r="I48" s="1487"/>
      <c r="J48" s="1488"/>
      <c r="K48" s="1489"/>
      <c r="L48" s="1490"/>
      <c r="M48" s="1487"/>
      <c r="N48" s="1488"/>
      <c r="O48" s="1489"/>
      <c r="P48" s="1490"/>
      <c r="Q48" s="1399"/>
      <c r="R48" s="1399"/>
      <c r="S48" s="1399"/>
      <c r="T48" s="1399"/>
      <c r="U48" s="1399"/>
      <c r="V48" s="1399"/>
      <c r="W48" s="1399"/>
      <c r="X48" s="1445" t="e">
        <f ca="1"/>
        <v>#NAME?</v>
      </c>
      <c r="Y48" s="1446" t="e">
        <f ca="1"/>
        <v>#NAME?</v>
      </c>
      <c r="AA48" s="1399"/>
      <c r="AB48" s="1399"/>
      <c r="AC48" s="1399"/>
      <c r="AD48" s="1399"/>
      <c r="AE48" s="1399"/>
    </row>
    <row r="49" spans="1:31">
      <c r="A49" s="1487"/>
      <c r="B49" s="1488"/>
      <c r="C49" s="1489"/>
      <c r="D49" s="1490"/>
      <c r="E49" s="1487"/>
      <c r="F49" s="1488"/>
      <c r="G49" s="1489"/>
      <c r="H49" s="1490"/>
      <c r="I49" s="1487"/>
      <c r="J49" s="1488"/>
      <c r="K49" s="1489"/>
      <c r="L49" s="1490"/>
      <c r="M49" s="1487"/>
      <c r="N49" s="1488"/>
      <c r="O49" s="1489"/>
      <c r="P49" s="1490"/>
      <c r="Q49" s="1399"/>
      <c r="R49" s="1399"/>
      <c r="S49" s="1399"/>
      <c r="T49" s="1399"/>
      <c r="U49" s="1399"/>
      <c r="V49" s="1399"/>
      <c r="W49" s="1399"/>
      <c r="X49" s="1445" t="e">
        <f ca="1"/>
        <v>#NAME?</v>
      </c>
      <c r="Y49" s="1446" t="e">
        <f ca="1"/>
        <v>#NAME?</v>
      </c>
      <c r="AA49" s="1399"/>
      <c r="AB49" s="1399"/>
      <c r="AC49" s="1399"/>
      <c r="AD49" s="1399"/>
      <c r="AE49" s="1399"/>
    </row>
    <row r="50" spans="1:31">
      <c r="A50" s="1487"/>
      <c r="B50" s="1488"/>
      <c r="C50" s="1489"/>
      <c r="D50" s="1490"/>
      <c r="E50" s="1487"/>
      <c r="F50" s="1488"/>
      <c r="G50" s="1489"/>
      <c r="H50" s="1490"/>
      <c r="I50" s="1487"/>
      <c r="J50" s="1488"/>
      <c r="K50" s="1489"/>
      <c r="L50" s="1490"/>
      <c r="M50" s="1487"/>
      <c r="N50" s="1488"/>
      <c r="O50" s="1489"/>
      <c r="P50" s="1490"/>
      <c r="Q50" s="1399"/>
      <c r="R50" s="1399"/>
      <c r="S50" s="1399"/>
      <c r="T50" s="1399"/>
      <c r="U50" s="1399"/>
      <c r="V50" s="1399"/>
      <c r="W50" s="1399"/>
      <c r="X50" s="1445" t="e">
        <f ca="1"/>
        <v>#NAME?</v>
      </c>
      <c r="Y50" s="1446" t="e">
        <f ca="1"/>
        <v>#NAME?</v>
      </c>
      <c r="AA50" s="1399"/>
      <c r="AB50" s="1399"/>
      <c r="AC50" s="1399"/>
      <c r="AD50" s="1399"/>
      <c r="AE50" s="1399"/>
    </row>
    <row r="51" spans="1:31">
      <c r="A51" s="1487"/>
      <c r="B51" s="1488"/>
      <c r="C51" s="1489"/>
      <c r="D51" s="1490"/>
      <c r="E51" s="1487"/>
      <c r="F51" s="1488"/>
      <c r="G51" s="1489"/>
      <c r="H51" s="1490"/>
      <c r="I51" s="1487"/>
      <c r="J51" s="1488"/>
      <c r="K51" s="1489"/>
      <c r="L51" s="1490"/>
      <c r="M51" s="1487"/>
      <c r="N51" s="1488"/>
      <c r="O51" s="1489"/>
      <c r="P51" s="1490"/>
      <c r="Q51" s="1399"/>
      <c r="R51" s="1399"/>
      <c r="S51" s="1399"/>
      <c r="T51" s="1399"/>
      <c r="U51" s="1399"/>
      <c r="V51" s="1399"/>
      <c r="W51" s="1399"/>
      <c r="X51" s="1445" t="e">
        <f ca="1"/>
        <v>#NAME?</v>
      </c>
      <c r="Y51" s="1446" t="e">
        <f ca="1"/>
        <v>#NAME?</v>
      </c>
      <c r="AA51" s="1399"/>
      <c r="AB51" s="1399"/>
      <c r="AC51" s="1399"/>
      <c r="AD51" s="1399"/>
      <c r="AE51" s="1399"/>
    </row>
    <row r="52" spans="1:31">
      <c r="A52" s="1487"/>
      <c r="B52" s="1488"/>
      <c r="C52" s="1489"/>
      <c r="D52" s="1490"/>
      <c r="E52" s="1487"/>
      <c r="F52" s="1488"/>
      <c r="G52" s="1489"/>
      <c r="H52" s="1490"/>
      <c r="I52" s="1487"/>
      <c r="J52" s="1488"/>
      <c r="K52" s="1489"/>
      <c r="L52" s="1490"/>
      <c r="M52" s="1487"/>
      <c r="N52" s="1488"/>
      <c r="O52" s="1489"/>
      <c r="P52" s="1490"/>
      <c r="Q52" s="1399"/>
      <c r="R52" s="1399"/>
      <c r="S52" s="1399"/>
      <c r="T52" s="1399"/>
      <c r="U52" s="1399"/>
      <c r="V52" s="1399"/>
      <c r="W52" s="1399"/>
      <c r="X52" s="1445" t="e">
        <f ca="1"/>
        <v>#NAME?</v>
      </c>
      <c r="Y52" s="1446" t="e">
        <f ca="1"/>
        <v>#NAME?</v>
      </c>
      <c r="AA52" s="1399"/>
      <c r="AB52" s="1399"/>
      <c r="AC52" s="1399"/>
      <c r="AD52" s="1399"/>
      <c r="AE52" s="1399"/>
    </row>
    <row r="53" spans="1:31">
      <c r="A53" s="1487"/>
      <c r="B53" s="1488"/>
      <c r="C53" s="1489"/>
      <c r="D53" s="1490"/>
      <c r="E53" s="1487"/>
      <c r="F53" s="1488"/>
      <c r="G53" s="1489"/>
      <c r="H53" s="1490"/>
      <c r="I53" s="1487"/>
      <c r="J53" s="1488"/>
      <c r="K53" s="1489"/>
      <c r="L53" s="1490"/>
      <c r="M53" s="1487"/>
      <c r="N53" s="1488"/>
      <c r="O53" s="1489"/>
      <c r="P53" s="1490"/>
      <c r="Q53" s="1399"/>
      <c r="R53" s="1399"/>
      <c r="S53" s="1399"/>
      <c r="T53" s="1399"/>
      <c r="U53" s="1399"/>
      <c r="V53" s="1399"/>
      <c r="W53" s="1399"/>
      <c r="X53" s="1445" t="e">
        <f ca="1"/>
        <v>#NAME?</v>
      </c>
      <c r="Y53" s="1446" t="e">
        <f ca="1"/>
        <v>#NAME?</v>
      </c>
      <c r="AA53" s="1399"/>
      <c r="AB53" s="1399"/>
      <c r="AC53" s="1399"/>
      <c r="AD53" s="1399"/>
      <c r="AE53" s="1399"/>
    </row>
    <row r="54" spans="1:31">
      <c r="A54" s="1487"/>
      <c r="B54" s="1488"/>
      <c r="C54" s="1489"/>
      <c r="D54" s="1490"/>
      <c r="E54" s="1487"/>
      <c r="F54" s="1488"/>
      <c r="G54" s="1489"/>
      <c r="H54" s="1490"/>
      <c r="I54" s="1487"/>
      <c r="J54" s="1488"/>
      <c r="K54" s="1489"/>
      <c r="L54" s="1490"/>
      <c r="M54" s="1487"/>
      <c r="N54" s="1488"/>
      <c r="O54" s="1489"/>
      <c r="P54" s="1490"/>
      <c r="Q54" s="1399"/>
      <c r="R54" s="1399"/>
      <c r="S54" s="1399"/>
      <c r="T54" s="1399"/>
      <c r="U54" s="1399"/>
      <c r="V54" s="1399"/>
      <c r="W54" s="1399"/>
      <c r="X54" s="1445" t="e">
        <f ca="1"/>
        <v>#NAME?</v>
      </c>
      <c r="Y54" s="1446" t="e">
        <f ca="1"/>
        <v>#NAME?</v>
      </c>
      <c r="AA54" s="1399"/>
      <c r="AB54" s="1399"/>
      <c r="AC54" s="1399"/>
      <c r="AD54" s="1399"/>
      <c r="AE54" s="1399"/>
    </row>
    <row r="55" spans="1:31">
      <c r="A55" s="1487"/>
      <c r="B55" s="1488"/>
      <c r="C55" s="1489"/>
      <c r="D55" s="1490"/>
      <c r="E55" s="1487"/>
      <c r="F55" s="1488"/>
      <c r="G55" s="1489"/>
      <c r="H55" s="1490"/>
      <c r="I55" s="1487"/>
      <c r="J55" s="1488"/>
      <c r="K55" s="1489"/>
      <c r="L55" s="1490"/>
      <c r="M55" s="1487"/>
      <c r="N55" s="1488"/>
      <c r="O55" s="1489"/>
      <c r="P55" s="1490"/>
      <c r="Q55" s="1399"/>
      <c r="R55" s="1399"/>
      <c r="S55" s="1399"/>
      <c r="T55" s="1399"/>
      <c r="U55" s="1399"/>
      <c r="V55" s="1399"/>
      <c r="W55" s="1399"/>
      <c r="X55" s="1445" t="e">
        <f ca="1"/>
        <v>#NAME?</v>
      </c>
      <c r="Y55" s="1446" t="e">
        <f ca="1"/>
        <v>#NAME?</v>
      </c>
      <c r="AA55" s="1399"/>
      <c r="AB55" s="1399"/>
      <c r="AC55" s="1399"/>
      <c r="AD55" s="1399"/>
      <c r="AE55" s="1399"/>
    </row>
    <row r="56" spans="1:31">
      <c r="A56" s="1487"/>
      <c r="B56" s="1488"/>
      <c r="C56" s="1489"/>
      <c r="D56" s="1490"/>
      <c r="E56" s="1487"/>
      <c r="F56" s="1488"/>
      <c r="G56" s="1489"/>
      <c r="H56" s="1490"/>
      <c r="I56" s="1487"/>
      <c r="J56" s="1488"/>
      <c r="K56" s="1489"/>
      <c r="L56" s="1490"/>
      <c r="M56" s="1487"/>
      <c r="N56" s="1488"/>
      <c r="O56" s="1489"/>
      <c r="P56" s="1490"/>
      <c r="Q56" s="1399"/>
      <c r="R56" s="1399"/>
      <c r="S56" s="1399"/>
      <c r="T56" s="1399"/>
      <c r="U56" s="1399"/>
      <c r="V56" s="1399"/>
      <c r="W56" s="1399"/>
      <c r="X56" s="1445" t="e">
        <f ca="1"/>
        <v>#NAME?</v>
      </c>
      <c r="Y56" s="1446" t="e">
        <f ca="1"/>
        <v>#NAME?</v>
      </c>
      <c r="AA56" s="1399"/>
      <c r="AB56" s="1399"/>
      <c r="AC56" s="1399"/>
      <c r="AD56" s="1399"/>
      <c r="AE56" s="1399"/>
    </row>
    <row r="57" spans="1:31">
      <c r="A57" s="1487"/>
      <c r="B57" s="1488"/>
      <c r="C57" s="1489"/>
      <c r="D57" s="1490"/>
      <c r="E57" s="1487"/>
      <c r="F57" s="1488"/>
      <c r="G57" s="1489"/>
      <c r="H57" s="1490"/>
      <c r="I57" s="1487"/>
      <c r="J57" s="1488"/>
      <c r="K57" s="1489"/>
      <c r="L57" s="1490"/>
      <c r="M57" s="1487"/>
      <c r="N57" s="1488"/>
      <c r="O57" s="1489"/>
      <c r="P57" s="1490"/>
      <c r="Q57" s="1399"/>
      <c r="R57" s="1399"/>
      <c r="S57" s="1399"/>
      <c r="T57" s="1399"/>
      <c r="U57" s="1399"/>
      <c r="V57" s="1399"/>
      <c r="W57" s="1399"/>
      <c r="X57" s="1445" t="e">
        <f ca="1"/>
        <v>#NAME?</v>
      </c>
      <c r="Y57" s="1446" t="e">
        <f ca="1"/>
        <v>#NAME?</v>
      </c>
      <c r="AA57" s="1399"/>
      <c r="AB57" s="1399"/>
      <c r="AC57" s="1399"/>
      <c r="AD57" s="1399"/>
      <c r="AE57" s="1399"/>
    </row>
    <row r="58" spans="1:31">
      <c r="A58" s="1487"/>
      <c r="B58" s="1488"/>
      <c r="C58" s="1489"/>
      <c r="D58" s="1490"/>
      <c r="E58" s="1487"/>
      <c r="F58" s="1488"/>
      <c r="G58" s="1489"/>
      <c r="H58" s="1490"/>
      <c r="I58" s="1487"/>
      <c r="J58" s="1488"/>
      <c r="K58" s="1489"/>
      <c r="L58" s="1490"/>
      <c r="M58" s="1487"/>
      <c r="N58" s="1488"/>
      <c r="O58" s="1489"/>
      <c r="P58" s="1490"/>
      <c r="Q58" s="1399"/>
      <c r="R58" s="1399"/>
      <c r="S58" s="1399"/>
      <c r="T58" s="1399"/>
      <c r="U58" s="1399"/>
      <c r="V58" s="1399"/>
      <c r="W58" s="1399"/>
      <c r="X58" s="1445" t="e">
        <f ca="1"/>
        <v>#NAME?</v>
      </c>
      <c r="Y58" s="1446" t="e">
        <f ca="1"/>
        <v>#NAME?</v>
      </c>
      <c r="AA58" s="1399"/>
      <c r="AB58" s="1399"/>
      <c r="AC58" s="1399"/>
      <c r="AD58" s="1399"/>
      <c r="AE58" s="1399"/>
    </row>
    <row r="59" spans="1:31">
      <c r="A59" s="1487"/>
      <c r="B59" s="1488"/>
      <c r="C59" s="1489"/>
      <c r="D59" s="1490"/>
      <c r="E59" s="1487"/>
      <c r="F59" s="1488"/>
      <c r="G59" s="1489"/>
      <c r="H59" s="1490"/>
      <c r="I59" s="1487"/>
      <c r="J59" s="1488"/>
      <c r="K59" s="1489"/>
      <c r="L59" s="1490"/>
      <c r="M59" s="1487"/>
      <c r="N59" s="1488"/>
      <c r="O59" s="1489"/>
      <c r="P59" s="1490"/>
      <c r="Q59" s="1399"/>
      <c r="R59" s="1399"/>
      <c r="S59" s="1399"/>
      <c r="T59" s="1399"/>
      <c r="U59" s="1399"/>
      <c r="V59" s="1399"/>
      <c r="W59" s="1399"/>
      <c r="X59" s="1445" t="e">
        <f ca="1"/>
        <v>#NAME?</v>
      </c>
      <c r="Y59" s="1446" t="e">
        <f ca="1"/>
        <v>#NAME?</v>
      </c>
      <c r="AA59" s="1399"/>
      <c r="AB59" s="1399"/>
      <c r="AC59" s="1399"/>
      <c r="AD59" s="1399"/>
      <c r="AE59" s="1399"/>
    </row>
    <row r="60" spans="1:31">
      <c r="A60" s="1487"/>
      <c r="B60" s="1488"/>
      <c r="C60" s="1489"/>
      <c r="D60" s="1490"/>
      <c r="E60" s="1487"/>
      <c r="F60" s="1488"/>
      <c r="G60" s="1489"/>
      <c r="H60" s="1490"/>
      <c r="I60" s="1487"/>
      <c r="J60" s="1488"/>
      <c r="K60" s="1489"/>
      <c r="L60" s="1490"/>
      <c r="M60" s="1487"/>
      <c r="N60" s="1488"/>
      <c r="O60" s="1489"/>
      <c r="P60" s="1490"/>
      <c r="Q60" s="1399"/>
      <c r="X60" s="1445" t="e">
        <f ca="1"/>
        <v>#NAME?</v>
      </c>
      <c r="Y60" s="1446" t="e">
        <f ca="1"/>
        <v>#NAME?</v>
      </c>
      <c r="Z60" s="1408"/>
      <c r="AB60" s="1399"/>
      <c r="AC60" s="1399"/>
      <c r="AD60" s="1399"/>
      <c r="AE60" s="1399"/>
    </row>
    <row r="61" spans="1:31">
      <c r="A61" s="1487"/>
      <c r="B61" s="1488"/>
      <c r="C61" s="1489"/>
      <c r="D61" s="1490"/>
      <c r="E61" s="1487"/>
      <c r="F61" s="1488"/>
      <c r="G61" s="1489"/>
      <c r="H61" s="1490"/>
      <c r="I61" s="1487"/>
      <c r="J61" s="1488"/>
      <c r="K61" s="1489"/>
      <c r="L61" s="1490"/>
      <c r="M61" s="1487"/>
      <c r="N61" s="1488"/>
      <c r="O61" s="1489"/>
      <c r="P61" s="1490"/>
      <c r="Q61" s="1399"/>
      <c r="X61" s="1445" t="e">
        <f ca="1"/>
        <v>#NAME?</v>
      </c>
      <c r="Y61" s="1446" t="e">
        <f ca="1"/>
        <v>#NAME?</v>
      </c>
      <c r="Z61" s="1408"/>
      <c r="AB61" s="1399"/>
      <c r="AC61" s="1399"/>
      <c r="AD61" s="1399"/>
      <c r="AE61" s="1399"/>
    </row>
    <row r="62" spans="1:31">
      <c r="A62" s="1487"/>
      <c r="B62" s="1488"/>
      <c r="C62" s="1489"/>
      <c r="D62" s="1490"/>
      <c r="E62" s="1487"/>
      <c r="F62" s="1488"/>
      <c r="G62" s="1489"/>
      <c r="H62" s="1490"/>
      <c r="I62" s="1487"/>
      <c r="J62" s="1488"/>
      <c r="K62" s="1489"/>
      <c r="L62" s="1490"/>
      <c r="M62" s="1487"/>
      <c r="N62" s="1488"/>
      <c r="O62" s="1489"/>
      <c r="P62" s="1490"/>
      <c r="Q62" s="1399"/>
      <c r="X62" s="1445" t="e">
        <f ca="1"/>
        <v>#NAME?</v>
      </c>
      <c r="Y62" s="1446" t="e">
        <f ca="1"/>
        <v>#NAME?</v>
      </c>
      <c r="Z62" s="1408"/>
      <c r="AB62" s="1399"/>
      <c r="AC62" s="1399"/>
      <c r="AD62" s="1399"/>
      <c r="AE62" s="1399"/>
    </row>
    <row r="63" spans="1:31">
      <c r="A63" s="1487"/>
      <c r="B63" s="1488"/>
      <c r="C63" s="1489"/>
      <c r="D63" s="1490"/>
      <c r="E63" s="1487"/>
      <c r="F63" s="1488"/>
      <c r="G63" s="1489"/>
      <c r="H63" s="1490"/>
      <c r="I63" s="1487"/>
      <c r="J63" s="1488"/>
      <c r="K63" s="1489"/>
      <c r="L63" s="1490"/>
      <c r="M63" s="1487"/>
      <c r="N63" s="1488"/>
      <c r="O63" s="1489"/>
      <c r="P63" s="1490"/>
      <c r="Q63" s="1399"/>
      <c r="X63" s="1445" t="e">
        <f ca="1"/>
        <v>#NAME?</v>
      </c>
      <c r="Y63" s="1446" t="e">
        <f ca="1"/>
        <v>#NAME?</v>
      </c>
      <c r="Z63" s="1408"/>
      <c r="AB63" s="1399"/>
      <c r="AC63" s="1399"/>
      <c r="AD63" s="1399"/>
      <c r="AE63" s="1399"/>
    </row>
    <row r="64" spans="1:31">
      <c r="A64" s="1487"/>
      <c r="B64" s="1488"/>
      <c r="C64" s="1489"/>
      <c r="D64" s="1490"/>
      <c r="E64" s="1487"/>
      <c r="F64" s="1488"/>
      <c r="G64" s="1489"/>
      <c r="H64" s="1490"/>
      <c r="I64" s="1487"/>
      <c r="J64" s="1488"/>
      <c r="K64" s="1489"/>
      <c r="L64" s="1490"/>
      <c r="M64" s="1487"/>
      <c r="N64" s="1488"/>
      <c r="O64" s="1489"/>
      <c r="P64" s="1490"/>
      <c r="Q64" s="1399"/>
      <c r="X64" s="1445" t="e">
        <f ca="1"/>
        <v>#NAME?</v>
      </c>
      <c r="Y64" s="1446" t="e">
        <f ca="1"/>
        <v>#NAME?</v>
      </c>
      <c r="Z64" s="1408"/>
      <c r="AB64" s="1399"/>
      <c r="AC64" s="1399"/>
      <c r="AD64" s="1399"/>
      <c r="AE64" s="1399"/>
    </row>
    <row r="65" spans="1:31">
      <c r="A65" s="1487"/>
      <c r="B65" s="1488"/>
      <c r="C65" s="1489"/>
      <c r="D65" s="1490"/>
      <c r="E65" s="1487"/>
      <c r="F65" s="1488"/>
      <c r="G65" s="1489"/>
      <c r="H65" s="1490"/>
      <c r="I65" s="1487"/>
      <c r="J65" s="1488"/>
      <c r="K65" s="1489"/>
      <c r="L65" s="1490"/>
      <c r="M65" s="1487"/>
      <c r="N65" s="1488"/>
      <c r="O65" s="1489"/>
      <c r="P65" s="1490"/>
      <c r="Q65" s="1399"/>
      <c r="X65" s="1445" t="e">
        <f ca="1"/>
        <v>#NAME?</v>
      </c>
      <c r="Y65" s="1446" t="e">
        <f ca="1"/>
        <v>#NAME?</v>
      </c>
      <c r="Z65" s="1408"/>
      <c r="AB65" s="1399"/>
      <c r="AC65" s="1399"/>
      <c r="AD65" s="1399"/>
      <c r="AE65" s="1399"/>
    </row>
    <row r="66" spans="1:31">
      <c r="A66" s="1487"/>
      <c r="B66" s="1488"/>
      <c r="C66" s="1489"/>
      <c r="D66" s="1490"/>
      <c r="E66" s="1487"/>
      <c r="F66" s="1488"/>
      <c r="G66" s="1489"/>
      <c r="H66" s="1490"/>
      <c r="I66" s="1487"/>
      <c r="J66" s="1488"/>
      <c r="K66" s="1489"/>
      <c r="L66" s="1490"/>
      <c r="M66" s="1487"/>
      <c r="N66" s="1488"/>
      <c r="O66" s="1489"/>
      <c r="P66" s="1490"/>
      <c r="Q66" s="1399"/>
      <c r="X66" s="1445" t="e">
        <f ca="1"/>
        <v>#NAME?</v>
      </c>
      <c r="Y66" s="1446" t="e">
        <f ca="1"/>
        <v>#NAME?</v>
      </c>
      <c r="Z66" s="1408"/>
      <c r="AB66" s="1399"/>
      <c r="AC66" s="1399"/>
      <c r="AD66" s="1399"/>
      <c r="AE66" s="1399"/>
    </row>
    <row r="67" spans="1:31">
      <c r="A67" s="1487"/>
      <c r="B67" s="1488"/>
      <c r="C67" s="1489"/>
      <c r="D67" s="1490"/>
      <c r="E67" s="1487"/>
      <c r="F67" s="1488"/>
      <c r="G67" s="1489"/>
      <c r="H67" s="1490"/>
      <c r="I67" s="1487"/>
      <c r="J67" s="1488"/>
      <c r="K67" s="1489"/>
      <c r="L67" s="1490"/>
      <c r="M67" s="1487"/>
      <c r="N67" s="1488"/>
      <c r="O67" s="1489"/>
      <c r="P67" s="1490"/>
      <c r="Q67" s="1399"/>
      <c r="X67" s="1445" t="e">
        <f ca="1"/>
        <v>#NAME?</v>
      </c>
      <c r="Y67" s="1446" t="e">
        <f ca="1"/>
        <v>#NAME?</v>
      </c>
      <c r="Z67" s="1408"/>
      <c r="AB67" s="1399"/>
      <c r="AC67" s="1399"/>
      <c r="AD67" s="1399"/>
      <c r="AE67" s="1399"/>
    </row>
    <row r="68" spans="1:31">
      <c r="A68" s="1487"/>
      <c r="B68" s="1488"/>
      <c r="C68" s="1489"/>
      <c r="D68" s="1490"/>
      <c r="E68" s="1487"/>
      <c r="F68" s="1488"/>
      <c r="G68" s="1489"/>
      <c r="H68" s="1490"/>
      <c r="I68" s="1487"/>
      <c r="J68" s="1488"/>
      <c r="K68" s="1489"/>
      <c r="L68" s="1490"/>
      <c r="M68" s="1487"/>
      <c r="N68" s="1488"/>
      <c r="O68" s="1489"/>
      <c r="P68" s="1490"/>
      <c r="Q68" s="1399"/>
      <c r="X68" s="1445" t="e">
        <f ca="1"/>
        <v>#NAME?</v>
      </c>
      <c r="Y68" s="1446" t="e">
        <f ca="1"/>
        <v>#NAME?</v>
      </c>
      <c r="Z68" s="1408"/>
      <c r="AB68" s="1399"/>
      <c r="AC68" s="1399"/>
      <c r="AD68" s="1399"/>
      <c r="AE68" s="1399"/>
    </row>
    <row r="69" spans="1:31">
      <c r="A69" s="1487"/>
      <c r="B69" s="1488"/>
      <c r="C69" s="1489"/>
      <c r="D69" s="1490"/>
      <c r="E69" s="1487"/>
      <c r="F69" s="1488"/>
      <c r="G69" s="1489"/>
      <c r="H69" s="1490"/>
      <c r="I69" s="1487"/>
      <c r="J69" s="1488"/>
      <c r="K69" s="1489"/>
      <c r="L69" s="1490"/>
      <c r="M69" s="1487"/>
      <c r="N69" s="1488"/>
      <c r="O69" s="1489"/>
      <c r="P69" s="1490"/>
      <c r="Q69" s="1399"/>
      <c r="X69" s="1445" t="e">
        <f ca="1"/>
        <v>#NAME?</v>
      </c>
      <c r="Y69" s="1446" t="e">
        <f ca="1"/>
        <v>#NAME?</v>
      </c>
      <c r="Z69" s="1408"/>
      <c r="AB69" s="1399"/>
      <c r="AC69" s="1399"/>
      <c r="AD69" s="1399"/>
      <c r="AE69" s="1399"/>
    </row>
    <row r="70" spans="1:31">
      <c r="A70" s="1487"/>
      <c r="B70" s="1488"/>
      <c r="C70" s="1489"/>
      <c r="D70" s="1490"/>
      <c r="E70" s="1487"/>
      <c r="F70" s="1488"/>
      <c r="G70" s="1489"/>
      <c r="H70" s="1490"/>
      <c r="I70" s="1487"/>
      <c r="J70" s="1488"/>
      <c r="K70" s="1489"/>
      <c r="L70" s="1490"/>
      <c r="M70" s="1487"/>
      <c r="N70" s="1488"/>
      <c r="O70" s="1489"/>
      <c r="P70" s="1490"/>
      <c r="Q70" s="1399"/>
      <c r="X70" s="1445" t="e">
        <f ca="1"/>
        <v>#NAME?</v>
      </c>
      <c r="Y70" s="1446" t="e">
        <f ca="1"/>
        <v>#NAME?</v>
      </c>
      <c r="Z70" s="1408"/>
      <c r="AB70" s="1399"/>
      <c r="AC70" s="1399"/>
      <c r="AD70" s="1399"/>
      <c r="AE70" s="1399"/>
    </row>
    <row r="71" spans="1:31">
      <c r="A71" s="1487"/>
      <c r="B71" s="1488"/>
      <c r="C71" s="1489"/>
      <c r="D71" s="1490"/>
      <c r="E71" s="1487"/>
      <c r="F71" s="1488"/>
      <c r="G71" s="1489"/>
      <c r="H71" s="1490"/>
      <c r="I71" s="1487"/>
      <c r="J71" s="1488"/>
      <c r="K71" s="1489"/>
      <c r="L71" s="1490"/>
      <c r="M71" s="1487"/>
      <c r="N71" s="1488"/>
      <c r="O71" s="1489"/>
      <c r="P71" s="1490"/>
      <c r="Q71" s="1399"/>
      <c r="X71" s="1445" t="e">
        <f ca="1"/>
        <v>#NAME?</v>
      </c>
      <c r="Y71" s="1446" t="e">
        <f ca="1"/>
        <v>#NAME?</v>
      </c>
      <c r="Z71" s="1408"/>
      <c r="AB71" s="1399"/>
      <c r="AC71" s="1399"/>
      <c r="AD71" s="1399"/>
      <c r="AE71" s="1399"/>
    </row>
    <row r="72" spans="1:31">
      <c r="A72" s="1487"/>
      <c r="B72" s="1488"/>
      <c r="C72" s="1489"/>
      <c r="D72" s="1490"/>
      <c r="E72" s="1487"/>
      <c r="F72" s="1488"/>
      <c r="G72" s="1489"/>
      <c r="H72" s="1490"/>
      <c r="I72" s="1487"/>
      <c r="J72" s="1488"/>
      <c r="K72" s="1489"/>
      <c r="L72" s="1490"/>
      <c r="M72" s="1487"/>
      <c r="N72" s="1488"/>
      <c r="O72" s="1489"/>
      <c r="P72" s="1490"/>
      <c r="Q72" s="1399"/>
      <c r="X72" s="1445" t="e">
        <f ca="1"/>
        <v>#NAME?</v>
      </c>
      <c r="Y72" s="1446" t="e">
        <f ca="1"/>
        <v>#NAME?</v>
      </c>
      <c r="Z72" s="1408"/>
      <c r="AB72" s="1399"/>
      <c r="AC72" s="1399"/>
      <c r="AD72" s="1399"/>
      <c r="AE72" s="1399"/>
    </row>
    <row r="73" spans="1:31">
      <c r="A73" s="1487"/>
      <c r="B73" s="1488"/>
      <c r="C73" s="1489"/>
      <c r="D73" s="1490"/>
      <c r="E73" s="1487"/>
      <c r="F73" s="1488"/>
      <c r="G73" s="1489"/>
      <c r="H73" s="1490"/>
      <c r="I73" s="1487"/>
      <c r="J73" s="1488"/>
      <c r="K73" s="1489"/>
      <c r="L73" s="1490"/>
      <c r="M73" s="1487"/>
      <c r="N73" s="1488"/>
      <c r="O73" s="1489"/>
      <c r="P73" s="1490"/>
      <c r="Q73" s="1399"/>
      <c r="X73" s="1445" t="e">
        <f ca="1"/>
        <v>#NAME?</v>
      </c>
      <c r="Y73" s="1446" t="e">
        <f ca="1"/>
        <v>#NAME?</v>
      </c>
      <c r="Z73" s="1408"/>
      <c r="AB73" s="1399"/>
      <c r="AC73" s="1399"/>
      <c r="AD73" s="1399"/>
      <c r="AE73" s="1399"/>
    </row>
    <row r="74" spans="1:31">
      <c r="A74" s="1487"/>
      <c r="B74" s="1488"/>
      <c r="C74" s="1489"/>
      <c r="D74" s="1490"/>
      <c r="E74" s="1487"/>
      <c r="F74" s="1488"/>
      <c r="G74" s="1489"/>
      <c r="H74" s="1490"/>
      <c r="I74" s="1487"/>
      <c r="J74" s="1488"/>
      <c r="K74" s="1489"/>
      <c r="L74" s="1490"/>
      <c r="M74" s="1487"/>
      <c r="N74" s="1488"/>
      <c r="O74" s="1489"/>
      <c r="P74" s="1490"/>
      <c r="Q74" s="1399"/>
      <c r="X74" s="1445" t="e">
        <f ca="1"/>
        <v>#NAME?</v>
      </c>
      <c r="Y74" s="1446" t="e">
        <f ca="1"/>
        <v>#NAME?</v>
      </c>
      <c r="Z74" s="1408"/>
      <c r="AB74" s="1399"/>
      <c r="AC74" s="1399"/>
      <c r="AD74" s="1399"/>
      <c r="AE74" s="1399"/>
    </row>
    <row r="75" spans="1:31">
      <c r="A75" s="1487"/>
      <c r="B75" s="1488"/>
      <c r="C75" s="1489"/>
      <c r="D75" s="1490"/>
      <c r="E75" s="1487"/>
      <c r="F75" s="1488"/>
      <c r="G75" s="1489"/>
      <c r="H75" s="1490"/>
      <c r="I75" s="1487"/>
      <c r="J75" s="1488"/>
      <c r="K75" s="1489"/>
      <c r="L75" s="1490"/>
      <c r="M75" s="1487"/>
      <c r="N75" s="1488"/>
      <c r="O75" s="1489"/>
      <c r="P75" s="1490"/>
      <c r="Q75" s="1399"/>
      <c r="X75" s="1445" t="e">
        <f ca="1"/>
        <v>#NAME?</v>
      </c>
      <c r="Y75" s="1446" t="e">
        <f ca="1"/>
        <v>#NAME?</v>
      </c>
      <c r="Z75" s="1408"/>
      <c r="AB75" s="1399"/>
      <c r="AC75" s="1399"/>
      <c r="AD75" s="1399"/>
      <c r="AE75" s="1399"/>
    </row>
    <row r="76" spans="1:31">
      <c r="A76" s="1487"/>
      <c r="B76" s="1488"/>
      <c r="C76" s="1489"/>
      <c r="D76" s="1490"/>
      <c r="E76" s="1487"/>
      <c r="F76" s="1488"/>
      <c r="G76" s="1489"/>
      <c r="H76" s="1490"/>
      <c r="I76" s="1487"/>
      <c r="J76" s="1488"/>
      <c r="K76" s="1489"/>
      <c r="L76" s="1490"/>
      <c r="M76" s="1487"/>
      <c r="N76" s="1488"/>
      <c r="O76" s="1489"/>
      <c r="P76" s="1490"/>
      <c r="Q76" s="1399"/>
      <c r="X76" s="1445" t="e">
        <f ca="1"/>
        <v>#NAME?</v>
      </c>
      <c r="Y76" s="1446" t="e">
        <f ca="1"/>
        <v>#NAME?</v>
      </c>
      <c r="Z76" s="1408"/>
      <c r="AB76" s="1399"/>
      <c r="AC76" s="1399"/>
      <c r="AD76" s="1399"/>
      <c r="AE76" s="1399"/>
    </row>
    <row r="77" spans="1:31">
      <c r="A77" s="1487"/>
      <c r="B77" s="1488"/>
      <c r="C77" s="1489"/>
      <c r="D77" s="1490"/>
      <c r="E77" s="1487"/>
      <c r="F77" s="1488"/>
      <c r="G77" s="1489"/>
      <c r="H77" s="1490"/>
      <c r="I77" s="1487"/>
      <c r="J77" s="1488"/>
      <c r="K77" s="1489"/>
      <c r="L77" s="1490"/>
      <c r="M77" s="1487"/>
      <c r="N77" s="1488"/>
      <c r="O77" s="1489"/>
      <c r="P77" s="1490"/>
      <c r="Q77" s="1399"/>
      <c r="X77" s="1445" t="e">
        <f ca="1"/>
        <v>#NAME?</v>
      </c>
      <c r="Y77" s="1446" t="e">
        <f ca="1"/>
        <v>#NAME?</v>
      </c>
      <c r="Z77" s="1408"/>
      <c r="AB77" s="1399"/>
      <c r="AC77" s="1399"/>
      <c r="AD77" s="1399"/>
      <c r="AE77" s="1399"/>
    </row>
    <row r="78" spans="1:31">
      <c r="A78" s="1487"/>
      <c r="B78" s="1488"/>
      <c r="C78" s="1489"/>
      <c r="D78" s="1490"/>
      <c r="E78" s="1487"/>
      <c r="F78" s="1488"/>
      <c r="G78" s="1489"/>
      <c r="H78" s="1490"/>
      <c r="I78" s="1487"/>
      <c r="J78" s="1488"/>
      <c r="K78" s="1489"/>
      <c r="L78" s="1490"/>
      <c r="M78" s="1487"/>
      <c r="N78" s="1488"/>
      <c r="O78" s="1489"/>
      <c r="P78" s="1490"/>
      <c r="Q78" s="1399"/>
      <c r="X78" s="1445" t="e">
        <f ca="1"/>
        <v>#NAME?</v>
      </c>
      <c r="Y78" s="1446" t="e">
        <f ca="1"/>
        <v>#NAME?</v>
      </c>
      <c r="Z78" s="1408"/>
      <c r="AB78" s="1399"/>
      <c r="AC78" s="1399"/>
      <c r="AD78" s="1399"/>
      <c r="AE78" s="1399"/>
    </row>
    <row r="79" spans="1:31">
      <c r="A79" s="1487"/>
      <c r="B79" s="1488"/>
      <c r="C79" s="1489"/>
      <c r="D79" s="1490"/>
      <c r="E79" s="1487"/>
      <c r="F79" s="1488"/>
      <c r="G79" s="1489"/>
      <c r="H79" s="1490"/>
      <c r="I79" s="1487"/>
      <c r="J79" s="1488"/>
      <c r="K79" s="1489"/>
      <c r="L79" s="1490"/>
      <c r="M79" s="1487"/>
      <c r="N79" s="1488"/>
      <c r="O79" s="1489"/>
      <c r="P79" s="1490"/>
      <c r="Q79" s="1399"/>
      <c r="X79" s="1445" t="e">
        <f ca="1"/>
        <v>#NAME?</v>
      </c>
      <c r="Y79" s="1446" t="e">
        <f ca="1"/>
        <v>#NAME?</v>
      </c>
      <c r="Z79" s="1408"/>
      <c r="AB79" s="1399"/>
      <c r="AC79" s="1399"/>
      <c r="AD79" s="1399"/>
      <c r="AE79" s="1399"/>
    </row>
    <row r="80" spans="1:31">
      <c r="A80" s="1487"/>
      <c r="B80" s="1488"/>
      <c r="C80" s="1489"/>
      <c r="D80" s="1490"/>
      <c r="E80" s="1487"/>
      <c r="F80" s="1488"/>
      <c r="G80" s="1489"/>
      <c r="H80" s="1490"/>
      <c r="I80" s="1487"/>
      <c r="J80" s="1488"/>
      <c r="K80" s="1489"/>
      <c r="L80" s="1490"/>
      <c r="M80" s="1487"/>
      <c r="N80" s="1488"/>
      <c r="O80" s="1489"/>
      <c r="P80" s="1490"/>
      <c r="Q80" s="1399"/>
      <c r="X80" s="1445" t="e">
        <f ca="1"/>
        <v>#NAME?</v>
      </c>
      <c r="Y80" s="1446" t="e">
        <f ca="1"/>
        <v>#NAME?</v>
      </c>
      <c r="Z80" s="1408"/>
      <c r="AB80" s="1399"/>
      <c r="AC80" s="1399"/>
      <c r="AD80" s="1399"/>
      <c r="AE80" s="1399"/>
    </row>
    <row r="81" spans="1:31">
      <c r="A81" s="1487"/>
      <c r="B81" s="1488"/>
      <c r="C81" s="1489"/>
      <c r="D81" s="1490"/>
      <c r="E81" s="1487"/>
      <c r="F81" s="1488"/>
      <c r="G81" s="1489"/>
      <c r="H81" s="1490"/>
      <c r="I81" s="1487"/>
      <c r="J81" s="1488"/>
      <c r="K81" s="1489"/>
      <c r="L81" s="1490"/>
      <c r="M81" s="1487"/>
      <c r="N81" s="1488"/>
      <c r="O81" s="1489"/>
      <c r="P81" s="1490"/>
      <c r="Q81" s="1399"/>
      <c r="X81" s="1445" t="e">
        <f ca="1"/>
        <v>#NAME?</v>
      </c>
      <c r="Y81" s="1446" t="e">
        <f ca="1"/>
        <v>#NAME?</v>
      </c>
      <c r="Z81" s="1408"/>
      <c r="AB81" s="1399"/>
      <c r="AC81" s="1399"/>
      <c r="AD81" s="1399"/>
      <c r="AE81" s="1399"/>
    </row>
    <row r="82" spans="1:31">
      <c r="A82" s="1487"/>
      <c r="B82" s="1488"/>
      <c r="C82" s="1489"/>
      <c r="D82" s="1490"/>
      <c r="E82" s="1487"/>
      <c r="F82" s="1488"/>
      <c r="G82" s="1489"/>
      <c r="H82" s="1490"/>
      <c r="I82" s="1487"/>
      <c r="J82" s="1488"/>
      <c r="K82" s="1489"/>
      <c r="L82" s="1490"/>
      <c r="M82" s="1487"/>
      <c r="N82" s="1488"/>
      <c r="O82" s="1489"/>
      <c r="P82" s="1490"/>
      <c r="Q82" s="1399"/>
      <c r="X82" s="1445" t="e">
        <f ca="1"/>
        <v>#NAME?</v>
      </c>
      <c r="Y82" s="1446" t="e">
        <f ca="1"/>
        <v>#NAME?</v>
      </c>
      <c r="Z82" s="1408"/>
      <c r="AB82" s="1399"/>
      <c r="AC82" s="1399"/>
      <c r="AD82" s="1399"/>
      <c r="AE82" s="1399"/>
    </row>
    <row r="83" spans="1:31">
      <c r="A83" s="1487"/>
      <c r="B83" s="1488"/>
      <c r="C83" s="1489"/>
      <c r="D83" s="1490"/>
      <c r="E83" s="1487"/>
      <c r="F83" s="1488"/>
      <c r="G83" s="1489"/>
      <c r="H83" s="1490"/>
      <c r="I83" s="1487"/>
      <c r="J83" s="1488"/>
      <c r="K83" s="1489"/>
      <c r="L83" s="1490"/>
      <c r="M83" s="1487"/>
      <c r="N83" s="1488"/>
      <c r="O83" s="1489"/>
      <c r="P83" s="1490"/>
      <c r="Q83" s="1399"/>
      <c r="X83" s="1445" t="e">
        <f ca="1"/>
        <v>#NAME?</v>
      </c>
      <c r="Y83" s="1446" t="e">
        <f ca="1"/>
        <v>#NAME?</v>
      </c>
      <c r="Z83" s="1408"/>
      <c r="AB83" s="1399"/>
      <c r="AC83" s="1399"/>
      <c r="AD83" s="1399"/>
      <c r="AE83" s="1399"/>
    </row>
    <row r="84" spans="1:31">
      <c r="A84" s="1487"/>
      <c r="B84" s="1488"/>
      <c r="C84" s="1489"/>
      <c r="D84" s="1490"/>
      <c r="E84" s="1487"/>
      <c r="F84" s="1488"/>
      <c r="G84" s="1489"/>
      <c r="H84" s="1490"/>
      <c r="I84" s="1487"/>
      <c r="J84" s="1488"/>
      <c r="K84" s="1489"/>
      <c r="L84" s="1490"/>
      <c r="M84" s="1487"/>
      <c r="N84" s="1488"/>
      <c r="O84" s="1489"/>
      <c r="P84" s="1490"/>
      <c r="Q84" s="1399"/>
      <c r="X84" s="1445" t="e">
        <f ca="1"/>
        <v>#NAME?</v>
      </c>
      <c r="Y84" s="1446" t="e">
        <f ca="1"/>
        <v>#NAME?</v>
      </c>
      <c r="Z84" s="1408"/>
      <c r="AB84" s="1399"/>
      <c r="AC84" s="1399"/>
      <c r="AD84" s="1399"/>
      <c r="AE84" s="1399"/>
    </row>
    <row r="85" spans="1:31">
      <c r="A85" s="1487"/>
      <c r="B85" s="1488"/>
      <c r="C85" s="1489"/>
      <c r="D85" s="1490"/>
      <c r="E85" s="1487"/>
      <c r="F85" s="1488"/>
      <c r="G85" s="1489"/>
      <c r="H85" s="1490"/>
      <c r="I85" s="1487"/>
      <c r="J85" s="1488"/>
      <c r="K85" s="1489"/>
      <c r="L85" s="1490"/>
      <c r="M85" s="1487"/>
      <c r="N85" s="1488"/>
      <c r="O85" s="1489"/>
      <c r="P85" s="1490"/>
      <c r="Q85" s="1399"/>
      <c r="X85" s="1445" t="e">
        <f ca="1"/>
        <v>#NAME?</v>
      </c>
      <c r="Y85" s="1446" t="e">
        <f ca="1"/>
        <v>#NAME?</v>
      </c>
      <c r="Z85" s="1408"/>
      <c r="AB85" s="1399"/>
      <c r="AC85" s="1399"/>
      <c r="AD85" s="1399"/>
      <c r="AE85" s="1399"/>
    </row>
    <row r="86" spans="1:31">
      <c r="A86" s="1487"/>
      <c r="B86" s="1488"/>
      <c r="C86" s="1489"/>
      <c r="D86" s="1490"/>
      <c r="E86" s="1487"/>
      <c r="F86" s="1488"/>
      <c r="G86" s="1489"/>
      <c r="H86" s="1490"/>
      <c r="I86" s="1487"/>
      <c r="J86" s="1488"/>
      <c r="K86" s="1489"/>
      <c r="L86" s="1490"/>
      <c r="M86" s="1487"/>
      <c r="N86" s="1488"/>
      <c r="O86" s="1489"/>
      <c r="P86" s="1490"/>
      <c r="Q86" s="1399"/>
      <c r="X86" s="1445" t="e">
        <f ca="1"/>
        <v>#NAME?</v>
      </c>
      <c r="Y86" s="1446" t="e">
        <f ca="1"/>
        <v>#NAME?</v>
      </c>
      <c r="Z86" s="1408"/>
      <c r="AB86" s="1399"/>
      <c r="AC86" s="1399"/>
      <c r="AD86" s="1399"/>
      <c r="AE86" s="1399"/>
    </row>
    <row r="87" spans="1:31">
      <c r="A87" s="1487"/>
      <c r="B87" s="1488"/>
      <c r="C87" s="1489"/>
      <c r="D87" s="1490"/>
      <c r="E87" s="1487"/>
      <c r="F87" s="1488"/>
      <c r="G87" s="1489"/>
      <c r="H87" s="1490"/>
      <c r="I87" s="1487"/>
      <c r="J87" s="1488"/>
      <c r="K87" s="1489"/>
      <c r="L87" s="1490"/>
      <c r="M87" s="1487"/>
      <c r="N87" s="1488"/>
      <c r="O87" s="1489"/>
      <c r="P87" s="1490"/>
      <c r="Q87" s="1399"/>
      <c r="X87" s="1445" t="e">
        <f ca="1"/>
        <v>#NAME?</v>
      </c>
      <c r="Y87" s="1446" t="e">
        <f ca="1"/>
        <v>#NAME?</v>
      </c>
      <c r="Z87" s="1408"/>
      <c r="AB87" s="1399"/>
      <c r="AC87" s="1399"/>
      <c r="AD87" s="1399"/>
      <c r="AE87" s="1399"/>
    </row>
    <row r="88" spans="1:31">
      <c r="A88" s="1487"/>
      <c r="B88" s="1488"/>
      <c r="C88" s="1489"/>
      <c r="D88" s="1490"/>
      <c r="E88" s="1487"/>
      <c r="F88" s="1488"/>
      <c r="G88" s="1489"/>
      <c r="H88" s="1490"/>
      <c r="I88" s="1487"/>
      <c r="J88" s="1488"/>
      <c r="K88" s="1489"/>
      <c r="L88" s="1490"/>
      <c r="M88" s="1487"/>
      <c r="N88" s="1488"/>
      <c r="O88" s="1489"/>
      <c r="P88" s="1490"/>
      <c r="Q88" s="1399"/>
      <c r="X88" s="1445" t="e">
        <f ca="1"/>
        <v>#NAME?</v>
      </c>
      <c r="Y88" s="1446" t="e">
        <f ca="1"/>
        <v>#NAME?</v>
      </c>
      <c r="Z88" s="1408"/>
      <c r="AB88" s="1399"/>
      <c r="AC88" s="1399"/>
      <c r="AD88" s="1399"/>
      <c r="AE88" s="1399"/>
    </row>
    <row r="89" spans="1:31">
      <c r="A89" s="1487"/>
      <c r="B89" s="1488"/>
      <c r="C89" s="1489"/>
      <c r="D89" s="1490"/>
      <c r="E89" s="1487"/>
      <c r="F89" s="1488"/>
      <c r="G89" s="1489"/>
      <c r="H89" s="1490"/>
      <c r="I89" s="1487"/>
      <c r="J89" s="1488"/>
      <c r="K89" s="1489"/>
      <c r="L89" s="1490"/>
      <c r="M89" s="1487"/>
      <c r="N89" s="1488"/>
      <c r="O89" s="1489"/>
      <c r="P89" s="1490"/>
      <c r="Q89" s="1399"/>
      <c r="X89" s="1445" t="e">
        <f ca="1"/>
        <v>#NAME?</v>
      </c>
      <c r="Y89" s="1446" t="e">
        <f ca="1"/>
        <v>#NAME?</v>
      </c>
      <c r="Z89" s="1408"/>
      <c r="AB89" s="1399"/>
      <c r="AC89" s="1399"/>
      <c r="AD89" s="1399"/>
      <c r="AE89" s="1399"/>
    </row>
    <row r="90" spans="1:31">
      <c r="A90" s="1487"/>
      <c r="B90" s="1488"/>
      <c r="C90" s="1489"/>
      <c r="D90" s="1490"/>
      <c r="E90" s="1487"/>
      <c r="F90" s="1488"/>
      <c r="G90" s="1489"/>
      <c r="H90" s="1490"/>
      <c r="I90" s="1487"/>
      <c r="J90" s="1488"/>
      <c r="K90" s="1489"/>
      <c r="L90" s="1490"/>
      <c r="M90" s="1487"/>
      <c r="N90" s="1488"/>
      <c r="O90" s="1489"/>
      <c r="P90" s="1490"/>
      <c r="Q90" s="1399"/>
      <c r="X90" s="1445" t="e">
        <f ca="1"/>
        <v>#NAME?</v>
      </c>
      <c r="Y90" s="1446" t="e">
        <f ca="1"/>
        <v>#NAME?</v>
      </c>
      <c r="Z90" s="1408"/>
      <c r="AB90" s="1399"/>
      <c r="AC90" s="1399"/>
      <c r="AD90" s="1399"/>
      <c r="AE90" s="1399"/>
    </row>
    <row r="91" spans="1:31">
      <c r="A91" s="1487"/>
      <c r="B91" s="1488"/>
      <c r="C91" s="1489"/>
      <c r="D91" s="1490"/>
      <c r="E91" s="1487"/>
      <c r="F91" s="1488"/>
      <c r="G91" s="1489"/>
      <c r="H91" s="1490"/>
      <c r="I91" s="1487"/>
      <c r="J91" s="1488"/>
      <c r="K91" s="1489"/>
      <c r="L91" s="1490"/>
      <c r="M91" s="1487"/>
      <c r="N91" s="1488"/>
      <c r="O91" s="1489"/>
      <c r="P91" s="1490"/>
      <c r="Q91" s="1399"/>
      <c r="X91" s="1445" t="e">
        <f ca="1"/>
        <v>#NAME?</v>
      </c>
      <c r="Y91" s="1446" t="e">
        <f ca="1"/>
        <v>#NAME?</v>
      </c>
      <c r="Z91" s="1408"/>
      <c r="AB91" s="1399"/>
      <c r="AC91" s="1399"/>
      <c r="AD91" s="1399"/>
      <c r="AE91" s="1399"/>
    </row>
    <row r="92" spans="1:31">
      <c r="A92" s="1487"/>
      <c r="B92" s="1488"/>
      <c r="C92" s="1489"/>
      <c r="D92" s="1490"/>
      <c r="E92" s="1487"/>
      <c r="F92" s="1488"/>
      <c r="G92" s="1489"/>
      <c r="H92" s="1490"/>
      <c r="I92" s="1487"/>
      <c r="J92" s="1488"/>
      <c r="K92" s="1489"/>
      <c r="L92" s="1490"/>
      <c r="M92" s="1487"/>
      <c r="N92" s="1488"/>
      <c r="O92" s="1489"/>
      <c r="P92" s="1490"/>
      <c r="Q92" s="1399"/>
      <c r="X92" s="1445" t="e">
        <f ca="1"/>
        <v>#NAME?</v>
      </c>
      <c r="Y92" s="1446" t="e">
        <f ca="1"/>
        <v>#NAME?</v>
      </c>
      <c r="Z92" s="1408"/>
      <c r="AB92" s="1399"/>
      <c r="AC92" s="1399"/>
      <c r="AD92" s="1399"/>
      <c r="AE92" s="1399"/>
    </row>
    <row r="93" spans="1:31">
      <c r="A93" s="1487"/>
      <c r="B93" s="1488"/>
      <c r="C93" s="1489"/>
      <c r="D93" s="1490"/>
      <c r="E93" s="1487"/>
      <c r="F93" s="1488"/>
      <c r="G93" s="1489"/>
      <c r="H93" s="1490"/>
      <c r="I93" s="1487"/>
      <c r="J93" s="1488"/>
      <c r="K93" s="1489"/>
      <c r="L93" s="1490"/>
      <c r="M93" s="1487"/>
      <c r="N93" s="1488"/>
      <c r="O93" s="1489"/>
      <c r="P93" s="1490"/>
      <c r="Q93" s="1399"/>
      <c r="X93" s="1445" t="e">
        <f ca="1"/>
        <v>#NAME?</v>
      </c>
      <c r="Y93" s="1446" t="e">
        <f ca="1"/>
        <v>#NAME?</v>
      </c>
      <c r="Z93" s="1408"/>
      <c r="AB93" s="1399"/>
      <c r="AC93" s="1399"/>
      <c r="AD93" s="1399"/>
      <c r="AE93" s="1399"/>
    </row>
    <row r="94" spans="1:31">
      <c r="A94" s="1487"/>
      <c r="B94" s="1488"/>
      <c r="C94" s="1489"/>
      <c r="D94" s="1490"/>
      <c r="E94" s="1487"/>
      <c r="F94" s="1488"/>
      <c r="G94" s="1489"/>
      <c r="H94" s="1490"/>
      <c r="I94" s="1487"/>
      <c r="J94" s="1488"/>
      <c r="K94" s="1489"/>
      <c r="L94" s="1490"/>
      <c r="M94" s="1487"/>
      <c r="N94" s="1488"/>
      <c r="O94" s="1489"/>
      <c r="P94" s="1490"/>
      <c r="Q94" s="1399"/>
      <c r="X94" s="1445" t="e">
        <f ca="1"/>
        <v>#NAME?</v>
      </c>
      <c r="Y94" s="1446" t="e">
        <f ca="1"/>
        <v>#NAME?</v>
      </c>
      <c r="Z94" s="1408"/>
      <c r="AB94" s="1399"/>
      <c r="AC94" s="1399"/>
      <c r="AD94" s="1399"/>
      <c r="AE94" s="1399"/>
    </row>
    <row r="95" spans="1:31">
      <c r="A95" s="1487"/>
      <c r="B95" s="1488"/>
      <c r="C95" s="1489"/>
      <c r="D95" s="1490"/>
      <c r="E95" s="1487"/>
      <c r="F95" s="1488"/>
      <c r="G95" s="1489"/>
      <c r="H95" s="1490"/>
      <c r="I95" s="1487"/>
      <c r="J95" s="1488"/>
      <c r="K95" s="1489"/>
      <c r="L95" s="1490"/>
      <c r="M95" s="1487"/>
      <c r="N95" s="1488"/>
      <c r="O95" s="1489"/>
      <c r="P95" s="1490"/>
      <c r="Q95" s="1399"/>
      <c r="X95" s="1445" t="e">
        <f ca="1"/>
        <v>#NAME?</v>
      </c>
      <c r="Y95" s="1446" t="e">
        <f ca="1"/>
        <v>#NAME?</v>
      </c>
      <c r="Z95" s="1408"/>
      <c r="AB95" s="1399"/>
      <c r="AC95" s="1399"/>
      <c r="AD95" s="1399"/>
      <c r="AE95" s="1399"/>
    </row>
    <row r="96" spans="1:31">
      <c r="A96" s="1487"/>
      <c r="B96" s="1488"/>
      <c r="C96" s="1489"/>
      <c r="D96" s="1490"/>
      <c r="E96" s="1487"/>
      <c r="F96" s="1488"/>
      <c r="G96" s="1489"/>
      <c r="H96" s="1490"/>
      <c r="I96" s="1487"/>
      <c r="J96" s="1488"/>
      <c r="K96" s="1489"/>
      <c r="L96" s="1490"/>
      <c r="M96" s="1487"/>
      <c r="N96" s="1488"/>
      <c r="O96" s="1489"/>
      <c r="P96" s="1490"/>
      <c r="Q96" s="1399"/>
      <c r="X96" s="1445" t="e">
        <f ca="1"/>
        <v>#NAME?</v>
      </c>
      <c r="Y96" s="1446" t="e">
        <f ca="1"/>
        <v>#NAME?</v>
      </c>
      <c r="Z96" s="1408"/>
      <c r="AB96" s="1399"/>
      <c r="AC96" s="1399"/>
      <c r="AD96" s="1399"/>
      <c r="AE96" s="1399"/>
    </row>
    <row r="97" spans="1:31">
      <c r="A97" s="1487"/>
      <c r="B97" s="1488"/>
      <c r="C97" s="1489"/>
      <c r="D97" s="1490"/>
      <c r="E97" s="1487"/>
      <c r="F97" s="1488"/>
      <c r="G97" s="1489"/>
      <c r="H97" s="1490"/>
      <c r="I97" s="1487"/>
      <c r="J97" s="1488"/>
      <c r="K97" s="1489"/>
      <c r="L97" s="1490"/>
      <c r="M97" s="1487"/>
      <c r="N97" s="1488"/>
      <c r="O97" s="1489"/>
      <c r="P97" s="1490"/>
      <c r="Q97" s="1399"/>
      <c r="X97" s="1445" t="e">
        <f ca="1"/>
        <v>#NAME?</v>
      </c>
      <c r="Y97" s="1446" t="e">
        <f ca="1"/>
        <v>#NAME?</v>
      </c>
      <c r="Z97" s="1408"/>
      <c r="AB97" s="1399"/>
      <c r="AC97" s="1399"/>
      <c r="AD97" s="1399"/>
      <c r="AE97" s="1399"/>
    </row>
    <row r="98" spans="1:31">
      <c r="A98" s="1487"/>
      <c r="B98" s="1488"/>
      <c r="C98" s="1489"/>
      <c r="D98" s="1490"/>
      <c r="E98" s="1487"/>
      <c r="F98" s="1488"/>
      <c r="G98" s="1489"/>
      <c r="H98" s="1490"/>
      <c r="I98" s="1487"/>
      <c r="J98" s="1488"/>
      <c r="K98" s="1489"/>
      <c r="L98" s="1490"/>
      <c r="M98" s="1487"/>
      <c r="N98" s="1488"/>
      <c r="O98" s="1489"/>
      <c r="P98" s="1490"/>
      <c r="Q98" s="1399"/>
      <c r="X98" s="1445" t="e">
        <f ca="1"/>
        <v>#NAME?</v>
      </c>
      <c r="Y98" s="1446" t="e">
        <f ca="1"/>
        <v>#NAME?</v>
      </c>
      <c r="Z98" s="1408"/>
      <c r="AB98" s="1399"/>
      <c r="AC98" s="1399"/>
      <c r="AD98" s="1399"/>
      <c r="AE98" s="1399"/>
    </row>
    <row r="99" spans="1:31">
      <c r="A99" s="1487"/>
      <c r="B99" s="1488"/>
      <c r="C99" s="1489"/>
      <c r="D99" s="1490"/>
      <c r="E99" s="1487"/>
      <c r="F99" s="1488"/>
      <c r="G99" s="1489"/>
      <c r="H99" s="1490"/>
      <c r="I99" s="1487"/>
      <c r="J99" s="1488"/>
      <c r="K99" s="1489"/>
      <c r="L99" s="1490"/>
      <c r="M99" s="1487"/>
      <c r="N99" s="1488"/>
      <c r="O99" s="1489"/>
      <c r="P99" s="1490"/>
      <c r="Q99" s="1399"/>
      <c r="X99" s="1445" t="e">
        <f ca="1"/>
        <v>#NAME?</v>
      </c>
      <c r="Y99" s="1446" t="e">
        <f ca="1"/>
        <v>#NAME?</v>
      </c>
      <c r="Z99" s="1408"/>
      <c r="AB99" s="1399"/>
      <c r="AC99" s="1399"/>
      <c r="AD99" s="1399"/>
      <c r="AE99" s="1399"/>
    </row>
    <row r="100" spans="1:31">
      <c r="A100" s="1487"/>
      <c r="B100" s="1488"/>
      <c r="C100" s="1489"/>
      <c r="D100" s="1490"/>
      <c r="E100" s="1487"/>
      <c r="F100" s="1488"/>
      <c r="G100" s="1489"/>
      <c r="H100" s="1490"/>
      <c r="I100" s="1487"/>
      <c r="J100" s="1488"/>
      <c r="K100" s="1489"/>
      <c r="L100" s="1490"/>
      <c r="M100" s="1487"/>
      <c r="N100" s="1488"/>
      <c r="O100" s="1489"/>
      <c r="P100" s="1490"/>
      <c r="Q100" s="1399"/>
      <c r="X100" s="1445" t="e">
        <f ca="1"/>
        <v>#NAME?</v>
      </c>
      <c r="Y100" s="1446" t="e">
        <f ca="1"/>
        <v>#NAME?</v>
      </c>
      <c r="Z100" s="1408"/>
      <c r="AB100" s="1399"/>
      <c r="AC100" s="1399"/>
      <c r="AD100" s="1399"/>
      <c r="AE100" s="1399"/>
    </row>
    <row r="101" spans="1:31">
      <c r="A101" s="1487"/>
      <c r="B101" s="1488"/>
      <c r="C101" s="1489"/>
      <c r="D101" s="1490"/>
      <c r="E101" s="1487"/>
      <c r="F101" s="1488"/>
      <c r="G101" s="1489"/>
      <c r="H101" s="1490"/>
      <c r="I101" s="1487"/>
      <c r="J101" s="1488"/>
      <c r="K101" s="1489"/>
      <c r="L101" s="1490"/>
      <c r="M101" s="1487"/>
      <c r="N101" s="1488"/>
      <c r="O101" s="1489"/>
      <c r="P101" s="1490"/>
      <c r="Q101" s="1399"/>
      <c r="X101" s="1445" t="e">
        <f ca="1"/>
        <v>#NAME?</v>
      </c>
      <c r="Y101" s="1446" t="e">
        <f ca="1"/>
        <v>#NAME?</v>
      </c>
      <c r="Z101" s="1408"/>
      <c r="AB101" s="1399"/>
      <c r="AC101" s="1399"/>
      <c r="AD101" s="1399"/>
      <c r="AE101" s="1399"/>
    </row>
    <row r="102" spans="1:31">
      <c r="A102" s="1487"/>
      <c r="B102" s="1488"/>
      <c r="C102" s="1489"/>
      <c r="D102" s="1490"/>
      <c r="E102" s="1487"/>
      <c r="F102" s="1488"/>
      <c r="G102" s="1489"/>
      <c r="H102" s="1490"/>
      <c r="I102" s="1487"/>
      <c r="J102" s="1488"/>
      <c r="K102" s="1489"/>
      <c r="L102" s="1490"/>
      <c r="M102" s="1487"/>
      <c r="N102" s="1488"/>
      <c r="O102" s="1489"/>
      <c r="P102" s="1490"/>
      <c r="Q102" s="1399"/>
      <c r="X102" s="1445" t="e">
        <f ca="1"/>
        <v>#NAME?</v>
      </c>
      <c r="Y102" s="1446" t="e">
        <f ca="1"/>
        <v>#NAME?</v>
      </c>
      <c r="Z102" s="1408"/>
      <c r="AB102" s="1399"/>
      <c r="AC102" s="1399"/>
      <c r="AD102" s="1399"/>
      <c r="AE102" s="1399"/>
    </row>
    <row r="103" spans="1:31">
      <c r="A103" s="1487"/>
      <c r="B103" s="1488"/>
      <c r="C103" s="1489"/>
      <c r="D103" s="1490"/>
      <c r="E103" s="1487"/>
      <c r="F103" s="1488"/>
      <c r="G103" s="1489"/>
      <c r="H103" s="1490"/>
      <c r="I103" s="1487"/>
      <c r="J103" s="1488"/>
      <c r="K103" s="1489"/>
      <c r="L103" s="1490"/>
      <c r="M103" s="1487"/>
      <c r="N103" s="1488"/>
      <c r="O103" s="1489"/>
      <c r="P103" s="1490"/>
      <c r="Q103" s="1399"/>
      <c r="X103" s="1445" t="e">
        <f ca="1"/>
        <v>#NAME?</v>
      </c>
      <c r="Y103" s="1446" t="e">
        <f ca="1"/>
        <v>#NAME?</v>
      </c>
      <c r="Z103" s="1408"/>
      <c r="AB103" s="1399"/>
      <c r="AC103" s="1399"/>
      <c r="AD103" s="1399"/>
      <c r="AE103" s="1399"/>
    </row>
    <row r="104" spans="1:31">
      <c r="A104" s="1487"/>
      <c r="B104" s="1488"/>
      <c r="C104" s="1489"/>
      <c r="D104" s="1490"/>
      <c r="E104" s="1487"/>
      <c r="F104" s="1488"/>
      <c r="G104" s="1489"/>
      <c r="H104" s="1490"/>
      <c r="I104" s="1487"/>
      <c r="J104" s="1488"/>
      <c r="K104" s="1489"/>
      <c r="L104" s="1490"/>
      <c r="M104" s="1487"/>
      <c r="N104" s="1488"/>
      <c r="O104" s="1489"/>
      <c r="P104" s="1490"/>
      <c r="Q104" s="1399"/>
      <c r="X104" s="1445" t="e">
        <f ca="1"/>
        <v>#NAME?</v>
      </c>
      <c r="Y104" s="1446" t="e">
        <f ca="1"/>
        <v>#NAME?</v>
      </c>
      <c r="Z104" s="1408"/>
      <c r="AB104" s="1399"/>
      <c r="AC104" s="1399"/>
      <c r="AD104" s="1399"/>
      <c r="AE104" s="1399"/>
    </row>
    <row r="105" spans="1:31">
      <c r="A105" s="1487"/>
      <c r="B105" s="1488"/>
      <c r="C105" s="1489"/>
      <c r="D105" s="1490"/>
      <c r="E105" s="1487"/>
      <c r="F105" s="1488"/>
      <c r="G105" s="1489"/>
      <c r="H105" s="1490"/>
      <c r="I105" s="1487"/>
      <c r="J105" s="1488"/>
      <c r="K105" s="1489"/>
      <c r="L105" s="1490"/>
      <c r="M105" s="1487"/>
      <c r="N105" s="1488"/>
      <c r="O105" s="1489"/>
      <c r="P105" s="1490"/>
      <c r="Q105" s="1399"/>
      <c r="X105" s="1445" t="e">
        <f ca="1"/>
        <v>#NAME?</v>
      </c>
      <c r="Y105" s="1446" t="e">
        <f ca="1"/>
        <v>#NAME?</v>
      </c>
      <c r="Z105" s="1408"/>
      <c r="AB105" s="1399"/>
      <c r="AC105" s="1399"/>
      <c r="AD105" s="1399"/>
      <c r="AE105" s="1399"/>
    </row>
    <row r="106" spans="1:31">
      <c r="A106" s="1487"/>
      <c r="B106" s="1488"/>
      <c r="C106" s="1489"/>
      <c r="D106" s="1490"/>
      <c r="E106" s="1487"/>
      <c r="F106" s="1488"/>
      <c r="G106" s="1489"/>
      <c r="H106" s="1490"/>
      <c r="I106" s="1487"/>
      <c r="J106" s="1488"/>
      <c r="K106" s="1489"/>
      <c r="L106" s="1490"/>
      <c r="M106" s="1487"/>
      <c r="N106" s="1488"/>
      <c r="O106" s="1489"/>
      <c r="P106" s="1490"/>
      <c r="Q106" s="1399"/>
      <c r="X106" s="1445" t="e">
        <f ca="1"/>
        <v>#NAME?</v>
      </c>
      <c r="Y106" s="1446" t="e">
        <f ca="1"/>
        <v>#NAME?</v>
      </c>
      <c r="Z106" s="1408"/>
      <c r="AB106" s="1399"/>
      <c r="AC106" s="1399"/>
      <c r="AD106" s="1399"/>
      <c r="AE106" s="1399"/>
    </row>
    <row r="107" spans="1:31">
      <c r="A107" s="1487"/>
      <c r="B107" s="1488"/>
      <c r="C107" s="1489"/>
      <c r="D107" s="1490"/>
      <c r="E107" s="1487"/>
      <c r="F107" s="1488"/>
      <c r="G107" s="1489"/>
      <c r="H107" s="1490"/>
      <c r="I107" s="1487"/>
      <c r="J107" s="1488"/>
      <c r="K107" s="1489"/>
      <c r="L107" s="1490"/>
      <c r="M107" s="1487"/>
      <c r="N107" s="1488"/>
      <c r="O107" s="1489"/>
      <c r="P107" s="1490"/>
      <c r="Q107" s="1399"/>
      <c r="X107" s="1445" t="e">
        <f ca="1"/>
        <v>#NAME?</v>
      </c>
      <c r="Y107" s="1446" t="e">
        <f ca="1"/>
        <v>#NAME?</v>
      </c>
      <c r="Z107" s="1408"/>
      <c r="AB107" s="1399"/>
      <c r="AC107" s="1399"/>
      <c r="AD107" s="1399"/>
      <c r="AE107" s="1399"/>
    </row>
    <row r="108" spans="1:31">
      <c r="A108" s="1487"/>
      <c r="B108" s="1488"/>
      <c r="C108" s="1489"/>
      <c r="D108" s="1490"/>
      <c r="E108" s="1487"/>
      <c r="F108" s="1488"/>
      <c r="G108" s="1489"/>
      <c r="H108" s="1490"/>
      <c r="I108" s="1487"/>
      <c r="J108" s="1488"/>
      <c r="K108" s="1489"/>
      <c r="L108" s="1490"/>
      <c r="M108" s="1487"/>
      <c r="N108" s="1488"/>
      <c r="O108" s="1489"/>
      <c r="P108" s="1490"/>
      <c r="Q108" s="1399"/>
      <c r="X108" s="1445" t="e">
        <f ca="1"/>
        <v>#NAME?</v>
      </c>
      <c r="Y108" s="1446" t="e">
        <f ca="1"/>
        <v>#NAME?</v>
      </c>
      <c r="Z108" s="1408"/>
      <c r="AB108" s="1399"/>
      <c r="AC108" s="1399"/>
      <c r="AD108" s="1399"/>
      <c r="AE108" s="1399"/>
    </row>
    <row r="109" spans="1:31">
      <c r="A109" s="1487"/>
      <c r="B109" s="1488"/>
      <c r="C109" s="1489"/>
      <c r="D109" s="1490"/>
      <c r="E109" s="1487"/>
      <c r="F109" s="1488"/>
      <c r="G109" s="1489"/>
      <c r="H109" s="1490"/>
      <c r="I109" s="1487"/>
      <c r="J109" s="1488"/>
      <c r="K109" s="1489"/>
      <c r="L109" s="1490"/>
      <c r="M109" s="1487"/>
      <c r="N109" s="1488"/>
      <c r="O109" s="1489"/>
      <c r="P109" s="1490"/>
      <c r="Q109" s="1399"/>
      <c r="X109" s="1445" t="e">
        <f ca="1"/>
        <v>#NAME?</v>
      </c>
      <c r="Y109" s="1446" t="e">
        <f ca="1"/>
        <v>#NAME?</v>
      </c>
      <c r="Z109" s="1408"/>
      <c r="AB109" s="1399"/>
      <c r="AC109" s="1399"/>
      <c r="AD109" s="1399"/>
      <c r="AE109" s="1399"/>
    </row>
    <row r="110" spans="1:31">
      <c r="A110" s="1487"/>
      <c r="B110" s="1488"/>
      <c r="C110" s="1489"/>
      <c r="D110" s="1490"/>
      <c r="E110" s="1487"/>
      <c r="F110" s="1488"/>
      <c r="G110" s="1489"/>
      <c r="H110" s="1490"/>
      <c r="I110" s="1487"/>
      <c r="J110" s="1488"/>
      <c r="K110" s="1489"/>
      <c r="L110" s="1490"/>
      <c r="M110" s="1487"/>
      <c r="N110" s="1488"/>
      <c r="O110" s="1489"/>
      <c r="P110" s="1490"/>
      <c r="Q110" s="1399"/>
      <c r="X110" s="1445" t="e">
        <f ca="1"/>
        <v>#NAME?</v>
      </c>
      <c r="Y110" s="1446" t="e">
        <f ca="1"/>
        <v>#NAME?</v>
      </c>
      <c r="Z110" s="1408"/>
      <c r="AB110" s="1399"/>
      <c r="AC110" s="1399"/>
      <c r="AD110" s="1399"/>
      <c r="AE110" s="1399"/>
    </row>
    <row r="111" spans="1:31">
      <c r="A111" s="1487"/>
      <c r="B111" s="1488"/>
      <c r="C111" s="1489"/>
      <c r="D111" s="1490"/>
      <c r="E111" s="1487"/>
      <c r="F111" s="1488"/>
      <c r="G111" s="1489"/>
      <c r="H111" s="1490"/>
      <c r="I111" s="1487"/>
      <c r="J111" s="1488"/>
      <c r="K111" s="1489"/>
      <c r="L111" s="1490"/>
      <c r="M111" s="1487"/>
      <c r="N111" s="1488"/>
      <c r="O111" s="1489"/>
      <c r="P111" s="1490"/>
      <c r="Q111" s="1399"/>
      <c r="X111" s="1445" t="e">
        <f ca="1"/>
        <v>#NAME?</v>
      </c>
      <c r="Y111" s="1446" t="e">
        <f ca="1"/>
        <v>#NAME?</v>
      </c>
      <c r="Z111" s="1408"/>
      <c r="AB111" s="1399"/>
      <c r="AC111" s="1399"/>
      <c r="AD111" s="1399"/>
      <c r="AE111" s="1399"/>
    </row>
    <row r="112" spans="1:31">
      <c r="A112" s="1487"/>
      <c r="B112" s="1488"/>
      <c r="C112" s="1489"/>
      <c r="D112" s="1490"/>
      <c r="E112" s="1487"/>
      <c r="F112" s="1488"/>
      <c r="G112" s="1489"/>
      <c r="H112" s="1490"/>
      <c r="I112" s="1487"/>
      <c r="J112" s="1488"/>
      <c r="K112" s="1489"/>
      <c r="L112" s="1490"/>
      <c r="M112" s="1487"/>
      <c r="N112" s="1488"/>
      <c r="O112" s="1489"/>
      <c r="P112" s="1490"/>
      <c r="Q112" s="1399"/>
      <c r="X112" s="1445" t="e">
        <f ca="1"/>
        <v>#NAME?</v>
      </c>
      <c r="Y112" s="1446" t="e">
        <f ca="1"/>
        <v>#NAME?</v>
      </c>
      <c r="Z112" s="1408"/>
      <c r="AB112" s="1399"/>
      <c r="AC112" s="1399"/>
      <c r="AD112" s="1399"/>
      <c r="AE112" s="1399"/>
    </row>
    <row r="113" spans="1:31">
      <c r="A113" s="1487"/>
      <c r="B113" s="1488"/>
      <c r="C113" s="1489"/>
      <c r="D113" s="1490"/>
      <c r="E113" s="1487"/>
      <c r="F113" s="1488"/>
      <c r="G113" s="1489"/>
      <c r="H113" s="1490"/>
      <c r="I113" s="1487"/>
      <c r="J113" s="1488"/>
      <c r="K113" s="1489"/>
      <c r="L113" s="1490"/>
      <c r="M113" s="1487"/>
      <c r="N113" s="1488"/>
      <c r="O113" s="1489"/>
      <c r="P113" s="1490"/>
      <c r="Q113" s="1399"/>
      <c r="X113" s="1445" t="e">
        <f ca="1"/>
        <v>#NAME?</v>
      </c>
      <c r="Y113" s="1446" t="e">
        <f ca="1"/>
        <v>#NAME?</v>
      </c>
      <c r="Z113" s="1408"/>
      <c r="AB113" s="1399"/>
      <c r="AC113" s="1399"/>
      <c r="AD113" s="1399"/>
      <c r="AE113" s="1399"/>
    </row>
    <row r="114" spans="1:31">
      <c r="A114" s="1487"/>
      <c r="B114" s="1488"/>
      <c r="C114" s="1489"/>
      <c r="D114" s="1490"/>
      <c r="E114" s="1487"/>
      <c r="F114" s="1488"/>
      <c r="G114" s="1489"/>
      <c r="H114" s="1490"/>
      <c r="I114" s="1487"/>
      <c r="J114" s="1488"/>
      <c r="K114" s="1489"/>
      <c r="L114" s="1490"/>
      <c r="M114" s="1487"/>
      <c r="N114" s="1488"/>
      <c r="O114" s="1489"/>
      <c r="P114" s="1490"/>
      <c r="Q114" s="1399"/>
      <c r="X114" s="1445" t="e">
        <f ca="1"/>
        <v>#NAME?</v>
      </c>
      <c r="Y114" s="1446" t="e">
        <f ca="1"/>
        <v>#NAME?</v>
      </c>
      <c r="Z114" s="1408"/>
      <c r="AB114" s="1399"/>
      <c r="AC114" s="1399"/>
      <c r="AD114" s="1399"/>
      <c r="AE114" s="1399"/>
    </row>
    <row r="115" spans="1:31">
      <c r="A115" s="1487"/>
      <c r="B115" s="1488"/>
      <c r="C115" s="1489"/>
      <c r="D115" s="1490"/>
      <c r="E115" s="1487"/>
      <c r="F115" s="1488"/>
      <c r="G115" s="1489"/>
      <c r="H115" s="1490"/>
      <c r="I115" s="1487"/>
      <c r="J115" s="1488"/>
      <c r="K115" s="1489"/>
      <c r="L115" s="1490"/>
      <c r="M115" s="1487"/>
      <c r="N115" s="1488"/>
      <c r="O115" s="1489"/>
      <c r="P115" s="1490"/>
      <c r="Q115" s="1399"/>
      <c r="X115" s="1445" t="e">
        <f ca="1"/>
        <v>#NAME?</v>
      </c>
      <c r="Y115" s="1446" t="e">
        <f ca="1"/>
        <v>#NAME?</v>
      </c>
      <c r="Z115" s="1408"/>
      <c r="AB115" s="1399"/>
      <c r="AC115" s="1399"/>
      <c r="AD115" s="1399"/>
      <c r="AE115" s="1399"/>
    </row>
    <row r="116" spans="1:31">
      <c r="A116" s="1487"/>
      <c r="B116" s="1488"/>
      <c r="C116" s="1489"/>
      <c r="D116" s="1490"/>
      <c r="E116" s="1487"/>
      <c r="F116" s="1488"/>
      <c r="G116" s="1489"/>
      <c r="H116" s="1490"/>
      <c r="I116" s="1487"/>
      <c r="J116" s="1488"/>
      <c r="K116" s="1489"/>
      <c r="L116" s="1490"/>
      <c r="M116" s="1487"/>
      <c r="N116" s="1488"/>
      <c r="O116" s="1489"/>
      <c r="P116" s="1490"/>
      <c r="Q116" s="1399"/>
      <c r="X116" s="1445" t="e">
        <f ca="1"/>
        <v>#NAME?</v>
      </c>
      <c r="Y116" s="1446" t="e">
        <f ca="1"/>
        <v>#NAME?</v>
      </c>
      <c r="Z116" s="1408"/>
      <c r="AB116" s="1399"/>
      <c r="AC116" s="1399"/>
      <c r="AD116" s="1399"/>
      <c r="AE116" s="1399"/>
    </row>
    <row r="117" spans="1:31">
      <c r="A117" s="1487"/>
      <c r="B117" s="1488"/>
      <c r="C117" s="1489"/>
      <c r="D117" s="1490"/>
      <c r="E117" s="1487"/>
      <c r="F117" s="1488"/>
      <c r="G117" s="1489"/>
      <c r="H117" s="1490"/>
      <c r="I117" s="1487"/>
      <c r="J117" s="1488"/>
      <c r="K117" s="1489"/>
      <c r="L117" s="1490"/>
      <c r="M117" s="1487"/>
      <c r="N117" s="1488"/>
      <c r="O117" s="1489"/>
      <c r="P117" s="1490"/>
      <c r="Q117" s="1399"/>
      <c r="X117" s="1445" t="e">
        <f ca="1"/>
        <v>#NAME?</v>
      </c>
      <c r="Y117" s="1446" t="e">
        <f ca="1"/>
        <v>#NAME?</v>
      </c>
      <c r="Z117" s="1408"/>
      <c r="AB117" s="1399"/>
      <c r="AC117" s="1399"/>
      <c r="AD117" s="1399"/>
      <c r="AE117" s="1399"/>
    </row>
    <row r="118" spans="1:31">
      <c r="A118" s="1487"/>
      <c r="B118" s="1488"/>
      <c r="C118" s="1489"/>
      <c r="D118" s="1490"/>
      <c r="E118" s="1487"/>
      <c r="F118" s="1488"/>
      <c r="G118" s="1489"/>
      <c r="H118" s="1490"/>
      <c r="I118" s="1487"/>
      <c r="J118" s="1488"/>
      <c r="K118" s="1489"/>
      <c r="L118" s="1490"/>
      <c r="M118" s="1487"/>
      <c r="N118" s="1488"/>
      <c r="O118" s="1489"/>
      <c r="P118" s="1490"/>
      <c r="Q118" s="1399"/>
      <c r="X118" s="1445" t="e">
        <f ca="1"/>
        <v>#NAME?</v>
      </c>
      <c r="Y118" s="1446" t="e">
        <f ca="1"/>
        <v>#NAME?</v>
      </c>
      <c r="Z118" s="1408"/>
      <c r="AB118" s="1399"/>
      <c r="AC118" s="1399"/>
      <c r="AD118" s="1399"/>
      <c r="AE118" s="1399"/>
    </row>
    <row r="119" spans="1:31">
      <c r="A119" s="1487"/>
      <c r="B119" s="1488"/>
      <c r="C119" s="1489"/>
      <c r="D119" s="1490"/>
      <c r="E119" s="1487"/>
      <c r="F119" s="1488"/>
      <c r="G119" s="1489"/>
      <c r="H119" s="1490"/>
      <c r="I119" s="1487"/>
      <c r="J119" s="1488"/>
      <c r="K119" s="1489"/>
      <c r="L119" s="1490"/>
      <c r="M119" s="1487"/>
      <c r="N119" s="1488"/>
      <c r="O119" s="1489"/>
      <c r="P119" s="1490"/>
      <c r="Q119" s="1399"/>
      <c r="X119" s="1445" t="e">
        <f ca="1"/>
        <v>#NAME?</v>
      </c>
      <c r="Y119" s="1446" t="e">
        <f ca="1"/>
        <v>#NAME?</v>
      </c>
      <c r="Z119" s="1408"/>
      <c r="AB119" s="1399"/>
      <c r="AC119" s="1399"/>
      <c r="AD119" s="1399"/>
      <c r="AE119" s="1399"/>
    </row>
    <row r="120" spans="1:31">
      <c r="A120" s="1487"/>
      <c r="B120" s="1488"/>
      <c r="C120" s="1489"/>
      <c r="D120" s="1490"/>
      <c r="E120" s="1487"/>
      <c r="F120" s="1488"/>
      <c r="G120" s="1489"/>
      <c r="H120" s="1490"/>
      <c r="I120" s="1487"/>
      <c r="J120" s="1488"/>
      <c r="K120" s="1489"/>
      <c r="L120" s="1490"/>
      <c r="M120" s="1487"/>
      <c r="N120" s="1488"/>
      <c r="O120" s="1489"/>
      <c r="P120" s="1490"/>
      <c r="Q120" s="1399"/>
      <c r="X120" s="1445" t="e">
        <f ca="1"/>
        <v>#NAME?</v>
      </c>
      <c r="Y120" s="1446" t="e">
        <f ca="1"/>
        <v>#NAME?</v>
      </c>
      <c r="Z120" s="1408"/>
      <c r="AB120" s="1399"/>
      <c r="AC120" s="1399"/>
      <c r="AD120" s="1399"/>
      <c r="AE120" s="1399"/>
    </row>
    <row r="121" spans="1:31">
      <c r="A121" s="1487"/>
      <c r="B121" s="1488"/>
      <c r="C121" s="1489"/>
      <c r="D121" s="1490"/>
      <c r="E121" s="1487"/>
      <c r="F121" s="1488"/>
      <c r="G121" s="1489"/>
      <c r="H121" s="1490"/>
      <c r="I121" s="1487"/>
      <c r="J121" s="1488"/>
      <c r="K121" s="1489"/>
      <c r="L121" s="1490"/>
      <c r="M121" s="1487"/>
      <c r="N121" s="1488"/>
      <c r="O121" s="1489"/>
      <c r="P121" s="1490"/>
      <c r="Q121" s="1399"/>
      <c r="X121" s="1445" t="e">
        <f ca="1"/>
        <v>#NAME?</v>
      </c>
      <c r="Y121" s="1446" t="e">
        <f ca="1"/>
        <v>#NAME?</v>
      </c>
      <c r="Z121" s="1408"/>
      <c r="AB121" s="1399"/>
      <c r="AC121" s="1399"/>
      <c r="AD121" s="1399"/>
      <c r="AE121" s="1399"/>
    </row>
    <row r="122" spans="1:31">
      <c r="A122" s="1487"/>
      <c r="B122" s="1488"/>
      <c r="C122" s="1489"/>
      <c r="D122" s="1490"/>
      <c r="E122" s="1487"/>
      <c r="F122" s="1488"/>
      <c r="G122" s="1489"/>
      <c r="H122" s="1490"/>
      <c r="I122" s="1487"/>
      <c r="J122" s="1488"/>
      <c r="K122" s="1489"/>
      <c r="L122" s="1490"/>
      <c r="M122" s="1487"/>
      <c r="N122" s="1488"/>
      <c r="O122" s="1489"/>
      <c r="P122" s="1490"/>
      <c r="Q122" s="1399"/>
      <c r="X122" s="1445" t="e">
        <f ca="1"/>
        <v>#NAME?</v>
      </c>
      <c r="Y122" s="1446" t="e">
        <f ca="1"/>
        <v>#NAME?</v>
      </c>
      <c r="Z122" s="1408"/>
      <c r="AB122" s="1399"/>
      <c r="AC122" s="1399"/>
      <c r="AD122" s="1399"/>
      <c r="AE122" s="1399"/>
    </row>
    <row r="123" spans="1:31">
      <c r="A123" s="1487"/>
      <c r="B123" s="1488"/>
      <c r="C123" s="1489"/>
      <c r="D123" s="1490"/>
      <c r="E123" s="1487"/>
      <c r="F123" s="1488"/>
      <c r="G123" s="1489"/>
      <c r="H123" s="1490"/>
      <c r="I123" s="1487"/>
      <c r="J123" s="1488"/>
      <c r="K123" s="1489"/>
      <c r="L123" s="1490"/>
      <c r="M123" s="1487"/>
      <c r="N123" s="1488"/>
      <c r="O123" s="1489"/>
      <c r="P123" s="1490"/>
      <c r="Q123" s="1399"/>
      <c r="X123" s="1445" t="e">
        <f ca="1"/>
        <v>#NAME?</v>
      </c>
      <c r="Y123" s="1446" t="e">
        <f ca="1"/>
        <v>#NAME?</v>
      </c>
      <c r="Z123" s="1408"/>
      <c r="AB123" s="1399"/>
      <c r="AC123" s="1399"/>
      <c r="AD123" s="1399"/>
      <c r="AE123" s="1399"/>
    </row>
    <row r="124" spans="1:31">
      <c r="A124" s="1487"/>
      <c r="B124" s="1488"/>
      <c r="C124" s="1489"/>
      <c r="D124" s="1490"/>
      <c r="E124" s="1487"/>
      <c r="F124" s="1488"/>
      <c r="G124" s="1489"/>
      <c r="H124" s="1490"/>
      <c r="I124" s="1487"/>
      <c r="J124" s="1488"/>
      <c r="K124" s="1489"/>
      <c r="L124" s="1490"/>
      <c r="M124" s="1487"/>
      <c r="N124" s="1488"/>
      <c r="O124" s="1489"/>
      <c r="P124" s="1490"/>
      <c r="Q124" s="1399"/>
      <c r="X124" s="1445" t="e">
        <f ca="1"/>
        <v>#NAME?</v>
      </c>
      <c r="Y124" s="1446" t="e">
        <f ca="1"/>
        <v>#NAME?</v>
      </c>
      <c r="Z124" s="1408"/>
      <c r="AB124" s="1399"/>
      <c r="AC124" s="1399"/>
      <c r="AD124" s="1399"/>
      <c r="AE124" s="1399"/>
    </row>
    <row r="125" spans="1:31">
      <c r="A125" s="1487"/>
      <c r="B125" s="1488"/>
      <c r="C125" s="1489"/>
      <c r="D125" s="1490"/>
      <c r="E125" s="1487"/>
      <c r="F125" s="1488"/>
      <c r="G125" s="1489"/>
      <c r="H125" s="1490"/>
      <c r="I125" s="1487"/>
      <c r="J125" s="1488"/>
      <c r="K125" s="1489"/>
      <c r="L125" s="1490"/>
      <c r="M125" s="1487"/>
      <c r="N125" s="1488"/>
      <c r="O125" s="1489"/>
      <c r="P125" s="1490"/>
      <c r="Q125" s="1399"/>
      <c r="X125" s="1445" t="e">
        <f ca="1"/>
        <v>#NAME?</v>
      </c>
      <c r="Y125" s="1446" t="e">
        <f ca="1"/>
        <v>#NAME?</v>
      </c>
      <c r="Z125" s="1408"/>
      <c r="AB125" s="1399"/>
      <c r="AC125" s="1399"/>
      <c r="AD125" s="1399"/>
      <c r="AE125" s="1399"/>
    </row>
    <row r="126" spans="1:31">
      <c r="A126" s="1487"/>
      <c r="B126" s="1488"/>
      <c r="C126" s="1489"/>
      <c r="D126" s="1490"/>
      <c r="E126" s="1487"/>
      <c r="F126" s="1488"/>
      <c r="G126" s="1489"/>
      <c r="H126" s="1490"/>
      <c r="I126" s="1487"/>
      <c r="J126" s="1488"/>
      <c r="K126" s="1489"/>
      <c r="L126" s="1490"/>
      <c r="M126" s="1487"/>
      <c r="N126" s="1488"/>
      <c r="O126" s="1489"/>
      <c r="P126" s="1490"/>
      <c r="Q126" s="1399"/>
      <c r="X126" s="1445" t="e">
        <f ca="1"/>
        <v>#NAME?</v>
      </c>
      <c r="Y126" s="1446" t="e">
        <f ca="1"/>
        <v>#NAME?</v>
      </c>
      <c r="Z126" s="1408"/>
      <c r="AB126" s="1399"/>
      <c r="AC126" s="1399"/>
      <c r="AD126" s="1399"/>
      <c r="AE126" s="1399"/>
    </row>
    <row r="127" spans="1:31">
      <c r="A127" s="1487"/>
      <c r="B127" s="1488"/>
      <c r="C127" s="1489"/>
      <c r="D127" s="1490"/>
      <c r="E127" s="1487"/>
      <c r="F127" s="1488"/>
      <c r="G127" s="1489"/>
      <c r="H127" s="1490"/>
      <c r="I127" s="1487"/>
      <c r="J127" s="1488"/>
      <c r="K127" s="1489"/>
      <c r="L127" s="1490"/>
      <c r="M127" s="1487"/>
      <c r="N127" s="1488"/>
      <c r="O127" s="1489"/>
      <c r="P127" s="1490"/>
      <c r="Q127" s="1399"/>
      <c r="X127" s="1445" t="e">
        <f ca="1"/>
        <v>#NAME?</v>
      </c>
      <c r="Y127" s="1446" t="e">
        <f ca="1"/>
        <v>#NAME?</v>
      </c>
      <c r="Z127" s="1408"/>
      <c r="AB127" s="1399"/>
      <c r="AC127" s="1399"/>
      <c r="AD127" s="1399"/>
      <c r="AE127" s="1399"/>
    </row>
    <row r="128" spans="1:31">
      <c r="A128" s="1487"/>
      <c r="B128" s="1488"/>
      <c r="C128" s="1489"/>
      <c r="D128" s="1490"/>
      <c r="E128" s="1487"/>
      <c r="F128" s="1488"/>
      <c r="G128" s="1489"/>
      <c r="H128" s="1490"/>
      <c r="I128" s="1487"/>
      <c r="J128" s="1488"/>
      <c r="K128" s="1489"/>
      <c r="L128" s="1490"/>
      <c r="M128" s="1487"/>
      <c r="N128" s="1488"/>
      <c r="O128" s="1489"/>
      <c r="P128" s="1490"/>
      <c r="Q128" s="1399"/>
      <c r="X128" s="1445" t="e">
        <f ca="1"/>
        <v>#NAME?</v>
      </c>
      <c r="Y128" s="1446" t="e">
        <f ca="1"/>
        <v>#NAME?</v>
      </c>
      <c r="Z128" s="1408"/>
      <c r="AB128" s="1399"/>
      <c r="AC128" s="1399"/>
      <c r="AD128" s="1399"/>
      <c r="AE128" s="1399"/>
    </row>
    <row r="129" spans="1:31">
      <c r="A129" s="1487"/>
      <c r="B129" s="1488"/>
      <c r="C129" s="1489"/>
      <c r="D129" s="1490"/>
      <c r="E129" s="1487"/>
      <c r="F129" s="1488"/>
      <c r="G129" s="1489"/>
      <c r="H129" s="1490"/>
      <c r="I129" s="1487"/>
      <c r="J129" s="1488"/>
      <c r="K129" s="1489"/>
      <c r="L129" s="1490"/>
      <c r="M129" s="1487"/>
      <c r="N129" s="1488"/>
      <c r="O129" s="1489"/>
      <c r="P129" s="1490"/>
      <c r="Q129" s="1399"/>
      <c r="X129" s="1445" t="e">
        <f ca="1"/>
        <v>#NAME?</v>
      </c>
      <c r="Y129" s="1446" t="e">
        <f ca="1"/>
        <v>#NAME?</v>
      </c>
      <c r="Z129" s="1408"/>
      <c r="AB129" s="1399"/>
      <c r="AC129" s="1399"/>
      <c r="AD129" s="1399"/>
      <c r="AE129" s="1399"/>
    </row>
    <row r="130" spans="1:31">
      <c r="A130" s="1487"/>
      <c r="B130" s="1488"/>
      <c r="C130" s="1489"/>
      <c r="D130" s="1490"/>
      <c r="E130" s="1487"/>
      <c r="F130" s="1488"/>
      <c r="G130" s="1489"/>
      <c r="H130" s="1490"/>
      <c r="I130" s="1487"/>
      <c r="J130" s="1488"/>
      <c r="K130" s="1489"/>
      <c r="L130" s="1490"/>
      <c r="M130" s="1487"/>
      <c r="N130" s="1488"/>
      <c r="O130" s="1489"/>
      <c r="P130" s="1490"/>
      <c r="Q130" s="1399"/>
      <c r="X130" s="1445" t="e">
        <f ca="1"/>
        <v>#NAME?</v>
      </c>
      <c r="Y130" s="1446" t="e">
        <f ca="1"/>
        <v>#NAME?</v>
      </c>
      <c r="Z130" s="1408"/>
      <c r="AB130" s="1399"/>
      <c r="AC130" s="1399"/>
      <c r="AD130" s="1399"/>
      <c r="AE130" s="1399"/>
    </row>
    <row r="131" spans="1:31">
      <c r="A131" s="1487"/>
      <c r="B131" s="1488"/>
      <c r="C131" s="1489"/>
      <c r="D131" s="1490"/>
      <c r="E131" s="1487"/>
      <c r="F131" s="1488"/>
      <c r="G131" s="1489"/>
      <c r="H131" s="1490"/>
      <c r="I131" s="1487"/>
      <c r="J131" s="1488"/>
      <c r="K131" s="1489"/>
      <c r="L131" s="1490"/>
      <c r="M131" s="1487"/>
      <c r="N131" s="1488"/>
      <c r="O131" s="1489"/>
      <c r="P131" s="1490"/>
      <c r="Q131" s="1399"/>
      <c r="X131" s="1445" t="e">
        <f ca="1"/>
        <v>#NAME?</v>
      </c>
      <c r="Y131" s="1446" t="e">
        <f ca="1"/>
        <v>#NAME?</v>
      </c>
      <c r="Z131" s="1408"/>
      <c r="AB131" s="1399"/>
      <c r="AC131" s="1399"/>
      <c r="AD131" s="1399"/>
      <c r="AE131" s="1399"/>
    </row>
    <row r="132" spans="1:31">
      <c r="A132" s="1487"/>
      <c r="B132" s="1488"/>
      <c r="C132" s="1489"/>
      <c r="D132" s="1490"/>
      <c r="E132" s="1487"/>
      <c r="F132" s="1488"/>
      <c r="G132" s="1489"/>
      <c r="H132" s="1490"/>
      <c r="I132" s="1487"/>
      <c r="J132" s="1488"/>
      <c r="K132" s="1489"/>
      <c r="L132" s="1490"/>
      <c r="M132" s="1487"/>
      <c r="N132" s="1488"/>
      <c r="O132" s="1489"/>
      <c r="P132" s="1490"/>
      <c r="Q132" s="1399"/>
      <c r="X132" s="1445" t="e">
        <f ca="1"/>
        <v>#NAME?</v>
      </c>
      <c r="Y132" s="1446" t="e">
        <f ca="1"/>
        <v>#NAME?</v>
      </c>
      <c r="Z132" s="1408"/>
      <c r="AB132" s="1399"/>
      <c r="AC132" s="1399"/>
      <c r="AD132" s="1399"/>
      <c r="AE132" s="1399"/>
    </row>
    <row r="133" spans="1:31">
      <c r="A133" s="1487"/>
      <c r="B133" s="1488"/>
      <c r="C133" s="1489"/>
      <c r="D133" s="1490"/>
      <c r="E133" s="1487"/>
      <c r="F133" s="1488"/>
      <c r="G133" s="1489"/>
      <c r="H133" s="1490"/>
      <c r="I133" s="1487"/>
      <c r="J133" s="1488"/>
      <c r="K133" s="1489"/>
      <c r="L133" s="1490"/>
      <c r="M133" s="1487"/>
      <c r="N133" s="1488"/>
      <c r="O133" s="1489"/>
      <c r="P133" s="1490"/>
      <c r="Q133" s="1399"/>
      <c r="X133" s="1445" t="e">
        <f ca="1"/>
        <v>#NAME?</v>
      </c>
      <c r="Y133" s="1446" t="e">
        <f ca="1"/>
        <v>#NAME?</v>
      </c>
      <c r="Z133" s="1408"/>
      <c r="AB133" s="1399"/>
      <c r="AC133" s="1399"/>
      <c r="AD133" s="1399"/>
      <c r="AE133" s="1399"/>
    </row>
    <row r="134" spans="1:31">
      <c r="A134" s="1487"/>
      <c r="B134" s="1488"/>
      <c r="C134" s="1489"/>
      <c r="D134" s="1490"/>
      <c r="E134" s="1487"/>
      <c r="F134" s="1488"/>
      <c r="G134" s="1489"/>
      <c r="H134" s="1490"/>
      <c r="I134" s="1487"/>
      <c r="J134" s="1488"/>
      <c r="K134" s="1489"/>
      <c r="L134" s="1490"/>
      <c r="M134" s="1487"/>
      <c r="N134" s="1488"/>
      <c r="O134" s="1489"/>
      <c r="P134" s="1490"/>
      <c r="Q134" s="1399"/>
      <c r="X134" s="1445" t="e">
        <f ca="1"/>
        <v>#NAME?</v>
      </c>
      <c r="Y134" s="1446" t="e">
        <f ca="1"/>
        <v>#NAME?</v>
      </c>
      <c r="Z134" s="1408"/>
      <c r="AB134" s="1399"/>
      <c r="AC134" s="1399"/>
      <c r="AD134" s="1399"/>
      <c r="AE134" s="1399"/>
    </row>
    <row r="135" spans="1:31">
      <c r="A135" s="1487"/>
      <c r="B135" s="1488"/>
      <c r="C135" s="1489"/>
      <c r="D135" s="1490"/>
      <c r="E135" s="1487"/>
      <c r="F135" s="1488"/>
      <c r="G135" s="1489"/>
      <c r="H135" s="1490"/>
      <c r="I135" s="1487"/>
      <c r="J135" s="1488"/>
      <c r="K135" s="1489"/>
      <c r="L135" s="1490"/>
      <c r="M135" s="1487"/>
      <c r="N135" s="1488"/>
      <c r="O135" s="1489"/>
      <c r="P135" s="1490"/>
      <c r="Q135" s="1399"/>
      <c r="X135" s="1445" t="e">
        <f ca="1"/>
        <v>#NAME?</v>
      </c>
      <c r="Y135" s="1446" t="e">
        <f ca="1"/>
        <v>#NAME?</v>
      </c>
      <c r="Z135" s="1408"/>
      <c r="AB135" s="1399"/>
      <c r="AC135" s="1399"/>
      <c r="AD135" s="1399"/>
      <c r="AE135" s="1399"/>
    </row>
    <row r="136" spans="1:31">
      <c r="A136" s="1487"/>
      <c r="B136" s="1488"/>
      <c r="C136" s="1489"/>
      <c r="D136" s="1490"/>
      <c r="E136" s="1487"/>
      <c r="F136" s="1488"/>
      <c r="G136" s="1489"/>
      <c r="H136" s="1490"/>
      <c r="I136" s="1487"/>
      <c r="J136" s="1488"/>
      <c r="K136" s="1489"/>
      <c r="L136" s="1490"/>
      <c r="M136" s="1487"/>
      <c r="N136" s="1488"/>
      <c r="O136" s="1489"/>
      <c r="P136" s="1490"/>
      <c r="Q136" s="1399"/>
      <c r="X136" s="1445" t="e">
        <f ca="1"/>
        <v>#NAME?</v>
      </c>
      <c r="Y136" s="1446" t="e">
        <f ca="1"/>
        <v>#NAME?</v>
      </c>
      <c r="Z136" s="1408"/>
      <c r="AB136" s="1399"/>
      <c r="AC136" s="1399"/>
      <c r="AD136" s="1399"/>
      <c r="AE136" s="1399"/>
    </row>
    <row r="137" spans="1:31">
      <c r="A137" s="1487"/>
      <c r="B137" s="1488"/>
      <c r="C137" s="1489"/>
      <c r="D137" s="1490"/>
      <c r="E137" s="1487"/>
      <c r="F137" s="1488"/>
      <c r="G137" s="1489"/>
      <c r="H137" s="1490"/>
      <c r="I137" s="1487"/>
      <c r="J137" s="1488"/>
      <c r="K137" s="1489"/>
      <c r="L137" s="1490"/>
      <c r="M137" s="1487"/>
      <c r="N137" s="1488"/>
      <c r="O137" s="1489"/>
      <c r="P137" s="1490"/>
      <c r="Q137" s="1399"/>
      <c r="X137" s="1445" t="e">
        <f ca="1"/>
        <v>#NAME?</v>
      </c>
      <c r="Y137" s="1446" t="e">
        <f ca="1"/>
        <v>#NAME?</v>
      </c>
      <c r="Z137" s="1408"/>
      <c r="AB137" s="1399"/>
      <c r="AC137" s="1399"/>
      <c r="AD137" s="1399"/>
      <c r="AE137" s="1399"/>
    </row>
    <row r="138" spans="1:31">
      <c r="A138" s="1487"/>
      <c r="B138" s="1488"/>
      <c r="C138" s="1489"/>
      <c r="D138" s="1490"/>
      <c r="E138" s="1487"/>
      <c r="F138" s="1488"/>
      <c r="G138" s="1489"/>
      <c r="H138" s="1490"/>
      <c r="I138" s="1487"/>
      <c r="J138" s="1488"/>
      <c r="K138" s="1489"/>
      <c r="L138" s="1490"/>
      <c r="M138" s="1487"/>
      <c r="N138" s="1488"/>
      <c r="O138" s="1489"/>
      <c r="P138" s="1490"/>
      <c r="Q138" s="1399"/>
      <c r="X138" s="1445" t="e">
        <f ca="1"/>
        <v>#NAME?</v>
      </c>
      <c r="Y138" s="1446" t="e">
        <f ca="1"/>
        <v>#NAME?</v>
      </c>
      <c r="Z138" s="1408"/>
      <c r="AB138" s="1399"/>
      <c r="AC138" s="1399"/>
      <c r="AD138" s="1399"/>
      <c r="AE138" s="1399"/>
    </row>
    <row r="139" spans="1:31">
      <c r="A139" s="1487"/>
      <c r="B139" s="1488"/>
      <c r="C139" s="1489"/>
      <c r="D139" s="1490"/>
      <c r="E139" s="1487"/>
      <c r="F139" s="1488"/>
      <c r="G139" s="1489"/>
      <c r="H139" s="1490"/>
      <c r="I139" s="1487"/>
      <c r="J139" s="1488"/>
      <c r="K139" s="1489"/>
      <c r="L139" s="1490"/>
      <c r="M139" s="1487"/>
      <c r="N139" s="1488"/>
      <c r="O139" s="1489"/>
      <c r="P139" s="1490"/>
      <c r="Q139" s="1399"/>
      <c r="X139" s="1445" t="e">
        <f ca="1"/>
        <v>#NAME?</v>
      </c>
      <c r="Y139" s="1446" t="e">
        <f ca="1"/>
        <v>#NAME?</v>
      </c>
      <c r="Z139" s="1408"/>
      <c r="AB139" s="1399"/>
      <c r="AC139" s="1399"/>
      <c r="AD139" s="1399"/>
      <c r="AE139" s="1399"/>
    </row>
    <row r="140" spans="1:31">
      <c r="A140" s="1487"/>
      <c r="B140" s="1488"/>
      <c r="C140" s="1489"/>
      <c r="D140" s="1490"/>
      <c r="E140" s="1487"/>
      <c r="F140" s="1488"/>
      <c r="G140" s="1489"/>
      <c r="H140" s="1490"/>
      <c r="I140" s="1487"/>
      <c r="J140" s="1488"/>
      <c r="K140" s="1489"/>
      <c r="L140" s="1490"/>
      <c r="M140" s="1487"/>
      <c r="N140" s="1488"/>
      <c r="O140" s="1489"/>
      <c r="P140" s="1490"/>
      <c r="Q140" s="1399"/>
      <c r="X140" s="1445" t="e">
        <f ca="1"/>
        <v>#NAME?</v>
      </c>
      <c r="Y140" s="1446" t="e">
        <f ca="1"/>
        <v>#NAME?</v>
      </c>
      <c r="Z140" s="1408"/>
      <c r="AB140" s="1399"/>
      <c r="AC140" s="1399"/>
      <c r="AD140" s="1399"/>
      <c r="AE140" s="1399"/>
    </row>
    <row r="141" spans="1:31">
      <c r="A141" s="1487"/>
      <c r="B141" s="1488"/>
      <c r="C141" s="1489"/>
      <c r="D141" s="1490"/>
      <c r="E141" s="1487"/>
      <c r="F141" s="1488"/>
      <c r="G141" s="1489"/>
      <c r="H141" s="1490"/>
      <c r="I141" s="1487"/>
      <c r="J141" s="1488"/>
      <c r="K141" s="1489"/>
      <c r="L141" s="1490"/>
      <c r="M141" s="1487"/>
      <c r="N141" s="1488"/>
      <c r="O141" s="1489"/>
      <c r="P141" s="1490"/>
      <c r="Q141" s="1399"/>
      <c r="X141" s="1445" t="e">
        <f ca="1"/>
        <v>#NAME?</v>
      </c>
      <c r="Y141" s="1446" t="e">
        <f ca="1"/>
        <v>#NAME?</v>
      </c>
      <c r="Z141" s="1408"/>
      <c r="AB141" s="1399"/>
      <c r="AC141" s="1399"/>
      <c r="AD141" s="1399"/>
      <c r="AE141" s="1399"/>
    </row>
    <row r="142" spans="1:31">
      <c r="A142" s="1487"/>
      <c r="B142" s="1488"/>
      <c r="C142" s="1489"/>
      <c r="D142" s="1490"/>
      <c r="E142" s="1487"/>
      <c r="F142" s="1488"/>
      <c r="G142" s="1489"/>
      <c r="H142" s="1490"/>
      <c r="I142" s="1487"/>
      <c r="J142" s="1488"/>
      <c r="K142" s="1489"/>
      <c r="L142" s="1490"/>
      <c r="M142" s="1487"/>
      <c r="N142" s="1488"/>
      <c r="O142" s="1489"/>
      <c r="P142" s="1490"/>
      <c r="Q142" s="1399"/>
      <c r="X142" s="1445" t="e">
        <f ca="1"/>
        <v>#NAME?</v>
      </c>
      <c r="Y142" s="1446" t="e">
        <f ca="1"/>
        <v>#NAME?</v>
      </c>
      <c r="Z142" s="1408"/>
      <c r="AB142" s="1399"/>
      <c r="AC142" s="1399"/>
      <c r="AD142" s="1399"/>
      <c r="AE142" s="1399"/>
    </row>
    <row r="143" spans="1:31">
      <c r="A143" s="1487"/>
      <c r="B143" s="1488"/>
      <c r="C143" s="1489"/>
      <c r="D143" s="1490"/>
      <c r="E143" s="1487"/>
      <c r="F143" s="1488"/>
      <c r="G143" s="1489"/>
      <c r="H143" s="1490"/>
      <c r="I143" s="1487"/>
      <c r="J143" s="1488"/>
      <c r="K143" s="1489"/>
      <c r="L143" s="1490"/>
      <c r="M143" s="1487"/>
      <c r="N143" s="1488"/>
      <c r="O143" s="1489"/>
      <c r="P143" s="1490"/>
      <c r="Q143" s="1399"/>
      <c r="X143" s="1445" t="e">
        <f ca="1"/>
        <v>#NAME?</v>
      </c>
      <c r="Y143" s="1446" t="e">
        <f ca="1"/>
        <v>#NAME?</v>
      </c>
      <c r="Z143" s="1408"/>
      <c r="AB143" s="1399"/>
      <c r="AC143" s="1399"/>
      <c r="AD143" s="1399"/>
      <c r="AE143" s="1399"/>
    </row>
    <row r="144" spans="1:31">
      <c r="A144" s="1487"/>
      <c r="B144" s="1488"/>
      <c r="C144" s="1489"/>
      <c r="D144" s="1490"/>
      <c r="E144" s="1487"/>
      <c r="F144" s="1488"/>
      <c r="G144" s="1489"/>
      <c r="H144" s="1490"/>
      <c r="I144" s="1487"/>
      <c r="J144" s="1488"/>
      <c r="K144" s="1489"/>
      <c r="L144" s="1490"/>
      <c r="M144" s="1487"/>
      <c r="N144" s="1488"/>
      <c r="O144" s="1489"/>
      <c r="P144" s="1490"/>
      <c r="Q144" s="1399"/>
      <c r="X144" s="1445" t="e">
        <f ca="1"/>
        <v>#NAME?</v>
      </c>
      <c r="Y144" s="1446" t="e">
        <f ca="1"/>
        <v>#NAME?</v>
      </c>
      <c r="Z144" s="1408"/>
      <c r="AB144" s="1399"/>
      <c r="AC144" s="1399"/>
      <c r="AD144" s="1399"/>
      <c r="AE144" s="1399"/>
    </row>
    <row r="145" spans="1:31">
      <c r="A145" s="1487"/>
      <c r="B145" s="1488"/>
      <c r="C145" s="1489"/>
      <c r="D145" s="1490"/>
      <c r="E145" s="1487"/>
      <c r="F145" s="1488"/>
      <c r="G145" s="1489"/>
      <c r="H145" s="1490"/>
      <c r="I145" s="1487"/>
      <c r="J145" s="1488"/>
      <c r="K145" s="1489"/>
      <c r="L145" s="1490"/>
      <c r="M145" s="1487"/>
      <c r="N145" s="1488"/>
      <c r="O145" s="1489"/>
      <c r="P145" s="1490"/>
      <c r="Q145" s="1399"/>
      <c r="X145" s="1445" t="e">
        <f ca="1"/>
        <v>#NAME?</v>
      </c>
      <c r="Y145" s="1446" t="e">
        <f ca="1"/>
        <v>#NAME?</v>
      </c>
      <c r="Z145" s="1408"/>
      <c r="AB145" s="1399"/>
      <c r="AC145" s="1399"/>
      <c r="AD145" s="1399"/>
      <c r="AE145" s="1399"/>
    </row>
    <row r="146" spans="1:31">
      <c r="A146" s="1487"/>
      <c r="B146" s="1488"/>
      <c r="C146" s="1489"/>
      <c r="D146" s="1490"/>
      <c r="E146" s="1487"/>
      <c r="F146" s="1488"/>
      <c r="G146" s="1489"/>
      <c r="H146" s="1490"/>
      <c r="I146" s="1487"/>
      <c r="J146" s="1488"/>
      <c r="K146" s="1489"/>
      <c r="L146" s="1490"/>
      <c r="M146" s="1487"/>
      <c r="N146" s="1488"/>
      <c r="O146" s="1489"/>
      <c r="P146" s="1490"/>
      <c r="Q146" s="1399"/>
      <c r="X146" s="1445" t="e">
        <f ca="1"/>
        <v>#NAME?</v>
      </c>
      <c r="Y146" s="1446" t="e">
        <f ca="1"/>
        <v>#NAME?</v>
      </c>
      <c r="Z146" s="1408"/>
      <c r="AB146" s="1399"/>
      <c r="AC146" s="1399"/>
      <c r="AD146" s="1399"/>
      <c r="AE146" s="1399"/>
    </row>
    <row r="147" spans="1:31">
      <c r="A147" s="1487"/>
      <c r="B147" s="1488"/>
      <c r="C147" s="1489"/>
      <c r="D147" s="1490"/>
      <c r="E147" s="1487"/>
      <c r="F147" s="1488"/>
      <c r="G147" s="1489"/>
      <c r="H147" s="1490"/>
      <c r="I147" s="1487"/>
      <c r="J147" s="1488"/>
      <c r="K147" s="1489"/>
      <c r="L147" s="1490"/>
      <c r="M147" s="1487"/>
      <c r="N147" s="1488"/>
      <c r="O147" s="1489"/>
      <c r="P147" s="1490"/>
      <c r="Q147" s="1399"/>
      <c r="X147" s="1445" t="e">
        <f ca="1"/>
        <v>#NAME?</v>
      </c>
      <c r="Y147" s="1446" t="e">
        <f ca="1"/>
        <v>#NAME?</v>
      </c>
      <c r="Z147" s="1408"/>
      <c r="AB147" s="1399"/>
      <c r="AC147" s="1399"/>
      <c r="AD147" s="1399"/>
      <c r="AE147" s="1399"/>
    </row>
    <row r="148" spans="1:31">
      <c r="A148" s="1487"/>
      <c r="B148" s="1488"/>
      <c r="C148" s="1489"/>
      <c r="D148" s="1490"/>
      <c r="E148" s="1487"/>
      <c r="F148" s="1488"/>
      <c r="G148" s="1489"/>
      <c r="H148" s="1490"/>
      <c r="I148" s="1487"/>
      <c r="J148" s="1488"/>
      <c r="K148" s="1489"/>
      <c r="L148" s="1490"/>
      <c r="M148" s="1487"/>
      <c r="N148" s="1488"/>
      <c r="O148" s="1489"/>
      <c r="P148" s="1490"/>
      <c r="Q148" s="1399"/>
      <c r="X148" s="1445" t="e">
        <f ca="1"/>
        <v>#NAME?</v>
      </c>
      <c r="Y148" s="1446" t="e">
        <f ca="1"/>
        <v>#NAME?</v>
      </c>
      <c r="Z148" s="1408"/>
      <c r="AB148" s="1399"/>
      <c r="AC148" s="1399"/>
      <c r="AD148" s="1399"/>
      <c r="AE148" s="1399"/>
    </row>
    <row r="149" spans="1:31">
      <c r="A149" s="1487"/>
      <c r="B149" s="1488"/>
      <c r="C149" s="1489"/>
      <c r="D149" s="1490"/>
      <c r="E149" s="1487"/>
      <c r="F149" s="1488"/>
      <c r="G149" s="1489"/>
      <c r="H149" s="1490"/>
      <c r="I149" s="1487"/>
      <c r="J149" s="1488"/>
      <c r="K149" s="1489"/>
      <c r="L149" s="1490"/>
      <c r="M149" s="1487"/>
      <c r="N149" s="1488"/>
      <c r="O149" s="1489"/>
      <c r="P149" s="1490"/>
      <c r="Q149" s="1399"/>
      <c r="X149" s="1445" t="e">
        <f ca="1"/>
        <v>#NAME?</v>
      </c>
      <c r="Y149" s="1446" t="e">
        <f ca="1"/>
        <v>#NAME?</v>
      </c>
      <c r="Z149" s="1408"/>
      <c r="AB149" s="1399"/>
      <c r="AC149" s="1399"/>
      <c r="AD149" s="1399"/>
      <c r="AE149" s="1399"/>
    </row>
    <row r="150" spans="1:31">
      <c r="A150" s="1487"/>
      <c r="B150" s="1488"/>
      <c r="C150" s="1489"/>
      <c r="D150" s="1490"/>
      <c r="E150" s="1487"/>
      <c r="F150" s="1488"/>
      <c r="G150" s="1489"/>
      <c r="H150" s="1490"/>
      <c r="I150" s="1487"/>
      <c r="J150" s="1488"/>
      <c r="K150" s="1489"/>
      <c r="L150" s="1490"/>
      <c r="M150" s="1487"/>
      <c r="N150" s="1488"/>
      <c r="O150" s="1489"/>
      <c r="P150" s="1490"/>
      <c r="Q150" s="1399"/>
      <c r="X150" s="1445" t="e">
        <f ca="1"/>
        <v>#NAME?</v>
      </c>
      <c r="Y150" s="1446" t="e">
        <f ca="1"/>
        <v>#NAME?</v>
      </c>
      <c r="Z150" s="1408"/>
      <c r="AB150" s="1399"/>
      <c r="AC150" s="1399"/>
      <c r="AD150" s="1399"/>
      <c r="AE150" s="1399"/>
    </row>
    <row r="151" spans="1:31">
      <c r="A151" s="1487"/>
      <c r="B151" s="1488"/>
      <c r="C151" s="1489"/>
      <c r="D151" s="1490"/>
      <c r="E151" s="1487"/>
      <c r="F151" s="1488"/>
      <c r="G151" s="1489"/>
      <c r="H151" s="1490"/>
      <c r="I151" s="1487"/>
      <c r="J151" s="1488"/>
      <c r="K151" s="1489"/>
      <c r="L151" s="1490"/>
      <c r="M151" s="1487"/>
      <c r="N151" s="1488"/>
      <c r="O151" s="1489"/>
      <c r="P151" s="1490"/>
      <c r="Q151" s="1399"/>
      <c r="X151" s="1445" t="e">
        <f ca="1"/>
        <v>#NAME?</v>
      </c>
      <c r="Y151" s="1446" t="e">
        <f ca="1"/>
        <v>#NAME?</v>
      </c>
      <c r="Z151" s="1408"/>
      <c r="AB151" s="1399"/>
      <c r="AC151" s="1399"/>
      <c r="AD151" s="1399"/>
      <c r="AE151" s="1399"/>
    </row>
    <row r="152" spans="1:31">
      <c r="A152" s="1487"/>
      <c r="B152" s="1488"/>
      <c r="C152" s="1489"/>
      <c r="D152" s="1490"/>
      <c r="E152" s="1487"/>
      <c r="F152" s="1488"/>
      <c r="G152" s="1489"/>
      <c r="H152" s="1490"/>
      <c r="I152" s="1487"/>
      <c r="J152" s="1488"/>
      <c r="K152" s="1489"/>
      <c r="L152" s="1490"/>
      <c r="M152" s="1487"/>
      <c r="N152" s="1488"/>
      <c r="O152" s="1489"/>
      <c r="P152" s="1490"/>
      <c r="Q152" s="1399"/>
      <c r="X152" s="1445" t="e">
        <f ca="1"/>
        <v>#NAME?</v>
      </c>
      <c r="Y152" s="1446" t="e">
        <f ca="1"/>
        <v>#NAME?</v>
      </c>
      <c r="Z152" s="1408"/>
      <c r="AB152" s="1399"/>
      <c r="AC152" s="1399"/>
      <c r="AD152" s="1399"/>
      <c r="AE152" s="1399"/>
    </row>
    <row r="153" spans="1:31">
      <c r="A153" s="1487"/>
      <c r="B153" s="1488"/>
      <c r="C153" s="1489"/>
      <c r="D153" s="1490"/>
      <c r="E153" s="1487"/>
      <c r="F153" s="1488"/>
      <c r="G153" s="1489"/>
      <c r="H153" s="1490"/>
      <c r="I153" s="1487"/>
      <c r="J153" s="1488"/>
      <c r="K153" s="1489"/>
      <c r="L153" s="1490"/>
      <c r="M153" s="1487"/>
      <c r="N153" s="1488"/>
      <c r="O153" s="1489"/>
      <c r="P153" s="1490"/>
      <c r="Q153" s="1399"/>
      <c r="X153" s="1445" t="e">
        <f ca="1"/>
        <v>#NAME?</v>
      </c>
      <c r="Y153" s="1446" t="e">
        <f ca="1"/>
        <v>#NAME?</v>
      </c>
      <c r="Z153" s="1408"/>
      <c r="AB153" s="1399"/>
      <c r="AC153" s="1399"/>
      <c r="AD153" s="1399"/>
      <c r="AE153" s="1399"/>
    </row>
    <row r="154" spans="1:31">
      <c r="A154" s="1487"/>
      <c r="B154" s="1488"/>
      <c r="C154" s="1489"/>
      <c r="D154" s="1490"/>
      <c r="E154" s="1487"/>
      <c r="F154" s="1488"/>
      <c r="G154" s="1489"/>
      <c r="H154" s="1490"/>
      <c r="I154" s="1487"/>
      <c r="J154" s="1488"/>
      <c r="K154" s="1489"/>
      <c r="L154" s="1490"/>
      <c r="M154" s="1487"/>
      <c r="N154" s="1488"/>
      <c r="O154" s="1489"/>
      <c r="P154" s="1490"/>
      <c r="Q154" s="1399"/>
      <c r="X154" s="1445" t="e">
        <f ca="1"/>
        <v>#NAME?</v>
      </c>
      <c r="Y154" s="1446" t="e">
        <f ca="1"/>
        <v>#NAME?</v>
      </c>
      <c r="Z154" s="1408"/>
      <c r="AB154" s="1399"/>
      <c r="AC154" s="1399"/>
      <c r="AD154" s="1399"/>
      <c r="AE154" s="1399"/>
    </row>
    <row r="155" spans="1:31">
      <c r="A155" s="1487"/>
      <c r="B155" s="1488"/>
      <c r="C155" s="1489"/>
      <c r="D155" s="1490"/>
      <c r="E155" s="1487"/>
      <c r="F155" s="1488"/>
      <c r="G155" s="1489"/>
      <c r="H155" s="1490"/>
      <c r="I155" s="1487"/>
      <c r="J155" s="1488"/>
      <c r="K155" s="1489"/>
      <c r="L155" s="1490"/>
      <c r="M155" s="1487"/>
      <c r="N155" s="1488"/>
      <c r="O155" s="1489"/>
      <c r="P155" s="1490"/>
      <c r="Q155" s="1399"/>
      <c r="X155" s="1445" t="e">
        <f ca="1"/>
        <v>#NAME?</v>
      </c>
      <c r="Y155" s="1446" t="e">
        <f ca="1"/>
        <v>#NAME?</v>
      </c>
      <c r="Z155" s="1408"/>
      <c r="AB155" s="1399"/>
      <c r="AC155" s="1399"/>
      <c r="AD155" s="1399"/>
      <c r="AE155" s="1399"/>
    </row>
    <row r="156" spans="1:31">
      <c r="A156" s="1487"/>
      <c r="B156" s="1488"/>
      <c r="C156" s="1489"/>
      <c r="D156" s="1490"/>
      <c r="E156" s="1487"/>
      <c r="F156" s="1488"/>
      <c r="G156" s="1489"/>
      <c r="H156" s="1490"/>
      <c r="I156" s="1487"/>
      <c r="J156" s="1488"/>
      <c r="K156" s="1489"/>
      <c r="L156" s="1490"/>
      <c r="M156" s="1487"/>
      <c r="N156" s="1488"/>
      <c r="O156" s="1489"/>
      <c r="P156" s="1490"/>
      <c r="Q156" s="1399"/>
      <c r="X156" s="1445" t="e">
        <f ca="1"/>
        <v>#NAME?</v>
      </c>
      <c r="Y156" s="1446" t="e">
        <f ca="1"/>
        <v>#NAME?</v>
      </c>
      <c r="Z156" s="1408"/>
      <c r="AB156" s="1399"/>
      <c r="AC156" s="1399"/>
      <c r="AD156" s="1399"/>
      <c r="AE156" s="1399"/>
    </row>
    <row r="157" spans="1:31">
      <c r="A157" s="1487"/>
      <c r="B157" s="1488"/>
      <c r="C157" s="1489"/>
      <c r="D157" s="1490"/>
      <c r="E157" s="1487"/>
      <c r="F157" s="1488"/>
      <c r="G157" s="1489"/>
      <c r="H157" s="1490"/>
      <c r="I157" s="1487"/>
      <c r="J157" s="1488"/>
      <c r="K157" s="1489"/>
      <c r="L157" s="1490"/>
      <c r="M157" s="1487"/>
      <c r="N157" s="1488"/>
      <c r="O157" s="1489"/>
      <c r="P157" s="1490"/>
      <c r="Q157" s="1399"/>
      <c r="X157" s="1445" t="e">
        <f ca="1"/>
        <v>#NAME?</v>
      </c>
      <c r="Y157" s="1446" t="e">
        <f ca="1"/>
        <v>#NAME?</v>
      </c>
      <c r="Z157" s="1408"/>
      <c r="AB157" s="1399"/>
      <c r="AC157" s="1399"/>
      <c r="AD157" s="1399"/>
      <c r="AE157" s="1399"/>
    </row>
    <row r="158" spans="1:31">
      <c r="A158" s="1487"/>
      <c r="B158" s="1488"/>
      <c r="C158" s="1489"/>
      <c r="D158" s="1490"/>
      <c r="E158" s="1487"/>
      <c r="F158" s="1488"/>
      <c r="G158" s="1489"/>
      <c r="H158" s="1490"/>
      <c r="I158" s="1487"/>
      <c r="J158" s="1488"/>
      <c r="K158" s="1489"/>
      <c r="L158" s="1490"/>
      <c r="M158" s="1487"/>
      <c r="N158" s="1488"/>
      <c r="O158" s="1489"/>
      <c r="P158" s="1490"/>
      <c r="Q158" s="1399"/>
      <c r="X158" s="1445" t="e">
        <f ca="1"/>
        <v>#NAME?</v>
      </c>
      <c r="Y158" s="1446" t="e">
        <f ca="1"/>
        <v>#NAME?</v>
      </c>
      <c r="Z158" s="1408"/>
      <c r="AB158" s="1399"/>
      <c r="AC158" s="1399"/>
      <c r="AD158" s="1399"/>
      <c r="AE158" s="1399"/>
    </row>
    <row r="159" spans="1:31">
      <c r="A159" s="1487"/>
      <c r="B159" s="1488"/>
      <c r="C159" s="1489"/>
      <c r="D159" s="1490"/>
      <c r="E159" s="1487"/>
      <c r="F159" s="1488"/>
      <c r="G159" s="1489"/>
      <c r="H159" s="1490"/>
      <c r="I159" s="1487"/>
      <c r="J159" s="1488"/>
      <c r="K159" s="1489"/>
      <c r="L159" s="1490"/>
      <c r="M159" s="1487"/>
      <c r="N159" s="1488"/>
      <c r="O159" s="1489"/>
      <c r="P159" s="1490"/>
      <c r="Q159" s="1399"/>
      <c r="X159" s="1445" t="e">
        <f ca="1"/>
        <v>#NAME?</v>
      </c>
      <c r="Y159" s="1446" t="e">
        <f ca="1"/>
        <v>#NAME?</v>
      </c>
      <c r="Z159" s="1408"/>
      <c r="AB159" s="1399"/>
      <c r="AC159" s="1399"/>
      <c r="AD159" s="1399"/>
      <c r="AE159" s="1399"/>
    </row>
    <row r="160" spans="1:31">
      <c r="A160" s="1487"/>
      <c r="B160" s="1488"/>
      <c r="C160" s="1489"/>
      <c r="D160" s="1490"/>
      <c r="E160" s="1487"/>
      <c r="F160" s="1488"/>
      <c r="G160" s="1489"/>
      <c r="H160" s="1490"/>
      <c r="I160" s="1487"/>
      <c r="J160" s="1488"/>
      <c r="K160" s="1489"/>
      <c r="L160" s="1490"/>
      <c r="M160" s="1487"/>
      <c r="N160" s="1488"/>
      <c r="O160" s="1489"/>
      <c r="P160" s="1490"/>
      <c r="Q160" s="1399"/>
      <c r="X160" s="1445" t="e">
        <f ca="1"/>
        <v>#NAME?</v>
      </c>
      <c r="Y160" s="1446" t="e">
        <f ca="1"/>
        <v>#NAME?</v>
      </c>
      <c r="Z160" s="1408"/>
      <c r="AB160" s="1399"/>
      <c r="AC160" s="1399"/>
      <c r="AD160" s="1399"/>
      <c r="AE160" s="1399"/>
    </row>
    <row r="161" spans="1:31">
      <c r="A161" s="1487"/>
      <c r="B161" s="1488"/>
      <c r="C161" s="1489"/>
      <c r="D161" s="1490"/>
      <c r="E161" s="1487"/>
      <c r="F161" s="1488"/>
      <c r="G161" s="1489"/>
      <c r="H161" s="1490"/>
      <c r="I161" s="1487"/>
      <c r="J161" s="1488"/>
      <c r="K161" s="1489"/>
      <c r="L161" s="1490"/>
      <c r="M161" s="1487"/>
      <c r="N161" s="1488"/>
      <c r="O161" s="1489"/>
      <c r="P161" s="1490"/>
      <c r="Q161" s="1399"/>
      <c r="X161" s="1445" t="e">
        <f ca="1"/>
        <v>#NAME?</v>
      </c>
      <c r="Y161" s="1446" t="e">
        <f ca="1"/>
        <v>#NAME?</v>
      </c>
      <c r="Z161" s="1408"/>
      <c r="AB161" s="1399"/>
      <c r="AC161" s="1399"/>
      <c r="AD161" s="1399"/>
      <c r="AE161" s="1399"/>
    </row>
    <row r="162" spans="1:31">
      <c r="A162" s="1487"/>
      <c r="B162" s="1488"/>
      <c r="C162" s="1489"/>
      <c r="D162" s="1490"/>
      <c r="E162" s="1487"/>
      <c r="F162" s="1488"/>
      <c r="G162" s="1489"/>
      <c r="H162" s="1490"/>
      <c r="I162" s="1487"/>
      <c r="J162" s="1488"/>
      <c r="K162" s="1489"/>
      <c r="L162" s="1490"/>
      <c r="M162" s="1487"/>
      <c r="N162" s="1488"/>
      <c r="O162" s="1489"/>
      <c r="P162" s="1490"/>
      <c r="Q162" s="1399"/>
      <c r="X162" s="1445" t="e">
        <f ca="1"/>
        <v>#NAME?</v>
      </c>
      <c r="Y162" s="1446" t="e">
        <f ca="1"/>
        <v>#NAME?</v>
      </c>
      <c r="Z162" s="1408"/>
      <c r="AB162" s="1399"/>
      <c r="AC162" s="1399"/>
      <c r="AD162" s="1399"/>
      <c r="AE162" s="1399"/>
    </row>
    <row r="163" spans="1:31">
      <c r="A163" s="1487"/>
      <c r="B163" s="1488"/>
      <c r="C163" s="1489"/>
      <c r="D163" s="1490"/>
      <c r="E163" s="1487"/>
      <c r="F163" s="1488"/>
      <c r="G163" s="1489"/>
      <c r="H163" s="1490"/>
      <c r="I163" s="1487"/>
      <c r="J163" s="1488"/>
      <c r="K163" s="1489"/>
      <c r="L163" s="1490"/>
      <c r="M163" s="1487"/>
      <c r="N163" s="1488"/>
      <c r="O163" s="1489"/>
      <c r="P163" s="1490"/>
      <c r="Q163" s="1399"/>
      <c r="X163" s="1445" t="e">
        <f ca="1"/>
        <v>#NAME?</v>
      </c>
      <c r="Y163" s="1446" t="e">
        <f ca="1"/>
        <v>#NAME?</v>
      </c>
      <c r="Z163" s="1408"/>
      <c r="AB163" s="1399"/>
      <c r="AC163" s="1399"/>
      <c r="AD163" s="1399"/>
      <c r="AE163" s="1399"/>
    </row>
    <row r="164" spans="1:31">
      <c r="A164" s="1487"/>
      <c r="B164" s="1488"/>
      <c r="C164" s="1489"/>
      <c r="D164" s="1490"/>
      <c r="E164" s="1487"/>
      <c r="F164" s="1488"/>
      <c r="G164" s="1489"/>
      <c r="H164" s="1490"/>
      <c r="I164" s="1487"/>
      <c r="J164" s="1488"/>
      <c r="K164" s="1489"/>
      <c r="L164" s="1490"/>
      <c r="M164" s="1487"/>
      <c r="N164" s="1488"/>
      <c r="O164" s="1489"/>
      <c r="P164" s="1490"/>
      <c r="Q164" s="1399"/>
      <c r="X164" s="1445" t="e">
        <f ca="1"/>
        <v>#NAME?</v>
      </c>
      <c r="Y164" s="1446" t="e">
        <f ca="1"/>
        <v>#NAME?</v>
      </c>
      <c r="Z164" s="1408"/>
      <c r="AB164" s="1399"/>
      <c r="AC164" s="1399"/>
      <c r="AD164" s="1399"/>
      <c r="AE164" s="1399"/>
    </row>
    <row r="165" spans="1:31">
      <c r="A165" s="1487"/>
      <c r="B165" s="1488"/>
      <c r="C165" s="1489"/>
      <c r="D165" s="1490"/>
      <c r="E165" s="1487"/>
      <c r="F165" s="1488"/>
      <c r="G165" s="1489"/>
      <c r="H165" s="1490"/>
      <c r="I165" s="1487"/>
      <c r="J165" s="1488"/>
      <c r="K165" s="1489"/>
      <c r="L165" s="1490"/>
      <c r="M165" s="1487"/>
      <c r="N165" s="1488"/>
      <c r="O165" s="1489"/>
      <c r="P165" s="1490"/>
      <c r="Q165" s="1399"/>
      <c r="X165" s="1445" t="e">
        <f ca="1"/>
        <v>#NAME?</v>
      </c>
      <c r="Y165" s="1446" t="e">
        <f ca="1"/>
        <v>#NAME?</v>
      </c>
      <c r="Z165" s="1408"/>
      <c r="AB165" s="1399"/>
      <c r="AC165" s="1399"/>
      <c r="AD165" s="1399"/>
      <c r="AE165" s="1399"/>
    </row>
    <row r="166" spans="1:31">
      <c r="A166" s="1487"/>
      <c r="B166" s="1488"/>
      <c r="C166" s="1489"/>
      <c r="D166" s="1490"/>
      <c r="E166" s="1487"/>
      <c r="F166" s="1488"/>
      <c r="G166" s="1489"/>
      <c r="H166" s="1490"/>
      <c r="I166" s="1487"/>
      <c r="J166" s="1488"/>
      <c r="K166" s="1489"/>
      <c r="L166" s="1490"/>
      <c r="M166" s="1487"/>
      <c r="N166" s="1488"/>
      <c r="O166" s="1489"/>
      <c r="P166" s="1490"/>
      <c r="Q166" s="1399"/>
      <c r="X166" s="1445" t="e">
        <f ca="1"/>
        <v>#NAME?</v>
      </c>
      <c r="Y166" s="1446" t="e">
        <f ca="1"/>
        <v>#NAME?</v>
      </c>
      <c r="Z166" s="1408"/>
      <c r="AB166" s="1399"/>
      <c r="AC166" s="1399"/>
      <c r="AD166" s="1399"/>
      <c r="AE166" s="1399"/>
    </row>
    <row r="167" spans="1:31">
      <c r="A167" s="1487"/>
      <c r="B167" s="1488"/>
      <c r="C167" s="1489"/>
      <c r="D167" s="1490"/>
      <c r="E167" s="1487"/>
      <c r="F167" s="1488"/>
      <c r="G167" s="1489"/>
      <c r="H167" s="1490"/>
      <c r="I167" s="1487"/>
      <c r="J167" s="1488"/>
      <c r="K167" s="1489"/>
      <c r="L167" s="1490"/>
      <c r="M167" s="1487"/>
      <c r="N167" s="1488"/>
      <c r="O167" s="1489"/>
      <c r="P167" s="1490"/>
      <c r="Q167" s="1399"/>
      <c r="X167" s="1445" t="e">
        <f ca="1"/>
        <v>#NAME?</v>
      </c>
      <c r="Y167" s="1446" t="e">
        <f ca="1"/>
        <v>#NAME?</v>
      </c>
      <c r="Z167" s="1408"/>
      <c r="AB167" s="1399"/>
      <c r="AC167" s="1399"/>
      <c r="AD167" s="1399"/>
      <c r="AE167" s="1399"/>
    </row>
    <row r="168" spans="1:31">
      <c r="A168" s="1487"/>
      <c r="B168" s="1488"/>
      <c r="C168" s="1489"/>
      <c r="D168" s="1490"/>
      <c r="E168" s="1487"/>
      <c r="F168" s="1488"/>
      <c r="G168" s="1489"/>
      <c r="H168" s="1490"/>
      <c r="I168" s="1487"/>
      <c r="J168" s="1488"/>
      <c r="K168" s="1489"/>
      <c r="L168" s="1490"/>
      <c r="M168" s="1487"/>
      <c r="N168" s="1488"/>
      <c r="O168" s="1489"/>
      <c r="P168" s="1490"/>
      <c r="Q168" s="1399"/>
      <c r="X168" s="1445" t="e">
        <f ca="1"/>
        <v>#NAME?</v>
      </c>
      <c r="Y168" s="1446" t="e">
        <f ca="1"/>
        <v>#NAME?</v>
      </c>
      <c r="Z168" s="1408"/>
      <c r="AB168" s="1399"/>
      <c r="AC168" s="1399"/>
      <c r="AD168" s="1399"/>
      <c r="AE168" s="1399"/>
    </row>
    <row r="169" spans="1:31">
      <c r="A169" s="1487"/>
      <c r="B169" s="1488"/>
      <c r="C169" s="1489"/>
      <c r="D169" s="1490"/>
      <c r="E169" s="1487"/>
      <c r="F169" s="1488"/>
      <c r="G169" s="1489"/>
      <c r="H169" s="1490"/>
      <c r="I169" s="1487"/>
      <c r="J169" s="1488"/>
      <c r="K169" s="1489"/>
      <c r="L169" s="1490"/>
      <c r="M169" s="1487"/>
      <c r="N169" s="1488"/>
      <c r="O169" s="1489"/>
      <c r="P169" s="1490"/>
      <c r="Q169" s="1399"/>
      <c r="X169" s="1445" t="e">
        <f ca="1"/>
        <v>#NAME?</v>
      </c>
      <c r="Y169" s="1446" t="e">
        <f ca="1"/>
        <v>#NAME?</v>
      </c>
      <c r="Z169" s="1408"/>
      <c r="AB169" s="1399"/>
      <c r="AC169" s="1399"/>
      <c r="AD169" s="1399"/>
      <c r="AE169" s="1399"/>
    </row>
    <row r="170" spans="1:31">
      <c r="A170" s="1487"/>
      <c r="B170" s="1488"/>
      <c r="C170" s="1489"/>
      <c r="D170" s="1490"/>
      <c r="E170" s="1487"/>
      <c r="F170" s="1488"/>
      <c r="G170" s="1489"/>
      <c r="H170" s="1490"/>
      <c r="I170" s="1487"/>
      <c r="J170" s="1488"/>
      <c r="K170" s="1489"/>
      <c r="L170" s="1490"/>
      <c r="M170" s="1487"/>
      <c r="N170" s="1488"/>
      <c r="O170" s="1489"/>
      <c r="P170" s="1490"/>
      <c r="Q170" s="1399"/>
      <c r="X170" s="1445" t="e">
        <f ca="1"/>
        <v>#NAME?</v>
      </c>
      <c r="Y170" s="1446" t="e">
        <f ca="1"/>
        <v>#NAME?</v>
      </c>
      <c r="Z170" s="1408"/>
      <c r="AB170" s="1399"/>
      <c r="AC170" s="1399"/>
      <c r="AD170" s="1399"/>
      <c r="AE170" s="1399"/>
    </row>
    <row r="171" spans="1:31">
      <c r="A171" s="1487"/>
      <c r="B171" s="1488"/>
      <c r="C171" s="1489"/>
      <c r="D171" s="1490"/>
      <c r="E171" s="1487"/>
      <c r="F171" s="1488"/>
      <c r="G171" s="1489"/>
      <c r="H171" s="1490"/>
      <c r="I171" s="1487"/>
      <c r="J171" s="1488"/>
      <c r="K171" s="1489"/>
      <c r="L171" s="1490"/>
      <c r="M171" s="1487"/>
      <c r="N171" s="1488"/>
      <c r="O171" s="1489"/>
      <c r="P171" s="1490"/>
      <c r="Q171" s="1399"/>
      <c r="X171" s="1445" t="e">
        <f ca="1"/>
        <v>#NAME?</v>
      </c>
      <c r="Y171" s="1446" t="e">
        <f ca="1"/>
        <v>#NAME?</v>
      </c>
      <c r="Z171" s="1408"/>
      <c r="AB171" s="1399"/>
      <c r="AC171" s="1399"/>
      <c r="AD171" s="1399"/>
      <c r="AE171" s="1399"/>
    </row>
    <row r="172" spans="1:31">
      <c r="A172" s="1487"/>
      <c r="B172" s="1488"/>
      <c r="C172" s="1489"/>
      <c r="D172" s="1490"/>
      <c r="E172" s="1487"/>
      <c r="F172" s="1488"/>
      <c r="G172" s="1489"/>
      <c r="H172" s="1490"/>
      <c r="I172" s="1487"/>
      <c r="J172" s="1488"/>
      <c r="K172" s="1489"/>
      <c r="L172" s="1490"/>
      <c r="M172" s="1487"/>
      <c r="N172" s="1488"/>
      <c r="O172" s="1489"/>
      <c r="P172" s="1490"/>
      <c r="Q172" s="1399"/>
      <c r="X172" s="1445" t="e">
        <f ca="1"/>
        <v>#NAME?</v>
      </c>
      <c r="Y172" s="1446" t="e">
        <f ca="1"/>
        <v>#NAME?</v>
      </c>
      <c r="Z172" s="1408"/>
      <c r="AB172" s="1399"/>
      <c r="AC172" s="1399"/>
      <c r="AD172" s="1399"/>
      <c r="AE172" s="1399"/>
    </row>
    <row r="173" spans="1:31">
      <c r="A173" s="1487"/>
      <c r="B173" s="1488"/>
      <c r="C173" s="1489"/>
      <c r="D173" s="1490"/>
      <c r="E173" s="1487"/>
      <c r="F173" s="1488"/>
      <c r="G173" s="1489"/>
      <c r="H173" s="1490"/>
      <c r="I173" s="1487"/>
      <c r="J173" s="1488"/>
      <c r="K173" s="1489"/>
      <c r="L173" s="1490"/>
      <c r="M173" s="1487"/>
      <c r="N173" s="1488"/>
      <c r="O173" s="1489"/>
      <c r="P173" s="1490"/>
      <c r="Q173" s="1399"/>
      <c r="X173" s="1445" t="e">
        <f ca="1"/>
        <v>#NAME?</v>
      </c>
      <c r="Y173" s="1446" t="e">
        <f ca="1"/>
        <v>#NAME?</v>
      </c>
      <c r="Z173" s="1408"/>
      <c r="AB173" s="1399"/>
      <c r="AC173" s="1399"/>
      <c r="AD173" s="1399"/>
      <c r="AE173" s="1399"/>
    </row>
    <row r="174" spans="1:31">
      <c r="A174" s="1487"/>
      <c r="B174" s="1488"/>
      <c r="C174" s="1489"/>
      <c r="D174" s="1490"/>
      <c r="E174" s="1487"/>
      <c r="F174" s="1488"/>
      <c r="G174" s="1489"/>
      <c r="H174" s="1490"/>
      <c r="I174" s="1487"/>
      <c r="J174" s="1488"/>
      <c r="K174" s="1489"/>
      <c r="L174" s="1490"/>
      <c r="M174" s="1487"/>
      <c r="N174" s="1488"/>
      <c r="O174" s="1489"/>
      <c r="P174" s="1490"/>
      <c r="Q174" s="1399"/>
      <c r="X174" s="1445" t="e">
        <f ca="1"/>
        <v>#NAME?</v>
      </c>
      <c r="Y174" s="1446" t="e">
        <f ca="1"/>
        <v>#NAME?</v>
      </c>
      <c r="Z174" s="1408"/>
      <c r="AB174" s="1399"/>
      <c r="AC174" s="1399"/>
      <c r="AD174" s="1399"/>
      <c r="AE174" s="1399"/>
    </row>
    <row r="175" spans="1:31">
      <c r="A175" s="1487"/>
      <c r="B175" s="1488"/>
      <c r="C175" s="1489"/>
      <c r="D175" s="1490"/>
      <c r="E175" s="1487"/>
      <c r="F175" s="1488"/>
      <c r="G175" s="1489"/>
      <c r="H175" s="1490"/>
      <c r="I175" s="1487"/>
      <c r="J175" s="1488"/>
      <c r="K175" s="1489"/>
      <c r="L175" s="1490"/>
      <c r="M175" s="1487"/>
      <c r="N175" s="1488"/>
      <c r="O175" s="1489"/>
      <c r="P175" s="1490"/>
      <c r="Q175" s="1399"/>
      <c r="X175" s="1445" t="e">
        <f ca="1"/>
        <v>#NAME?</v>
      </c>
      <c r="Y175" s="1446" t="e">
        <f ca="1"/>
        <v>#NAME?</v>
      </c>
      <c r="Z175" s="1408"/>
      <c r="AB175" s="1399"/>
      <c r="AC175" s="1399"/>
      <c r="AD175" s="1399"/>
      <c r="AE175" s="1399"/>
    </row>
    <row r="176" spans="1:31">
      <c r="A176" s="1487"/>
      <c r="B176" s="1488"/>
      <c r="C176" s="1489"/>
      <c r="D176" s="1490"/>
      <c r="E176" s="1487"/>
      <c r="F176" s="1488"/>
      <c r="G176" s="1489"/>
      <c r="H176" s="1490"/>
      <c r="I176" s="1487"/>
      <c r="J176" s="1488"/>
      <c r="K176" s="1489"/>
      <c r="L176" s="1490"/>
      <c r="M176" s="1487"/>
      <c r="N176" s="1488"/>
      <c r="O176" s="1489"/>
      <c r="P176" s="1490"/>
      <c r="Q176" s="1399"/>
      <c r="X176" s="1445" t="e">
        <f ca="1"/>
        <v>#NAME?</v>
      </c>
      <c r="Y176" s="1446" t="e">
        <f ca="1"/>
        <v>#NAME?</v>
      </c>
      <c r="Z176" s="1408"/>
      <c r="AB176" s="1399"/>
      <c r="AC176" s="1399"/>
      <c r="AD176" s="1399"/>
      <c r="AE176" s="1399"/>
    </row>
    <row r="177" spans="1:31">
      <c r="A177" s="1487"/>
      <c r="B177" s="1488"/>
      <c r="C177" s="1489"/>
      <c r="D177" s="1490"/>
      <c r="E177" s="1487"/>
      <c r="F177" s="1488"/>
      <c r="G177" s="1489"/>
      <c r="H177" s="1490"/>
      <c r="I177" s="1487"/>
      <c r="J177" s="1488"/>
      <c r="K177" s="1489"/>
      <c r="L177" s="1490"/>
      <c r="M177" s="1487"/>
      <c r="N177" s="1488"/>
      <c r="O177" s="1489"/>
      <c r="P177" s="1490"/>
      <c r="Q177" s="1399"/>
      <c r="X177" s="1445" t="e">
        <f ca="1"/>
        <v>#NAME?</v>
      </c>
      <c r="Y177" s="1446" t="e">
        <f ca="1"/>
        <v>#NAME?</v>
      </c>
      <c r="Z177" s="1408"/>
      <c r="AB177" s="1399"/>
      <c r="AC177" s="1399"/>
      <c r="AD177" s="1399"/>
      <c r="AE177" s="1399"/>
    </row>
    <row r="178" spans="1:31">
      <c r="A178" s="1487"/>
      <c r="B178" s="1488"/>
      <c r="C178" s="1489"/>
      <c r="D178" s="1490"/>
      <c r="E178" s="1487"/>
      <c r="F178" s="1488"/>
      <c r="G178" s="1489"/>
      <c r="H178" s="1490"/>
      <c r="I178" s="1487"/>
      <c r="J178" s="1488"/>
      <c r="K178" s="1489"/>
      <c r="L178" s="1490"/>
      <c r="M178" s="1487"/>
      <c r="N178" s="1488"/>
      <c r="O178" s="1489"/>
      <c r="P178" s="1490"/>
      <c r="Q178" s="1399"/>
      <c r="X178" s="1445" t="e">
        <f ca="1"/>
        <v>#NAME?</v>
      </c>
      <c r="Y178" s="1446" t="e">
        <f ca="1"/>
        <v>#NAME?</v>
      </c>
      <c r="Z178" s="1408"/>
      <c r="AB178" s="1399"/>
      <c r="AC178" s="1399"/>
      <c r="AD178" s="1399"/>
      <c r="AE178" s="1399"/>
    </row>
    <row r="179" spans="1:31">
      <c r="A179" s="1487"/>
      <c r="B179" s="1488"/>
      <c r="C179" s="1489"/>
      <c r="D179" s="1490"/>
      <c r="E179" s="1487"/>
      <c r="F179" s="1488"/>
      <c r="G179" s="1489"/>
      <c r="H179" s="1490"/>
      <c r="I179" s="1487"/>
      <c r="J179" s="1488"/>
      <c r="K179" s="1489"/>
      <c r="L179" s="1490"/>
      <c r="M179" s="1487"/>
      <c r="N179" s="1488"/>
      <c r="O179" s="1489"/>
      <c r="P179" s="1490"/>
      <c r="Q179" s="1399"/>
      <c r="X179" s="1445" t="e">
        <f ca="1"/>
        <v>#NAME?</v>
      </c>
      <c r="Y179" s="1446" t="e">
        <f ca="1"/>
        <v>#NAME?</v>
      </c>
      <c r="Z179" s="1408"/>
      <c r="AB179" s="1399"/>
      <c r="AC179" s="1399"/>
      <c r="AD179" s="1399"/>
      <c r="AE179" s="1399"/>
    </row>
    <row r="180" spans="1:31">
      <c r="A180" s="1487"/>
      <c r="B180" s="1488"/>
      <c r="C180" s="1489"/>
      <c r="D180" s="1490"/>
      <c r="E180" s="1487"/>
      <c r="F180" s="1488"/>
      <c r="G180" s="1489"/>
      <c r="H180" s="1490"/>
      <c r="I180" s="1487"/>
      <c r="J180" s="1488"/>
      <c r="K180" s="1489"/>
      <c r="L180" s="1490"/>
      <c r="M180" s="1487"/>
      <c r="N180" s="1488"/>
      <c r="O180" s="1489"/>
      <c r="P180" s="1490"/>
      <c r="Q180" s="1399"/>
      <c r="X180" s="1445" t="e">
        <f ca="1"/>
        <v>#NAME?</v>
      </c>
      <c r="Y180" s="1446" t="e">
        <f ca="1"/>
        <v>#NAME?</v>
      </c>
      <c r="Z180" s="1408"/>
      <c r="AB180" s="1399"/>
      <c r="AC180" s="1399"/>
      <c r="AD180" s="1399"/>
      <c r="AE180" s="1399"/>
    </row>
    <row r="181" spans="1:31">
      <c r="A181" s="1487"/>
      <c r="B181" s="1488"/>
      <c r="C181" s="1489"/>
      <c r="D181" s="1490"/>
      <c r="E181" s="1487"/>
      <c r="F181" s="1488"/>
      <c r="G181" s="1489"/>
      <c r="H181" s="1490"/>
      <c r="I181" s="1487"/>
      <c r="J181" s="1488"/>
      <c r="K181" s="1489"/>
      <c r="L181" s="1490"/>
      <c r="M181" s="1487"/>
      <c r="N181" s="1488"/>
      <c r="O181" s="1489"/>
      <c r="P181" s="1490"/>
      <c r="Q181" s="1399"/>
      <c r="X181" s="1445" t="e">
        <f ca="1"/>
        <v>#NAME?</v>
      </c>
      <c r="Y181" s="1446" t="e">
        <f ca="1"/>
        <v>#NAME?</v>
      </c>
      <c r="Z181" s="1408"/>
      <c r="AB181" s="1399"/>
      <c r="AC181" s="1399"/>
      <c r="AD181" s="1399"/>
      <c r="AE181" s="1399"/>
    </row>
    <row r="182" spans="1:31">
      <c r="A182" s="1487"/>
      <c r="B182" s="1488"/>
      <c r="C182" s="1489"/>
      <c r="D182" s="1490"/>
      <c r="E182" s="1487"/>
      <c r="F182" s="1488"/>
      <c r="G182" s="1489"/>
      <c r="H182" s="1490"/>
      <c r="I182" s="1487"/>
      <c r="J182" s="1488"/>
      <c r="K182" s="1489"/>
      <c r="L182" s="1490"/>
      <c r="M182" s="1487"/>
      <c r="N182" s="1488"/>
      <c r="O182" s="1489"/>
      <c r="P182" s="1490"/>
      <c r="Q182" s="1399"/>
      <c r="X182" s="1445" t="e">
        <f ca="1"/>
        <v>#NAME?</v>
      </c>
      <c r="Y182" s="1446" t="e">
        <f ca="1"/>
        <v>#NAME?</v>
      </c>
      <c r="Z182" s="1408"/>
      <c r="AB182" s="1399"/>
      <c r="AC182" s="1399"/>
      <c r="AD182" s="1399"/>
      <c r="AE182" s="1399"/>
    </row>
    <row r="183" spans="1:31">
      <c r="A183" s="1487"/>
      <c r="B183" s="1488"/>
      <c r="C183" s="1489"/>
      <c r="D183" s="1490"/>
      <c r="E183" s="1487"/>
      <c r="F183" s="1488"/>
      <c r="G183" s="1489"/>
      <c r="H183" s="1490"/>
      <c r="I183" s="1487"/>
      <c r="J183" s="1488"/>
      <c r="K183" s="1489"/>
      <c r="L183" s="1490"/>
      <c r="M183" s="1487"/>
      <c r="N183" s="1488"/>
      <c r="O183" s="1489"/>
      <c r="P183" s="1490"/>
      <c r="Q183" s="1399"/>
      <c r="X183" s="1445" t="e">
        <f ca="1"/>
        <v>#NAME?</v>
      </c>
      <c r="Y183" s="1446" t="e">
        <f ca="1"/>
        <v>#NAME?</v>
      </c>
      <c r="Z183" s="1408"/>
      <c r="AB183" s="1399"/>
      <c r="AC183" s="1399"/>
      <c r="AD183" s="1399"/>
      <c r="AE183" s="1399"/>
    </row>
    <row r="184" spans="1:31">
      <c r="A184" s="1487"/>
      <c r="B184" s="1488"/>
      <c r="C184" s="1489"/>
      <c r="D184" s="1490"/>
      <c r="E184" s="1487"/>
      <c r="F184" s="1488"/>
      <c r="G184" s="1489"/>
      <c r="H184" s="1490"/>
      <c r="I184" s="1487"/>
      <c r="J184" s="1488"/>
      <c r="K184" s="1489"/>
      <c r="L184" s="1490"/>
      <c r="M184" s="1487"/>
      <c r="N184" s="1488"/>
      <c r="O184" s="1489"/>
      <c r="P184" s="1490"/>
      <c r="Q184" s="1399"/>
      <c r="X184" s="1445" t="e">
        <f ca="1"/>
        <v>#NAME?</v>
      </c>
      <c r="Y184" s="1446" t="e">
        <f ca="1"/>
        <v>#NAME?</v>
      </c>
      <c r="Z184" s="1408"/>
      <c r="AB184" s="1399"/>
      <c r="AC184" s="1399"/>
      <c r="AD184" s="1399"/>
      <c r="AE184" s="1399"/>
    </row>
    <row r="185" spans="1:31">
      <c r="A185" s="1487"/>
      <c r="B185" s="1488"/>
      <c r="C185" s="1489"/>
      <c r="D185" s="1490"/>
      <c r="E185" s="1487"/>
      <c r="F185" s="1488"/>
      <c r="G185" s="1489"/>
      <c r="H185" s="1490"/>
      <c r="I185" s="1487"/>
      <c r="J185" s="1488"/>
      <c r="K185" s="1489"/>
      <c r="L185" s="1490"/>
      <c r="M185" s="1487"/>
      <c r="N185" s="1488"/>
      <c r="O185" s="1489"/>
      <c r="P185" s="1490"/>
      <c r="Q185" s="1399"/>
      <c r="X185" s="1445" t="e">
        <f ca="1"/>
        <v>#NAME?</v>
      </c>
      <c r="Y185" s="1446" t="e">
        <f ca="1"/>
        <v>#NAME?</v>
      </c>
      <c r="Z185" s="1408"/>
      <c r="AB185" s="1399"/>
      <c r="AC185" s="1399"/>
      <c r="AD185" s="1399"/>
      <c r="AE185" s="1399"/>
    </row>
    <row r="186" spans="1:31">
      <c r="A186" s="1487"/>
      <c r="B186" s="1488"/>
      <c r="C186" s="1489"/>
      <c r="D186" s="1490"/>
      <c r="E186" s="1487"/>
      <c r="F186" s="1488"/>
      <c r="G186" s="1489"/>
      <c r="H186" s="1490"/>
      <c r="I186" s="1487"/>
      <c r="J186" s="1488"/>
      <c r="K186" s="1489"/>
      <c r="L186" s="1490"/>
      <c r="M186" s="1487"/>
      <c r="N186" s="1488"/>
      <c r="O186" s="1489"/>
      <c r="P186" s="1490"/>
      <c r="Q186" s="1399"/>
      <c r="X186" s="1445" t="e">
        <f ca="1"/>
        <v>#NAME?</v>
      </c>
      <c r="Y186" s="1446" t="e">
        <f ca="1"/>
        <v>#NAME?</v>
      </c>
      <c r="Z186" s="1408"/>
      <c r="AB186" s="1399"/>
      <c r="AC186" s="1399"/>
      <c r="AD186" s="1399"/>
      <c r="AE186" s="1399"/>
    </row>
    <row r="187" spans="1:31">
      <c r="A187" s="1487"/>
      <c r="B187" s="1488"/>
      <c r="C187" s="1489"/>
      <c r="D187" s="1490"/>
      <c r="E187" s="1487"/>
      <c r="F187" s="1488"/>
      <c r="G187" s="1489"/>
      <c r="H187" s="1490"/>
      <c r="I187" s="1487"/>
      <c r="J187" s="1488"/>
      <c r="K187" s="1489"/>
      <c r="L187" s="1490"/>
      <c r="M187" s="1487"/>
      <c r="N187" s="1488"/>
      <c r="O187" s="1489"/>
      <c r="P187" s="1490"/>
      <c r="Q187" s="1399"/>
      <c r="X187" s="1445" t="e">
        <f ca="1"/>
        <v>#NAME?</v>
      </c>
      <c r="Y187" s="1446" t="e">
        <f ca="1"/>
        <v>#NAME?</v>
      </c>
      <c r="Z187" s="1408"/>
      <c r="AB187" s="1399"/>
      <c r="AC187" s="1399"/>
      <c r="AD187" s="1399"/>
      <c r="AE187" s="1399"/>
    </row>
    <row r="188" spans="1:31">
      <c r="A188" s="1487"/>
      <c r="B188" s="1488"/>
      <c r="C188" s="1489"/>
      <c r="D188" s="1490"/>
      <c r="E188" s="1487"/>
      <c r="F188" s="1488"/>
      <c r="G188" s="1489"/>
      <c r="H188" s="1490"/>
      <c r="I188" s="1487"/>
      <c r="J188" s="1488"/>
      <c r="K188" s="1489"/>
      <c r="L188" s="1490"/>
      <c r="M188" s="1487"/>
      <c r="N188" s="1488"/>
      <c r="O188" s="1489"/>
      <c r="P188" s="1490"/>
      <c r="Q188" s="1399"/>
      <c r="X188" s="1445" t="e">
        <f ca="1"/>
        <v>#NAME?</v>
      </c>
      <c r="Y188" s="1446" t="e">
        <f ca="1"/>
        <v>#NAME?</v>
      </c>
      <c r="Z188" s="1408"/>
      <c r="AB188" s="1399"/>
      <c r="AC188" s="1399"/>
      <c r="AD188" s="1399"/>
      <c r="AE188" s="1399"/>
    </row>
    <row r="189" spans="1:31">
      <c r="A189" s="1487"/>
      <c r="B189" s="1488"/>
      <c r="C189" s="1489"/>
      <c r="D189" s="1490"/>
      <c r="E189" s="1487"/>
      <c r="F189" s="1488"/>
      <c r="G189" s="1489"/>
      <c r="H189" s="1490"/>
      <c r="I189" s="1487"/>
      <c r="J189" s="1488"/>
      <c r="K189" s="1489"/>
      <c r="L189" s="1490"/>
      <c r="M189" s="1487"/>
      <c r="N189" s="1488"/>
      <c r="O189" s="1489"/>
      <c r="P189" s="1490"/>
      <c r="Q189" s="1399"/>
      <c r="X189" s="1445" t="e">
        <f ca="1"/>
        <v>#NAME?</v>
      </c>
      <c r="Y189" s="1446" t="e">
        <f ca="1"/>
        <v>#NAME?</v>
      </c>
      <c r="Z189" s="1408"/>
      <c r="AB189" s="1399"/>
      <c r="AC189" s="1399"/>
      <c r="AD189" s="1399"/>
      <c r="AE189" s="1399"/>
    </row>
    <row r="190" spans="1:31">
      <c r="A190" s="1487"/>
      <c r="B190" s="1488"/>
      <c r="C190" s="1489"/>
      <c r="D190" s="1490"/>
      <c r="E190" s="1487"/>
      <c r="F190" s="1488"/>
      <c r="G190" s="1489"/>
      <c r="H190" s="1490"/>
      <c r="I190" s="1487"/>
      <c r="J190" s="1488"/>
      <c r="K190" s="1489"/>
      <c r="L190" s="1490"/>
      <c r="M190" s="1487"/>
      <c r="N190" s="1488"/>
      <c r="O190" s="1489"/>
      <c r="P190" s="1490"/>
      <c r="Q190" s="1399"/>
      <c r="X190" s="1445" t="e">
        <f ca="1"/>
        <v>#NAME?</v>
      </c>
      <c r="Y190" s="1446" t="e">
        <f ca="1"/>
        <v>#NAME?</v>
      </c>
      <c r="Z190" s="1408"/>
      <c r="AB190" s="1399"/>
      <c r="AC190" s="1399"/>
      <c r="AD190" s="1399"/>
      <c r="AE190" s="1399"/>
    </row>
    <row r="191" spans="1:31">
      <c r="A191" s="1487"/>
      <c r="B191" s="1488"/>
      <c r="C191" s="1489"/>
      <c r="D191" s="1490"/>
      <c r="E191" s="1487"/>
      <c r="F191" s="1488"/>
      <c r="G191" s="1489"/>
      <c r="H191" s="1490"/>
      <c r="I191" s="1487"/>
      <c r="J191" s="1488"/>
      <c r="K191" s="1489"/>
      <c r="L191" s="1490"/>
      <c r="M191" s="1487"/>
      <c r="N191" s="1488"/>
      <c r="O191" s="1489"/>
      <c r="P191" s="1490"/>
      <c r="Q191" s="1399"/>
      <c r="X191" s="1445" t="e">
        <f ca="1"/>
        <v>#NAME?</v>
      </c>
      <c r="Y191" s="1446" t="e">
        <f ca="1"/>
        <v>#NAME?</v>
      </c>
      <c r="Z191" s="1408"/>
      <c r="AB191" s="1399"/>
      <c r="AC191" s="1399"/>
      <c r="AD191" s="1399"/>
      <c r="AE191" s="1399"/>
    </row>
    <row r="192" spans="1:31">
      <c r="A192" s="1487"/>
      <c r="B192" s="1488"/>
      <c r="C192" s="1489"/>
      <c r="D192" s="1490"/>
      <c r="E192" s="1487"/>
      <c r="F192" s="1488"/>
      <c r="G192" s="1489"/>
      <c r="H192" s="1490"/>
      <c r="I192" s="1487"/>
      <c r="J192" s="1488"/>
      <c r="K192" s="1489"/>
      <c r="L192" s="1490"/>
      <c r="M192" s="1487"/>
      <c r="N192" s="1488"/>
      <c r="O192" s="1489"/>
      <c r="P192" s="1490"/>
      <c r="Q192" s="1399"/>
      <c r="X192" s="1445" t="e">
        <f ca="1"/>
        <v>#NAME?</v>
      </c>
      <c r="Y192" s="1446" t="e">
        <f ca="1"/>
        <v>#NAME?</v>
      </c>
      <c r="Z192" s="1408"/>
      <c r="AB192" s="1399"/>
      <c r="AC192" s="1399"/>
      <c r="AD192" s="1399"/>
      <c r="AE192" s="1399"/>
    </row>
    <row r="193" spans="1:31">
      <c r="A193" s="1487"/>
      <c r="B193" s="1488"/>
      <c r="C193" s="1489"/>
      <c r="D193" s="1490"/>
      <c r="E193" s="1487"/>
      <c r="F193" s="1488"/>
      <c r="G193" s="1489"/>
      <c r="H193" s="1490"/>
      <c r="I193" s="1487"/>
      <c r="J193" s="1488"/>
      <c r="K193" s="1489"/>
      <c r="L193" s="1490"/>
      <c r="M193" s="1487"/>
      <c r="N193" s="1488"/>
      <c r="O193" s="1489"/>
      <c r="P193" s="1490"/>
      <c r="Q193" s="1399"/>
      <c r="X193" s="1445" t="e">
        <f ca="1"/>
        <v>#NAME?</v>
      </c>
      <c r="Y193" s="1446" t="e">
        <f ca="1"/>
        <v>#NAME?</v>
      </c>
      <c r="Z193" s="1408"/>
      <c r="AB193" s="1399"/>
      <c r="AC193" s="1399"/>
      <c r="AD193" s="1399"/>
      <c r="AE193" s="1399"/>
    </row>
    <row r="194" spans="1:31">
      <c r="A194" s="1487"/>
      <c r="B194" s="1488"/>
      <c r="C194" s="1489"/>
      <c r="D194" s="1490"/>
      <c r="E194" s="1487"/>
      <c r="F194" s="1488"/>
      <c r="G194" s="1489"/>
      <c r="H194" s="1490"/>
      <c r="I194" s="1487"/>
      <c r="J194" s="1488"/>
      <c r="K194" s="1489"/>
      <c r="L194" s="1490"/>
      <c r="M194" s="1487"/>
      <c r="N194" s="1488"/>
      <c r="O194" s="1489"/>
      <c r="P194" s="1490"/>
      <c r="Q194" s="1399"/>
      <c r="X194" s="1445" t="e">
        <f ca="1"/>
        <v>#NAME?</v>
      </c>
      <c r="Y194" s="1446" t="e">
        <f ca="1"/>
        <v>#NAME?</v>
      </c>
      <c r="Z194" s="1408"/>
      <c r="AB194" s="1399"/>
      <c r="AC194" s="1399"/>
      <c r="AD194" s="1399"/>
      <c r="AE194" s="1399"/>
    </row>
    <row r="195" spans="1:31">
      <c r="A195" s="1487"/>
      <c r="B195" s="1488"/>
      <c r="C195" s="1489"/>
      <c r="D195" s="1490"/>
      <c r="E195" s="1487"/>
      <c r="F195" s="1488"/>
      <c r="G195" s="1489"/>
      <c r="H195" s="1490"/>
      <c r="I195" s="1487"/>
      <c r="J195" s="1488"/>
      <c r="K195" s="1489"/>
      <c r="L195" s="1490"/>
      <c r="M195" s="1487"/>
      <c r="N195" s="1488"/>
      <c r="O195" s="1489"/>
      <c r="P195" s="1490"/>
      <c r="Q195" s="1399"/>
      <c r="X195" s="1445" t="e">
        <f ca="1"/>
        <v>#NAME?</v>
      </c>
      <c r="Y195" s="1446" t="e">
        <f ca="1"/>
        <v>#NAME?</v>
      </c>
      <c r="Z195" s="1408"/>
      <c r="AB195" s="1399"/>
      <c r="AC195" s="1399"/>
      <c r="AD195" s="1399"/>
      <c r="AE195" s="1399"/>
    </row>
    <row r="196" spans="1:31">
      <c r="A196" s="1487"/>
      <c r="B196" s="1488"/>
      <c r="C196" s="1489"/>
      <c r="D196" s="1490"/>
      <c r="E196" s="1487"/>
      <c r="F196" s="1488"/>
      <c r="G196" s="1489"/>
      <c r="H196" s="1490"/>
      <c r="I196" s="1487"/>
      <c r="J196" s="1488"/>
      <c r="K196" s="1489"/>
      <c r="L196" s="1490"/>
      <c r="M196" s="1487"/>
      <c r="N196" s="1488"/>
      <c r="O196" s="1489"/>
      <c r="P196" s="1490"/>
      <c r="Q196" s="1399"/>
      <c r="X196" s="1445" t="e">
        <f ca="1"/>
        <v>#NAME?</v>
      </c>
      <c r="Y196" s="1446" t="e">
        <f ca="1"/>
        <v>#NAME?</v>
      </c>
      <c r="Z196" s="1408"/>
      <c r="AB196" s="1399"/>
      <c r="AC196" s="1399"/>
      <c r="AD196" s="1399"/>
      <c r="AE196" s="1399"/>
    </row>
    <row r="197" spans="1:31">
      <c r="A197" s="1487"/>
      <c r="B197" s="1488"/>
      <c r="C197" s="1489"/>
      <c r="D197" s="1490"/>
      <c r="E197" s="1487"/>
      <c r="F197" s="1488"/>
      <c r="G197" s="1489"/>
      <c r="H197" s="1490"/>
      <c r="I197" s="1487"/>
      <c r="J197" s="1488"/>
      <c r="K197" s="1489"/>
      <c r="L197" s="1490"/>
      <c r="M197" s="1487"/>
      <c r="N197" s="1488"/>
      <c r="O197" s="1489"/>
      <c r="P197" s="1490"/>
      <c r="Q197" s="1399"/>
      <c r="X197" s="1445" t="e">
        <f ca="1"/>
        <v>#NAME?</v>
      </c>
      <c r="Y197" s="1446" t="e">
        <f ca="1"/>
        <v>#NAME?</v>
      </c>
      <c r="Z197" s="1408"/>
      <c r="AB197" s="1399"/>
      <c r="AC197" s="1399"/>
      <c r="AD197" s="1399"/>
      <c r="AE197" s="1399"/>
    </row>
    <row r="198" spans="1:31">
      <c r="A198" s="1487"/>
      <c r="B198" s="1488"/>
      <c r="C198" s="1489"/>
      <c r="D198" s="1490"/>
      <c r="E198" s="1487"/>
      <c r="F198" s="1488"/>
      <c r="G198" s="1489"/>
      <c r="H198" s="1490"/>
      <c r="I198" s="1487"/>
      <c r="J198" s="1488"/>
      <c r="K198" s="1489"/>
      <c r="L198" s="1490"/>
      <c r="M198" s="1487"/>
      <c r="N198" s="1488"/>
      <c r="O198" s="1489"/>
      <c r="P198" s="1490"/>
      <c r="Q198" s="1399"/>
      <c r="X198" s="1445" t="e">
        <f ca="1"/>
        <v>#NAME?</v>
      </c>
      <c r="Y198" s="1446" t="e">
        <f ca="1"/>
        <v>#NAME?</v>
      </c>
      <c r="Z198" s="1408"/>
      <c r="AB198" s="1399"/>
      <c r="AC198" s="1399"/>
      <c r="AD198" s="1399"/>
      <c r="AE198" s="1399"/>
    </row>
    <row r="199" spans="1:31">
      <c r="A199" s="1487"/>
      <c r="B199" s="1488"/>
      <c r="C199" s="1489"/>
      <c r="D199" s="1490"/>
      <c r="E199" s="1487"/>
      <c r="F199" s="1488"/>
      <c r="G199" s="1489"/>
      <c r="H199" s="1490"/>
      <c r="I199" s="1487"/>
      <c r="J199" s="1488"/>
      <c r="K199" s="1489"/>
      <c r="L199" s="1490"/>
      <c r="M199" s="1487"/>
      <c r="N199" s="1488"/>
      <c r="O199" s="1489"/>
      <c r="P199" s="1490"/>
      <c r="Q199" s="1399"/>
      <c r="X199" s="1445" t="e">
        <f ca="1"/>
        <v>#NAME?</v>
      </c>
      <c r="Y199" s="1446" t="e">
        <f ca="1"/>
        <v>#NAME?</v>
      </c>
      <c r="Z199" s="1408"/>
      <c r="AB199" s="1399"/>
      <c r="AC199" s="1399"/>
      <c r="AD199" s="1399"/>
      <c r="AE199" s="1399"/>
    </row>
    <row r="200" spans="1:31">
      <c r="A200" s="1487"/>
      <c r="B200" s="1488"/>
      <c r="C200" s="1489"/>
      <c r="D200" s="1490"/>
      <c r="E200" s="1487"/>
      <c r="F200" s="1488"/>
      <c r="G200" s="1489"/>
      <c r="H200" s="1490"/>
      <c r="I200" s="1487"/>
      <c r="J200" s="1488"/>
      <c r="K200" s="1489"/>
      <c r="L200" s="1490"/>
      <c r="M200" s="1487"/>
      <c r="N200" s="1488"/>
      <c r="O200" s="1489"/>
      <c r="P200" s="1490"/>
      <c r="Q200" s="1399"/>
      <c r="X200" s="1445" t="e">
        <f ca="1"/>
        <v>#NAME?</v>
      </c>
      <c r="Y200" s="1446" t="e">
        <f ca="1"/>
        <v>#NAME?</v>
      </c>
      <c r="Z200" s="1408"/>
      <c r="AB200" s="1399"/>
      <c r="AC200" s="1399"/>
      <c r="AD200" s="1399"/>
      <c r="AE200" s="1399"/>
    </row>
    <row r="201" spans="1:31">
      <c r="A201" s="1487"/>
      <c r="B201" s="1488"/>
      <c r="C201" s="1489"/>
      <c r="D201" s="1490"/>
      <c r="E201" s="1487"/>
      <c r="F201" s="1488"/>
      <c r="G201" s="1489"/>
      <c r="H201" s="1490"/>
      <c r="I201" s="1487"/>
      <c r="J201" s="1488"/>
      <c r="K201" s="1489"/>
      <c r="L201" s="1490"/>
      <c r="M201" s="1487"/>
      <c r="N201" s="1488"/>
      <c r="O201" s="1489"/>
      <c r="P201" s="1490"/>
      <c r="Q201" s="1399"/>
      <c r="X201" s="1445" t="e">
        <f ca="1"/>
        <v>#NAME?</v>
      </c>
      <c r="Y201" s="1446" t="e">
        <f ca="1"/>
        <v>#NAME?</v>
      </c>
      <c r="Z201" s="1408"/>
      <c r="AB201" s="1399"/>
      <c r="AC201" s="1399"/>
      <c r="AD201" s="1399"/>
      <c r="AE201" s="1399"/>
    </row>
    <row r="202" spans="1:31">
      <c r="A202" s="1487"/>
      <c r="B202" s="1488"/>
      <c r="C202" s="1489"/>
      <c r="D202" s="1490"/>
      <c r="E202" s="1487"/>
      <c r="F202" s="1488"/>
      <c r="G202" s="1489"/>
      <c r="H202" s="1490"/>
      <c r="I202" s="1487"/>
      <c r="J202" s="1488"/>
      <c r="K202" s="1489"/>
      <c r="L202" s="1490"/>
      <c r="M202" s="1487"/>
      <c r="N202" s="1488"/>
      <c r="O202" s="1489"/>
      <c r="P202" s="1490"/>
      <c r="Q202" s="1399"/>
      <c r="X202" s="1445" t="e">
        <f ca="1"/>
        <v>#NAME?</v>
      </c>
      <c r="Y202" s="1446" t="e">
        <f ca="1"/>
        <v>#NAME?</v>
      </c>
      <c r="Z202" s="1408"/>
      <c r="AB202" s="1399"/>
      <c r="AC202" s="1399"/>
      <c r="AD202" s="1399"/>
      <c r="AE202" s="1399"/>
    </row>
    <row r="203" spans="1:31">
      <c r="A203" s="1487"/>
      <c r="B203" s="1488"/>
      <c r="C203" s="1489"/>
      <c r="D203" s="1490"/>
      <c r="E203" s="1487"/>
      <c r="F203" s="1488"/>
      <c r="G203" s="1489"/>
      <c r="H203" s="1490"/>
      <c r="I203" s="1487"/>
      <c r="J203" s="1488"/>
      <c r="K203" s="1489"/>
      <c r="L203" s="1490"/>
      <c r="M203" s="1487"/>
      <c r="N203" s="1488"/>
      <c r="O203" s="1489"/>
      <c r="P203" s="1490"/>
      <c r="Q203" s="1399"/>
      <c r="X203" s="1445" t="e">
        <f ca="1"/>
        <v>#NAME?</v>
      </c>
      <c r="Y203" s="1446" t="e">
        <f ca="1"/>
        <v>#NAME?</v>
      </c>
      <c r="Z203" s="1408"/>
      <c r="AB203" s="1399"/>
      <c r="AC203" s="1399"/>
      <c r="AD203" s="1399"/>
      <c r="AE203" s="1399"/>
    </row>
    <row r="204" spans="1:31">
      <c r="A204" s="1487"/>
      <c r="B204" s="1488"/>
      <c r="C204" s="1489"/>
      <c r="D204" s="1490"/>
      <c r="E204" s="1487"/>
      <c r="F204" s="1488"/>
      <c r="G204" s="1489"/>
      <c r="H204" s="1490"/>
      <c r="I204" s="1487"/>
      <c r="J204" s="1488"/>
      <c r="K204" s="1489"/>
      <c r="L204" s="1490"/>
      <c r="M204" s="1487"/>
      <c r="N204" s="1488"/>
      <c r="O204" s="1489"/>
      <c r="P204" s="1490"/>
      <c r="Q204" s="1399"/>
      <c r="X204" s="1445" t="e">
        <f ca="1"/>
        <v>#NAME?</v>
      </c>
      <c r="Y204" s="1446" t="e">
        <f ca="1"/>
        <v>#NAME?</v>
      </c>
      <c r="Z204" s="1408"/>
      <c r="AB204" s="1399"/>
      <c r="AC204" s="1399"/>
      <c r="AD204" s="1399"/>
      <c r="AE204" s="1399"/>
    </row>
    <row r="205" spans="1:31">
      <c r="A205" s="1487"/>
      <c r="B205" s="1488"/>
      <c r="C205" s="1489"/>
      <c r="D205" s="1490"/>
      <c r="E205" s="1487"/>
      <c r="F205" s="1488"/>
      <c r="G205" s="1489"/>
      <c r="H205" s="1490"/>
      <c r="I205" s="1487"/>
      <c r="J205" s="1488"/>
      <c r="K205" s="1489"/>
      <c r="L205" s="1490"/>
      <c r="M205" s="1487"/>
      <c r="N205" s="1488"/>
      <c r="O205" s="1489"/>
      <c r="P205" s="1490"/>
      <c r="Q205" s="1399"/>
      <c r="X205" s="1445" t="e">
        <f ca="1"/>
        <v>#NAME?</v>
      </c>
      <c r="Y205" s="1446" t="e">
        <f ca="1"/>
        <v>#NAME?</v>
      </c>
      <c r="Z205" s="1408"/>
      <c r="AB205" s="1399"/>
      <c r="AC205" s="1399"/>
      <c r="AD205" s="1399"/>
      <c r="AE205" s="1399"/>
    </row>
    <row r="206" spans="1:31">
      <c r="A206" s="1487"/>
      <c r="B206" s="1488"/>
      <c r="C206" s="1489"/>
      <c r="D206" s="1490"/>
      <c r="E206" s="1487"/>
      <c r="F206" s="1488"/>
      <c r="G206" s="1489"/>
      <c r="H206" s="1490"/>
      <c r="I206" s="1487"/>
      <c r="J206" s="1488"/>
      <c r="K206" s="1489"/>
      <c r="L206" s="1490"/>
      <c r="M206" s="1487"/>
      <c r="N206" s="1488"/>
      <c r="O206" s="1489"/>
      <c r="P206" s="1490"/>
      <c r="Q206" s="1399"/>
      <c r="X206" s="1445" t="e">
        <f ca="1"/>
        <v>#NAME?</v>
      </c>
      <c r="Y206" s="1446" t="e">
        <f ca="1"/>
        <v>#NAME?</v>
      </c>
      <c r="Z206" s="1408"/>
      <c r="AB206" s="1399"/>
      <c r="AC206" s="1399"/>
      <c r="AD206" s="1399"/>
      <c r="AE206" s="1399"/>
    </row>
    <row r="207" spans="1:31">
      <c r="A207" s="1487"/>
      <c r="B207" s="1488"/>
      <c r="C207" s="1489"/>
      <c r="D207" s="1490"/>
      <c r="E207" s="1487"/>
      <c r="F207" s="1488"/>
      <c r="G207" s="1489"/>
      <c r="H207" s="1490"/>
      <c r="I207" s="1487"/>
      <c r="J207" s="1488"/>
      <c r="K207" s="1489"/>
      <c r="L207" s="1490"/>
      <c r="M207" s="1487"/>
      <c r="N207" s="1488"/>
      <c r="O207" s="1489"/>
      <c r="P207" s="1490"/>
      <c r="Q207" s="1399"/>
      <c r="X207" s="1445" t="e">
        <f ca="1"/>
        <v>#NAME?</v>
      </c>
      <c r="Y207" s="1446" t="e">
        <f ca="1"/>
        <v>#NAME?</v>
      </c>
      <c r="Z207" s="1408"/>
      <c r="AB207" s="1399"/>
      <c r="AC207" s="1399"/>
      <c r="AD207" s="1399"/>
      <c r="AE207" s="1399"/>
    </row>
    <row r="208" spans="1:31">
      <c r="A208" s="1487"/>
      <c r="B208" s="1488"/>
      <c r="C208" s="1489"/>
      <c r="D208" s="1490"/>
      <c r="E208" s="1487"/>
      <c r="F208" s="1488"/>
      <c r="G208" s="1489"/>
      <c r="H208" s="1490"/>
      <c r="I208" s="1487"/>
      <c r="J208" s="1488"/>
      <c r="K208" s="1489"/>
      <c r="L208" s="1490"/>
      <c r="M208" s="1487"/>
      <c r="N208" s="1488"/>
      <c r="O208" s="1489"/>
      <c r="P208" s="1490"/>
      <c r="Q208" s="1399"/>
      <c r="X208" s="1445" t="e">
        <f ca="1"/>
        <v>#NAME?</v>
      </c>
      <c r="Y208" s="1446" t="e">
        <f ca="1"/>
        <v>#NAME?</v>
      </c>
      <c r="Z208" s="1408"/>
      <c r="AB208" s="1399"/>
      <c r="AC208" s="1399"/>
      <c r="AD208" s="1399"/>
      <c r="AE208" s="1399"/>
    </row>
    <row r="209" spans="1:31">
      <c r="A209" s="1487"/>
      <c r="B209" s="1488"/>
      <c r="C209" s="1489"/>
      <c r="D209" s="1490"/>
      <c r="E209" s="1487"/>
      <c r="F209" s="1488"/>
      <c r="G209" s="1489"/>
      <c r="H209" s="1490"/>
      <c r="I209" s="1487"/>
      <c r="J209" s="1488"/>
      <c r="K209" s="1489"/>
      <c r="L209" s="1490"/>
      <c r="M209" s="1487"/>
      <c r="N209" s="1488"/>
      <c r="O209" s="1489"/>
      <c r="P209" s="1490"/>
      <c r="Q209" s="1399"/>
      <c r="X209" s="1445" t="e">
        <f ca="1"/>
        <v>#NAME?</v>
      </c>
      <c r="Y209" s="1446" t="e">
        <f ca="1"/>
        <v>#NAME?</v>
      </c>
      <c r="Z209" s="1408"/>
      <c r="AB209" s="1399"/>
      <c r="AC209" s="1399"/>
      <c r="AD209" s="1399"/>
      <c r="AE209" s="1399"/>
    </row>
    <row r="210" spans="1:31">
      <c r="A210" s="1487"/>
      <c r="B210" s="1488"/>
      <c r="C210" s="1489"/>
      <c r="D210" s="1490"/>
      <c r="E210" s="1487"/>
      <c r="F210" s="1488"/>
      <c r="G210" s="1489"/>
      <c r="H210" s="1490"/>
      <c r="I210" s="1487"/>
      <c r="J210" s="1488"/>
      <c r="K210" s="1489"/>
      <c r="L210" s="1490"/>
      <c r="M210" s="1487"/>
      <c r="N210" s="1488"/>
      <c r="O210" s="1489"/>
      <c r="P210" s="1490"/>
      <c r="Q210" s="1399"/>
      <c r="X210" s="1445" t="e">
        <f ca="1"/>
        <v>#NAME?</v>
      </c>
      <c r="Y210" s="1446" t="e">
        <f ca="1"/>
        <v>#NAME?</v>
      </c>
      <c r="Z210" s="1408"/>
      <c r="AB210" s="1399"/>
      <c r="AC210" s="1399"/>
      <c r="AD210" s="1399"/>
      <c r="AE210" s="1399"/>
    </row>
    <row r="211" spans="1:31">
      <c r="A211" s="1487"/>
      <c r="B211" s="1488"/>
      <c r="C211" s="1489"/>
      <c r="D211" s="1490"/>
      <c r="E211" s="1487"/>
      <c r="F211" s="1488"/>
      <c r="G211" s="1489"/>
      <c r="H211" s="1490"/>
      <c r="I211" s="1487"/>
      <c r="J211" s="1488"/>
      <c r="K211" s="1489"/>
      <c r="L211" s="1490"/>
      <c r="M211" s="1487"/>
      <c r="N211" s="1488"/>
      <c r="O211" s="1489"/>
      <c r="P211" s="1490"/>
      <c r="Q211" s="1399"/>
      <c r="X211" s="1445" t="e">
        <f ca="1"/>
        <v>#NAME?</v>
      </c>
      <c r="Y211" s="1446" t="e">
        <f ca="1"/>
        <v>#NAME?</v>
      </c>
      <c r="Z211" s="1408"/>
      <c r="AB211" s="1399"/>
      <c r="AC211" s="1399"/>
      <c r="AD211" s="1399"/>
      <c r="AE211" s="1399"/>
    </row>
    <row r="212" spans="1:31">
      <c r="A212" s="1487"/>
      <c r="B212" s="1488"/>
      <c r="C212" s="1489"/>
      <c r="D212" s="1490"/>
      <c r="E212" s="1487"/>
      <c r="F212" s="1488"/>
      <c r="G212" s="1489"/>
      <c r="H212" s="1490"/>
      <c r="I212" s="1487"/>
      <c r="J212" s="1488"/>
      <c r="K212" s="1489"/>
      <c r="L212" s="1490"/>
      <c r="M212" s="1487"/>
      <c r="N212" s="1488"/>
      <c r="O212" s="1489"/>
      <c r="P212" s="1490"/>
      <c r="Q212" s="1399"/>
      <c r="X212" s="1445" t="e">
        <f ca="1"/>
        <v>#NAME?</v>
      </c>
      <c r="Y212" s="1446" t="e">
        <f ca="1"/>
        <v>#NAME?</v>
      </c>
      <c r="Z212" s="1408"/>
      <c r="AB212" s="1399"/>
      <c r="AC212" s="1399"/>
      <c r="AD212" s="1399"/>
      <c r="AE212" s="1399"/>
    </row>
    <row r="213" spans="1:31">
      <c r="A213" s="1487"/>
      <c r="B213" s="1488"/>
      <c r="C213" s="1489"/>
      <c r="D213" s="1490"/>
      <c r="E213" s="1487"/>
      <c r="F213" s="1488"/>
      <c r="G213" s="1489"/>
      <c r="H213" s="1490"/>
      <c r="I213" s="1487"/>
      <c r="J213" s="1488"/>
      <c r="K213" s="1489"/>
      <c r="L213" s="1490"/>
      <c r="M213" s="1487"/>
      <c r="N213" s="1488"/>
      <c r="O213" s="1489"/>
      <c r="P213" s="1490"/>
      <c r="Q213" s="1399"/>
      <c r="X213" s="1445" t="e">
        <f ca="1"/>
        <v>#NAME?</v>
      </c>
      <c r="Y213" s="1446" t="e">
        <f ca="1"/>
        <v>#NAME?</v>
      </c>
      <c r="Z213" s="1408"/>
      <c r="AB213" s="1399"/>
      <c r="AC213" s="1399"/>
      <c r="AD213" s="1399"/>
      <c r="AE213" s="1399"/>
    </row>
    <row r="214" spans="1:31">
      <c r="A214" s="1487"/>
      <c r="B214" s="1488"/>
      <c r="C214" s="1489"/>
      <c r="D214" s="1490"/>
      <c r="E214" s="1487"/>
      <c r="F214" s="1488"/>
      <c r="G214" s="1489"/>
      <c r="H214" s="1490"/>
      <c r="I214" s="1487"/>
      <c r="J214" s="1488"/>
      <c r="K214" s="1489"/>
      <c r="L214" s="1490"/>
      <c r="M214" s="1487"/>
      <c r="N214" s="1488"/>
      <c r="O214" s="1489"/>
      <c r="P214" s="1490"/>
      <c r="Q214" s="1399"/>
      <c r="X214" s="1445" t="e">
        <f ca="1"/>
        <v>#NAME?</v>
      </c>
      <c r="Y214" s="1446" t="e">
        <f ca="1"/>
        <v>#NAME?</v>
      </c>
      <c r="Z214" s="1408"/>
      <c r="AB214" s="1399"/>
      <c r="AC214" s="1399"/>
      <c r="AD214" s="1399"/>
      <c r="AE214" s="1399"/>
    </row>
    <row r="215" spans="1:31">
      <c r="A215" s="1487"/>
      <c r="B215" s="1488"/>
      <c r="C215" s="1489"/>
      <c r="D215" s="1490"/>
      <c r="E215" s="1487"/>
      <c r="F215" s="1488"/>
      <c r="G215" s="1489"/>
      <c r="H215" s="1490"/>
      <c r="I215" s="1487"/>
      <c r="J215" s="1488"/>
      <c r="K215" s="1489"/>
      <c r="L215" s="1490"/>
      <c r="M215" s="1487"/>
      <c r="N215" s="1488"/>
      <c r="O215" s="1489"/>
      <c r="P215" s="1490"/>
      <c r="Q215" s="1399"/>
      <c r="X215" s="1445" t="e">
        <f ca="1"/>
        <v>#NAME?</v>
      </c>
      <c r="Y215" s="1446" t="e">
        <f ca="1"/>
        <v>#NAME?</v>
      </c>
      <c r="Z215" s="1408"/>
      <c r="AB215" s="1399"/>
      <c r="AC215" s="1399"/>
      <c r="AD215" s="1399"/>
      <c r="AE215" s="1399"/>
    </row>
    <row r="216" spans="1:31">
      <c r="A216" s="1487"/>
      <c r="B216" s="1488"/>
      <c r="C216" s="1489"/>
      <c r="D216" s="1490"/>
      <c r="E216" s="1487"/>
      <c r="F216" s="1488"/>
      <c r="G216" s="1489"/>
      <c r="H216" s="1490"/>
      <c r="I216" s="1487"/>
      <c r="J216" s="1488"/>
      <c r="K216" s="1489"/>
      <c r="L216" s="1490"/>
      <c r="M216" s="1487"/>
      <c r="N216" s="1488"/>
      <c r="O216" s="1489"/>
      <c r="P216" s="1490"/>
      <c r="Q216" s="1399"/>
      <c r="X216" s="1445" t="e">
        <f ca="1"/>
        <v>#NAME?</v>
      </c>
      <c r="Y216" s="1446" t="e">
        <f ca="1"/>
        <v>#NAME?</v>
      </c>
      <c r="Z216" s="1408"/>
      <c r="AB216" s="1399"/>
      <c r="AC216" s="1399"/>
      <c r="AD216" s="1399"/>
      <c r="AE216" s="1399"/>
    </row>
    <row r="217" spans="1:31">
      <c r="A217" s="1487"/>
      <c r="B217" s="1488"/>
      <c r="C217" s="1489"/>
      <c r="D217" s="1490"/>
      <c r="E217" s="1487"/>
      <c r="F217" s="1488"/>
      <c r="G217" s="1489"/>
      <c r="H217" s="1490"/>
      <c r="I217" s="1487"/>
      <c r="J217" s="1488"/>
      <c r="K217" s="1489"/>
      <c r="L217" s="1490"/>
      <c r="M217" s="1487"/>
      <c r="N217" s="1488"/>
      <c r="O217" s="1489"/>
      <c r="P217" s="1490"/>
      <c r="Q217" s="1399"/>
      <c r="X217" s="1445" t="e">
        <f ca="1"/>
        <v>#NAME?</v>
      </c>
      <c r="Y217" s="1446" t="e">
        <f ca="1"/>
        <v>#NAME?</v>
      </c>
      <c r="Z217" s="1408"/>
      <c r="AB217" s="1399"/>
      <c r="AC217" s="1399"/>
      <c r="AD217" s="1399"/>
      <c r="AE217" s="1399"/>
    </row>
    <row r="218" spans="1:31">
      <c r="A218" s="1487"/>
      <c r="B218" s="1488"/>
      <c r="C218" s="1489"/>
      <c r="D218" s="1490"/>
      <c r="E218" s="1487"/>
      <c r="F218" s="1488"/>
      <c r="G218" s="1489"/>
      <c r="H218" s="1490"/>
      <c r="I218" s="1487"/>
      <c r="J218" s="1488"/>
      <c r="K218" s="1489"/>
      <c r="L218" s="1490"/>
      <c r="M218" s="1487"/>
      <c r="N218" s="1488"/>
      <c r="O218" s="1489"/>
      <c r="P218" s="1490"/>
      <c r="Q218" s="1399"/>
      <c r="X218" s="1445" t="e">
        <f ca="1"/>
        <v>#NAME?</v>
      </c>
      <c r="Y218" s="1446" t="e">
        <f ca="1"/>
        <v>#NAME?</v>
      </c>
      <c r="Z218" s="1408"/>
      <c r="AB218" s="1399"/>
      <c r="AC218" s="1399"/>
      <c r="AD218" s="1399"/>
      <c r="AE218" s="1399"/>
    </row>
    <row r="219" spans="1:31">
      <c r="A219" s="1487"/>
      <c r="B219" s="1488"/>
      <c r="C219" s="1489"/>
      <c r="D219" s="1490"/>
      <c r="E219" s="1487"/>
      <c r="F219" s="1488"/>
      <c r="G219" s="1489"/>
      <c r="H219" s="1490"/>
      <c r="I219" s="1487"/>
      <c r="J219" s="1488"/>
      <c r="K219" s="1489"/>
      <c r="L219" s="1490"/>
      <c r="M219" s="1487"/>
      <c r="N219" s="1488"/>
      <c r="O219" s="1489"/>
      <c r="P219" s="1490"/>
      <c r="Q219" s="1399"/>
      <c r="X219" s="1445" t="e">
        <f ca="1"/>
        <v>#NAME?</v>
      </c>
      <c r="Y219" s="1446" t="e">
        <f ca="1"/>
        <v>#NAME?</v>
      </c>
      <c r="Z219" s="1408"/>
      <c r="AB219" s="1399"/>
      <c r="AC219" s="1399"/>
      <c r="AD219" s="1399"/>
      <c r="AE219" s="1399"/>
    </row>
    <row r="220" spans="1:31">
      <c r="A220" s="1487"/>
      <c r="B220" s="1488"/>
      <c r="C220" s="1489"/>
      <c r="D220" s="1490"/>
      <c r="E220" s="1487"/>
      <c r="F220" s="1488"/>
      <c r="G220" s="1489"/>
      <c r="H220" s="1490"/>
      <c r="I220" s="1487"/>
      <c r="J220" s="1488"/>
      <c r="K220" s="1489"/>
      <c r="L220" s="1490"/>
      <c r="M220" s="1487"/>
      <c r="N220" s="1488"/>
      <c r="O220" s="1489"/>
      <c r="P220" s="1490"/>
      <c r="Q220" s="1399"/>
      <c r="X220" s="1445" t="e">
        <f ca="1"/>
        <v>#NAME?</v>
      </c>
      <c r="Y220" s="1446" t="e">
        <f ca="1"/>
        <v>#NAME?</v>
      </c>
      <c r="Z220" s="1408"/>
      <c r="AB220" s="1399"/>
      <c r="AC220" s="1399"/>
      <c r="AD220" s="1399"/>
      <c r="AE220" s="1399"/>
    </row>
    <row r="221" spans="1:31">
      <c r="A221" s="1487"/>
      <c r="B221" s="1488"/>
      <c r="C221" s="1489"/>
      <c r="D221" s="1490"/>
      <c r="E221" s="1487"/>
      <c r="F221" s="1488"/>
      <c r="G221" s="1489"/>
      <c r="H221" s="1490"/>
      <c r="I221" s="1487"/>
      <c r="J221" s="1488"/>
      <c r="K221" s="1489"/>
      <c r="L221" s="1490"/>
      <c r="M221" s="1487"/>
      <c r="N221" s="1488"/>
      <c r="O221" s="1489"/>
      <c r="P221" s="1490"/>
      <c r="Q221" s="1399"/>
      <c r="X221" s="1445" t="e">
        <f ca="1"/>
        <v>#NAME?</v>
      </c>
      <c r="Y221" s="1446" t="e">
        <f ca="1"/>
        <v>#NAME?</v>
      </c>
      <c r="Z221" s="1408"/>
      <c r="AB221" s="1399"/>
      <c r="AC221" s="1399"/>
      <c r="AD221" s="1399"/>
      <c r="AE221" s="1399"/>
    </row>
    <row r="222" spans="1:31">
      <c r="A222" s="1487"/>
      <c r="B222" s="1488"/>
      <c r="C222" s="1489"/>
      <c r="D222" s="1490"/>
      <c r="E222" s="1487"/>
      <c r="F222" s="1488"/>
      <c r="G222" s="1489"/>
      <c r="H222" s="1490"/>
      <c r="I222" s="1487"/>
      <c r="J222" s="1488"/>
      <c r="K222" s="1489"/>
      <c r="L222" s="1490"/>
      <c r="M222" s="1487"/>
      <c r="N222" s="1488"/>
      <c r="O222" s="1489"/>
      <c r="P222" s="1490"/>
      <c r="Q222" s="1399"/>
      <c r="X222" s="1445" t="e">
        <f ca="1"/>
        <v>#NAME?</v>
      </c>
      <c r="Y222" s="1446" t="e">
        <f ca="1"/>
        <v>#NAME?</v>
      </c>
      <c r="Z222" s="1408"/>
      <c r="AB222" s="1399"/>
      <c r="AC222" s="1399"/>
      <c r="AD222" s="1399"/>
      <c r="AE222" s="1399"/>
    </row>
    <row r="223" spans="1:31">
      <c r="A223" s="1487"/>
      <c r="B223" s="1488"/>
      <c r="C223" s="1489"/>
      <c r="D223" s="1490"/>
      <c r="E223" s="1487"/>
      <c r="F223" s="1488"/>
      <c r="G223" s="1489"/>
      <c r="H223" s="1490"/>
      <c r="I223" s="1487"/>
      <c r="J223" s="1488"/>
      <c r="K223" s="1489"/>
      <c r="L223" s="1490"/>
      <c r="M223" s="1487"/>
      <c r="N223" s="1488"/>
      <c r="O223" s="1489"/>
      <c r="P223" s="1490"/>
      <c r="Q223" s="1399"/>
      <c r="X223" s="1445" t="e">
        <f ca="1"/>
        <v>#NAME?</v>
      </c>
      <c r="Y223" s="1446" t="e">
        <f ca="1"/>
        <v>#NAME?</v>
      </c>
      <c r="Z223" s="1408"/>
      <c r="AB223" s="1399"/>
      <c r="AC223" s="1399"/>
      <c r="AD223" s="1399"/>
      <c r="AE223" s="1399"/>
    </row>
    <row r="224" spans="1:31">
      <c r="A224" s="1487"/>
      <c r="B224" s="1488"/>
      <c r="C224" s="1489"/>
      <c r="D224" s="1490"/>
      <c r="E224" s="1487"/>
      <c r="F224" s="1488"/>
      <c r="G224" s="1489"/>
      <c r="H224" s="1490"/>
      <c r="I224" s="1487"/>
      <c r="J224" s="1488"/>
      <c r="K224" s="1489"/>
      <c r="L224" s="1490"/>
      <c r="M224" s="1487"/>
      <c r="N224" s="1488"/>
      <c r="O224" s="1489"/>
      <c r="P224" s="1490"/>
      <c r="Q224" s="1399"/>
      <c r="X224" s="1445" t="e">
        <f ca="1"/>
        <v>#NAME?</v>
      </c>
      <c r="Y224" s="1446" t="e">
        <f ca="1"/>
        <v>#NAME?</v>
      </c>
      <c r="Z224" s="1408"/>
      <c r="AB224" s="1399"/>
      <c r="AC224" s="1399"/>
      <c r="AD224" s="1399"/>
      <c r="AE224" s="1399"/>
    </row>
    <row r="225" spans="1:31">
      <c r="A225" s="1487"/>
      <c r="B225" s="1488"/>
      <c r="C225" s="1489"/>
      <c r="D225" s="1490"/>
      <c r="E225" s="1487"/>
      <c r="F225" s="1488"/>
      <c r="G225" s="1489"/>
      <c r="H225" s="1490"/>
      <c r="I225" s="1487"/>
      <c r="J225" s="1488"/>
      <c r="K225" s="1489"/>
      <c r="L225" s="1490"/>
      <c r="M225" s="1487"/>
      <c r="N225" s="1488"/>
      <c r="O225" s="1489"/>
      <c r="P225" s="1490"/>
      <c r="Q225" s="1399"/>
      <c r="X225" s="1445" t="e">
        <f ca="1"/>
        <v>#NAME?</v>
      </c>
      <c r="Y225" s="1446" t="e">
        <f ca="1"/>
        <v>#NAME?</v>
      </c>
      <c r="Z225" s="1408"/>
      <c r="AB225" s="1399"/>
      <c r="AC225" s="1399"/>
      <c r="AD225" s="1399"/>
      <c r="AE225" s="1399"/>
    </row>
    <row r="226" spans="1:31">
      <c r="A226" s="1487"/>
      <c r="B226" s="1488"/>
      <c r="C226" s="1489"/>
      <c r="D226" s="1490"/>
      <c r="E226" s="1487"/>
      <c r="F226" s="1488"/>
      <c r="G226" s="1489"/>
      <c r="H226" s="1490"/>
      <c r="I226" s="1487"/>
      <c r="J226" s="1488"/>
      <c r="K226" s="1489"/>
      <c r="L226" s="1490"/>
      <c r="M226" s="1487"/>
      <c r="N226" s="1488"/>
      <c r="O226" s="1489"/>
      <c r="P226" s="1490"/>
      <c r="Q226" s="1399"/>
      <c r="X226" s="1445" t="e">
        <f ca="1"/>
        <v>#NAME?</v>
      </c>
      <c r="Y226" s="1446" t="e">
        <f ca="1"/>
        <v>#NAME?</v>
      </c>
      <c r="Z226" s="1408"/>
      <c r="AB226" s="1399"/>
      <c r="AC226" s="1399"/>
      <c r="AD226" s="1399"/>
      <c r="AE226" s="1399"/>
    </row>
    <row r="227" spans="1:31">
      <c r="A227" s="1487"/>
      <c r="B227" s="1488"/>
      <c r="C227" s="1489"/>
      <c r="D227" s="1490"/>
      <c r="E227" s="1487"/>
      <c r="F227" s="1488"/>
      <c r="G227" s="1489"/>
      <c r="H227" s="1490"/>
      <c r="I227" s="1487"/>
      <c r="J227" s="1488"/>
      <c r="K227" s="1489"/>
      <c r="L227" s="1490"/>
      <c r="M227" s="1487"/>
      <c r="N227" s="1488"/>
      <c r="O227" s="1489"/>
      <c r="P227" s="1490"/>
      <c r="Q227" s="1399"/>
      <c r="X227" s="1445" t="e">
        <f ca="1"/>
        <v>#NAME?</v>
      </c>
      <c r="Y227" s="1446" t="e">
        <f ca="1"/>
        <v>#NAME?</v>
      </c>
      <c r="Z227" s="1408"/>
      <c r="AB227" s="1399"/>
      <c r="AC227" s="1399"/>
      <c r="AD227" s="1399"/>
      <c r="AE227" s="1399"/>
    </row>
    <row r="228" spans="1:31">
      <c r="A228" s="1487"/>
      <c r="B228" s="1488"/>
      <c r="C228" s="1489"/>
      <c r="D228" s="1490"/>
      <c r="E228" s="1487"/>
      <c r="F228" s="1488"/>
      <c r="G228" s="1489"/>
      <c r="H228" s="1490"/>
      <c r="I228" s="1487"/>
      <c r="J228" s="1488"/>
      <c r="K228" s="1489"/>
      <c r="L228" s="1490"/>
      <c r="M228" s="1487"/>
      <c r="N228" s="1488"/>
      <c r="O228" s="1489"/>
      <c r="P228" s="1490"/>
      <c r="Q228" s="1399"/>
      <c r="X228" s="1445" t="e">
        <f ca="1"/>
        <v>#NAME?</v>
      </c>
      <c r="Y228" s="1446" t="e">
        <f ca="1"/>
        <v>#NAME?</v>
      </c>
      <c r="Z228" s="1408"/>
      <c r="AB228" s="1399"/>
      <c r="AC228" s="1399"/>
      <c r="AD228" s="1399"/>
      <c r="AE228" s="1399"/>
    </row>
    <row r="229" spans="1:31">
      <c r="A229" s="1487"/>
      <c r="B229" s="1488"/>
      <c r="C229" s="1489"/>
      <c r="D229" s="1490"/>
      <c r="E229" s="1487"/>
      <c r="F229" s="1488"/>
      <c r="G229" s="1489"/>
      <c r="H229" s="1490"/>
      <c r="I229" s="1487"/>
      <c r="J229" s="1488"/>
      <c r="K229" s="1489"/>
      <c r="L229" s="1490"/>
      <c r="M229" s="1487"/>
      <c r="N229" s="1488"/>
      <c r="O229" s="1489"/>
      <c r="P229" s="1490"/>
      <c r="Q229" s="1399"/>
      <c r="X229" s="1445" t="e">
        <f ca="1"/>
        <v>#NAME?</v>
      </c>
      <c r="Y229" s="1446" t="e">
        <f ca="1"/>
        <v>#NAME?</v>
      </c>
      <c r="Z229" s="1408"/>
      <c r="AB229" s="1399"/>
      <c r="AC229" s="1399"/>
      <c r="AD229" s="1399"/>
      <c r="AE229" s="1399"/>
    </row>
    <row r="230" spans="1:31">
      <c r="A230" s="1487"/>
      <c r="B230" s="1488"/>
      <c r="C230" s="1489"/>
      <c r="D230" s="1490"/>
      <c r="E230" s="1487"/>
      <c r="F230" s="1488"/>
      <c r="G230" s="1489"/>
      <c r="H230" s="1490"/>
      <c r="I230" s="1487"/>
      <c r="J230" s="1488"/>
      <c r="K230" s="1489"/>
      <c r="L230" s="1490"/>
      <c r="M230" s="1487"/>
      <c r="N230" s="1488"/>
      <c r="O230" s="1489"/>
      <c r="P230" s="1490"/>
      <c r="Q230" s="1399"/>
      <c r="X230" s="1445" t="e">
        <f ca="1"/>
        <v>#NAME?</v>
      </c>
      <c r="Y230" s="1446" t="e">
        <f ca="1"/>
        <v>#NAME?</v>
      </c>
      <c r="Z230" s="1408"/>
      <c r="AB230" s="1399"/>
      <c r="AC230" s="1399"/>
      <c r="AD230" s="1399"/>
      <c r="AE230" s="1399"/>
    </row>
    <row r="231" spans="1:31">
      <c r="A231" s="1487"/>
      <c r="B231" s="1488"/>
      <c r="C231" s="1489"/>
      <c r="D231" s="1490"/>
      <c r="E231" s="1487"/>
      <c r="F231" s="1488"/>
      <c r="G231" s="1489"/>
      <c r="H231" s="1490"/>
      <c r="I231" s="1487"/>
      <c r="J231" s="1488"/>
      <c r="K231" s="1489"/>
      <c r="L231" s="1490"/>
      <c r="M231" s="1487"/>
      <c r="N231" s="1488"/>
      <c r="O231" s="1489"/>
      <c r="P231" s="1490"/>
      <c r="Q231" s="1399"/>
      <c r="X231" s="1445" t="e">
        <f ca="1"/>
        <v>#NAME?</v>
      </c>
      <c r="Y231" s="1446" t="e">
        <f ca="1"/>
        <v>#NAME?</v>
      </c>
      <c r="Z231" s="1408"/>
      <c r="AB231" s="1399"/>
      <c r="AC231" s="1399"/>
      <c r="AD231" s="1399"/>
      <c r="AE231" s="1399"/>
    </row>
    <row r="232" spans="1:31">
      <c r="A232" s="1487"/>
      <c r="B232" s="1488"/>
      <c r="C232" s="1489"/>
      <c r="D232" s="1490"/>
      <c r="E232" s="1487"/>
      <c r="F232" s="1488"/>
      <c r="G232" s="1489"/>
      <c r="H232" s="1490"/>
      <c r="I232" s="1487"/>
      <c r="J232" s="1488"/>
      <c r="K232" s="1489"/>
      <c r="L232" s="1490"/>
      <c r="M232" s="1487"/>
      <c r="N232" s="1488"/>
      <c r="O232" s="1489"/>
      <c r="P232" s="1490"/>
      <c r="Q232" s="1399"/>
      <c r="X232" s="1445" t="e">
        <f ca="1"/>
        <v>#NAME?</v>
      </c>
      <c r="Y232" s="1446" t="e">
        <f ca="1"/>
        <v>#NAME?</v>
      </c>
      <c r="Z232" s="1408"/>
      <c r="AB232" s="1399"/>
      <c r="AC232" s="1399"/>
      <c r="AD232" s="1399"/>
      <c r="AE232" s="1399"/>
    </row>
    <row r="233" spans="1:31">
      <c r="A233" s="1487"/>
      <c r="B233" s="1488"/>
      <c r="C233" s="1489"/>
      <c r="D233" s="1490"/>
      <c r="E233" s="1487"/>
      <c r="F233" s="1488"/>
      <c r="G233" s="1489"/>
      <c r="H233" s="1490"/>
      <c r="I233" s="1487"/>
      <c r="J233" s="1488"/>
      <c r="K233" s="1489"/>
      <c r="L233" s="1490"/>
      <c r="M233" s="1487"/>
      <c r="N233" s="1488"/>
      <c r="O233" s="1489"/>
      <c r="P233" s="1490"/>
      <c r="Q233" s="1399"/>
      <c r="X233" s="1445" t="e">
        <f ca="1"/>
        <v>#NAME?</v>
      </c>
      <c r="Y233" s="1446" t="e">
        <f ca="1"/>
        <v>#NAME?</v>
      </c>
      <c r="Z233" s="1408"/>
      <c r="AB233" s="1399"/>
      <c r="AC233" s="1399"/>
      <c r="AD233" s="1399"/>
      <c r="AE233" s="1399"/>
    </row>
    <row r="234" spans="1:31">
      <c r="A234" s="1487"/>
      <c r="B234" s="1488"/>
      <c r="C234" s="1489"/>
      <c r="D234" s="1490"/>
      <c r="E234" s="1487"/>
      <c r="F234" s="1488"/>
      <c r="G234" s="1489"/>
      <c r="H234" s="1490"/>
      <c r="I234" s="1487"/>
      <c r="J234" s="1488"/>
      <c r="K234" s="1489"/>
      <c r="L234" s="1490"/>
      <c r="M234" s="1487"/>
      <c r="N234" s="1488"/>
      <c r="O234" s="1489"/>
      <c r="P234" s="1490"/>
      <c r="Q234" s="1399"/>
      <c r="X234" s="1445" t="e">
        <f ca="1"/>
        <v>#NAME?</v>
      </c>
      <c r="Y234" s="1446" t="e">
        <f ca="1"/>
        <v>#NAME?</v>
      </c>
      <c r="Z234" s="1408"/>
      <c r="AB234" s="1399"/>
      <c r="AC234" s="1399"/>
      <c r="AD234" s="1399"/>
      <c r="AE234" s="1399"/>
    </row>
    <row r="235" spans="1:31">
      <c r="A235" s="1487"/>
      <c r="B235" s="1488"/>
      <c r="C235" s="1489"/>
      <c r="D235" s="1490"/>
      <c r="E235" s="1487"/>
      <c r="F235" s="1488"/>
      <c r="G235" s="1489"/>
      <c r="H235" s="1490"/>
      <c r="I235" s="1487"/>
      <c r="J235" s="1488"/>
      <c r="K235" s="1489"/>
      <c r="L235" s="1490"/>
      <c r="M235" s="1487"/>
      <c r="N235" s="1488"/>
      <c r="O235" s="1489"/>
      <c r="P235" s="1490"/>
      <c r="Q235" s="1399"/>
      <c r="X235" s="1445" t="e">
        <f ca="1"/>
        <v>#NAME?</v>
      </c>
      <c r="Y235" s="1446" t="e">
        <f ca="1"/>
        <v>#NAME?</v>
      </c>
      <c r="Z235" s="1408"/>
      <c r="AB235" s="1399"/>
      <c r="AC235" s="1399"/>
      <c r="AD235" s="1399"/>
      <c r="AE235" s="1399"/>
    </row>
    <row r="236" spans="1:31">
      <c r="A236" s="1487"/>
      <c r="B236" s="1488"/>
      <c r="C236" s="1489"/>
      <c r="D236" s="1490"/>
      <c r="E236" s="1487"/>
      <c r="F236" s="1488"/>
      <c r="G236" s="1489"/>
      <c r="H236" s="1490"/>
      <c r="I236" s="1487"/>
      <c r="J236" s="1488"/>
      <c r="K236" s="1489"/>
      <c r="L236" s="1490"/>
      <c r="M236" s="1487"/>
      <c r="N236" s="1488"/>
      <c r="O236" s="1489"/>
      <c r="P236" s="1490"/>
      <c r="Q236" s="1399"/>
      <c r="X236" s="1445" t="e">
        <f ca="1"/>
        <v>#NAME?</v>
      </c>
      <c r="Y236" s="1446" t="e">
        <f ca="1"/>
        <v>#NAME?</v>
      </c>
      <c r="Z236" s="1408"/>
      <c r="AB236" s="1399"/>
      <c r="AC236" s="1399"/>
      <c r="AD236" s="1399"/>
      <c r="AE236" s="1399"/>
    </row>
    <row r="237" spans="1:31">
      <c r="A237" s="1487"/>
      <c r="B237" s="1488"/>
      <c r="C237" s="1489"/>
      <c r="D237" s="1490"/>
      <c r="E237" s="1487"/>
      <c r="F237" s="1488"/>
      <c r="G237" s="1489"/>
      <c r="H237" s="1490"/>
      <c r="I237" s="1487"/>
      <c r="J237" s="1488"/>
      <c r="K237" s="1489"/>
      <c r="L237" s="1490"/>
      <c r="M237" s="1487"/>
      <c r="N237" s="1488"/>
      <c r="O237" s="1489"/>
      <c r="P237" s="1490"/>
      <c r="Q237" s="1399"/>
      <c r="X237" s="1445" t="e">
        <f ca="1"/>
        <v>#NAME?</v>
      </c>
      <c r="Y237" s="1446" t="e">
        <f ca="1"/>
        <v>#NAME?</v>
      </c>
      <c r="Z237" s="1408"/>
      <c r="AB237" s="1399"/>
      <c r="AC237" s="1399"/>
      <c r="AD237" s="1399"/>
      <c r="AE237" s="1399"/>
    </row>
    <row r="238" spans="1:31">
      <c r="A238" s="1487"/>
      <c r="B238" s="1488"/>
      <c r="C238" s="1489"/>
      <c r="D238" s="1490"/>
      <c r="E238" s="1487"/>
      <c r="F238" s="1488"/>
      <c r="G238" s="1489"/>
      <c r="H238" s="1490"/>
      <c r="I238" s="1487"/>
      <c r="J238" s="1488"/>
      <c r="K238" s="1489"/>
      <c r="L238" s="1490"/>
      <c r="M238" s="1487"/>
      <c r="N238" s="1488"/>
      <c r="O238" s="1489"/>
      <c r="P238" s="1490"/>
      <c r="Q238" s="1399"/>
      <c r="X238" s="1445" t="e">
        <f ca="1"/>
        <v>#NAME?</v>
      </c>
      <c r="Y238" s="1446" t="e">
        <f ca="1"/>
        <v>#NAME?</v>
      </c>
      <c r="Z238" s="1408"/>
      <c r="AB238" s="1399"/>
      <c r="AC238" s="1399"/>
      <c r="AD238" s="1399"/>
      <c r="AE238" s="1399"/>
    </row>
    <row r="239" spans="1:31">
      <c r="A239" s="1487"/>
      <c r="B239" s="1488"/>
      <c r="C239" s="1489"/>
      <c r="D239" s="1490"/>
      <c r="E239" s="1487"/>
      <c r="F239" s="1488"/>
      <c r="G239" s="1489"/>
      <c r="H239" s="1490"/>
      <c r="I239" s="1487"/>
      <c r="J239" s="1488"/>
      <c r="K239" s="1489"/>
      <c r="L239" s="1490"/>
      <c r="M239" s="1487"/>
      <c r="N239" s="1488"/>
      <c r="O239" s="1489"/>
      <c r="P239" s="1490"/>
      <c r="Q239" s="1399"/>
      <c r="X239" s="1445" t="e">
        <f ca="1"/>
        <v>#NAME?</v>
      </c>
      <c r="Y239" s="1446" t="e">
        <f ca="1"/>
        <v>#NAME?</v>
      </c>
      <c r="Z239" s="1408"/>
      <c r="AB239" s="1399"/>
      <c r="AC239" s="1399"/>
      <c r="AD239" s="1399"/>
      <c r="AE239" s="1399"/>
    </row>
    <row r="240" spans="1:31">
      <c r="A240" s="1487"/>
      <c r="B240" s="1488"/>
      <c r="C240" s="1489"/>
      <c r="D240" s="1490"/>
      <c r="E240" s="1487"/>
      <c r="F240" s="1488"/>
      <c r="G240" s="1489"/>
      <c r="H240" s="1490"/>
      <c r="I240" s="1487"/>
      <c r="J240" s="1488"/>
      <c r="K240" s="1489"/>
      <c r="L240" s="1490"/>
      <c r="M240" s="1487"/>
      <c r="N240" s="1488"/>
      <c r="O240" s="1489"/>
      <c r="P240" s="1490"/>
      <c r="Q240" s="1399"/>
      <c r="X240" s="1445" t="e">
        <f ca="1"/>
        <v>#NAME?</v>
      </c>
      <c r="Y240" s="1446" t="e">
        <f ca="1"/>
        <v>#NAME?</v>
      </c>
      <c r="Z240" s="1408"/>
      <c r="AB240" s="1399"/>
      <c r="AC240" s="1399"/>
      <c r="AD240" s="1399"/>
      <c r="AE240" s="1399"/>
    </row>
    <row r="241" spans="1:31">
      <c r="A241" s="1487"/>
      <c r="B241" s="1488"/>
      <c r="C241" s="1489"/>
      <c r="D241" s="1490"/>
      <c r="E241" s="1487"/>
      <c r="F241" s="1488"/>
      <c r="G241" s="1489"/>
      <c r="H241" s="1490"/>
      <c r="I241" s="1487"/>
      <c r="J241" s="1488"/>
      <c r="K241" s="1489"/>
      <c r="L241" s="1490"/>
      <c r="M241" s="1487"/>
      <c r="N241" s="1488"/>
      <c r="O241" s="1489"/>
      <c r="P241" s="1490"/>
      <c r="Q241" s="1399"/>
      <c r="X241" s="1445" t="e">
        <f ca="1"/>
        <v>#NAME?</v>
      </c>
      <c r="Y241" s="1446" t="e">
        <f ca="1"/>
        <v>#NAME?</v>
      </c>
      <c r="Z241" s="1408"/>
      <c r="AB241" s="1399"/>
      <c r="AC241" s="1399"/>
      <c r="AD241" s="1399"/>
      <c r="AE241" s="1399"/>
    </row>
    <row r="242" spans="1:31">
      <c r="A242" s="1487"/>
      <c r="B242" s="1488"/>
      <c r="C242" s="1489"/>
      <c r="D242" s="1490"/>
      <c r="E242" s="1487"/>
      <c r="F242" s="1488"/>
      <c r="G242" s="1489"/>
      <c r="H242" s="1490"/>
      <c r="I242" s="1487"/>
      <c r="J242" s="1488"/>
      <c r="K242" s="1489"/>
      <c r="L242" s="1490"/>
      <c r="M242" s="1487"/>
      <c r="N242" s="1488"/>
      <c r="O242" s="1489"/>
      <c r="P242" s="1490"/>
      <c r="Q242" s="1399"/>
      <c r="X242" s="1445" t="e">
        <f ca="1"/>
        <v>#NAME?</v>
      </c>
      <c r="Y242" s="1446" t="e">
        <f ca="1"/>
        <v>#NAME?</v>
      </c>
      <c r="Z242" s="1408"/>
      <c r="AB242" s="1399"/>
      <c r="AC242" s="1399"/>
      <c r="AD242" s="1399"/>
      <c r="AE242" s="1399"/>
    </row>
    <row r="243" spans="1:31">
      <c r="A243" s="1487"/>
      <c r="B243" s="1488"/>
      <c r="C243" s="1489"/>
      <c r="D243" s="1490"/>
      <c r="E243" s="1487"/>
      <c r="F243" s="1488"/>
      <c r="G243" s="1489"/>
      <c r="H243" s="1490"/>
      <c r="I243" s="1487"/>
      <c r="J243" s="1488"/>
      <c r="K243" s="1489"/>
      <c r="L243" s="1490"/>
      <c r="M243" s="1487"/>
      <c r="N243" s="1488"/>
      <c r="O243" s="1489"/>
      <c r="P243" s="1490"/>
      <c r="Q243" s="1399"/>
      <c r="X243" s="1445" t="e">
        <f ca="1"/>
        <v>#NAME?</v>
      </c>
      <c r="Y243" s="1446" t="e">
        <f ca="1"/>
        <v>#NAME?</v>
      </c>
      <c r="Z243" s="1408"/>
      <c r="AB243" s="1399"/>
      <c r="AC243" s="1399"/>
      <c r="AD243" s="1399"/>
      <c r="AE243" s="1399"/>
    </row>
    <row r="244" spans="1:31">
      <c r="A244" s="1487"/>
      <c r="B244" s="1488"/>
      <c r="C244" s="1489"/>
      <c r="D244" s="1490"/>
      <c r="E244" s="1487"/>
      <c r="F244" s="1488"/>
      <c r="G244" s="1489"/>
      <c r="H244" s="1490"/>
      <c r="I244" s="1487"/>
      <c r="J244" s="1488"/>
      <c r="K244" s="1489"/>
      <c r="L244" s="1490"/>
      <c r="M244" s="1487"/>
      <c r="N244" s="1488"/>
      <c r="O244" s="1489"/>
      <c r="P244" s="1490"/>
      <c r="Q244" s="1399"/>
      <c r="X244" s="1445" t="e">
        <f ca="1"/>
        <v>#NAME?</v>
      </c>
      <c r="Y244" s="1446" t="e">
        <f ca="1"/>
        <v>#NAME?</v>
      </c>
      <c r="Z244" s="1408"/>
      <c r="AB244" s="1399"/>
      <c r="AC244" s="1399"/>
      <c r="AD244" s="1399"/>
      <c r="AE244" s="1399"/>
    </row>
    <row r="245" spans="1:31">
      <c r="A245" s="1487"/>
      <c r="B245" s="1488"/>
      <c r="C245" s="1489"/>
      <c r="D245" s="1490"/>
      <c r="E245" s="1487"/>
      <c r="F245" s="1488"/>
      <c r="G245" s="1489"/>
      <c r="H245" s="1490"/>
      <c r="I245" s="1487"/>
      <c r="J245" s="1488"/>
      <c r="K245" s="1489"/>
      <c r="L245" s="1490"/>
      <c r="M245" s="1487"/>
      <c r="N245" s="1488"/>
      <c r="O245" s="1489"/>
      <c r="P245" s="1490"/>
      <c r="Q245" s="1399"/>
      <c r="X245" s="1445" t="e">
        <f ca="1"/>
        <v>#NAME?</v>
      </c>
      <c r="Y245" s="1446" t="e">
        <f ca="1"/>
        <v>#NAME?</v>
      </c>
      <c r="Z245" s="1408"/>
      <c r="AB245" s="1399"/>
      <c r="AC245" s="1399"/>
      <c r="AD245" s="1399"/>
      <c r="AE245" s="1399"/>
    </row>
    <row r="246" spans="1:31">
      <c r="A246" s="1487"/>
      <c r="B246" s="1488"/>
      <c r="C246" s="1489"/>
      <c r="D246" s="1490"/>
      <c r="E246" s="1487"/>
      <c r="F246" s="1488"/>
      <c r="G246" s="1489"/>
      <c r="H246" s="1490"/>
      <c r="I246" s="1487"/>
      <c r="J246" s="1488"/>
      <c r="K246" s="1489"/>
      <c r="L246" s="1490"/>
      <c r="M246" s="1487"/>
      <c r="N246" s="1488"/>
      <c r="O246" s="1489"/>
      <c r="P246" s="1490"/>
      <c r="Q246" s="1399"/>
      <c r="X246" s="1445" t="e">
        <f ca="1"/>
        <v>#NAME?</v>
      </c>
      <c r="Y246" s="1446" t="e">
        <f ca="1"/>
        <v>#NAME?</v>
      </c>
      <c r="Z246" s="1408"/>
      <c r="AB246" s="1399"/>
      <c r="AC246" s="1399"/>
      <c r="AD246" s="1399"/>
      <c r="AE246" s="1399"/>
    </row>
    <row r="247" spans="1:31">
      <c r="A247" s="1487"/>
      <c r="B247" s="1488"/>
      <c r="C247" s="1489"/>
      <c r="D247" s="1490"/>
      <c r="E247" s="1487"/>
      <c r="F247" s="1488"/>
      <c r="G247" s="1489"/>
      <c r="H247" s="1490"/>
      <c r="I247" s="1487"/>
      <c r="J247" s="1488"/>
      <c r="K247" s="1489"/>
      <c r="L247" s="1490"/>
      <c r="M247" s="1487"/>
      <c r="N247" s="1488"/>
      <c r="O247" s="1489"/>
      <c r="P247" s="1490"/>
      <c r="Q247" s="1399"/>
      <c r="X247" s="1445" t="e">
        <f ca="1"/>
        <v>#NAME?</v>
      </c>
      <c r="Y247" s="1446" t="e">
        <f ca="1"/>
        <v>#NAME?</v>
      </c>
      <c r="Z247" s="1408"/>
      <c r="AB247" s="1399"/>
      <c r="AC247" s="1399"/>
      <c r="AD247" s="1399"/>
      <c r="AE247" s="1399"/>
    </row>
    <row r="248" spans="1:31">
      <c r="A248" s="1487"/>
      <c r="B248" s="1488"/>
      <c r="C248" s="1489"/>
      <c r="D248" s="1490"/>
      <c r="E248" s="1487"/>
      <c r="F248" s="1488"/>
      <c r="G248" s="1489"/>
      <c r="H248" s="1490"/>
      <c r="I248" s="1487"/>
      <c r="J248" s="1488"/>
      <c r="K248" s="1489"/>
      <c r="L248" s="1490"/>
      <c r="M248" s="1487"/>
      <c r="N248" s="1488"/>
      <c r="O248" s="1489"/>
      <c r="P248" s="1490"/>
      <c r="Q248" s="1399"/>
      <c r="X248" s="1445" t="e">
        <f ca="1"/>
        <v>#NAME?</v>
      </c>
      <c r="Y248" s="1446" t="e">
        <f ca="1"/>
        <v>#NAME?</v>
      </c>
      <c r="Z248" s="1408"/>
      <c r="AB248" s="1399"/>
      <c r="AC248" s="1399"/>
      <c r="AD248" s="1399"/>
      <c r="AE248" s="1399"/>
    </row>
    <row r="249" spans="1:31">
      <c r="A249" s="1487"/>
      <c r="B249" s="1488"/>
      <c r="C249" s="1489"/>
      <c r="D249" s="1490"/>
      <c r="E249" s="1487"/>
      <c r="F249" s="1488"/>
      <c r="G249" s="1489"/>
      <c r="H249" s="1490"/>
      <c r="I249" s="1487"/>
      <c r="J249" s="1488"/>
      <c r="K249" s="1489"/>
      <c r="L249" s="1490"/>
      <c r="M249" s="1487"/>
      <c r="N249" s="1488"/>
      <c r="O249" s="1489"/>
      <c r="P249" s="1490"/>
      <c r="Q249" s="1399"/>
      <c r="X249" s="1445" t="e">
        <f ca="1"/>
        <v>#NAME?</v>
      </c>
      <c r="Y249" s="1446" t="e">
        <f ca="1"/>
        <v>#NAME?</v>
      </c>
      <c r="Z249" s="1408"/>
      <c r="AB249" s="1399"/>
      <c r="AC249" s="1399"/>
      <c r="AD249" s="1399"/>
      <c r="AE249" s="1399"/>
    </row>
    <row r="250" spans="1:31">
      <c r="A250" s="1487"/>
      <c r="B250" s="1488"/>
      <c r="C250" s="1489"/>
      <c r="D250" s="1490"/>
      <c r="E250" s="1487"/>
      <c r="F250" s="1488"/>
      <c r="G250" s="1489"/>
      <c r="H250" s="1490"/>
      <c r="I250" s="1487"/>
      <c r="J250" s="1488"/>
      <c r="K250" s="1489"/>
      <c r="L250" s="1490"/>
      <c r="M250" s="1487"/>
      <c r="N250" s="1488"/>
      <c r="O250" s="1489"/>
      <c r="P250" s="1490"/>
      <c r="Q250" s="1399"/>
      <c r="X250" s="1445" t="e">
        <f ca="1"/>
        <v>#NAME?</v>
      </c>
      <c r="Y250" s="1446" t="e">
        <f ca="1"/>
        <v>#NAME?</v>
      </c>
      <c r="Z250" s="1408"/>
      <c r="AB250" s="1399"/>
      <c r="AC250" s="1399"/>
      <c r="AD250" s="1399"/>
      <c r="AE250" s="1399"/>
    </row>
    <row r="251" spans="1:31">
      <c r="A251" s="1487"/>
      <c r="B251" s="1488"/>
      <c r="C251" s="1489"/>
      <c r="D251" s="1490"/>
      <c r="E251" s="1487"/>
      <c r="F251" s="1488"/>
      <c r="G251" s="1489"/>
      <c r="H251" s="1490"/>
      <c r="I251" s="1487"/>
      <c r="J251" s="1488"/>
      <c r="K251" s="1489"/>
      <c r="L251" s="1490"/>
      <c r="M251" s="1487"/>
      <c r="N251" s="1488"/>
      <c r="O251" s="1489"/>
      <c r="P251" s="1490"/>
      <c r="Q251" s="1399"/>
      <c r="X251" s="1445" t="e">
        <f ca="1"/>
        <v>#NAME?</v>
      </c>
      <c r="Y251" s="1446" t="e">
        <f ca="1"/>
        <v>#NAME?</v>
      </c>
      <c r="Z251" s="1408"/>
      <c r="AB251" s="1399"/>
      <c r="AC251" s="1399"/>
      <c r="AD251" s="1399"/>
      <c r="AE251" s="1399"/>
    </row>
    <row r="252" spans="1:31">
      <c r="A252" s="1487"/>
      <c r="B252" s="1488"/>
      <c r="C252" s="1489"/>
      <c r="D252" s="1490"/>
      <c r="E252" s="1487"/>
      <c r="F252" s="1488"/>
      <c r="G252" s="1489"/>
      <c r="H252" s="1490"/>
      <c r="I252" s="1487"/>
      <c r="J252" s="1488"/>
      <c r="K252" s="1489"/>
      <c r="L252" s="1490"/>
      <c r="M252" s="1487"/>
      <c r="N252" s="1488"/>
      <c r="O252" s="1489"/>
      <c r="P252" s="1490"/>
      <c r="Q252" s="1399"/>
      <c r="X252" s="1445" t="e">
        <f ca="1"/>
        <v>#NAME?</v>
      </c>
      <c r="Y252" s="1446" t="e">
        <f ca="1"/>
        <v>#NAME?</v>
      </c>
      <c r="Z252" s="1408"/>
      <c r="AB252" s="1399"/>
      <c r="AC252" s="1399"/>
      <c r="AD252" s="1399"/>
      <c r="AE252" s="1399"/>
    </row>
    <row r="253" spans="1:31">
      <c r="A253" s="1487"/>
      <c r="B253" s="1488"/>
      <c r="C253" s="1489"/>
      <c r="D253" s="1490"/>
      <c r="E253" s="1487"/>
      <c r="F253" s="1488"/>
      <c r="G253" s="1489"/>
      <c r="H253" s="1490"/>
      <c r="I253" s="1487"/>
      <c r="J253" s="1488"/>
      <c r="K253" s="1489"/>
      <c r="L253" s="1490"/>
      <c r="M253" s="1487"/>
      <c r="N253" s="1488"/>
      <c r="O253" s="1489"/>
      <c r="P253" s="1490"/>
      <c r="Q253" s="1399"/>
      <c r="X253" s="1445" t="e">
        <f ca="1"/>
        <v>#NAME?</v>
      </c>
      <c r="Y253" s="1446" t="e">
        <f ca="1"/>
        <v>#NAME?</v>
      </c>
      <c r="Z253" s="1408"/>
      <c r="AB253" s="1399"/>
      <c r="AC253" s="1399"/>
      <c r="AD253" s="1399"/>
      <c r="AE253" s="1399"/>
    </row>
    <row r="254" spans="1:31">
      <c r="A254" s="1487"/>
      <c r="B254" s="1488"/>
      <c r="C254" s="1489"/>
      <c r="D254" s="1490"/>
      <c r="E254" s="1487"/>
      <c r="F254" s="1488"/>
      <c r="G254" s="1489"/>
      <c r="H254" s="1490"/>
      <c r="I254" s="1487"/>
      <c r="J254" s="1488"/>
      <c r="K254" s="1489"/>
      <c r="L254" s="1490"/>
      <c r="M254" s="1487"/>
      <c r="N254" s="1488"/>
      <c r="O254" s="1489"/>
      <c r="P254" s="1490"/>
      <c r="Q254" s="1399"/>
      <c r="X254" s="1445" t="e">
        <f ca="1"/>
        <v>#NAME?</v>
      </c>
      <c r="Y254" s="1446" t="e">
        <f ca="1"/>
        <v>#NAME?</v>
      </c>
      <c r="Z254" s="1408"/>
      <c r="AB254" s="1399"/>
      <c r="AC254" s="1399"/>
      <c r="AD254" s="1399"/>
      <c r="AE254" s="1399"/>
    </row>
    <row r="255" spans="1:31">
      <c r="A255" s="1487"/>
      <c r="B255" s="1488"/>
      <c r="C255" s="1489"/>
      <c r="D255" s="1490"/>
      <c r="E255" s="1487"/>
      <c r="F255" s="1488"/>
      <c r="G255" s="1489"/>
      <c r="H255" s="1490"/>
      <c r="I255" s="1487"/>
      <c r="J255" s="1488"/>
      <c r="K255" s="1489"/>
      <c r="L255" s="1490"/>
      <c r="M255" s="1487"/>
      <c r="N255" s="1488"/>
      <c r="O255" s="1489"/>
      <c r="P255" s="1490"/>
      <c r="Q255" s="1399"/>
      <c r="X255" s="1445" t="e">
        <f ca="1"/>
        <v>#NAME?</v>
      </c>
      <c r="Y255" s="1446" t="e">
        <f ca="1"/>
        <v>#NAME?</v>
      </c>
      <c r="Z255" s="1408"/>
      <c r="AB255" s="1399"/>
      <c r="AC255" s="1399"/>
      <c r="AD255" s="1399"/>
      <c r="AE255" s="1399"/>
    </row>
    <row r="256" spans="1:31">
      <c r="A256" s="1487"/>
      <c r="B256" s="1488"/>
      <c r="C256" s="1489"/>
      <c r="D256" s="1490"/>
      <c r="E256" s="1487"/>
      <c r="F256" s="1488"/>
      <c r="G256" s="1489"/>
      <c r="H256" s="1490"/>
      <c r="I256" s="1487"/>
      <c r="J256" s="1488"/>
      <c r="K256" s="1489"/>
      <c r="L256" s="1490"/>
      <c r="M256" s="1487"/>
      <c r="N256" s="1488"/>
      <c r="O256" s="1489"/>
      <c r="P256" s="1490"/>
      <c r="Q256" s="1399"/>
      <c r="X256" s="1445" t="e">
        <f ca="1"/>
        <v>#NAME?</v>
      </c>
      <c r="Y256" s="1446" t="e">
        <f ca="1"/>
        <v>#NAME?</v>
      </c>
      <c r="Z256" s="1408"/>
      <c r="AB256" s="1399"/>
      <c r="AC256" s="1399"/>
      <c r="AD256" s="1399"/>
      <c r="AE256" s="1399"/>
    </row>
    <row r="257" spans="1:31">
      <c r="A257" s="1487"/>
      <c r="B257" s="1488"/>
      <c r="C257" s="1489"/>
      <c r="D257" s="1490"/>
      <c r="E257" s="1487"/>
      <c r="F257" s="1488"/>
      <c r="G257" s="1489"/>
      <c r="H257" s="1490"/>
      <c r="I257" s="1487"/>
      <c r="J257" s="1488"/>
      <c r="K257" s="1489"/>
      <c r="L257" s="1490"/>
      <c r="M257" s="1487"/>
      <c r="N257" s="1488"/>
      <c r="O257" s="1489"/>
      <c r="P257" s="1490"/>
      <c r="Q257" s="1399"/>
      <c r="X257" s="1445" t="e">
        <f ca="1"/>
        <v>#NAME?</v>
      </c>
      <c r="Y257" s="1446" t="e">
        <f ca="1"/>
        <v>#NAME?</v>
      </c>
      <c r="Z257" s="1408"/>
      <c r="AB257" s="1399"/>
      <c r="AC257" s="1399"/>
      <c r="AD257" s="1399"/>
      <c r="AE257" s="1399"/>
    </row>
    <row r="258" spans="1:31">
      <c r="A258" s="1487"/>
      <c r="B258" s="1488"/>
      <c r="C258" s="1489"/>
      <c r="D258" s="1490"/>
      <c r="E258" s="1487"/>
      <c r="F258" s="1488"/>
      <c r="G258" s="1489"/>
      <c r="H258" s="1490"/>
      <c r="I258" s="1487"/>
      <c r="J258" s="1488"/>
      <c r="K258" s="1489"/>
      <c r="L258" s="1490"/>
      <c r="M258" s="1487"/>
      <c r="N258" s="1488"/>
      <c r="O258" s="1489"/>
      <c r="P258" s="1490"/>
      <c r="Q258" s="1399"/>
      <c r="X258" s="1445" t="e">
        <f ca="1"/>
        <v>#NAME?</v>
      </c>
      <c r="Y258" s="1446" t="e">
        <f ca="1"/>
        <v>#NAME?</v>
      </c>
      <c r="Z258" s="1408"/>
      <c r="AB258" s="1399"/>
      <c r="AC258" s="1399"/>
      <c r="AD258" s="1399"/>
      <c r="AE258" s="1399"/>
    </row>
    <row r="259" spans="1:31">
      <c r="A259" s="1487"/>
      <c r="B259" s="1488"/>
      <c r="C259" s="1489"/>
      <c r="D259" s="1490"/>
      <c r="E259" s="1487"/>
      <c r="F259" s="1488"/>
      <c r="G259" s="1489"/>
      <c r="H259" s="1490"/>
      <c r="I259" s="1487"/>
      <c r="J259" s="1488"/>
      <c r="K259" s="1489"/>
      <c r="L259" s="1490"/>
      <c r="M259" s="1487"/>
      <c r="N259" s="1488"/>
      <c r="O259" s="1489"/>
      <c r="P259" s="1490"/>
      <c r="Q259" s="1399"/>
      <c r="X259" s="1445" t="e">
        <f ca="1"/>
        <v>#NAME?</v>
      </c>
      <c r="Y259" s="1446" t="e">
        <f ca="1"/>
        <v>#NAME?</v>
      </c>
      <c r="Z259" s="1408"/>
      <c r="AB259" s="1399"/>
      <c r="AC259" s="1399"/>
      <c r="AD259" s="1399"/>
      <c r="AE259" s="1399"/>
    </row>
    <row r="260" spans="1:31">
      <c r="A260" s="1487"/>
      <c r="B260" s="1488"/>
      <c r="C260" s="1489"/>
      <c r="D260" s="1490"/>
      <c r="E260" s="1487"/>
      <c r="F260" s="1488"/>
      <c r="G260" s="1489"/>
      <c r="H260" s="1490"/>
      <c r="I260" s="1487"/>
      <c r="J260" s="1488"/>
      <c r="K260" s="1489"/>
      <c r="L260" s="1490"/>
      <c r="M260" s="1487"/>
      <c r="N260" s="1488"/>
      <c r="O260" s="1489"/>
      <c r="P260" s="1490"/>
      <c r="Q260" s="1399"/>
      <c r="X260" s="1445" t="e">
        <f ca="1"/>
        <v>#NAME?</v>
      </c>
      <c r="Y260" s="1446" t="e">
        <f ca="1"/>
        <v>#NAME?</v>
      </c>
      <c r="Z260" s="1408"/>
      <c r="AB260" s="1399"/>
      <c r="AC260" s="1399"/>
      <c r="AD260" s="1399"/>
      <c r="AE260" s="1399"/>
    </row>
    <row r="261" spans="1:31">
      <c r="A261" s="1487"/>
      <c r="B261" s="1488"/>
      <c r="C261" s="1489"/>
      <c r="D261" s="1490"/>
      <c r="E261" s="1487"/>
      <c r="F261" s="1488"/>
      <c r="G261" s="1489"/>
      <c r="H261" s="1490"/>
      <c r="I261" s="1487"/>
      <c r="J261" s="1488"/>
      <c r="K261" s="1489"/>
      <c r="L261" s="1490"/>
      <c r="M261" s="1487"/>
      <c r="N261" s="1488"/>
      <c r="O261" s="1489"/>
      <c r="P261" s="1490"/>
      <c r="Q261" s="1399"/>
      <c r="X261" s="1445" t="e">
        <f ca="1"/>
        <v>#NAME?</v>
      </c>
      <c r="Y261" s="1446" t="e">
        <f ca="1"/>
        <v>#NAME?</v>
      </c>
      <c r="Z261" s="1408"/>
      <c r="AB261" s="1399"/>
      <c r="AC261" s="1399"/>
      <c r="AD261" s="1399"/>
      <c r="AE261" s="1399"/>
    </row>
    <row r="262" spans="1:31">
      <c r="A262" s="1487"/>
      <c r="B262" s="1488"/>
      <c r="C262" s="1489"/>
      <c r="D262" s="1490"/>
      <c r="E262" s="1487"/>
      <c r="F262" s="1488"/>
      <c r="G262" s="1489"/>
      <c r="H262" s="1490"/>
      <c r="I262" s="1487"/>
      <c r="J262" s="1488"/>
      <c r="K262" s="1489"/>
      <c r="L262" s="1490"/>
      <c r="M262" s="1487"/>
      <c r="N262" s="1488"/>
      <c r="O262" s="1489"/>
      <c r="P262" s="1490"/>
      <c r="Q262" s="1399"/>
      <c r="X262" s="1445" t="e">
        <f ca="1"/>
        <v>#NAME?</v>
      </c>
      <c r="Y262" s="1446" t="e">
        <f ca="1"/>
        <v>#NAME?</v>
      </c>
      <c r="Z262" s="1408"/>
      <c r="AB262" s="1399"/>
      <c r="AC262" s="1399"/>
      <c r="AD262" s="1399"/>
      <c r="AE262" s="1399"/>
    </row>
    <row r="263" spans="1:31">
      <c r="A263" s="1487"/>
      <c r="B263" s="1488"/>
      <c r="C263" s="1489"/>
      <c r="D263" s="1490"/>
      <c r="E263" s="1487"/>
      <c r="F263" s="1488"/>
      <c r="G263" s="1489"/>
      <c r="H263" s="1490"/>
      <c r="I263" s="1487"/>
      <c r="J263" s="1488"/>
      <c r="K263" s="1489"/>
      <c r="L263" s="1490"/>
      <c r="M263" s="1487"/>
      <c r="N263" s="1488"/>
      <c r="O263" s="1489"/>
      <c r="P263" s="1490"/>
      <c r="Q263" s="1399"/>
      <c r="X263" s="1445" t="e">
        <f ca="1"/>
        <v>#NAME?</v>
      </c>
      <c r="Y263" s="1446" t="e">
        <f ca="1"/>
        <v>#NAME?</v>
      </c>
      <c r="Z263" s="1408"/>
      <c r="AB263" s="1399"/>
      <c r="AC263" s="1399"/>
      <c r="AD263" s="1399"/>
      <c r="AE263" s="1399"/>
    </row>
    <row r="264" spans="1:31">
      <c r="A264" s="1487"/>
      <c r="B264" s="1488"/>
      <c r="C264" s="1489"/>
      <c r="D264" s="1490"/>
      <c r="E264" s="1487"/>
      <c r="F264" s="1488"/>
      <c r="G264" s="1489"/>
      <c r="H264" s="1490"/>
      <c r="I264" s="1487"/>
      <c r="J264" s="1488"/>
      <c r="K264" s="1489"/>
      <c r="L264" s="1490"/>
      <c r="M264" s="1487"/>
      <c r="N264" s="1488"/>
      <c r="O264" s="1489"/>
      <c r="P264" s="1490"/>
      <c r="Q264" s="1399"/>
      <c r="X264" s="1445" t="e">
        <f ca="1"/>
        <v>#NAME?</v>
      </c>
      <c r="Y264" s="1446" t="e">
        <f ca="1"/>
        <v>#NAME?</v>
      </c>
      <c r="Z264" s="1408"/>
      <c r="AB264" s="1399"/>
      <c r="AC264" s="1399"/>
      <c r="AD264" s="1399"/>
      <c r="AE264" s="1399"/>
    </row>
    <row r="265" spans="1:31">
      <c r="A265" s="1487"/>
      <c r="B265" s="1488"/>
      <c r="C265" s="1489"/>
      <c r="D265" s="1490"/>
      <c r="E265" s="1487"/>
      <c r="F265" s="1488"/>
      <c r="G265" s="1489"/>
      <c r="H265" s="1490"/>
      <c r="I265" s="1487"/>
      <c r="J265" s="1488"/>
      <c r="K265" s="1489"/>
      <c r="L265" s="1490"/>
      <c r="M265" s="1487"/>
      <c r="N265" s="1488"/>
      <c r="O265" s="1489"/>
      <c r="P265" s="1490"/>
      <c r="Q265" s="1399"/>
      <c r="X265" s="1445" t="e">
        <f ca="1"/>
        <v>#NAME?</v>
      </c>
      <c r="Y265" s="1446" t="e">
        <f ca="1"/>
        <v>#NAME?</v>
      </c>
      <c r="Z265" s="1408"/>
      <c r="AB265" s="1399"/>
      <c r="AC265" s="1399"/>
      <c r="AD265" s="1399"/>
      <c r="AE265" s="1399"/>
    </row>
    <row r="266" spans="1:31">
      <c r="A266" s="1487"/>
      <c r="B266" s="1488"/>
      <c r="C266" s="1489"/>
      <c r="D266" s="1490"/>
      <c r="E266" s="1487"/>
      <c r="F266" s="1488"/>
      <c r="G266" s="1489"/>
      <c r="H266" s="1490"/>
      <c r="I266" s="1487"/>
      <c r="J266" s="1488"/>
      <c r="K266" s="1489"/>
      <c r="L266" s="1490"/>
      <c r="M266" s="1487"/>
      <c r="N266" s="1488"/>
      <c r="O266" s="1489"/>
      <c r="P266" s="1490"/>
      <c r="Q266" s="1399"/>
      <c r="X266" s="1445" t="e">
        <f ca="1"/>
        <v>#NAME?</v>
      </c>
      <c r="Y266" s="1446" t="e">
        <f ca="1"/>
        <v>#NAME?</v>
      </c>
      <c r="Z266" s="1408"/>
      <c r="AB266" s="1399"/>
      <c r="AC266" s="1399"/>
      <c r="AD266" s="1399"/>
      <c r="AE266" s="1399"/>
    </row>
    <row r="267" spans="1:31">
      <c r="A267" s="1487"/>
      <c r="B267" s="1488"/>
      <c r="C267" s="1489"/>
      <c r="D267" s="1490"/>
      <c r="E267" s="1487"/>
      <c r="F267" s="1488"/>
      <c r="G267" s="1489"/>
      <c r="H267" s="1490"/>
      <c r="I267" s="1487"/>
      <c r="J267" s="1488"/>
      <c r="K267" s="1489"/>
      <c r="L267" s="1490"/>
      <c r="M267" s="1487"/>
      <c r="N267" s="1488"/>
      <c r="O267" s="1489"/>
      <c r="P267" s="1490"/>
      <c r="Q267" s="1399"/>
      <c r="X267" s="1445" t="e">
        <f ca="1"/>
        <v>#NAME?</v>
      </c>
      <c r="Y267" s="1446" t="e">
        <f ca="1"/>
        <v>#NAME?</v>
      </c>
      <c r="Z267" s="1408"/>
      <c r="AB267" s="1399"/>
      <c r="AC267" s="1399"/>
      <c r="AD267" s="1399"/>
      <c r="AE267" s="1399"/>
    </row>
    <row r="268" spans="1:31">
      <c r="A268" s="1487"/>
      <c r="B268" s="1488"/>
      <c r="C268" s="1489"/>
      <c r="D268" s="1490"/>
      <c r="E268" s="1487"/>
      <c r="F268" s="1488"/>
      <c r="G268" s="1489"/>
      <c r="H268" s="1490"/>
      <c r="I268" s="1487"/>
      <c r="J268" s="1488"/>
      <c r="K268" s="1489"/>
      <c r="L268" s="1490"/>
      <c r="M268" s="1487"/>
      <c r="N268" s="1488"/>
      <c r="O268" s="1489"/>
      <c r="P268" s="1490"/>
      <c r="Q268" s="1399"/>
      <c r="X268" s="1445" t="e">
        <f ca="1"/>
        <v>#NAME?</v>
      </c>
      <c r="Y268" s="1446" t="e">
        <f ca="1"/>
        <v>#NAME?</v>
      </c>
      <c r="Z268" s="1408"/>
      <c r="AB268" s="1399"/>
      <c r="AC268" s="1399"/>
      <c r="AD268" s="1399"/>
      <c r="AE268" s="1399"/>
    </row>
    <row r="269" spans="1:31">
      <c r="A269" s="1487"/>
      <c r="B269" s="1488"/>
      <c r="C269" s="1489"/>
      <c r="D269" s="1490"/>
      <c r="E269" s="1487"/>
      <c r="F269" s="1488"/>
      <c r="G269" s="1489"/>
      <c r="H269" s="1490"/>
      <c r="I269" s="1487"/>
      <c r="J269" s="1488"/>
      <c r="K269" s="1489"/>
      <c r="L269" s="1490"/>
      <c r="M269" s="1487"/>
      <c r="N269" s="1488"/>
      <c r="O269" s="1489"/>
      <c r="P269" s="1490"/>
      <c r="Q269" s="1399"/>
      <c r="X269" s="1445" t="e">
        <f ca="1"/>
        <v>#NAME?</v>
      </c>
      <c r="Y269" s="1446" t="e">
        <f ca="1"/>
        <v>#NAME?</v>
      </c>
      <c r="Z269" s="1408"/>
      <c r="AB269" s="1399"/>
      <c r="AC269" s="1399"/>
      <c r="AD269" s="1399"/>
      <c r="AE269" s="1399"/>
    </row>
    <row r="270" spans="1:31">
      <c r="A270" s="1487"/>
      <c r="B270" s="1488"/>
      <c r="C270" s="1489"/>
      <c r="D270" s="1490"/>
      <c r="E270" s="1487"/>
      <c r="F270" s="1488"/>
      <c r="G270" s="1489"/>
      <c r="H270" s="1490"/>
      <c r="I270" s="1487"/>
      <c r="J270" s="1488"/>
      <c r="K270" s="1489"/>
      <c r="L270" s="1490"/>
      <c r="M270" s="1487"/>
      <c r="N270" s="1488"/>
      <c r="O270" s="1489"/>
      <c r="P270" s="1490"/>
      <c r="Q270" s="1399"/>
      <c r="X270" s="1445" t="e">
        <f ca="1"/>
        <v>#NAME?</v>
      </c>
      <c r="Y270" s="1446" t="e">
        <f ca="1"/>
        <v>#NAME?</v>
      </c>
      <c r="Z270" s="1408"/>
      <c r="AB270" s="1399"/>
      <c r="AC270" s="1399"/>
      <c r="AD270" s="1399"/>
      <c r="AE270" s="1399"/>
    </row>
    <row r="271" spans="1:31">
      <c r="A271" s="1487"/>
      <c r="B271" s="1488"/>
      <c r="C271" s="1489"/>
      <c r="D271" s="1490"/>
      <c r="E271" s="1487"/>
      <c r="F271" s="1488"/>
      <c r="G271" s="1489"/>
      <c r="H271" s="1490"/>
      <c r="I271" s="1487"/>
      <c r="J271" s="1488"/>
      <c r="K271" s="1489"/>
      <c r="L271" s="1490"/>
      <c r="M271" s="1487"/>
      <c r="N271" s="1488"/>
      <c r="O271" s="1489"/>
      <c r="P271" s="1490"/>
      <c r="Q271" s="1399"/>
      <c r="X271" s="1445" t="e">
        <f ca="1"/>
        <v>#NAME?</v>
      </c>
      <c r="Y271" s="1446" t="e">
        <f ca="1"/>
        <v>#NAME?</v>
      </c>
      <c r="Z271" s="1408"/>
      <c r="AB271" s="1399"/>
      <c r="AC271" s="1399"/>
      <c r="AD271" s="1399"/>
      <c r="AE271" s="1399"/>
    </row>
    <row r="272" spans="1:31">
      <c r="A272" s="1487"/>
      <c r="B272" s="1488"/>
      <c r="C272" s="1489"/>
      <c r="D272" s="1490"/>
      <c r="E272" s="1487"/>
      <c r="F272" s="1488"/>
      <c r="G272" s="1489"/>
      <c r="H272" s="1490"/>
      <c r="I272" s="1487"/>
      <c r="J272" s="1488"/>
      <c r="K272" s="1489"/>
      <c r="L272" s="1490"/>
      <c r="M272" s="1487"/>
      <c r="N272" s="1488"/>
      <c r="O272" s="1489"/>
      <c r="P272" s="1490"/>
      <c r="Q272" s="1399"/>
      <c r="X272" s="1445" t="e">
        <f ca="1"/>
        <v>#NAME?</v>
      </c>
      <c r="Y272" s="1446" t="e">
        <f ca="1"/>
        <v>#NAME?</v>
      </c>
      <c r="Z272" s="1408"/>
      <c r="AB272" s="1399"/>
      <c r="AC272" s="1399"/>
      <c r="AD272" s="1399"/>
      <c r="AE272" s="1399"/>
    </row>
    <row r="273" spans="1:31">
      <c r="A273" s="1487"/>
      <c r="B273" s="1488"/>
      <c r="C273" s="1489"/>
      <c r="D273" s="1490"/>
      <c r="E273" s="1487"/>
      <c r="F273" s="1488"/>
      <c r="G273" s="1489"/>
      <c r="H273" s="1490"/>
      <c r="I273" s="1487"/>
      <c r="J273" s="1488"/>
      <c r="K273" s="1489"/>
      <c r="L273" s="1490"/>
      <c r="M273" s="1487"/>
      <c r="N273" s="1488"/>
      <c r="O273" s="1489"/>
      <c r="P273" s="1490"/>
      <c r="Q273" s="1399"/>
      <c r="X273" s="1445" t="e">
        <f ca="1"/>
        <v>#NAME?</v>
      </c>
      <c r="Y273" s="1446" t="e">
        <f ca="1"/>
        <v>#NAME?</v>
      </c>
      <c r="Z273" s="1408"/>
      <c r="AB273" s="1399"/>
      <c r="AC273" s="1399"/>
      <c r="AD273" s="1399"/>
      <c r="AE273" s="1399"/>
    </row>
    <row r="274" spans="1:31">
      <c r="A274" s="1487"/>
      <c r="B274" s="1488"/>
      <c r="C274" s="1489"/>
      <c r="D274" s="1490"/>
      <c r="E274" s="1487"/>
      <c r="F274" s="1488"/>
      <c r="G274" s="1489"/>
      <c r="H274" s="1490"/>
      <c r="I274" s="1487"/>
      <c r="J274" s="1488"/>
      <c r="K274" s="1489"/>
      <c r="L274" s="1490"/>
      <c r="M274" s="1487"/>
      <c r="N274" s="1488"/>
      <c r="O274" s="1489"/>
      <c r="P274" s="1490"/>
      <c r="Q274" s="1399"/>
      <c r="X274" s="1445" t="e">
        <f ca="1"/>
        <v>#NAME?</v>
      </c>
      <c r="Y274" s="1446" t="e">
        <f ca="1"/>
        <v>#NAME?</v>
      </c>
      <c r="Z274" s="1408"/>
      <c r="AB274" s="1399"/>
      <c r="AC274" s="1399"/>
      <c r="AD274" s="1399"/>
      <c r="AE274" s="1399"/>
    </row>
    <row r="275" spans="1:31">
      <c r="A275" s="1487"/>
      <c r="B275" s="1488"/>
      <c r="C275" s="1489"/>
      <c r="D275" s="1490"/>
      <c r="E275" s="1487"/>
      <c r="F275" s="1488"/>
      <c r="G275" s="1489"/>
      <c r="H275" s="1490"/>
      <c r="I275" s="1487"/>
      <c r="J275" s="1488"/>
      <c r="K275" s="1489"/>
      <c r="L275" s="1490"/>
      <c r="M275" s="1487"/>
      <c r="N275" s="1488"/>
      <c r="O275" s="1489"/>
      <c r="P275" s="1490"/>
      <c r="Q275" s="1399"/>
      <c r="X275" s="1445" t="e">
        <f ca="1"/>
        <v>#NAME?</v>
      </c>
      <c r="Y275" s="1446" t="e">
        <f ca="1"/>
        <v>#NAME?</v>
      </c>
      <c r="Z275" s="1408"/>
      <c r="AB275" s="1399"/>
      <c r="AC275" s="1399"/>
      <c r="AD275" s="1399"/>
      <c r="AE275" s="1399"/>
    </row>
    <row r="276" spans="1:31">
      <c r="A276" s="1487"/>
      <c r="B276" s="1488"/>
      <c r="C276" s="1489"/>
      <c r="D276" s="1490"/>
      <c r="E276" s="1487"/>
      <c r="F276" s="1488"/>
      <c r="G276" s="1489"/>
      <c r="H276" s="1490"/>
      <c r="I276" s="1487"/>
      <c r="J276" s="1488"/>
      <c r="K276" s="1489"/>
      <c r="L276" s="1490"/>
      <c r="M276" s="1487"/>
      <c r="N276" s="1488"/>
      <c r="O276" s="1489"/>
      <c r="P276" s="1490"/>
      <c r="Q276" s="1399"/>
      <c r="X276" s="1445" t="e">
        <f ca="1"/>
        <v>#NAME?</v>
      </c>
      <c r="Y276" s="1446" t="e">
        <f ca="1"/>
        <v>#NAME?</v>
      </c>
      <c r="Z276" s="1408"/>
      <c r="AB276" s="1399"/>
      <c r="AC276" s="1399"/>
      <c r="AD276" s="1399"/>
      <c r="AE276" s="1399"/>
    </row>
    <row r="277" spans="1:31">
      <c r="A277" s="1487"/>
      <c r="B277" s="1488"/>
      <c r="C277" s="1489"/>
      <c r="D277" s="1490"/>
      <c r="E277" s="1487"/>
      <c r="F277" s="1488"/>
      <c r="G277" s="1489"/>
      <c r="H277" s="1490"/>
      <c r="I277" s="1487"/>
      <c r="J277" s="1488"/>
      <c r="K277" s="1489"/>
      <c r="L277" s="1490"/>
      <c r="M277" s="1487"/>
      <c r="N277" s="1488"/>
      <c r="O277" s="1489"/>
      <c r="P277" s="1490"/>
      <c r="Q277" s="1399"/>
      <c r="X277" s="1445" t="e">
        <f ca="1"/>
        <v>#NAME?</v>
      </c>
      <c r="Y277" s="1446" t="e">
        <f ca="1"/>
        <v>#NAME?</v>
      </c>
      <c r="Z277" s="1408"/>
      <c r="AB277" s="1399"/>
      <c r="AC277" s="1399"/>
      <c r="AD277" s="1399"/>
      <c r="AE277" s="1399"/>
    </row>
    <row r="278" spans="1:31">
      <c r="A278" s="1487"/>
      <c r="B278" s="1488"/>
      <c r="C278" s="1489"/>
      <c r="D278" s="1490"/>
      <c r="E278" s="1487"/>
      <c r="F278" s="1488"/>
      <c r="G278" s="1489"/>
      <c r="H278" s="1490"/>
      <c r="I278" s="1487"/>
      <c r="J278" s="1488"/>
      <c r="K278" s="1489"/>
      <c r="L278" s="1490"/>
      <c r="M278" s="1487"/>
      <c r="N278" s="1488"/>
      <c r="O278" s="1489"/>
      <c r="P278" s="1490"/>
      <c r="Q278" s="1399"/>
      <c r="X278" s="1445" t="e">
        <f ca="1"/>
        <v>#NAME?</v>
      </c>
      <c r="Y278" s="1446" t="e">
        <f ca="1"/>
        <v>#NAME?</v>
      </c>
      <c r="Z278" s="1408"/>
      <c r="AB278" s="1399"/>
      <c r="AC278" s="1399"/>
      <c r="AD278" s="1399"/>
      <c r="AE278" s="1399"/>
    </row>
    <row r="279" spans="1:31">
      <c r="A279" s="1487"/>
      <c r="B279" s="1488"/>
      <c r="C279" s="1489"/>
      <c r="D279" s="1490"/>
      <c r="E279" s="1487"/>
      <c r="F279" s="1488"/>
      <c r="G279" s="1489"/>
      <c r="H279" s="1490"/>
      <c r="I279" s="1487"/>
      <c r="J279" s="1488"/>
      <c r="K279" s="1489"/>
      <c r="L279" s="1490"/>
      <c r="M279" s="1487"/>
      <c r="N279" s="1488"/>
      <c r="O279" s="1489"/>
      <c r="P279" s="1490"/>
      <c r="Q279" s="1399"/>
      <c r="X279" s="1445" t="e">
        <f ca="1"/>
        <v>#NAME?</v>
      </c>
      <c r="Y279" s="1446" t="e">
        <f ca="1"/>
        <v>#NAME?</v>
      </c>
      <c r="Z279" s="1408"/>
      <c r="AB279" s="1399"/>
      <c r="AC279" s="1399"/>
      <c r="AD279" s="1399"/>
      <c r="AE279" s="1399"/>
    </row>
    <row r="280" spans="1:31">
      <c r="A280" s="1487"/>
      <c r="B280" s="1488"/>
      <c r="C280" s="1489"/>
      <c r="D280" s="1490"/>
      <c r="E280" s="1487"/>
      <c r="F280" s="1488"/>
      <c r="G280" s="1489"/>
      <c r="H280" s="1490"/>
      <c r="I280" s="1487"/>
      <c r="J280" s="1488"/>
      <c r="K280" s="1489"/>
      <c r="L280" s="1490"/>
      <c r="M280" s="1487"/>
      <c r="N280" s="1488"/>
      <c r="O280" s="1489"/>
      <c r="P280" s="1490"/>
      <c r="Q280" s="1399"/>
      <c r="X280" s="1445" t="e">
        <f ca="1"/>
        <v>#NAME?</v>
      </c>
      <c r="Y280" s="1446" t="e">
        <f ca="1"/>
        <v>#NAME?</v>
      </c>
      <c r="Z280" s="1408"/>
      <c r="AB280" s="1399"/>
      <c r="AC280" s="1399"/>
      <c r="AD280" s="1399"/>
      <c r="AE280" s="1399"/>
    </row>
    <row r="281" spans="1:31">
      <c r="A281" s="1487"/>
      <c r="B281" s="1488"/>
      <c r="C281" s="1489"/>
      <c r="D281" s="1490"/>
      <c r="E281" s="1487"/>
      <c r="F281" s="1488"/>
      <c r="G281" s="1489"/>
      <c r="H281" s="1490"/>
      <c r="I281" s="1487"/>
      <c r="J281" s="1488"/>
      <c r="K281" s="1489"/>
      <c r="L281" s="1490"/>
      <c r="M281" s="1487"/>
      <c r="N281" s="1488"/>
      <c r="O281" s="1489"/>
      <c r="P281" s="1490"/>
      <c r="Q281" s="1399"/>
      <c r="X281" s="1445" t="e">
        <f ca="1"/>
        <v>#NAME?</v>
      </c>
      <c r="Y281" s="1446" t="e">
        <f ca="1"/>
        <v>#NAME?</v>
      </c>
      <c r="Z281" s="1408"/>
      <c r="AB281" s="1399"/>
      <c r="AC281" s="1399"/>
      <c r="AD281" s="1399"/>
      <c r="AE281" s="1399"/>
    </row>
    <row r="282" spans="1:31">
      <c r="A282" s="1487"/>
      <c r="B282" s="1488"/>
      <c r="C282" s="1489"/>
      <c r="D282" s="1490"/>
      <c r="E282" s="1487"/>
      <c r="F282" s="1488"/>
      <c r="G282" s="1489"/>
      <c r="H282" s="1490"/>
      <c r="I282" s="1487"/>
      <c r="J282" s="1488"/>
      <c r="K282" s="1489"/>
      <c r="L282" s="1490"/>
      <c r="M282" s="1487"/>
      <c r="N282" s="1488"/>
      <c r="O282" s="1489"/>
      <c r="P282" s="1490"/>
      <c r="Q282" s="1399"/>
      <c r="X282" s="1445" t="e">
        <f ca="1"/>
        <v>#NAME?</v>
      </c>
      <c r="Y282" s="1446" t="e">
        <f ca="1"/>
        <v>#NAME?</v>
      </c>
      <c r="Z282" s="1408"/>
      <c r="AB282" s="1399"/>
      <c r="AC282" s="1399"/>
      <c r="AD282" s="1399"/>
      <c r="AE282" s="1399"/>
    </row>
    <row r="283" spans="1:31">
      <c r="A283" s="1487"/>
      <c r="B283" s="1488"/>
      <c r="C283" s="1489"/>
      <c r="D283" s="1490"/>
      <c r="E283" s="1487"/>
      <c r="F283" s="1488"/>
      <c r="G283" s="1489"/>
      <c r="H283" s="1490"/>
      <c r="I283" s="1487"/>
      <c r="J283" s="1488"/>
      <c r="K283" s="1489"/>
      <c r="L283" s="1490"/>
      <c r="M283" s="1487"/>
      <c r="N283" s="1488"/>
      <c r="O283" s="1489"/>
      <c r="P283" s="1490"/>
      <c r="Q283" s="1399"/>
      <c r="X283" s="1445" t="e">
        <f ca="1"/>
        <v>#NAME?</v>
      </c>
      <c r="Y283" s="1446" t="e">
        <f ca="1"/>
        <v>#NAME?</v>
      </c>
      <c r="Z283" s="1408"/>
      <c r="AB283" s="1399"/>
      <c r="AC283" s="1399"/>
      <c r="AD283" s="1399"/>
      <c r="AE283" s="1399"/>
    </row>
    <row r="284" spans="1:31">
      <c r="A284" s="1487"/>
      <c r="B284" s="1488"/>
      <c r="C284" s="1489"/>
      <c r="D284" s="1490"/>
      <c r="E284" s="1487"/>
      <c r="F284" s="1488"/>
      <c r="G284" s="1489"/>
      <c r="H284" s="1490"/>
      <c r="I284" s="1487"/>
      <c r="J284" s="1488"/>
      <c r="K284" s="1489"/>
      <c r="L284" s="1490"/>
      <c r="M284" s="1487"/>
      <c r="N284" s="1488"/>
      <c r="O284" s="1489"/>
      <c r="P284" s="1490"/>
      <c r="Q284" s="1399"/>
      <c r="X284" s="1445" t="e">
        <f ca="1"/>
        <v>#NAME?</v>
      </c>
      <c r="Y284" s="1446" t="e">
        <f ca="1"/>
        <v>#NAME?</v>
      </c>
      <c r="Z284" s="1408"/>
      <c r="AB284" s="1399"/>
      <c r="AC284" s="1399"/>
      <c r="AD284" s="1399"/>
      <c r="AE284" s="1399"/>
    </row>
    <row r="285" spans="1:31">
      <c r="A285" s="1487"/>
      <c r="B285" s="1488"/>
      <c r="C285" s="1489"/>
      <c r="D285" s="1490"/>
      <c r="E285" s="1487"/>
      <c r="F285" s="1488"/>
      <c r="G285" s="1489"/>
      <c r="H285" s="1490"/>
      <c r="I285" s="1487"/>
      <c r="J285" s="1488"/>
      <c r="K285" s="1489"/>
      <c r="L285" s="1490"/>
      <c r="M285" s="1487"/>
      <c r="N285" s="1488"/>
      <c r="O285" s="1489"/>
      <c r="P285" s="1490"/>
      <c r="Q285" s="1399"/>
      <c r="X285" s="1445" t="e">
        <f ca="1"/>
        <v>#NAME?</v>
      </c>
      <c r="Y285" s="1446" t="e">
        <f ca="1"/>
        <v>#NAME?</v>
      </c>
      <c r="Z285" s="1408"/>
      <c r="AB285" s="1399"/>
      <c r="AC285" s="1399"/>
      <c r="AD285" s="1399"/>
      <c r="AE285" s="1399"/>
    </row>
    <row r="286" spans="1:31">
      <c r="A286" s="1487"/>
      <c r="B286" s="1488"/>
      <c r="C286" s="1489"/>
      <c r="D286" s="1490"/>
      <c r="E286" s="1487"/>
      <c r="F286" s="1488"/>
      <c r="G286" s="1489"/>
      <c r="H286" s="1490"/>
      <c r="I286" s="1487"/>
      <c r="J286" s="1488"/>
      <c r="K286" s="1489"/>
      <c r="L286" s="1490"/>
      <c r="M286" s="1487"/>
      <c r="N286" s="1488"/>
      <c r="O286" s="1489"/>
      <c r="P286" s="1490"/>
      <c r="Q286" s="1399"/>
      <c r="X286" s="1445" t="e">
        <f ca="1"/>
        <v>#NAME?</v>
      </c>
      <c r="Y286" s="1446" t="e">
        <f ca="1"/>
        <v>#NAME?</v>
      </c>
      <c r="Z286" s="1408"/>
      <c r="AB286" s="1399"/>
      <c r="AC286" s="1399"/>
      <c r="AD286" s="1399"/>
      <c r="AE286" s="1399"/>
    </row>
    <row r="287" spans="1:31">
      <c r="A287" s="1487"/>
      <c r="B287" s="1488"/>
      <c r="C287" s="1489"/>
      <c r="D287" s="1490"/>
      <c r="E287" s="1487"/>
      <c r="F287" s="1488"/>
      <c r="G287" s="1489"/>
      <c r="H287" s="1490"/>
      <c r="I287" s="1487"/>
      <c r="J287" s="1488"/>
      <c r="K287" s="1489"/>
      <c r="L287" s="1490"/>
      <c r="M287" s="1487"/>
      <c r="N287" s="1488"/>
      <c r="O287" s="1489"/>
      <c r="P287" s="1490"/>
      <c r="Q287" s="1399"/>
      <c r="X287" s="1445" t="e">
        <f ca="1"/>
        <v>#NAME?</v>
      </c>
      <c r="Y287" s="1446" t="e">
        <f ca="1"/>
        <v>#NAME?</v>
      </c>
      <c r="Z287" s="1408"/>
      <c r="AB287" s="1399"/>
      <c r="AC287" s="1399"/>
      <c r="AD287" s="1399"/>
      <c r="AE287" s="1399"/>
    </row>
    <row r="288" spans="1:31">
      <c r="A288" s="1487"/>
      <c r="B288" s="1488"/>
      <c r="C288" s="1489"/>
      <c r="D288" s="1490"/>
      <c r="E288" s="1487"/>
      <c r="F288" s="1488"/>
      <c r="G288" s="1489"/>
      <c r="H288" s="1490"/>
      <c r="I288" s="1487"/>
      <c r="J288" s="1488"/>
      <c r="K288" s="1489"/>
      <c r="L288" s="1490"/>
      <c r="M288" s="1487"/>
      <c r="N288" s="1488"/>
      <c r="O288" s="1489"/>
      <c r="P288" s="1490"/>
      <c r="Q288" s="1399"/>
      <c r="X288" s="1445" t="e">
        <f ca="1"/>
        <v>#NAME?</v>
      </c>
      <c r="Y288" s="1446" t="e">
        <f ca="1"/>
        <v>#NAME?</v>
      </c>
      <c r="Z288" s="1408"/>
      <c r="AB288" s="1399"/>
      <c r="AC288" s="1399"/>
      <c r="AD288" s="1399"/>
      <c r="AE288" s="1399"/>
    </row>
    <row r="289" spans="1:31">
      <c r="A289" s="1487"/>
      <c r="B289" s="1488"/>
      <c r="C289" s="1489"/>
      <c r="D289" s="1490"/>
      <c r="E289" s="1487"/>
      <c r="F289" s="1488"/>
      <c r="G289" s="1489"/>
      <c r="H289" s="1490"/>
      <c r="I289" s="1487"/>
      <c r="J289" s="1488"/>
      <c r="K289" s="1489"/>
      <c r="L289" s="1490"/>
      <c r="M289" s="1487"/>
      <c r="N289" s="1488"/>
      <c r="O289" s="1489"/>
      <c r="P289" s="1490"/>
      <c r="Q289" s="1399"/>
      <c r="X289" s="1445" t="e">
        <f ca="1"/>
        <v>#NAME?</v>
      </c>
      <c r="Y289" s="1446" t="e">
        <f ca="1"/>
        <v>#NAME?</v>
      </c>
      <c r="Z289" s="1408"/>
      <c r="AB289" s="1399"/>
      <c r="AC289" s="1399"/>
      <c r="AD289" s="1399"/>
      <c r="AE289" s="1399"/>
    </row>
    <row r="290" spans="1:31">
      <c r="A290" s="1487"/>
      <c r="B290" s="1488"/>
      <c r="C290" s="1489"/>
      <c r="D290" s="1490"/>
      <c r="E290" s="1487"/>
      <c r="F290" s="1488"/>
      <c r="G290" s="1489"/>
      <c r="H290" s="1490"/>
      <c r="I290" s="1487"/>
      <c r="J290" s="1488"/>
      <c r="K290" s="1489"/>
      <c r="L290" s="1490"/>
      <c r="M290" s="1487"/>
      <c r="N290" s="1488"/>
      <c r="O290" s="1489"/>
      <c r="P290" s="1490"/>
      <c r="Q290" s="1399"/>
      <c r="X290" s="1445" t="e">
        <f ca="1"/>
        <v>#NAME?</v>
      </c>
      <c r="Y290" s="1446" t="e">
        <f ca="1"/>
        <v>#NAME?</v>
      </c>
      <c r="Z290" s="1408"/>
      <c r="AB290" s="1399"/>
      <c r="AC290" s="1399"/>
      <c r="AD290" s="1399"/>
      <c r="AE290" s="1399"/>
    </row>
    <row r="291" spans="1:31">
      <c r="A291" s="1487"/>
      <c r="B291" s="1488"/>
      <c r="C291" s="1489"/>
      <c r="D291" s="1490"/>
      <c r="E291" s="1487"/>
      <c r="F291" s="1488"/>
      <c r="G291" s="1489"/>
      <c r="H291" s="1490"/>
      <c r="I291" s="1487"/>
      <c r="J291" s="1488"/>
      <c r="K291" s="1489"/>
      <c r="L291" s="1490"/>
      <c r="M291" s="1487"/>
      <c r="N291" s="1488"/>
      <c r="O291" s="1489"/>
      <c r="P291" s="1490"/>
      <c r="Q291" s="1399"/>
      <c r="X291" s="1445" t="e">
        <f ca="1"/>
        <v>#NAME?</v>
      </c>
      <c r="Y291" s="1446" t="e">
        <f ca="1"/>
        <v>#NAME?</v>
      </c>
      <c r="Z291" s="1408"/>
      <c r="AB291" s="1399"/>
      <c r="AC291" s="1399"/>
      <c r="AD291" s="1399"/>
      <c r="AE291" s="1399"/>
    </row>
    <row r="292" spans="1:31">
      <c r="A292" s="1487"/>
      <c r="B292" s="1488"/>
      <c r="C292" s="1489"/>
      <c r="D292" s="1490"/>
      <c r="E292" s="1487"/>
      <c r="F292" s="1488"/>
      <c r="G292" s="1489"/>
      <c r="H292" s="1490"/>
      <c r="I292" s="1487"/>
      <c r="J292" s="1488"/>
      <c r="K292" s="1489"/>
      <c r="L292" s="1490"/>
      <c r="M292" s="1487"/>
      <c r="N292" s="1488"/>
      <c r="O292" s="1489"/>
      <c r="P292" s="1490"/>
      <c r="Q292" s="1399"/>
      <c r="X292" s="1445" t="e">
        <f ca="1"/>
        <v>#NAME?</v>
      </c>
      <c r="Y292" s="1446" t="e">
        <f ca="1"/>
        <v>#NAME?</v>
      </c>
      <c r="Z292" s="1408"/>
      <c r="AB292" s="1399"/>
      <c r="AC292" s="1399"/>
      <c r="AD292" s="1399"/>
      <c r="AE292" s="1399"/>
    </row>
    <row r="293" spans="1:31">
      <c r="A293" s="1487"/>
      <c r="B293" s="1488"/>
      <c r="C293" s="1489"/>
      <c r="D293" s="1490"/>
      <c r="E293" s="1487"/>
      <c r="F293" s="1488"/>
      <c r="G293" s="1489"/>
      <c r="H293" s="1490"/>
      <c r="I293" s="1487"/>
      <c r="J293" s="1488"/>
      <c r="K293" s="1489"/>
      <c r="L293" s="1490"/>
      <c r="M293" s="1487"/>
      <c r="N293" s="1488"/>
      <c r="O293" s="1489"/>
      <c r="P293" s="1490"/>
      <c r="Q293" s="1399"/>
      <c r="X293" s="1445" t="e">
        <f ca="1"/>
        <v>#NAME?</v>
      </c>
      <c r="Y293" s="1446" t="e">
        <f ca="1"/>
        <v>#NAME?</v>
      </c>
      <c r="Z293" s="1408"/>
      <c r="AB293" s="1399"/>
      <c r="AC293" s="1399"/>
      <c r="AD293" s="1399"/>
      <c r="AE293" s="1399"/>
    </row>
    <row r="294" spans="1:31">
      <c r="A294" s="1487"/>
      <c r="B294" s="1488"/>
      <c r="C294" s="1489"/>
      <c r="D294" s="1490"/>
      <c r="E294" s="1487"/>
      <c r="F294" s="1488"/>
      <c r="G294" s="1489"/>
      <c r="H294" s="1490"/>
      <c r="I294" s="1487"/>
      <c r="J294" s="1488"/>
      <c r="K294" s="1489"/>
      <c r="L294" s="1490"/>
      <c r="M294" s="1487"/>
      <c r="N294" s="1488"/>
      <c r="O294" s="1489"/>
      <c r="P294" s="1490"/>
      <c r="Q294" s="1399"/>
      <c r="X294" s="1445" t="e">
        <f ca="1"/>
        <v>#NAME?</v>
      </c>
      <c r="Y294" s="1446" t="e">
        <f ca="1"/>
        <v>#NAME?</v>
      </c>
      <c r="Z294" s="1408"/>
      <c r="AB294" s="1399"/>
      <c r="AC294" s="1399"/>
      <c r="AD294" s="1399"/>
      <c r="AE294" s="1399"/>
    </row>
    <row r="295" spans="1:31">
      <c r="A295" s="1487"/>
      <c r="B295" s="1488"/>
      <c r="C295" s="1489"/>
      <c r="D295" s="1490"/>
      <c r="E295" s="1487"/>
      <c r="F295" s="1488"/>
      <c r="G295" s="1489"/>
      <c r="H295" s="1490"/>
      <c r="I295" s="1487"/>
      <c r="J295" s="1488"/>
      <c r="K295" s="1489"/>
      <c r="L295" s="1490"/>
      <c r="M295" s="1487"/>
      <c r="N295" s="1488"/>
      <c r="O295" s="1489"/>
      <c r="P295" s="1490"/>
      <c r="Q295" s="1399"/>
      <c r="X295" s="1445" t="e">
        <f ca="1"/>
        <v>#NAME?</v>
      </c>
      <c r="Y295" s="1446" t="e">
        <f ca="1"/>
        <v>#NAME?</v>
      </c>
      <c r="Z295" s="1408"/>
      <c r="AB295" s="1399"/>
      <c r="AC295" s="1399"/>
      <c r="AD295" s="1399"/>
      <c r="AE295" s="1399"/>
    </row>
    <row r="296" spans="1:31">
      <c r="A296" s="1487"/>
      <c r="B296" s="1488"/>
      <c r="C296" s="1489"/>
      <c r="D296" s="1490"/>
      <c r="E296" s="1487"/>
      <c r="F296" s="1488"/>
      <c r="G296" s="1489"/>
      <c r="H296" s="1490"/>
      <c r="I296" s="1487"/>
      <c r="J296" s="1488"/>
      <c r="K296" s="1489"/>
      <c r="L296" s="1490"/>
      <c r="M296" s="1487"/>
      <c r="N296" s="1488"/>
      <c r="O296" s="1489"/>
      <c r="P296" s="1490"/>
      <c r="Q296" s="1399"/>
      <c r="X296" s="1445" t="e">
        <f ca="1"/>
        <v>#NAME?</v>
      </c>
      <c r="Y296" s="1446" t="e">
        <f ca="1"/>
        <v>#NAME?</v>
      </c>
      <c r="Z296" s="1408"/>
      <c r="AB296" s="1399"/>
      <c r="AC296" s="1399"/>
      <c r="AD296" s="1399"/>
      <c r="AE296" s="1399"/>
    </row>
    <row r="297" spans="1:31">
      <c r="A297" s="1487"/>
      <c r="B297" s="1488"/>
      <c r="C297" s="1489"/>
      <c r="D297" s="1490"/>
      <c r="E297" s="1487"/>
      <c r="F297" s="1488"/>
      <c r="G297" s="1489"/>
      <c r="H297" s="1490"/>
      <c r="I297" s="1487"/>
      <c r="J297" s="1488"/>
      <c r="K297" s="1489"/>
      <c r="L297" s="1490"/>
      <c r="M297" s="1487"/>
      <c r="N297" s="1488"/>
      <c r="O297" s="1489"/>
      <c r="P297" s="1490"/>
      <c r="Q297" s="1399"/>
      <c r="X297" s="1445" t="e">
        <f ca="1"/>
        <v>#NAME?</v>
      </c>
      <c r="Y297" s="1446" t="e">
        <f ca="1"/>
        <v>#NAME?</v>
      </c>
      <c r="Z297" s="1408"/>
      <c r="AB297" s="1399"/>
      <c r="AC297" s="1399"/>
      <c r="AD297" s="1399"/>
      <c r="AE297" s="1399"/>
    </row>
    <row r="298" spans="1:31">
      <c r="A298" s="1487"/>
      <c r="B298" s="1488"/>
      <c r="C298" s="1489"/>
      <c r="D298" s="1490"/>
      <c r="E298" s="1487"/>
      <c r="F298" s="1488"/>
      <c r="G298" s="1489"/>
      <c r="H298" s="1490"/>
      <c r="I298" s="1487"/>
      <c r="J298" s="1488"/>
      <c r="K298" s="1489"/>
      <c r="L298" s="1490"/>
      <c r="M298" s="1487"/>
      <c r="N298" s="1488"/>
      <c r="O298" s="1489"/>
      <c r="P298" s="1490"/>
      <c r="Q298" s="1399"/>
      <c r="X298" s="1445" t="e">
        <f ca="1"/>
        <v>#NAME?</v>
      </c>
      <c r="Y298" s="1446" t="e">
        <f ca="1"/>
        <v>#NAME?</v>
      </c>
      <c r="Z298" s="1408"/>
      <c r="AB298" s="1399"/>
      <c r="AC298" s="1399"/>
      <c r="AD298" s="1399"/>
      <c r="AE298" s="1399"/>
    </row>
    <row r="299" spans="1:31">
      <c r="A299" s="1487"/>
      <c r="B299" s="1488"/>
      <c r="C299" s="1489"/>
      <c r="D299" s="1490"/>
      <c r="E299" s="1487"/>
      <c r="F299" s="1488"/>
      <c r="G299" s="1489"/>
      <c r="H299" s="1490"/>
      <c r="I299" s="1487"/>
      <c r="J299" s="1488"/>
      <c r="K299" s="1489"/>
      <c r="L299" s="1490"/>
      <c r="M299" s="1487"/>
      <c r="N299" s="1488"/>
      <c r="O299" s="1489"/>
      <c r="P299" s="1490"/>
      <c r="Q299" s="1399"/>
      <c r="X299" s="1445" t="e">
        <f ca="1"/>
        <v>#NAME?</v>
      </c>
      <c r="Y299" s="1446" t="e">
        <f ca="1"/>
        <v>#NAME?</v>
      </c>
      <c r="Z299" s="1408"/>
      <c r="AB299" s="1399"/>
      <c r="AC299" s="1399"/>
      <c r="AD299" s="1399"/>
      <c r="AE299" s="1399"/>
    </row>
    <row r="300" spans="1:31">
      <c r="A300" s="1487"/>
      <c r="B300" s="1488"/>
      <c r="C300" s="1489"/>
      <c r="D300" s="1490"/>
      <c r="E300" s="1487"/>
      <c r="F300" s="1488"/>
      <c r="G300" s="1489"/>
      <c r="H300" s="1490"/>
      <c r="I300" s="1487"/>
      <c r="J300" s="1488"/>
      <c r="K300" s="1489"/>
      <c r="L300" s="1490"/>
      <c r="M300" s="1487"/>
      <c r="N300" s="1488"/>
      <c r="O300" s="1489"/>
      <c r="P300" s="1490"/>
      <c r="Q300" s="1399"/>
      <c r="X300" s="1445" t="e">
        <f ca="1"/>
        <v>#NAME?</v>
      </c>
      <c r="Y300" s="1446" t="e">
        <f ca="1"/>
        <v>#NAME?</v>
      </c>
      <c r="Z300" s="1408"/>
      <c r="AB300" s="1399"/>
      <c r="AC300" s="1399"/>
      <c r="AD300" s="1399"/>
      <c r="AE300" s="1399"/>
    </row>
    <row r="301" spans="1:31">
      <c r="A301" s="1487"/>
      <c r="B301" s="1488"/>
      <c r="C301" s="1489"/>
      <c r="D301" s="1490"/>
      <c r="E301" s="1487"/>
      <c r="F301" s="1488"/>
      <c r="G301" s="1489"/>
      <c r="H301" s="1490"/>
      <c r="I301" s="1487"/>
      <c r="J301" s="1488"/>
      <c r="K301" s="1489"/>
      <c r="L301" s="1490"/>
      <c r="M301" s="1487"/>
      <c r="N301" s="1488"/>
      <c r="O301" s="1489"/>
      <c r="P301" s="1490"/>
      <c r="Q301" s="1399"/>
      <c r="X301" s="1445" t="e">
        <f ca="1"/>
        <v>#NAME?</v>
      </c>
      <c r="Y301" s="1446" t="e">
        <f ca="1"/>
        <v>#NAME?</v>
      </c>
      <c r="Z301" s="1408"/>
      <c r="AB301" s="1399"/>
      <c r="AC301" s="1399"/>
      <c r="AD301" s="1399"/>
      <c r="AE301" s="1399"/>
    </row>
    <row r="302" spans="1:31">
      <c r="A302" s="1487"/>
      <c r="B302" s="1488"/>
      <c r="C302" s="1489"/>
      <c r="D302" s="1490"/>
      <c r="E302" s="1487"/>
      <c r="F302" s="1488"/>
      <c r="G302" s="1489"/>
      <c r="H302" s="1490"/>
      <c r="I302" s="1487"/>
      <c r="J302" s="1488"/>
      <c r="K302" s="1489"/>
      <c r="L302" s="1490"/>
      <c r="M302" s="1487"/>
      <c r="N302" s="1488"/>
      <c r="O302" s="1489"/>
      <c r="P302" s="1490"/>
      <c r="Q302" s="1399"/>
      <c r="X302" s="1445" t="e">
        <f ca="1"/>
        <v>#NAME?</v>
      </c>
      <c r="Y302" s="1446" t="e">
        <f ca="1"/>
        <v>#NAME?</v>
      </c>
      <c r="Z302" s="1408"/>
      <c r="AB302" s="1399"/>
      <c r="AC302" s="1399"/>
      <c r="AD302" s="1399"/>
      <c r="AE302" s="1399"/>
    </row>
    <row r="303" spans="1:31">
      <c r="A303" s="1487"/>
      <c r="B303" s="1488"/>
      <c r="C303" s="1489"/>
      <c r="D303" s="1490"/>
      <c r="E303" s="1487"/>
      <c r="F303" s="1488"/>
      <c r="G303" s="1489"/>
      <c r="H303" s="1490"/>
      <c r="I303" s="1487"/>
      <c r="J303" s="1488"/>
      <c r="K303" s="1489"/>
      <c r="L303" s="1490"/>
      <c r="M303" s="1487"/>
      <c r="N303" s="1488"/>
      <c r="O303" s="1489"/>
      <c r="P303" s="1490"/>
      <c r="Q303" s="1399"/>
      <c r="X303" s="1445" t="e">
        <f ca="1"/>
        <v>#NAME?</v>
      </c>
      <c r="Y303" s="1446" t="e">
        <f ca="1"/>
        <v>#NAME?</v>
      </c>
      <c r="Z303" s="1408"/>
      <c r="AB303" s="1399"/>
      <c r="AC303" s="1399"/>
      <c r="AD303" s="1399"/>
      <c r="AE303" s="1399"/>
    </row>
    <row r="304" spans="1:31">
      <c r="A304" s="1487"/>
      <c r="B304" s="1488"/>
      <c r="C304" s="1489"/>
      <c r="D304" s="1490"/>
      <c r="E304" s="1487"/>
      <c r="F304" s="1488"/>
      <c r="G304" s="1489"/>
      <c r="H304" s="1490"/>
      <c r="I304" s="1487"/>
      <c r="J304" s="1488"/>
      <c r="K304" s="1489"/>
      <c r="L304" s="1490"/>
      <c r="M304" s="1487"/>
      <c r="N304" s="1488"/>
      <c r="O304" s="1489"/>
      <c r="P304" s="1490"/>
      <c r="Q304" s="1399"/>
      <c r="X304" s="1445" t="e">
        <f ca="1"/>
        <v>#NAME?</v>
      </c>
      <c r="Y304" s="1446" t="e">
        <f ca="1"/>
        <v>#NAME?</v>
      </c>
      <c r="Z304" s="1408"/>
      <c r="AB304" s="1399"/>
      <c r="AC304" s="1399"/>
      <c r="AD304" s="1399"/>
      <c r="AE304" s="1399"/>
    </row>
    <row r="305" spans="1:31">
      <c r="A305" s="1487"/>
      <c r="B305" s="1488"/>
      <c r="C305" s="1489"/>
      <c r="D305" s="1490"/>
      <c r="E305" s="1487"/>
      <c r="F305" s="1488"/>
      <c r="G305" s="1489"/>
      <c r="H305" s="1490"/>
      <c r="I305" s="1487"/>
      <c r="J305" s="1488"/>
      <c r="K305" s="1489"/>
      <c r="L305" s="1490"/>
      <c r="M305" s="1487"/>
      <c r="N305" s="1488"/>
      <c r="O305" s="1489"/>
      <c r="P305" s="1490"/>
      <c r="Q305" s="1399"/>
      <c r="X305" s="1445" t="e">
        <f ca="1"/>
        <v>#NAME?</v>
      </c>
      <c r="Y305" s="1446" t="e">
        <f ca="1"/>
        <v>#NAME?</v>
      </c>
      <c r="Z305" s="1408"/>
      <c r="AB305" s="1399"/>
      <c r="AC305" s="1399"/>
      <c r="AD305" s="1399"/>
      <c r="AE305" s="1399"/>
    </row>
    <row r="306" spans="1:31">
      <c r="A306" s="1487"/>
      <c r="B306" s="1488"/>
      <c r="C306" s="1489"/>
      <c r="D306" s="1490"/>
      <c r="E306" s="1487"/>
      <c r="F306" s="1488"/>
      <c r="G306" s="1489"/>
      <c r="H306" s="1490"/>
      <c r="I306" s="1487"/>
      <c r="J306" s="1488"/>
      <c r="K306" s="1489"/>
      <c r="L306" s="1490"/>
      <c r="M306" s="1487"/>
      <c r="N306" s="1488"/>
      <c r="O306" s="1489"/>
      <c r="P306" s="1490"/>
      <c r="Q306" s="1399"/>
      <c r="X306" s="1445" t="e">
        <f ca="1"/>
        <v>#NAME?</v>
      </c>
      <c r="Y306" s="1446" t="e">
        <f ca="1"/>
        <v>#NAME?</v>
      </c>
      <c r="Z306" s="1408"/>
      <c r="AB306" s="1399"/>
      <c r="AC306" s="1399"/>
      <c r="AD306" s="1399"/>
      <c r="AE306" s="1399"/>
    </row>
    <row r="307" spans="1:31">
      <c r="A307" s="1487"/>
      <c r="B307" s="1488"/>
      <c r="C307" s="1489"/>
      <c r="D307" s="1490"/>
      <c r="E307" s="1487"/>
      <c r="F307" s="1488"/>
      <c r="G307" s="1489"/>
      <c r="H307" s="1490"/>
      <c r="I307" s="1487"/>
      <c r="J307" s="1488"/>
      <c r="K307" s="1489"/>
      <c r="L307" s="1490"/>
      <c r="M307" s="1487"/>
      <c r="N307" s="1488"/>
      <c r="O307" s="1489"/>
      <c r="P307" s="1490"/>
      <c r="Q307" s="1399"/>
      <c r="X307" s="1445" t="e">
        <f ca="1"/>
        <v>#NAME?</v>
      </c>
      <c r="Y307" s="1446" t="e">
        <f ca="1"/>
        <v>#NAME?</v>
      </c>
      <c r="Z307" s="1408"/>
      <c r="AB307" s="1399"/>
      <c r="AC307" s="1399"/>
      <c r="AD307" s="1399"/>
      <c r="AE307" s="1399"/>
    </row>
    <row r="308" spans="1:31">
      <c r="A308" s="1487"/>
      <c r="B308" s="1488"/>
      <c r="C308" s="1489"/>
      <c r="D308" s="1490"/>
      <c r="E308" s="1487"/>
      <c r="F308" s="1488"/>
      <c r="G308" s="1489"/>
      <c r="H308" s="1490"/>
      <c r="I308" s="1487"/>
      <c r="J308" s="1488"/>
      <c r="K308" s="1489"/>
      <c r="L308" s="1490"/>
      <c r="M308" s="1487"/>
      <c r="N308" s="1488"/>
      <c r="O308" s="1489"/>
      <c r="P308" s="1490"/>
      <c r="Q308" s="1399"/>
      <c r="X308" s="1445" t="e">
        <f ca="1"/>
        <v>#NAME?</v>
      </c>
      <c r="Y308" s="1446" t="e">
        <f ca="1"/>
        <v>#NAME?</v>
      </c>
      <c r="Z308" s="1408"/>
      <c r="AB308" s="1399"/>
      <c r="AC308" s="1399"/>
      <c r="AD308" s="1399"/>
      <c r="AE308" s="1399"/>
    </row>
    <row r="309" spans="1:31">
      <c r="A309" s="1487"/>
      <c r="B309" s="1488"/>
      <c r="C309" s="1489"/>
      <c r="D309" s="1490"/>
      <c r="E309" s="1487"/>
      <c r="F309" s="1488"/>
      <c r="G309" s="1489"/>
      <c r="H309" s="1490"/>
      <c r="I309" s="1487"/>
      <c r="J309" s="1488"/>
      <c r="K309" s="1489"/>
      <c r="L309" s="1490"/>
      <c r="M309" s="1487"/>
      <c r="N309" s="1488"/>
      <c r="O309" s="1489"/>
      <c r="P309" s="1490"/>
      <c r="Q309" s="1399"/>
      <c r="X309" s="1445" t="e">
        <f ca="1"/>
        <v>#NAME?</v>
      </c>
      <c r="Y309" s="1446" t="e">
        <f ca="1"/>
        <v>#NAME?</v>
      </c>
      <c r="Z309" s="1408"/>
      <c r="AB309" s="1399"/>
      <c r="AC309" s="1399"/>
      <c r="AD309" s="1399"/>
      <c r="AE309" s="1399"/>
    </row>
    <row r="310" spans="1:31">
      <c r="A310" s="1487"/>
      <c r="B310" s="1488"/>
      <c r="C310" s="1489"/>
      <c r="D310" s="1490"/>
      <c r="E310" s="1487"/>
      <c r="F310" s="1488"/>
      <c r="G310" s="1489"/>
      <c r="H310" s="1490"/>
      <c r="I310" s="1487"/>
      <c r="J310" s="1488"/>
      <c r="K310" s="1489"/>
      <c r="L310" s="1490"/>
      <c r="M310" s="1487"/>
      <c r="N310" s="1488"/>
      <c r="O310" s="1489"/>
      <c r="P310" s="1490"/>
      <c r="Q310" s="1399"/>
      <c r="X310" s="1445" t="e">
        <f ca="1"/>
        <v>#NAME?</v>
      </c>
      <c r="Y310" s="1446" t="e">
        <f ca="1"/>
        <v>#NAME?</v>
      </c>
      <c r="Z310" s="1408"/>
      <c r="AB310" s="1399"/>
      <c r="AC310" s="1399"/>
      <c r="AD310" s="1399"/>
      <c r="AE310" s="1399"/>
    </row>
    <row r="311" spans="1:31">
      <c r="A311" s="1487"/>
      <c r="B311" s="1488"/>
      <c r="C311" s="1489"/>
      <c r="D311" s="1490"/>
      <c r="E311" s="1487"/>
      <c r="F311" s="1488"/>
      <c r="G311" s="1489"/>
      <c r="H311" s="1490"/>
      <c r="I311" s="1487"/>
      <c r="J311" s="1488"/>
      <c r="K311" s="1489"/>
      <c r="L311" s="1490"/>
      <c r="M311" s="1487"/>
      <c r="N311" s="1488"/>
      <c r="O311" s="1489"/>
      <c r="P311" s="1490"/>
      <c r="Q311" s="1399"/>
      <c r="X311" s="1445" t="e">
        <f ca="1"/>
        <v>#NAME?</v>
      </c>
      <c r="Y311" s="1446" t="e">
        <f ca="1"/>
        <v>#NAME?</v>
      </c>
      <c r="Z311" s="1408"/>
      <c r="AB311" s="1399"/>
      <c r="AC311" s="1399"/>
      <c r="AD311" s="1399"/>
      <c r="AE311" s="1399"/>
    </row>
    <row r="312" spans="1:31">
      <c r="A312" s="1487"/>
      <c r="B312" s="1488"/>
      <c r="C312" s="1489"/>
      <c r="D312" s="1490"/>
      <c r="E312" s="1487"/>
      <c r="F312" s="1488"/>
      <c r="G312" s="1489"/>
      <c r="H312" s="1490"/>
      <c r="I312" s="1487"/>
      <c r="J312" s="1488"/>
      <c r="K312" s="1489"/>
      <c r="L312" s="1490"/>
      <c r="M312" s="1487"/>
      <c r="N312" s="1488"/>
      <c r="O312" s="1489"/>
      <c r="P312" s="1490"/>
      <c r="Q312" s="1399"/>
      <c r="X312" s="1445" t="e">
        <f ca="1"/>
        <v>#NAME?</v>
      </c>
      <c r="Y312" s="1446" t="e">
        <f ca="1"/>
        <v>#NAME?</v>
      </c>
      <c r="Z312" s="1408"/>
      <c r="AB312" s="1399"/>
      <c r="AC312" s="1399"/>
      <c r="AD312" s="1399"/>
      <c r="AE312" s="1399"/>
    </row>
    <row r="313" spans="1:31">
      <c r="A313" s="1487"/>
      <c r="B313" s="1488"/>
      <c r="C313" s="1489"/>
      <c r="D313" s="1490"/>
      <c r="E313" s="1487"/>
      <c r="F313" s="1488"/>
      <c r="G313" s="1489"/>
      <c r="H313" s="1490"/>
      <c r="I313" s="1487"/>
      <c r="J313" s="1488"/>
      <c r="K313" s="1489"/>
      <c r="L313" s="1490"/>
      <c r="M313" s="1487"/>
      <c r="N313" s="1488"/>
      <c r="O313" s="1489"/>
      <c r="P313" s="1490"/>
      <c r="Q313" s="1399"/>
      <c r="X313" s="1445" t="e">
        <f ca="1"/>
        <v>#NAME?</v>
      </c>
      <c r="Y313" s="1446" t="e">
        <f ca="1"/>
        <v>#NAME?</v>
      </c>
      <c r="Z313" s="1408"/>
      <c r="AB313" s="1399"/>
      <c r="AC313" s="1399"/>
      <c r="AD313" s="1399"/>
      <c r="AE313" s="1399"/>
    </row>
    <row r="314" spans="1:31">
      <c r="A314" s="1487"/>
      <c r="B314" s="1488"/>
      <c r="C314" s="1489"/>
      <c r="D314" s="1490"/>
      <c r="E314" s="1487"/>
      <c r="F314" s="1488"/>
      <c r="G314" s="1489"/>
      <c r="H314" s="1490"/>
      <c r="I314" s="1487"/>
      <c r="J314" s="1488"/>
      <c r="K314" s="1489"/>
      <c r="L314" s="1490"/>
      <c r="M314" s="1487"/>
      <c r="N314" s="1488"/>
      <c r="O314" s="1489"/>
      <c r="P314" s="1490"/>
      <c r="Q314" s="1399"/>
      <c r="X314" s="1445" t="e">
        <f ca="1"/>
        <v>#NAME?</v>
      </c>
      <c r="Y314" s="1446" t="e">
        <f ca="1"/>
        <v>#NAME?</v>
      </c>
      <c r="Z314" s="1408"/>
      <c r="AB314" s="1399"/>
      <c r="AC314" s="1399"/>
      <c r="AD314" s="1399"/>
      <c r="AE314" s="1399"/>
    </row>
    <row r="315" spans="1:31">
      <c r="A315" s="1487"/>
      <c r="B315" s="1488"/>
      <c r="C315" s="1489"/>
      <c r="D315" s="1490"/>
      <c r="E315" s="1487"/>
      <c r="F315" s="1488"/>
      <c r="G315" s="1489"/>
      <c r="H315" s="1490"/>
      <c r="I315" s="1487"/>
      <c r="J315" s="1488"/>
      <c r="K315" s="1489"/>
      <c r="L315" s="1490"/>
      <c r="M315" s="1487"/>
      <c r="N315" s="1488"/>
      <c r="O315" s="1489"/>
      <c r="P315" s="1490"/>
      <c r="Q315" s="1399"/>
      <c r="X315" s="1445" t="e">
        <f ca="1"/>
        <v>#NAME?</v>
      </c>
      <c r="Y315" s="1446" t="e">
        <f ca="1"/>
        <v>#NAME?</v>
      </c>
      <c r="Z315" s="1408"/>
      <c r="AB315" s="1399"/>
      <c r="AC315" s="1399"/>
      <c r="AD315" s="1399"/>
      <c r="AE315" s="1399"/>
    </row>
    <row r="316" spans="1:31">
      <c r="A316" s="1487"/>
      <c r="B316" s="1488"/>
      <c r="C316" s="1489"/>
      <c r="D316" s="1490"/>
      <c r="E316" s="1487"/>
      <c r="F316" s="1488"/>
      <c r="G316" s="1489"/>
      <c r="H316" s="1490"/>
      <c r="I316" s="1487"/>
      <c r="J316" s="1488"/>
      <c r="K316" s="1489"/>
      <c r="L316" s="1490"/>
      <c r="M316" s="1487"/>
      <c r="N316" s="1488"/>
      <c r="O316" s="1489"/>
      <c r="P316" s="1490"/>
      <c r="Q316" s="1399"/>
      <c r="X316" s="1445" t="e">
        <f ca="1"/>
        <v>#NAME?</v>
      </c>
      <c r="Y316" s="1446" t="e">
        <f ca="1"/>
        <v>#NAME?</v>
      </c>
      <c r="Z316" s="1408"/>
      <c r="AB316" s="1399"/>
      <c r="AC316" s="1399"/>
      <c r="AD316" s="1399"/>
      <c r="AE316" s="1399"/>
    </row>
    <row r="317" spans="1:31">
      <c r="A317" s="1487"/>
      <c r="B317" s="1488"/>
      <c r="C317" s="1489"/>
      <c r="D317" s="1490"/>
      <c r="E317" s="1487"/>
      <c r="F317" s="1488"/>
      <c r="G317" s="1489"/>
      <c r="H317" s="1490"/>
      <c r="I317" s="1487"/>
      <c r="J317" s="1488"/>
      <c r="K317" s="1489"/>
      <c r="L317" s="1490"/>
      <c r="M317" s="1487"/>
      <c r="N317" s="1488"/>
      <c r="O317" s="1489"/>
      <c r="P317" s="1490"/>
      <c r="Q317" s="1399"/>
      <c r="X317" s="1445" t="e">
        <f ca="1"/>
        <v>#NAME?</v>
      </c>
      <c r="Y317" s="1446" t="e">
        <f ca="1"/>
        <v>#NAME?</v>
      </c>
      <c r="Z317" s="1408"/>
      <c r="AB317" s="1399"/>
      <c r="AC317" s="1399"/>
      <c r="AD317" s="1399"/>
      <c r="AE317" s="1399"/>
    </row>
    <row r="318" spans="1:31">
      <c r="A318" s="1487"/>
      <c r="B318" s="1488"/>
      <c r="C318" s="1489"/>
      <c r="D318" s="1490"/>
      <c r="E318" s="1487"/>
      <c r="F318" s="1488"/>
      <c r="G318" s="1489"/>
      <c r="H318" s="1490"/>
      <c r="I318" s="1487"/>
      <c r="J318" s="1488"/>
      <c r="K318" s="1489"/>
      <c r="L318" s="1490"/>
      <c r="M318" s="1487"/>
      <c r="N318" s="1488"/>
      <c r="O318" s="1489"/>
      <c r="P318" s="1490"/>
      <c r="Q318" s="1399"/>
      <c r="X318" s="1445" t="e">
        <f ca="1"/>
        <v>#NAME?</v>
      </c>
      <c r="Y318" s="1446" t="e">
        <f ca="1"/>
        <v>#NAME?</v>
      </c>
      <c r="Z318" s="1408"/>
      <c r="AB318" s="1399"/>
      <c r="AC318" s="1399"/>
      <c r="AD318" s="1399"/>
      <c r="AE318" s="1399"/>
    </row>
    <row r="319" spans="1:31">
      <c r="A319" s="1487"/>
      <c r="B319" s="1488"/>
      <c r="C319" s="1489"/>
      <c r="D319" s="1490"/>
      <c r="E319" s="1487"/>
      <c r="F319" s="1488"/>
      <c r="G319" s="1489"/>
      <c r="H319" s="1490"/>
      <c r="I319" s="1487"/>
      <c r="J319" s="1488"/>
      <c r="K319" s="1489"/>
      <c r="L319" s="1490"/>
      <c r="M319" s="1487"/>
      <c r="N319" s="1488"/>
      <c r="O319" s="1489"/>
      <c r="P319" s="1490"/>
      <c r="Q319" s="1399"/>
      <c r="X319" s="1445" t="e">
        <f ca="1"/>
        <v>#NAME?</v>
      </c>
      <c r="Y319" s="1446" t="e">
        <f ca="1"/>
        <v>#NAME?</v>
      </c>
      <c r="Z319" s="1408"/>
      <c r="AB319" s="1399"/>
      <c r="AC319" s="1399"/>
      <c r="AD319" s="1399"/>
      <c r="AE319" s="1399"/>
    </row>
    <row r="320" spans="1:31">
      <c r="A320" s="1487"/>
      <c r="B320" s="1488"/>
      <c r="C320" s="1489"/>
      <c r="D320" s="1490"/>
      <c r="E320" s="1487"/>
      <c r="F320" s="1488"/>
      <c r="G320" s="1489"/>
      <c r="H320" s="1490"/>
      <c r="I320" s="1487"/>
      <c r="J320" s="1488"/>
      <c r="K320" s="1489"/>
      <c r="L320" s="1490"/>
      <c r="M320" s="1487"/>
      <c r="N320" s="1488"/>
      <c r="O320" s="1489"/>
      <c r="P320" s="1490"/>
      <c r="Q320" s="1399"/>
      <c r="X320" s="1445" t="e">
        <f ca="1"/>
        <v>#NAME?</v>
      </c>
      <c r="Y320" s="1446" t="e">
        <f ca="1"/>
        <v>#NAME?</v>
      </c>
      <c r="Z320" s="1408"/>
      <c r="AB320" s="1399"/>
      <c r="AC320" s="1399"/>
      <c r="AD320" s="1399"/>
      <c r="AE320" s="1399"/>
    </row>
    <row r="321" spans="1:31">
      <c r="A321" s="1487"/>
      <c r="B321" s="1488"/>
      <c r="C321" s="1489"/>
      <c r="D321" s="1490"/>
      <c r="E321" s="1487"/>
      <c r="F321" s="1488"/>
      <c r="G321" s="1489"/>
      <c r="H321" s="1490"/>
      <c r="I321" s="1487"/>
      <c r="J321" s="1488"/>
      <c r="K321" s="1489"/>
      <c r="L321" s="1490"/>
      <c r="M321" s="1487"/>
      <c r="N321" s="1488"/>
      <c r="O321" s="1489"/>
      <c r="P321" s="1490"/>
      <c r="Q321" s="1399"/>
      <c r="X321" s="1445" t="e">
        <f ca="1"/>
        <v>#NAME?</v>
      </c>
      <c r="Y321" s="1446" t="e">
        <f ca="1"/>
        <v>#NAME?</v>
      </c>
      <c r="Z321" s="1408"/>
      <c r="AB321" s="1399"/>
      <c r="AC321" s="1399"/>
      <c r="AD321" s="1399"/>
      <c r="AE321" s="1399"/>
    </row>
    <row r="322" spans="1:31">
      <c r="A322" s="1487"/>
      <c r="B322" s="1488"/>
      <c r="C322" s="1489"/>
      <c r="D322" s="1490"/>
      <c r="E322" s="1487"/>
      <c r="F322" s="1488"/>
      <c r="G322" s="1489"/>
      <c r="H322" s="1490"/>
      <c r="I322" s="1487"/>
      <c r="J322" s="1488"/>
      <c r="K322" s="1489"/>
      <c r="L322" s="1490"/>
      <c r="M322" s="1487"/>
      <c r="N322" s="1488"/>
      <c r="O322" s="1489"/>
      <c r="P322" s="1490"/>
      <c r="Q322" s="1399"/>
      <c r="X322" s="1445" t="e">
        <f ca="1"/>
        <v>#NAME?</v>
      </c>
      <c r="Y322" s="1446" t="e">
        <f ca="1"/>
        <v>#NAME?</v>
      </c>
      <c r="Z322" s="1408"/>
      <c r="AB322" s="1399"/>
      <c r="AC322" s="1399"/>
      <c r="AD322" s="1399"/>
      <c r="AE322" s="1399"/>
    </row>
    <row r="323" spans="1:31">
      <c r="A323" s="1487"/>
      <c r="B323" s="1488"/>
      <c r="C323" s="1489"/>
      <c r="D323" s="1490"/>
      <c r="E323" s="1487"/>
      <c r="F323" s="1488"/>
      <c r="G323" s="1489"/>
      <c r="H323" s="1490"/>
      <c r="I323" s="1487"/>
      <c r="J323" s="1488"/>
      <c r="K323" s="1489"/>
      <c r="L323" s="1490"/>
      <c r="M323" s="1487"/>
      <c r="N323" s="1488"/>
      <c r="O323" s="1489"/>
      <c r="P323" s="1490"/>
      <c r="Q323" s="1399"/>
      <c r="X323" s="1445" t="e">
        <f ca="1"/>
        <v>#NAME?</v>
      </c>
      <c r="Y323" s="1446" t="e">
        <f ca="1"/>
        <v>#NAME?</v>
      </c>
      <c r="Z323" s="1408"/>
      <c r="AB323" s="1399"/>
      <c r="AC323" s="1399"/>
      <c r="AD323" s="1399"/>
      <c r="AE323" s="1399"/>
    </row>
    <row r="324" spans="1:31">
      <c r="A324" s="1487"/>
      <c r="B324" s="1488"/>
      <c r="C324" s="1489"/>
      <c r="D324" s="1490"/>
      <c r="E324" s="1487"/>
      <c r="F324" s="1488"/>
      <c r="G324" s="1489"/>
      <c r="H324" s="1490"/>
      <c r="I324" s="1487"/>
      <c r="J324" s="1488"/>
      <c r="K324" s="1489"/>
      <c r="L324" s="1490"/>
      <c r="M324" s="1487"/>
      <c r="N324" s="1488"/>
      <c r="O324" s="1489"/>
      <c r="P324" s="1490"/>
      <c r="Q324" s="1399"/>
      <c r="X324" s="1445" t="e">
        <f ca="1"/>
        <v>#NAME?</v>
      </c>
      <c r="Y324" s="1446" t="e">
        <f ca="1"/>
        <v>#NAME?</v>
      </c>
      <c r="Z324" s="1408"/>
      <c r="AB324" s="1399"/>
      <c r="AC324" s="1399"/>
      <c r="AD324" s="1399"/>
      <c r="AE324" s="1399"/>
    </row>
    <row r="325" spans="1:31">
      <c r="A325" s="1487"/>
      <c r="B325" s="1488"/>
      <c r="C325" s="1489"/>
      <c r="D325" s="1490"/>
      <c r="E325" s="1487"/>
      <c r="F325" s="1488"/>
      <c r="G325" s="1489"/>
      <c r="H325" s="1490"/>
      <c r="I325" s="1487"/>
      <c r="J325" s="1488"/>
      <c r="K325" s="1489"/>
      <c r="L325" s="1490"/>
      <c r="M325" s="1487"/>
      <c r="N325" s="1488"/>
      <c r="O325" s="1489"/>
      <c r="P325" s="1490"/>
      <c r="Q325" s="1399"/>
      <c r="X325" s="1445" t="e">
        <f ca="1"/>
        <v>#NAME?</v>
      </c>
      <c r="Y325" s="1446" t="e">
        <f ca="1"/>
        <v>#NAME?</v>
      </c>
      <c r="Z325" s="1408"/>
      <c r="AB325" s="1399"/>
      <c r="AC325" s="1399"/>
      <c r="AD325" s="1399"/>
      <c r="AE325" s="1399"/>
    </row>
    <row r="326" spans="1:31">
      <c r="A326" s="1487"/>
      <c r="B326" s="1488"/>
      <c r="C326" s="1489"/>
      <c r="D326" s="1490"/>
      <c r="E326" s="1487"/>
      <c r="F326" s="1488"/>
      <c r="G326" s="1489"/>
      <c r="H326" s="1490"/>
      <c r="I326" s="1487"/>
      <c r="J326" s="1488"/>
      <c r="K326" s="1489"/>
      <c r="L326" s="1490"/>
      <c r="M326" s="1487"/>
      <c r="N326" s="1488"/>
      <c r="O326" s="1489"/>
      <c r="P326" s="1490"/>
      <c r="Q326" s="1399"/>
      <c r="X326" s="1445" t="e">
        <f ca="1"/>
        <v>#NAME?</v>
      </c>
      <c r="Y326" s="1446" t="e">
        <f ca="1"/>
        <v>#NAME?</v>
      </c>
      <c r="Z326" s="1408"/>
      <c r="AB326" s="1399"/>
      <c r="AC326" s="1399"/>
      <c r="AD326" s="1399"/>
      <c r="AE326" s="1399"/>
    </row>
    <row r="327" spans="1:31">
      <c r="A327" s="1487"/>
      <c r="B327" s="1488"/>
      <c r="C327" s="1489"/>
      <c r="D327" s="1490"/>
      <c r="E327" s="1487"/>
      <c r="F327" s="1488"/>
      <c r="G327" s="1489"/>
      <c r="H327" s="1490"/>
      <c r="I327" s="1487"/>
      <c r="J327" s="1488"/>
      <c r="K327" s="1489"/>
      <c r="L327" s="1490"/>
      <c r="M327" s="1487"/>
      <c r="N327" s="1488"/>
      <c r="O327" s="1489"/>
      <c r="P327" s="1490"/>
      <c r="Q327" s="1399"/>
      <c r="X327" s="1445" t="e">
        <f ca="1"/>
        <v>#NAME?</v>
      </c>
      <c r="Y327" s="1446" t="e">
        <f ca="1"/>
        <v>#NAME?</v>
      </c>
      <c r="Z327" s="1408"/>
      <c r="AB327" s="1399"/>
      <c r="AC327" s="1399"/>
      <c r="AD327" s="1399"/>
      <c r="AE327" s="1399"/>
    </row>
    <row r="328" spans="1:31">
      <c r="A328" s="1487"/>
      <c r="B328" s="1488"/>
      <c r="C328" s="1489"/>
      <c r="D328" s="1490"/>
      <c r="E328" s="1487"/>
      <c r="F328" s="1488"/>
      <c r="G328" s="1489"/>
      <c r="H328" s="1490"/>
      <c r="I328" s="1487"/>
      <c r="J328" s="1488"/>
      <c r="K328" s="1489"/>
      <c r="L328" s="1490"/>
      <c r="M328" s="1487"/>
      <c r="N328" s="1488"/>
      <c r="O328" s="1489"/>
      <c r="P328" s="1490"/>
      <c r="Q328" s="1399"/>
      <c r="X328" s="1445" t="e">
        <f ca="1"/>
        <v>#NAME?</v>
      </c>
      <c r="Y328" s="1446" t="e">
        <f ca="1"/>
        <v>#NAME?</v>
      </c>
      <c r="Z328" s="1408"/>
      <c r="AB328" s="1399"/>
      <c r="AC328" s="1399"/>
      <c r="AD328" s="1399"/>
      <c r="AE328" s="1399"/>
    </row>
    <row r="329" spans="1:31">
      <c r="A329" s="1487"/>
      <c r="B329" s="1488"/>
      <c r="C329" s="1489"/>
      <c r="D329" s="1490"/>
      <c r="E329" s="1487"/>
      <c r="F329" s="1488"/>
      <c r="G329" s="1489"/>
      <c r="H329" s="1490"/>
      <c r="I329" s="1487"/>
      <c r="J329" s="1488"/>
      <c r="K329" s="1489"/>
      <c r="L329" s="1490"/>
      <c r="M329" s="1487"/>
      <c r="N329" s="1488"/>
      <c r="O329" s="1489"/>
      <c r="P329" s="1490"/>
      <c r="Q329" s="1399"/>
      <c r="X329" s="1445" t="e">
        <f ca="1"/>
        <v>#NAME?</v>
      </c>
      <c r="Y329" s="1446" t="e">
        <f ca="1"/>
        <v>#NAME?</v>
      </c>
      <c r="Z329" s="1408"/>
      <c r="AB329" s="1399"/>
      <c r="AC329" s="1399"/>
      <c r="AD329" s="1399"/>
      <c r="AE329" s="1399"/>
    </row>
    <row r="330" spans="1:31">
      <c r="A330" s="1487"/>
      <c r="B330" s="1488"/>
      <c r="C330" s="1489"/>
      <c r="D330" s="1490"/>
      <c r="E330" s="1487"/>
      <c r="F330" s="1488"/>
      <c r="G330" s="1489"/>
      <c r="H330" s="1490"/>
      <c r="I330" s="1487"/>
      <c r="J330" s="1488"/>
      <c r="K330" s="1489"/>
      <c r="L330" s="1490"/>
      <c r="M330" s="1487"/>
      <c r="N330" s="1488"/>
      <c r="O330" s="1489"/>
      <c r="P330" s="1490"/>
      <c r="Q330" s="1399"/>
      <c r="X330" s="1445" t="e">
        <f ca="1"/>
        <v>#NAME?</v>
      </c>
      <c r="Y330" s="1446" t="e">
        <f ca="1"/>
        <v>#NAME?</v>
      </c>
      <c r="Z330" s="1408"/>
      <c r="AB330" s="1399"/>
      <c r="AC330" s="1399"/>
      <c r="AD330" s="1399"/>
      <c r="AE330" s="1399"/>
    </row>
    <row r="331" spans="1:31">
      <c r="A331" s="1487"/>
      <c r="B331" s="1488"/>
      <c r="C331" s="1489"/>
      <c r="D331" s="1490"/>
      <c r="E331" s="1487"/>
      <c r="F331" s="1488"/>
      <c r="G331" s="1489"/>
      <c r="H331" s="1490"/>
      <c r="I331" s="1487"/>
      <c r="J331" s="1488"/>
      <c r="K331" s="1489"/>
      <c r="L331" s="1490"/>
      <c r="M331" s="1487"/>
      <c r="N331" s="1488"/>
      <c r="O331" s="1489"/>
      <c r="P331" s="1490"/>
      <c r="Q331" s="1399"/>
      <c r="X331" s="1445" t="e">
        <f ca="1"/>
        <v>#NAME?</v>
      </c>
      <c r="Y331" s="1446" t="e">
        <f ca="1"/>
        <v>#NAME?</v>
      </c>
      <c r="Z331" s="1408"/>
      <c r="AB331" s="1399"/>
      <c r="AC331" s="1399"/>
      <c r="AD331" s="1399"/>
      <c r="AE331" s="1399"/>
    </row>
    <row r="332" spans="1:31">
      <c r="A332" s="1487"/>
      <c r="B332" s="1488"/>
      <c r="C332" s="1489"/>
      <c r="D332" s="1490"/>
      <c r="E332" s="1487"/>
      <c r="F332" s="1488"/>
      <c r="G332" s="1489"/>
      <c r="H332" s="1490"/>
      <c r="I332" s="1487"/>
      <c r="J332" s="1488"/>
      <c r="K332" s="1489"/>
      <c r="L332" s="1490"/>
      <c r="M332" s="1487"/>
      <c r="N332" s="1488"/>
      <c r="O332" s="1489"/>
      <c r="P332" s="1490"/>
      <c r="X332" s="1445" t="e">
        <f ca="1"/>
        <v>#NAME?</v>
      </c>
      <c r="Y332" s="1446" t="e">
        <f ca="1"/>
        <v>#NAME?</v>
      </c>
      <c r="Z332" s="1408"/>
    </row>
    <row r="333" spans="1:31">
      <c r="A333" s="1487"/>
      <c r="B333" s="1488"/>
      <c r="C333" s="1489"/>
      <c r="D333" s="1490"/>
      <c r="E333" s="1487"/>
      <c r="F333" s="1488"/>
      <c r="G333" s="1489"/>
      <c r="H333" s="1490"/>
      <c r="I333" s="1487"/>
      <c r="J333" s="1488"/>
      <c r="K333" s="1489"/>
      <c r="L333" s="1490"/>
      <c r="M333" s="1487"/>
      <c r="N333" s="1488"/>
      <c r="O333" s="1489"/>
      <c r="P333" s="1490"/>
      <c r="X333" s="1445" t="e">
        <f ca="1"/>
        <v>#NAME?</v>
      </c>
      <c r="Y333" s="1446" t="e">
        <f ca="1"/>
        <v>#NAME?</v>
      </c>
      <c r="Z333" s="1408"/>
    </row>
    <row r="334" spans="1:31">
      <c r="A334" s="1487"/>
      <c r="B334" s="1488"/>
      <c r="C334" s="1489"/>
      <c r="D334" s="1490"/>
      <c r="E334" s="1487"/>
      <c r="F334" s="1488"/>
      <c r="G334" s="1489"/>
      <c r="H334" s="1490"/>
      <c r="I334" s="1487"/>
      <c r="J334" s="1488"/>
      <c r="K334" s="1489"/>
      <c r="L334" s="1490"/>
      <c r="M334" s="1487"/>
      <c r="N334" s="1488"/>
      <c r="O334" s="1489"/>
      <c r="P334" s="1490"/>
      <c r="X334" s="1445" t="e">
        <f ca="1"/>
        <v>#NAME?</v>
      </c>
      <c r="Y334" s="1446" t="e">
        <f ca="1"/>
        <v>#NAME?</v>
      </c>
      <c r="Z334" s="1408"/>
    </row>
    <row r="335" spans="1:31">
      <c r="A335" s="1487"/>
      <c r="B335" s="1488"/>
      <c r="C335" s="1489"/>
      <c r="D335" s="1490"/>
      <c r="E335" s="1487"/>
      <c r="F335" s="1488"/>
      <c r="G335" s="1489"/>
      <c r="H335" s="1490"/>
      <c r="I335" s="1487"/>
      <c r="J335" s="1488"/>
      <c r="K335" s="1489"/>
      <c r="L335" s="1490"/>
      <c r="M335" s="1487"/>
      <c r="N335" s="1488"/>
      <c r="O335" s="1489"/>
      <c r="P335" s="1490"/>
      <c r="X335" s="1445" t="e">
        <f ca="1"/>
        <v>#NAME?</v>
      </c>
      <c r="Y335" s="1446" t="e">
        <f ca="1"/>
        <v>#NAME?</v>
      </c>
      <c r="Z335" s="1408"/>
    </row>
    <row r="336" spans="1:31">
      <c r="A336" s="1487"/>
      <c r="B336" s="1488"/>
      <c r="C336" s="1489"/>
      <c r="D336" s="1490"/>
      <c r="E336" s="1487"/>
      <c r="F336" s="1488"/>
      <c r="G336" s="1489"/>
      <c r="H336" s="1490"/>
      <c r="I336" s="1487"/>
      <c r="J336" s="1488"/>
      <c r="K336" s="1489"/>
      <c r="L336" s="1490"/>
      <c r="M336" s="1487"/>
      <c r="N336" s="1488"/>
      <c r="O336" s="1489"/>
      <c r="P336" s="1490"/>
      <c r="X336" s="1445" t="e">
        <f ca="1"/>
        <v>#NAME?</v>
      </c>
      <c r="Y336" s="1446" t="e">
        <f ca="1"/>
        <v>#NAME?</v>
      </c>
      <c r="Z336" s="1408"/>
    </row>
    <row r="337" spans="1:26">
      <c r="A337" s="1487"/>
      <c r="B337" s="1488"/>
      <c r="C337" s="1489"/>
      <c r="D337" s="1490"/>
      <c r="E337" s="1487"/>
      <c r="F337" s="1488"/>
      <c r="G337" s="1489"/>
      <c r="H337" s="1490"/>
      <c r="I337" s="1487"/>
      <c r="J337" s="1488"/>
      <c r="K337" s="1489"/>
      <c r="L337" s="1490"/>
      <c r="M337" s="1487"/>
      <c r="N337" s="1488"/>
      <c r="O337" s="1489"/>
      <c r="P337" s="1490"/>
      <c r="X337" s="1445" t="e">
        <f ca="1"/>
        <v>#NAME?</v>
      </c>
      <c r="Y337" s="1446" t="e">
        <f ca="1"/>
        <v>#NAME?</v>
      </c>
      <c r="Z337" s="1408"/>
    </row>
    <row r="338" spans="1:26">
      <c r="A338" s="1487"/>
      <c r="B338" s="1488"/>
      <c r="C338" s="1489"/>
      <c r="D338" s="1490"/>
      <c r="E338" s="1487"/>
      <c r="F338" s="1488"/>
      <c r="G338" s="1489"/>
      <c r="H338" s="1490"/>
      <c r="I338" s="1487"/>
      <c r="J338" s="1488"/>
      <c r="K338" s="1489"/>
      <c r="L338" s="1490"/>
      <c r="M338" s="1487"/>
      <c r="N338" s="1488"/>
      <c r="O338" s="1489"/>
      <c r="P338" s="1490"/>
      <c r="X338" s="1445" t="e">
        <f ca="1"/>
        <v>#NAME?</v>
      </c>
      <c r="Y338" s="1446" t="e">
        <f ca="1"/>
        <v>#NAME?</v>
      </c>
      <c r="Z338" s="1408"/>
    </row>
    <row r="339" spans="1:26">
      <c r="A339" s="1487"/>
      <c r="B339" s="1488"/>
      <c r="C339" s="1489"/>
      <c r="D339" s="1490"/>
      <c r="E339" s="1487"/>
      <c r="F339" s="1488"/>
      <c r="G339" s="1489"/>
      <c r="H339" s="1490"/>
      <c r="I339" s="1487"/>
      <c r="J339" s="1488"/>
      <c r="K339" s="1489"/>
      <c r="L339" s="1490"/>
      <c r="M339" s="1487"/>
      <c r="N339" s="1488"/>
      <c r="O339" s="1489"/>
      <c r="P339" s="1490"/>
      <c r="X339" s="1445" t="e">
        <f ca="1"/>
        <v>#NAME?</v>
      </c>
      <c r="Y339" s="1446" t="e">
        <f ca="1"/>
        <v>#NAME?</v>
      </c>
      <c r="Z339" s="1408"/>
    </row>
    <row r="340" spans="1:26">
      <c r="A340" s="1487"/>
      <c r="B340" s="1488"/>
      <c r="C340" s="1489"/>
      <c r="D340" s="1490"/>
      <c r="E340" s="1487"/>
      <c r="F340" s="1488"/>
      <c r="G340" s="1489"/>
      <c r="H340" s="1490"/>
      <c r="I340" s="1487"/>
      <c r="J340" s="1488"/>
      <c r="K340" s="1489"/>
      <c r="L340" s="1490"/>
      <c r="M340" s="1487"/>
      <c r="N340" s="1488"/>
      <c r="O340" s="1489"/>
      <c r="P340" s="1490"/>
      <c r="X340" s="1445" t="e">
        <f ca="1"/>
        <v>#NAME?</v>
      </c>
      <c r="Y340" s="1446" t="e">
        <f ca="1"/>
        <v>#NAME?</v>
      </c>
      <c r="Z340" s="1408"/>
    </row>
    <row r="341" spans="1:26">
      <c r="A341" s="1487"/>
      <c r="B341" s="1488"/>
      <c r="C341" s="1489"/>
      <c r="D341" s="1490"/>
      <c r="E341" s="1487"/>
      <c r="F341" s="1488"/>
      <c r="G341" s="1489"/>
      <c r="H341" s="1490"/>
      <c r="I341" s="1487"/>
      <c r="J341" s="1488"/>
      <c r="K341" s="1489"/>
      <c r="L341" s="1490"/>
      <c r="M341" s="1487"/>
      <c r="N341" s="1488"/>
      <c r="O341" s="1489"/>
      <c r="P341" s="1490"/>
      <c r="X341" s="1445" t="e">
        <f ca="1"/>
        <v>#NAME?</v>
      </c>
      <c r="Y341" s="1446" t="e">
        <f ca="1"/>
        <v>#NAME?</v>
      </c>
      <c r="Z341" s="1408"/>
    </row>
    <row r="342" spans="1:26">
      <c r="A342" s="1487"/>
      <c r="B342" s="1488"/>
      <c r="C342" s="1489"/>
      <c r="D342" s="1490"/>
      <c r="E342" s="1487"/>
      <c r="F342" s="1488"/>
      <c r="G342" s="1489"/>
      <c r="H342" s="1490"/>
      <c r="I342" s="1487"/>
      <c r="J342" s="1488"/>
      <c r="K342" s="1489"/>
      <c r="L342" s="1490"/>
      <c r="M342" s="1487"/>
      <c r="N342" s="1488"/>
      <c r="O342" s="1489"/>
      <c r="P342" s="1490"/>
      <c r="X342" s="1445" t="e">
        <f ca="1"/>
        <v>#NAME?</v>
      </c>
      <c r="Y342" s="1446" t="e">
        <f ca="1"/>
        <v>#NAME?</v>
      </c>
      <c r="Z342" s="1408"/>
    </row>
    <row r="343" spans="1:26">
      <c r="A343" s="1487"/>
      <c r="B343" s="1488"/>
      <c r="C343" s="1489"/>
      <c r="D343" s="1490"/>
      <c r="E343" s="1487"/>
      <c r="F343" s="1488"/>
      <c r="G343" s="1489"/>
      <c r="H343" s="1490"/>
      <c r="I343" s="1487"/>
      <c r="J343" s="1488"/>
      <c r="K343" s="1489"/>
      <c r="L343" s="1490"/>
      <c r="M343" s="1487"/>
      <c r="N343" s="1488"/>
      <c r="O343" s="1489"/>
      <c r="P343" s="1490"/>
      <c r="X343" s="1445" t="e">
        <f ca="1"/>
        <v>#NAME?</v>
      </c>
      <c r="Y343" s="1446" t="e">
        <f ca="1"/>
        <v>#NAME?</v>
      </c>
      <c r="Z343" s="1408"/>
    </row>
    <row r="344" spans="1:26">
      <c r="A344" s="1487"/>
      <c r="B344" s="1488"/>
      <c r="C344" s="1489"/>
      <c r="D344" s="1490"/>
      <c r="E344" s="1487"/>
      <c r="F344" s="1488"/>
      <c r="G344" s="1489"/>
      <c r="H344" s="1490"/>
      <c r="I344" s="1487"/>
      <c r="J344" s="1488"/>
      <c r="K344" s="1489"/>
      <c r="L344" s="1490"/>
      <c r="M344" s="1487"/>
      <c r="N344" s="1488"/>
      <c r="O344" s="1489"/>
      <c r="P344" s="1490"/>
      <c r="X344" s="1445" t="e">
        <f ca="1"/>
        <v>#NAME?</v>
      </c>
      <c r="Y344" s="1446" t="e">
        <f ca="1"/>
        <v>#NAME?</v>
      </c>
      <c r="Z344" s="1408"/>
    </row>
    <row r="345" spans="1:26">
      <c r="A345" s="1487"/>
      <c r="B345" s="1488"/>
      <c r="C345" s="1489"/>
      <c r="D345" s="1490"/>
      <c r="E345" s="1487"/>
      <c r="F345" s="1488"/>
      <c r="G345" s="1489"/>
      <c r="H345" s="1490"/>
      <c r="I345" s="1487"/>
      <c r="J345" s="1488"/>
      <c r="K345" s="1489"/>
      <c r="L345" s="1490"/>
      <c r="M345" s="1487"/>
      <c r="N345" s="1488"/>
      <c r="O345" s="1489"/>
      <c r="P345" s="1490"/>
      <c r="X345" s="1445" t="e">
        <f ca="1"/>
        <v>#NAME?</v>
      </c>
      <c r="Y345" s="1446" t="e">
        <f ca="1"/>
        <v>#NAME?</v>
      </c>
      <c r="Z345" s="1408"/>
    </row>
    <row r="346" spans="1:26">
      <c r="A346" s="1487"/>
      <c r="B346" s="1488"/>
      <c r="C346" s="1489"/>
      <c r="D346" s="1490"/>
      <c r="E346" s="1487"/>
      <c r="F346" s="1488"/>
      <c r="G346" s="1489"/>
      <c r="H346" s="1490"/>
      <c r="I346" s="1487"/>
      <c r="J346" s="1488"/>
      <c r="K346" s="1489"/>
      <c r="L346" s="1490"/>
      <c r="M346" s="1487"/>
      <c r="N346" s="1488"/>
      <c r="O346" s="1489"/>
      <c r="P346" s="1490"/>
      <c r="X346" s="1445" t="e">
        <f ca="1"/>
        <v>#NAME?</v>
      </c>
      <c r="Y346" s="1446" t="e">
        <f ca="1"/>
        <v>#NAME?</v>
      </c>
      <c r="Z346" s="1408"/>
    </row>
    <row r="347" spans="1:26">
      <c r="A347" s="1487"/>
      <c r="B347" s="1488"/>
      <c r="C347" s="1489"/>
      <c r="D347" s="1490"/>
      <c r="E347" s="1487"/>
      <c r="F347" s="1488"/>
      <c r="G347" s="1489"/>
      <c r="H347" s="1490"/>
      <c r="I347" s="1487"/>
      <c r="J347" s="1488"/>
      <c r="K347" s="1489"/>
      <c r="L347" s="1490"/>
      <c r="M347" s="1487"/>
      <c r="N347" s="1488"/>
      <c r="O347" s="1489"/>
      <c r="P347" s="1490"/>
      <c r="X347" s="1445" t="e">
        <f ca="1"/>
        <v>#NAME?</v>
      </c>
      <c r="Y347" s="1446" t="e">
        <f ca="1"/>
        <v>#NAME?</v>
      </c>
      <c r="Z347" s="1408"/>
    </row>
    <row r="348" spans="1:26">
      <c r="A348" s="1487"/>
      <c r="B348" s="1488"/>
      <c r="C348" s="1489"/>
      <c r="D348" s="1490"/>
      <c r="E348" s="1487"/>
      <c r="F348" s="1488"/>
      <c r="G348" s="1489"/>
      <c r="H348" s="1490"/>
      <c r="I348" s="1487"/>
      <c r="J348" s="1488"/>
      <c r="K348" s="1489"/>
      <c r="L348" s="1490"/>
      <c r="M348" s="1487"/>
      <c r="N348" s="1488"/>
      <c r="O348" s="1489"/>
      <c r="P348" s="1490"/>
      <c r="X348" s="1445" t="e">
        <f ca="1"/>
        <v>#NAME?</v>
      </c>
      <c r="Y348" s="1446" t="e">
        <f ca="1"/>
        <v>#NAME?</v>
      </c>
      <c r="Z348" s="1408"/>
    </row>
    <row r="349" spans="1:26">
      <c r="A349" s="1487"/>
      <c r="B349" s="1488"/>
      <c r="C349" s="1489"/>
      <c r="D349" s="1490"/>
      <c r="E349" s="1487"/>
      <c r="F349" s="1488"/>
      <c r="G349" s="1489"/>
      <c r="H349" s="1490"/>
      <c r="I349" s="1487"/>
      <c r="J349" s="1488"/>
      <c r="K349" s="1489"/>
      <c r="L349" s="1490"/>
      <c r="M349" s="1487"/>
      <c r="N349" s="1488"/>
      <c r="O349" s="1489"/>
      <c r="P349" s="1490"/>
      <c r="X349" s="1445" t="e">
        <f ca="1"/>
        <v>#NAME?</v>
      </c>
      <c r="Y349" s="1446" t="e">
        <f ca="1"/>
        <v>#NAME?</v>
      </c>
      <c r="Z349" s="1408"/>
    </row>
    <row r="350" spans="1:26">
      <c r="A350" s="1487"/>
      <c r="B350" s="1488"/>
      <c r="C350" s="1489"/>
      <c r="D350" s="1490"/>
      <c r="E350" s="1487"/>
      <c r="F350" s="1488"/>
      <c r="G350" s="1489"/>
      <c r="H350" s="1490"/>
      <c r="I350" s="1487"/>
      <c r="J350" s="1488"/>
      <c r="K350" s="1489"/>
      <c r="L350" s="1490"/>
      <c r="M350" s="1487"/>
      <c r="N350" s="1488"/>
      <c r="O350" s="1489"/>
      <c r="P350" s="1490"/>
      <c r="X350" s="1445" t="e">
        <f ca="1"/>
        <v>#NAME?</v>
      </c>
      <c r="Y350" s="1446" t="e">
        <f ca="1"/>
        <v>#NAME?</v>
      </c>
      <c r="Z350" s="1408"/>
    </row>
    <row r="351" spans="1:26">
      <c r="A351" s="1487"/>
      <c r="B351" s="1488"/>
      <c r="C351" s="1489"/>
      <c r="D351" s="1490"/>
      <c r="E351" s="1487"/>
      <c r="F351" s="1488"/>
      <c r="G351" s="1489"/>
      <c r="H351" s="1490"/>
      <c r="I351" s="1487"/>
      <c r="J351" s="1488"/>
      <c r="K351" s="1489"/>
      <c r="L351" s="1490"/>
      <c r="M351" s="1487"/>
      <c r="N351" s="1488"/>
      <c r="O351" s="1489"/>
      <c r="P351" s="1490"/>
      <c r="X351" s="1445" t="e">
        <f ca="1"/>
        <v>#NAME?</v>
      </c>
      <c r="Y351" s="1446" t="e">
        <f ca="1"/>
        <v>#NAME?</v>
      </c>
      <c r="Z351" s="1408"/>
    </row>
    <row r="352" spans="1:26">
      <c r="A352" s="1487"/>
      <c r="B352" s="1488"/>
      <c r="C352" s="1489"/>
      <c r="D352" s="1490"/>
      <c r="E352" s="1487"/>
      <c r="F352" s="1488"/>
      <c r="G352" s="1489"/>
      <c r="H352" s="1490"/>
      <c r="I352" s="1487"/>
      <c r="J352" s="1488"/>
      <c r="K352" s="1489"/>
      <c r="L352" s="1490"/>
      <c r="M352" s="1487"/>
      <c r="N352" s="1488"/>
      <c r="O352" s="1489"/>
      <c r="P352" s="1490"/>
      <c r="X352" s="1445" t="e">
        <f ca="1"/>
        <v>#NAME?</v>
      </c>
      <c r="Y352" s="1446" t="e">
        <f ca="1"/>
        <v>#NAME?</v>
      </c>
      <c r="Z352" s="1408"/>
    </row>
    <row r="353" spans="1:26">
      <c r="A353" s="1487"/>
      <c r="B353" s="1488"/>
      <c r="C353" s="1489"/>
      <c r="D353" s="1490"/>
      <c r="E353" s="1487"/>
      <c r="F353" s="1488"/>
      <c r="G353" s="1489"/>
      <c r="H353" s="1490"/>
      <c r="I353" s="1487"/>
      <c r="J353" s="1488"/>
      <c r="K353" s="1489"/>
      <c r="L353" s="1490"/>
      <c r="M353" s="1487"/>
      <c r="N353" s="1488"/>
      <c r="O353" s="1489"/>
      <c r="P353" s="1490"/>
      <c r="X353" s="1445" t="e">
        <f ca="1"/>
        <v>#NAME?</v>
      </c>
      <c r="Y353" s="1446" t="e">
        <f ca="1"/>
        <v>#NAME?</v>
      </c>
      <c r="Z353" s="1408"/>
    </row>
    <row r="354" spans="1:26">
      <c r="A354" s="1487"/>
      <c r="B354" s="1488"/>
      <c r="C354" s="1489"/>
      <c r="D354" s="1490"/>
      <c r="E354" s="1487"/>
      <c r="F354" s="1488"/>
      <c r="G354" s="1489"/>
      <c r="H354" s="1490"/>
      <c r="I354" s="1487"/>
      <c r="J354" s="1488"/>
      <c r="K354" s="1489"/>
      <c r="L354" s="1490"/>
      <c r="M354" s="1487"/>
      <c r="N354" s="1488"/>
      <c r="O354" s="1489"/>
      <c r="P354" s="1490"/>
      <c r="X354" s="1445" t="e">
        <f ca="1"/>
        <v>#NAME?</v>
      </c>
      <c r="Y354" s="1446" t="e">
        <f ca="1"/>
        <v>#NAME?</v>
      </c>
      <c r="Z354" s="1408"/>
    </row>
    <row r="355" spans="1:26">
      <c r="A355" s="1487"/>
      <c r="B355" s="1488"/>
      <c r="C355" s="1489"/>
      <c r="D355" s="1490"/>
      <c r="E355" s="1487"/>
      <c r="F355" s="1488"/>
      <c r="G355" s="1489"/>
      <c r="H355" s="1490"/>
      <c r="I355" s="1487"/>
      <c r="J355" s="1488"/>
      <c r="K355" s="1489"/>
      <c r="L355" s="1490"/>
      <c r="M355" s="1487"/>
      <c r="N355" s="1488"/>
      <c r="O355" s="1489"/>
      <c r="P355" s="1490"/>
      <c r="X355" s="1445" t="e">
        <f ca="1"/>
        <v>#NAME?</v>
      </c>
      <c r="Y355" s="1446" t="e">
        <f ca="1"/>
        <v>#NAME?</v>
      </c>
      <c r="Z355" s="1408"/>
    </row>
    <row r="356" spans="1:26">
      <c r="A356" s="1487"/>
      <c r="B356" s="1488"/>
      <c r="C356" s="1489"/>
      <c r="D356" s="1490"/>
      <c r="E356" s="1487"/>
      <c r="F356" s="1488"/>
      <c r="G356" s="1489"/>
      <c r="H356" s="1490"/>
      <c r="I356" s="1487"/>
      <c r="J356" s="1488"/>
      <c r="K356" s="1489"/>
      <c r="L356" s="1490"/>
      <c r="M356" s="1487"/>
      <c r="N356" s="1488"/>
      <c r="O356" s="1489"/>
      <c r="P356" s="1490"/>
      <c r="X356" s="1445" t="e">
        <f ca="1"/>
        <v>#NAME?</v>
      </c>
      <c r="Y356" s="1446" t="e">
        <f ca="1"/>
        <v>#NAME?</v>
      </c>
      <c r="Z356" s="1408"/>
    </row>
    <row r="357" spans="1:26">
      <c r="A357" s="1487"/>
      <c r="B357" s="1488"/>
      <c r="C357" s="1489"/>
      <c r="D357" s="1490"/>
      <c r="E357" s="1487"/>
      <c r="F357" s="1488"/>
      <c r="G357" s="1489"/>
      <c r="H357" s="1490"/>
      <c r="I357" s="1487"/>
      <c r="J357" s="1488"/>
      <c r="K357" s="1489"/>
      <c r="L357" s="1490"/>
      <c r="M357" s="1487"/>
      <c r="N357" s="1488"/>
      <c r="O357" s="1489"/>
      <c r="P357" s="1490"/>
      <c r="X357" s="1445" t="e">
        <f ca="1"/>
        <v>#NAME?</v>
      </c>
      <c r="Y357" s="1446" t="e">
        <f ca="1"/>
        <v>#NAME?</v>
      </c>
      <c r="Z357" s="1408"/>
    </row>
    <row r="358" spans="1:26">
      <c r="A358" s="1487"/>
      <c r="B358" s="1488"/>
      <c r="C358" s="1489"/>
      <c r="D358" s="1490"/>
      <c r="E358" s="1487"/>
      <c r="F358" s="1488"/>
      <c r="G358" s="1489"/>
      <c r="H358" s="1490"/>
      <c r="I358" s="1487"/>
      <c r="J358" s="1488"/>
      <c r="K358" s="1489"/>
      <c r="L358" s="1490"/>
      <c r="M358" s="1487"/>
      <c r="N358" s="1488"/>
      <c r="O358" s="1489"/>
      <c r="P358" s="1490"/>
      <c r="X358" s="1445" t="e">
        <f ca="1"/>
        <v>#NAME?</v>
      </c>
      <c r="Y358" s="1446" t="e">
        <f ca="1"/>
        <v>#NAME?</v>
      </c>
      <c r="Z358" s="1408"/>
    </row>
    <row r="359" spans="1:26">
      <c r="A359" s="1487"/>
      <c r="B359" s="1488"/>
      <c r="C359" s="1489"/>
      <c r="D359" s="1490"/>
      <c r="E359" s="1487"/>
      <c r="F359" s="1488"/>
      <c r="G359" s="1489"/>
      <c r="H359" s="1490"/>
      <c r="I359" s="1487"/>
      <c r="J359" s="1488"/>
      <c r="K359" s="1489"/>
      <c r="L359" s="1490"/>
      <c r="M359" s="1487"/>
      <c r="N359" s="1488"/>
      <c r="O359" s="1489"/>
      <c r="P359" s="1490"/>
      <c r="X359" s="1445" t="e">
        <f ca="1"/>
        <v>#NAME?</v>
      </c>
      <c r="Y359" s="1446" t="e">
        <f ca="1"/>
        <v>#NAME?</v>
      </c>
      <c r="Z359" s="1408"/>
    </row>
    <row r="360" spans="1:26">
      <c r="A360" s="1487"/>
      <c r="B360" s="1488"/>
      <c r="C360" s="1489"/>
      <c r="D360" s="1490"/>
      <c r="E360" s="1487"/>
      <c r="F360" s="1488"/>
      <c r="G360" s="1489"/>
      <c r="H360" s="1490"/>
      <c r="I360" s="1487"/>
      <c r="J360" s="1488"/>
      <c r="K360" s="1489"/>
      <c r="L360" s="1490"/>
      <c r="M360" s="1487"/>
      <c r="N360" s="1488"/>
      <c r="O360" s="1489"/>
      <c r="P360" s="1490"/>
      <c r="X360" s="1445" t="e">
        <f ca="1"/>
        <v>#NAME?</v>
      </c>
      <c r="Y360" s="1446" t="e">
        <f ca="1"/>
        <v>#NAME?</v>
      </c>
      <c r="Z360" s="1408"/>
    </row>
    <row r="361" spans="1:26">
      <c r="A361" s="1487"/>
      <c r="B361" s="1488"/>
      <c r="C361" s="1489"/>
      <c r="D361" s="1490"/>
      <c r="E361" s="1487"/>
      <c r="F361" s="1488"/>
      <c r="G361" s="1489"/>
      <c r="H361" s="1490"/>
      <c r="I361" s="1487"/>
      <c r="J361" s="1488"/>
      <c r="K361" s="1489"/>
      <c r="L361" s="1490"/>
      <c r="M361" s="1487"/>
      <c r="N361" s="1488"/>
      <c r="O361" s="1489"/>
      <c r="P361" s="1490"/>
      <c r="X361" s="1445" t="e">
        <f ca="1"/>
        <v>#NAME?</v>
      </c>
      <c r="Y361" s="1446" t="e">
        <f ca="1"/>
        <v>#NAME?</v>
      </c>
      <c r="Z361" s="1408"/>
    </row>
    <row r="362" spans="1:26">
      <c r="A362" s="1487"/>
      <c r="B362" s="1488"/>
      <c r="C362" s="1489"/>
      <c r="D362" s="1490"/>
      <c r="E362" s="1487"/>
      <c r="F362" s="1488"/>
      <c r="G362" s="1489"/>
      <c r="H362" s="1490"/>
      <c r="I362" s="1487"/>
      <c r="J362" s="1488"/>
      <c r="K362" s="1489"/>
      <c r="L362" s="1490"/>
      <c r="M362" s="1487"/>
      <c r="N362" s="1488"/>
      <c r="O362" s="1489"/>
      <c r="P362" s="1490"/>
      <c r="X362" s="1445" t="e">
        <f ca="1"/>
        <v>#NAME?</v>
      </c>
      <c r="Y362" s="1446" t="e">
        <f ca="1"/>
        <v>#NAME?</v>
      </c>
      <c r="Z362" s="1408"/>
    </row>
    <row r="363" spans="1:26">
      <c r="A363" s="1487"/>
      <c r="B363" s="1488"/>
      <c r="C363" s="1489"/>
      <c r="D363" s="1490"/>
      <c r="E363" s="1487"/>
      <c r="F363" s="1488"/>
      <c r="G363" s="1489"/>
      <c r="H363" s="1490"/>
      <c r="I363" s="1487"/>
      <c r="J363" s="1488"/>
      <c r="K363" s="1489"/>
      <c r="L363" s="1490"/>
      <c r="M363" s="1487"/>
      <c r="N363" s="1488"/>
      <c r="O363" s="1489"/>
      <c r="P363" s="1490"/>
      <c r="X363" s="1445" t="e">
        <f ca="1"/>
        <v>#NAME?</v>
      </c>
      <c r="Y363" s="1446" t="e">
        <f ca="1"/>
        <v>#NAME?</v>
      </c>
      <c r="Z363" s="1408"/>
    </row>
    <row r="364" spans="1:26">
      <c r="A364" s="1487"/>
      <c r="B364" s="1488"/>
      <c r="C364" s="1489"/>
      <c r="D364" s="1490"/>
      <c r="E364" s="1487"/>
      <c r="F364" s="1488"/>
      <c r="G364" s="1489"/>
      <c r="H364" s="1490"/>
      <c r="I364" s="1487"/>
      <c r="J364" s="1488"/>
      <c r="K364" s="1489"/>
      <c r="L364" s="1490"/>
      <c r="M364" s="1487"/>
      <c r="N364" s="1488"/>
      <c r="O364" s="1489"/>
      <c r="P364" s="1490"/>
      <c r="X364" s="1445" t="e">
        <f ca="1"/>
        <v>#NAME?</v>
      </c>
      <c r="Y364" s="1446" t="e">
        <f ca="1"/>
        <v>#NAME?</v>
      </c>
      <c r="Z364" s="1408"/>
    </row>
    <row r="365" spans="1:26">
      <c r="A365" s="1487"/>
      <c r="B365" s="1488"/>
      <c r="C365" s="1489"/>
      <c r="D365" s="1490"/>
      <c r="E365" s="1487"/>
      <c r="F365" s="1488"/>
      <c r="G365" s="1489"/>
      <c r="H365" s="1490"/>
      <c r="I365" s="1487"/>
      <c r="J365" s="1488"/>
      <c r="K365" s="1489"/>
      <c r="L365" s="1490"/>
      <c r="M365" s="1487"/>
      <c r="N365" s="1488"/>
      <c r="O365" s="1489"/>
      <c r="P365" s="1490"/>
      <c r="X365" s="1445" t="e">
        <f ca="1"/>
        <v>#NAME?</v>
      </c>
      <c r="Y365" s="1446" t="e">
        <f ca="1"/>
        <v>#NAME?</v>
      </c>
      <c r="Z365" s="1408"/>
    </row>
    <row r="366" spans="1:26">
      <c r="A366" s="1487"/>
      <c r="B366" s="1488"/>
      <c r="C366" s="1489"/>
      <c r="D366" s="1490"/>
      <c r="E366" s="1487"/>
      <c r="F366" s="1488"/>
      <c r="G366" s="1489"/>
      <c r="H366" s="1490"/>
      <c r="I366" s="1487"/>
      <c r="J366" s="1488"/>
      <c r="K366" s="1489"/>
      <c r="L366" s="1490"/>
      <c r="M366" s="1487"/>
      <c r="N366" s="1488"/>
      <c r="O366" s="1489"/>
      <c r="P366" s="1490"/>
      <c r="X366" s="1445" t="e">
        <f ca="1"/>
        <v>#NAME?</v>
      </c>
      <c r="Y366" s="1446" t="e">
        <f ca="1"/>
        <v>#NAME?</v>
      </c>
      <c r="Z366" s="1408"/>
    </row>
    <row r="367" spans="1:26">
      <c r="A367" s="1487"/>
      <c r="B367" s="1488"/>
      <c r="C367" s="1489"/>
      <c r="D367" s="1490"/>
      <c r="E367" s="1487"/>
      <c r="F367" s="1488"/>
      <c r="G367" s="1489"/>
      <c r="H367" s="1490"/>
      <c r="I367" s="1487"/>
      <c r="J367" s="1488"/>
      <c r="K367" s="1489"/>
      <c r="L367" s="1490"/>
      <c r="M367" s="1487"/>
      <c r="N367" s="1488"/>
      <c r="O367" s="1489"/>
      <c r="P367" s="1490"/>
      <c r="X367" s="1445" t="e">
        <f ca="1"/>
        <v>#NAME?</v>
      </c>
      <c r="Y367" s="1446" t="e">
        <f ca="1"/>
        <v>#NAME?</v>
      </c>
      <c r="Z367" s="1408"/>
    </row>
    <row r="368" spans="1:26">
      <c r="A368" s="1487"/>
      <c r="B368" s="1488"/>
      <c r="C368" s="1489"/>
      <c r="D368" s="1490"/>
      <c r="E368" s="1487"/>
      <c r="F368" s="1488"/>
      <c r="G368" s="1489"/>
      <c r="H368" s="1490"/>
      <c r="I368" s="1487"/>
      <c r="J368" s="1488"/>
      <c r="K368" s="1489"/>
      <c r="L368" s="1490"/>
      <c r="M368" s="1487"/>
      <c r="N368" s="1488"/>
      <c r="O368" s="1489"/>
      <c r="P368" s="1490"/>
      <c r="X368" s="1445" t="e">
        <f ca="1"/>
        <v>#NAME?</v>
      </c>
      <c r="Y368" s="1446" t="e">
        <f ca="1"/>
        <v>#NAME?</v>
      </c>
      <c r="Z368" s="1408"/>
    </row>
    <row r="369" spans="1:26">
      <c r="A369" s="1487"/>
      <c r="B369" s="1488"/>
      <c r="C369" s="1489"/>
      <c r="D369" s="1490"/>
      <c r="E369" s="1487"/>
      <c r="F369" s="1488"/>
      <c r="G369" s="1489"/>
      <c r="H369" s="1490"/>
      <c r="I369" s="1487"/>
      <c r="J369" s="1488"/>
      <c r="K369" s="1489"/>
      <c r="L369" s="1490"/>
      <c r="M369" s="1487"/>
      <c r="N369" s="1488"/>
      <c r="O369" s="1489"/>
      <c r="P369" s="1490"/>
      <c r="X369" s="1445" t="e">
        <f ca="1"/>
        <v>#NAME?</v>
      </c>
      <c r="Y369" s="1446" t="e">
        <f ca="1"/>
        <v>#NAME?</v>
      </c>
      <c r="Z369" s="1408"/>
    </row>
    <row r="370" spans="1:26">
      <c r="A370" s="1487"/>
      <c r="B370" s="1488"/>
      <c r="C370" s="1489"/>
      <c r="D370" s="1490"/>
      <c r="E370" s="1487"/>
      <c r="F370" s="1488"/>
      <c r="G370" s="1489"/>
      <c r="H370" s="1490"/>
      <c r="I370" s="1487"/>
      <c r="J370" s="1488"/>
      <c r="K370" s="1489"/>
      <c r="L370" s="1490"/>
      <c r="M370" s="1487"/>
      <c r="N370" s="1488"/>
      <c r="O370" s="1489"/>
      <c r="P370" s="1490"/>
      <c r="X370" s="1445" t="e">
        <f ca="1"/>
        <v>#NAME?</v>
      </c>
      <c r="Y370" s="1446" t="e">
        <f ca="1"/>
        <v>#NAME?</v>
      </c>
      <c r="Z370" s="1408"/>
    </row>
    <row r="371" spans="1:26">
      <c r="A371" s="1487"/>
      <c r="B371" s="1488"/>
      <c r="C371" s="1489"/>
      <c r="D371" s="1490"/>
      <c r="E371" s="1487"/>
      <c r="F371" s="1488"/>
      <c r="G371" s="1489"/>
      <c r="H371" s="1490"/>
      <c r="I371" s="1487"/>
      <c r="J371" s="1488"/>
      <c r="K371" s="1489"/>
      <c r="L371" s="1490"/>
      <c r="M371" s="1487"/>
      <c r="N371" s="1488"/>
      <c r="O371" s="1489"/>
      <c r="P371" s="1490"/>
      <c r="X371" s="1445" t="e">
        <f ca="1"/>
        <v>#NAME?</v>
      </c>
      <c r="Y371" s="1446" t="e">
        <f ca="1"/>
        <v>#NAME?</v>
      </c>
      <c r="Z371" s="1408"/>
    </row>
    <row r="372" spans="1:26">
      <c r="A372" s="1487"/>
      <c r="B372" s="1488"/>
      <c r="C372" s="1489"/>
      <c r="D372" s="1490"/>
      <c r="E372" s="1487"/>
      <c r="F372" s="1488"/>
      <c r="G372" s="1489"/>
      <c r="H372" s="1490"/>
      <c r="I372" s="1487"/>
      <c r="J372" s="1488"/>
      <c r="K372" s="1489"/>
      <c r="L372" s="1490"/>
      <c r="M372" s="1487"/>
      <c r="N372" s="1488"/>
      <c r="O372" s="1489"/>
      <c r="P372" s="1490"/>
      <c r="X372" s="1445" t="e">
        <f ca="1"/>
        <v>#NAME?</v>
      </c>
      <c r="Y372" s="1446" t="e">
        <f ca="1"/>
        <v>#NAME?</v>
      </c>
      <c r="Z372" s="1408"/>
    </row>
    <row r="373" spans="1:26">
      <c r="A373" s="1487"/>
      <c r="B373" s="1488"/>
      <c r="C373" s="1489"/>
      <c r="D373" s="1490"/>
      <c r="E373" s="1487"/>
      <c r="F373" s="1488"/>
      <c r="G373" s="1489"/>
      <c r="H373" s="1490"/>
      <c r="I373" s="1487"/>
      <c r="J373" s="1488"/>
      <c r="K373" s="1489"/>
      <c r="L373" s="1490"/>
      <c r="M373" s="1487"/>
      <c r="N373" s="1488"/>
      <c r="O373" s="1489"/>
      <c r="P373" s="1490"/>
      <c r="X373" s="1445" t="e">
        <f ca="1"/>
        <v>#NAME?</v>
      </c>
      <c r="Y373" s="1446" t="e">
        <f ca="1"/>
        <v>#NAME?</v>
      </c>
      <c r="Z373" s="1408"/>
    </row>
    <row r="374" spans="1:26">
      <c r="A374" s="1487"/>
      <c r="B374" s="1488"/>
      <c r="C374" s="1489"/>
      <c r="D374" s="1490"/>
      <c r="E374" s="1487"/>
      <c r="F374" s="1488"/>
      <c r="G374" s="1489"/>
      <c r="H374" s="1490"/>
      <c r="I374" s="1487"/>
      <c r="J374" s="1488"/>
      <c r="K374" s="1489"/>
      <c r="L374" s="1490"/>
      <c r="M374" s="1487"/>
      <c r="N374" s="1488"/>
      <c r="O374" s="1489"/>
      <c r="P374" s="1490"/>
      <c r="X374" s="1445" t="e">
        <f ca="1"/>
        <v>#NAME?</v>
      </c>
      <c r="Y374" s="1446" t="e">
        <f ca="1"/>
        <v>#NAME?</v>
      </c>
      <c r="Z374" s="1408"/>
    </row>
    <row r="375" spans="1:26">
      <c r="A375" s="1487"/>
      <c r="B375" s="1488"/>
      <c r="C375" s="1489"/>
      <c r="D375" s="1490"/>
      <c r="E375" s="1487"/>
      <c r="F375" s="1488"/>
      <c r="G375" s="1489"/>
      <c r="H375" s="1490"/>
      <c r="I375" s="1487"/>
      <c r="J375" s="1488"/>
      <c r="K375" s="1489"/>
      <c r="L375" s="1490"/>
      <c r="M375" s="1487"/>
      <c r="N375" s="1488"/>
      <c r="O375" s="1489"/>
      <c r="P375" s="1490"/>
      <c r="X375" s="1445" t="e">
        <f ca="1"/>
        <v>#NAME?</v>
      </c>
      <c r="Y375" s="1446" t="e">
        <f ca="1"/>
        <v>#NAME?</v>
      </c>
      <c r="Z375" s="1408"/>
    </row>
    <row r="376" spans="1:26">
      <c r="A376" s="1487"/>
      <c r="B376" s="1488"/>
      <c r="C376" s="1489"/>
      <c r="D376" s="1490"/>
      <c r="E376" s="1487"/>
      <c r="F376" s="1488"/>
      <c r="G376" s="1489"/>
      <c r="H376" s="1490"/>
      <c r="I376" s="1487"/>
      <c r="J376" s="1488"/>
      <c r="K376" s="1489"/>
      <c r="L376" s="1490"/>
      <c r="M376" s="1487"/>
      <c r="N376" s="1488"/>
      <c r="O376" s="1489"/>
      <c r="P376" s="1490"/>
      <c r="X376" s="1445" t="e">
        <f ca="1"/>
        <v>#NAME?</v>
      </c>
      <c r="Y376" s="1446" t="e">
        <f ca="1"/>
        <v>#NAME?</v>
      </c>
      <c r="Z376" s="1408"/>
    </row>
    <row r="377" spans="1:26">
      <c r="A377" s="1487"/>
      <c r="B377" s="1488"/>
      <c r="C377" s="1489"/>
      <c r="D377" s="1490"/>
      <c r="E377" s="1487"/>
      <c r="F377" s="1488"/>
      <c r="G377" s="1489"/>
      <c r="H377" s="1490"/>
      <c r="I377" s="1487"/>
      <c r="J377" s="1488"/>
      <c r="K377" s="1489"/>
      <c r="L377" s="1490"/>
      <c r="M377" s="1487"/>
      <c r="N377" s="1488"/>
      <c r="O377" s="1489"/>
      <c r="P377" s="1490"/>
      <c r="X377" s="1445" t="e">
        <f ca="1"/>
        <v>#NAME?</v>
      </c>
      <c r="Y377" s="1446" t="e">
        <f ca="1"/>
        <v>#NAME?</v>
      </c>
      <c r="Z377" s="1408"/>
    </row>
    <row r="378" spans="1:26">
      <c r="A378" s="1487"/>
      <c r="B378" s="1488"/>
      <c r="C378" s="1489"/>
      <c r="D378" s="1490"/>
      <c r="E378" s="1487"/>
      <c r="F378" s="1488"/>
      <c r="G378" s="1489"/>
      <c r="H378" s="1490"/>
      <c r="I378" s="1487"/>
      <c r="J378" s="1488"/>
      <c r="K378" s="1489"/>
      <c r="L378" s="1490"/>
      <c r="M378" s="1487"/>
      <c r="N378" s="1488"/>
      <c r="O378" s="1489"/>
      <c r="P378" s="1490"/>
      <c r="X378" s="1445" t="e">
        <f ca="1"/>
        <v>#NAME?</v>
      </c>
      <c r="Y378" s="1446" t="e">
        <f ca="1"/>
        <v>#NAME?</v>
      </c>
      <c r="Z378" s="1408"/>
    </row>
    <row r="379" spans="1:26">
      <c r="A379" s="1487"/>
      <c r="B379" s="1488"/>
      <c r="C379" s="1489"/>
      <c r="D379" s="1490"/>
      <c r="E379" s="1487"/>
      <c r="F379" s="1488"/>
      <c r="G379" s="1489"/>
      <c r="H379" s="1490"/>
      <c r="I379" s="1487"/>
      <c r="J379" s="1488"/>
      <c r="K379" s="1489"/>
      <c r="L379" s="1490"/>
      <c r="M379" s="1487"/>
      <c r="N379" s="1488"/>
      <c r="O379" s="1489"/>
      <c r="P379" s="1490"/>
      <c r="X379" s="1445" t="e">
        <f ca="1"/>
        <v>#NAME?</v>
      </c>
      <c r="Y379" s="1446" t="e">
        <f ca="1"/>
        <v>#NAME?</v>
      </c>
      <c r="Z379" s="1408"/>
    </row>
    <row r="380" spans="1:26">
      <c r="A380" s="1487"/>
      <c r="B380" s="1488"/>
      <c r="C380" s="1489"/>
      <c r="D380" s="1490"/>
      <c r="E380" s="1487"/>
      <c r="F380" s="1488"/>
      <c r="G380" s="1489"/>
      <c r="H380" s="1490"/>
      <c r="I380" s="1487"/>
      <c r="J380" s="1488"/>
      <c r="K380" s="1489"/>
      <c r="L380" s="1490"/>
      <c r="M380" s="1487"/>
      <c r="N380" s="1488"/>
      <c r="O380" s="1489"/>
      <c r="P380" s="1490"/>
      <c r="X380" s="1445" t="e">
        <f ca="1"/>
        <v>#NAME?</v>
      </c>
      <c r="Y380" s="1446" t="e">
        <f ca="1"/>
        <v>#NAME?</v>
      </c>
      <c r="Z380" s="1408"/>
    </row>
    <row r="381" spans="1:26">
      <c r="A381" s="1487"/>
      <c r="B381" s="1488"/>
      <c r="C381" s="1489"/>
      <c r="D381" s="1490"/>
      <c r="E381" s="1487"/>
      <c r="F381" s="1488"/>
      <c r="G381" s="1489"/>
      <c r="H381" s="1490"/>
      <c r="I381" s="1487"/>
      <c r="J381" s="1488"/>
      <c r="K381" s="1489"/>
      <c r="L381" s="1490"/>
      <c r="M381" s="1487"/>
      <c r="N381" s="1488"/>
      <c r="O381" s="1489"/>
      <c r="P381" s="1490"/>
      <c r="X381" s="1445" t="e">
        <f ca="1"/>
        <v>#NAME?</v>
      </c>
      <c r="Y381" s="1446" t="e">
        <f ca="1"/>
        <v>#NAME?</v>
      </c>
      <c r="Z381" s="1408"/>
    </row>
    <row r="382" spans="1:26">
      <c r="A382" s="1487"/>
      <c r="B382" s="1488"/>
      <c r="C382" s="1489"/>
      <c r="D382" s="1490"/>
      <c r="E382" s="1487"/>
      <c r="F382" s="1488"/>
      <c r="G382" s="1489"/>
      <c r="H382" s="1490"/>
      <c r="I382" s="1487"/>
      <c r="J382" s="1488"/>
      <c r="K382" s="1489"/>
      <c r="L382" s="1490"/>
      <c r="M382" s="1487"/>
      <c r="N382" s="1488"/>
      <c r="O382" s="1489"/>
      <c r="P382" s="1490"/>
      <c r="X382" s="1445" t="e">
        <f ca="1"/>
        <v>#NAME?</v>
      </c>
      <c r="Y382" s="1446" t="e">
        <f ca="1"/>
        <v>#NAME?</v>
      </c>
      <c r="Z382" s="1408"/>
    </row>
    <row r="383" spans="1:26">
      <c r="A383" s="1487"/>
      <c r="B383" s="1488"/>
      <c r="C383" s="1489"/>
      <c r="D383" s="1490"/>
      <c r="E383" s="1487"/>
      <c r="F383" s="1488"/>
      <c r="G383" s="1489"/>
      <c r="H383" s="1490"/>
      <c r="I383" s="1487"/>
      <c r="J383" s="1488"/>
      <c r="K383" s="1489"/>
      <c r="L383" s="1490"/>
      <c r="M383" s="1487"/>
      <c r="N383" s="1488"/>
      <c r="O383" s="1489"/>
      <c r="P383" s="1490"/>
      <c r="X383" s="1445" t="e">
        <f ca="1"/>
        <v>#NAME?</v>
      </c>
      <c r="Y383" s="1446" t="e">
        <f ca="1"/>
        <v>#NAME?</v>
      </c>
      <c r="Z383" s="1408"/>
    </row>
    <row r="384" spans="1:26">
      <c r="A384" s="1487"/>
      <c r="B384" s="1488"/>
      <c r="C384" s="1489"/>
      <c r="D384" s="1490"/>
      <c r="E384" s="1487"/>
      <c r="F384" s="1488"/>
      <c r="G384" s="1489"/>
      <c r="H384" s="1490"/>
      <c r="I384" s="1487"/>
      <c r="J384" s="1488"/>
      <c r="K384" s="1489"/>
      <c r="L384" s="1490"/>
      <c r="M384" s="1487"/>
      <c r="N384" s="1488"/>
      <c r="O384" s="1489"/>
      <c r="P384" s="1490"/>
      <c r="X384" s="1445" t="e">
        <f ca="1"/>
        <v>#NAME?</v>
      </c>
      <c r="Y384" s="1446" t="e">
        <f ca="1"/>
        <v>#NAME?</v>
      </c>
      <c r="Z384" s="1408"/>
    </row>
    <row r="385" spans="1:26">
      <c r="A385" s="1487"/>
      <c r="B385" s="1488"/>
      <c r="C385" s="1489"/>
      <c r="D385" s="1490"/>
      <c r="E385" s="1487"/>
      <c r="F385" s="1488"/>
      <c r="G385" s="1489"/>
      <c r="H385" s="1490"/>
      <c r="I385" s="1487"/>
      <c r="J385" s="1488"/>
      <c r="K385" s="1489"/>
      <c r="L385" s="1490"/>
      <c r="M385" s="1487"/>
      <c r="N385" s="1488"/>
      <c r="O385" s="1489"/>
      <c r="P385" s="1490"/>
      <c r="X385" s="1445" t="e">
        <f ca="1"/>
        <v>#NAME?</v>
      </c>
      <c r="Y385" s="1446" t="e">
        <f ca="1"/>
        <v>#NAME?</v>
      </c>
      <c r="Z385" s="1408"/>
    </row>
    <row r="386" spans="1:26">
      <c r="A386" s="1487"/>
      <c r="B386" s="1488"/>
      <c r="C386" s="1489"/>
      <c r="D386" s="1490"/>
      <c r="E386" s="1487"/>
      <c r="F386" s="1488"/>
      <c r="G386" s="1489"/>
      <c r="H386" s="1490"/>
      <c r="I386" s="1487"/>
      <c r="J386" s="1488"/>
      <c r="K386" s="1489"/>
      <c r="L386" s="1490"/>
      <c r="M386" s="1487"/>
      <c r="N386" s="1488"/>
      <c r="O386" s="1489"/>
      <c r="P386" s="1490"/>
      <c r="X386" s="1445" t="e">
        <f ca="1"/>
        <v>#NAME?</v>
      </c>
      <c r="Y386" s="1446" t="e">
        <f ca="1"/>
        <v>#NAME?</v>
      </c>
      <c r="Z386" s="1408"/>
    </row>
    <row r="387" spans="1:26">
      <c r="A387" s="1487"/>
      <c r="B387" s="1488"/>
      <c r="C387" s="1489"/>
      <c r="D387" s="1490"/>
      <c r="E387" s="1487"/>
      <c r="F387" s="1488"/>
      <c r="G387" s="1489"/>
      <c r="H387" s="1490"/>
      <c r="I387" s="1487"/>
      <c r="J387" s="1488"/>
      <c r="K387" s="1489"/>
      <c r="L387" s="1490"/>
      <c r="M387" s="1487"/>
      <c r="N387" s="1488"/>
      <c r="O387" s="1489"/>
      <c r="P387" s="1490"/>
      <c r="X387" s="1445" t="e">
        <f ca="1"/>
        <v>#NAME?</v>
      </c>
      <c r="Y387" s="1446" t="e">
        <f ca="1"/>
        <v>#NAME?</v>
      </c>
      <c r="Z387" s="1408"/>
    </row>
    <row r="388" spans="1:26">
      <c r="A388" s="1487"/>
      <c r="B388" s="1488"/>
      <c r="C388" s="1489"/>
      <c r="D388" s="1490"/>
      <c r="E388" s="1487"/>
      <c r="F388" s="1488"/>
      <c r="G388" s="1489"/>
      <c r="H388" s="1490"/>
      <c r="I388" s="1487"/>
      <c r="J388" s="1488"/>
      <c r="K388" s="1489"/>
      <c r="L388" s="1490"/>
      <c r="M388" s="1487"/>
      <c r="N388" s="1488"/>
      <c r="O388" s="1489"/>
      <c r="P388" s="1490"/>
      <c r="X388" s="1445" t="e">
        <f ca="1"/>
        <v>#NAME?</v>
      </c>
      <c r="Y388" s="1446" t="e">
        <f ca="1"/>
        <v>#NAME?</v>
      </c>
      <c r="Z388" s="1408"/>
    </row>
    <row r="389" spans="1:26">
      <c r="A389" s="1487"/>
      <c r="B389" s="1488"/>
      <c r="C389" s="1489"/>
      <c r="D389" s="1490"/>
      <c r="E389" s="1487"/>
      <c r="F389" s="1488"/>
      <c r="G389" s="1489"/>
      <c r="H389" s="1490"/>
      <c r="I389" s="1487"/>
      <c r="J389" s="1488"/>
      <c r="K389" s="1489"/>
      <c r="L389" s="1490"/>
      <c r="M389" s="1487"/>
      <c r="N389" s="1488"/>
      <c r="O389" s="1489"/>
      <c r="P389" s="1490"/>
      <c r="X389" s="1445" t="e">
        <f ca="1"/>
        <v>#NAME?</v>
      </c>
      <c r="Y389" s="1446" t="e">
        <f ca="1"/>
        <v>#NAME?</v>
      </c>
      <c r="Z389" s="1408"/>
    </row>
    <row r="390" spans="1:26">
      <c r="A390" s="1487"/>
      <c r="B390" s="1488"/>
      <c r="C390" s="1489"/>
      <c r="D390" s="1490"/>
      <c r="E390" s="1487"/>
      <c r="F390" s="1488"/>
      <c r="G390" s="1489"/>
      <c r="H390" s="1490"/>
      <c r="I390" s="1487"/>
      <c r="J390" s="1488"/>
      <c r="K390" s="1489"/>
      <c r="L390" s="1490"/>
      <c r="M390" s="1487"/>
      <c r="N390" s="1488"/>
      <c r="O390" s="1489"/>
      <c r="P390" s="1490"/>
      <c r="X390" s="1445" t="e">
        <f ca="1"/>
        <v>#NAME?</v>
      </c>
      <c r="Y390" s="1446" t="e">
        <f ca="1"/>
        <v>#NAME?</v>
      </c>
      <c r="Z390" s="1408"/>
    </row>
    <row r="391" spans="1:26">
      <c r="A391" s="1487"/>
      <c r="B391" s="1488"/>
      <c r="C391" s="1489"/>
      <c r="D391" s="1490"/>
      <c r="E391" s="1487"/>
      <c r="F391" s="1488"/>
      <c r="G391" s="1489"/>
      <c r="H391" s="1490"/>
      <c r="I391" s="1487"/>
      <c r="J391" s="1488"/>
      <c r="K391" s="1489"/>
      <c r="L391" s="1490"/>
      <c r="M391" s="1487"/>
      <c r="N391" s="1488"/>
      <c r="O391" s="1489"/>
      <c r="P391" s="1490"/>
      <c r="X391" s="1445" t="e">
        <f ca="1"/>
        <v>#NAME?</v>
      </c>
      <c r="Y391" s="1446" t="e">
        <f ca="1"/>
        <v>#NAME?</v>
      </c>
      <c r="Z391" s="1408"/>
    </row>
    <row r="392" spans="1:26">
      <c r="A392" s="1487"/>
      <c r="B392" s="1488"/>
      <c r="C392" s="1489"/>
      <c r="D392" s="1490"/>
      <c r="E392" s="1487"/>
      <c r="F392" s="1488"/>
      <c r="G392" s="1489"/>
      <c r="H392" s="1490"/>
      <c r="I392" s="1487"/>
      <c r="J392" s="1488"/>
      <c r="K392" s="1489"/>
      <c r="L392" s="1490"/>
      <c r="M392" s="1487"/>
      <c r="N392" s="1488"/>
      <c r="O392" s="1489"/>
      <c r="P392" s="1490"/>
      <c r="X392" s="1445" t="e">
        <f ca="1"/>
        <v>#NAME?</v>
      </c>
      <c r="Y392" s="1446" t="e">
        <f ca="1"/>
        <v>#NAME?</v>
      </c>
      <c r="Z392" s="1408"/>
    </row>
    <row r="393" spans="1:26">
      <c r="A393" s="1487"/>
      <c r="B393" s="1488"/>
      <c r="C393" s="1489"/>
      <c r="D393" s="1490"/>
      <c r="E393" s="1487"/>
      <c r="F393" s="1488"/>
      <c r="G393" s="1489"/>
      <c r="H393" s="1490"/>
      <c r="I393" s="1487"/>
      <c r="J393" s="1488"/>
      <c r="K393" s="1489"/>
      <c r="L393" s="1490"/>
      <c r="M393" s="1487"/>
      <c r="N393" s="1488"/>
      <c r="O393" s="1489"/>
      <c r="P393" s="1490"/>
      <c r="X393" s="1445" t="e">
        <f ca="1"/>
        <v>#NAME?</v>
      </c>
      <c r="Y393" s="1446" t="e">
        <f ca="1"/>
        <v>#NAME?</v>
      </c>
      <c r="Z393" s="1408"/>
    </row>
    <row r="394" spans="1:26">
      <c r="A394" s="1487"/>
      <c r="B394" s="1488"/>
      <c r="C394" s="1489"/>
      <c r="D394" s="1490"/>
      <c r="E394" s="1487"/>
      <c r="F394" s="1488"/>
      <c r="G394" s="1489"/>
      <c r="H394" s="1490"/>
      <c r="I394" s="1487"/>
      <c r="J394" s="1488"/>
      <c r="K394" s="1489"/>
      <c r="L394" s="1490"/>
      <c r="M394" s="1487"/>
      <c r="N394" s="1488"/>
      <c r="O394" s="1489"/>
      <c r="P394" s="1490"/>
      <c r="X394" s="1445" t="e">
        <f ca="1"/>
        <v>#NAME?</v>
      </c>
      <c r="Y394" s="1446" t="e">
        <f ca="1"/>
        <v>#NAME?</v>
      </c>
      <c r="Z394" s="1408"/>
    </row>
    <row r="395" spans="1:26">
      <c r="A395" s="1487"/>
      <c r="B395" s="1488"/>
      <c r="C395" s="1489"/>
      <c r="D395" s="1490"/>
      <c r="E395" s="1487"/>
      <c r="F395" s="1488"/>
      <c r="G395" s="1489"/>
      <c r="H395" s="1490"/>
      <c r="I395" s="1487"/>
      <c r="J395" s="1488"/>
      <c r="K395" s="1489"/>
      <c r="L395" s="1490"/>
      <c r="M395" s="1487"/>
      <c r="N395" s="1488"/>
      <c r="O395" s="1489"/>
      <c r="P395" s="1490"/>
      <c r="X395" s="1445" t="e">
        <f ca="1"/>
        <v>#NAME?</v>
      </c>
      <c r="Y395" s="1446" t="e">
        <f ca="1"/>
        <v>#NAME?</v>
      </c>
      <c r="Z395" s="1408"/>
    </row>
    <row r="396" spans="1:26">
      <c r="A396" s="1487"/>
      <c r="B396" s="1488"/>
      <c r="C396" s="1489"/>
      <c r="D396" s="1490"/>
      <c r="E396" s="1487"/>
      <c r="F396" s="1488"/>
      <c r="G396" s="1489"/>
      <c r="H396" s="1490"/>
      <c r="I396" s="1487"/>
      <c r="J396" s="1488"/>
      <c r="K396" s="1489"/>
      <c r="L396" s="1490"/>
      <c r="M396" s="1487"/>
      <c r="N396" s="1488"/>
      <c r="O396" s="1489"/>
      <c r="P396" s="1490"/>
      <c r="X396" s="1445" t="e">
        <f ca="1"/>
        <v>#NAME?</v>
      </c>
      <c r="Y396" s="1446" t="e">
        <f ca="1"/>
        <v>#NAME?</v>
      </c>
      <c r="Z396" s="1408"/>
    </row>
    <row r="397" spans="1:26">
      <c r="A397" s="1487"/>
      <c r="B397" s="1488"/>
      <c r="C397" s="1489"/>
      <c r="D397" s="1490"/>
      <c r="E397" s="1487"/>
      <c r="F397" s="1488"/>
      <c r="G397" s="1489"/>
      <c r="H397" s="1490"/>
      <c r="I397" s="1487"/>
      <c r="J397" s="1488"/>
      <c r="K397" s="1489"/>
      <c r="L397" s="1490"/>
      <c r="M397" s="1487"/>
      <c r="N397" s="1488"/>
      <c r="O397" s="1489"/>
      <c r="P397" s="1490"/>
      <c r="X397" s="1445" t="e">
        <f ca="1"/>
        <v>#NAME?</v>
      </c>
      <c r="Y397" s="1446" t="e">
        <f ca="1"/>
        <v>#NAME?</v>
      </c>
      <c r="Z397" s="1408"/>
    </row>
    <row r="398" spans="1:26">
      <c r="A398" s="1487"/>
      <c r="B398" s="1488"/>
      <c r="C398" s="1489"/>
      <c r="D398" s="1490"/>
      <c r="E398" s="1487"/>
      <c r="F398" s="1488"/>
      <c r="G398" s="1489"/>
      <c r="H398" s="1490"/>
      <c r="I398" s="1487"/>
      <c r="J398" s="1488"/>
      <c r="K398" s="1489"/>
      <c r="L398" s="1490"/>
      <c r="M398" s="1487"/>
      <c r="N398" s="1488"/>
      <c r="O398" s="1489"/>
      <c r="P398" s="1490"/>
      <c r="X398" s="1445" t="e">
        <f ca="1"/>
        <v>#NAME?</v>
      </c>
      <c r="Y398" s="1446" t="e">
        <f ca="1"/>
        <v>#NAME?</v>
      </c>
      <c r="Z398" s="1408"/>
    </row>
    <row r="399" spans="1:26">
      <c r="A399" s="1487"/>
      <c r="B399" s="1488"/>
      <c r="C399" s="1489"/>
      <c r="D399" s="1490"/>
      <c r="E399" s="1487"/>
      <c r="F399" s="1488"/>
      <c r="G399" s="1489"/>
      <c r="H399" s="1490"/>
      <c r="I399" s="1487"/>
      <c r="J399" s="1488"/>
      <c r="K399" s="1489"/>
      <c r="L399" s="1490"/>
      <c r="M399" s="1487"/>
      <c r="N399" s="1488"/>
      <c r="O399" s="1489"/>
      <c r="P399" s="1490"/>
      <c r="X399" s="1445" t="e">
        <f ca="1"/>
        <v>#NAME?</v>
      </c>
      <c r="Y399" s="1446" t="e">
        <f ca="1"/>
        <v>#NAME?</v>
      </c>
      <c r="Z399" s="1408"/>
    </row>
    <row r="400" spans="1:26">
      <c r="A400" s="1487"/>
      <c r="B400" s="1488"/>
      <c r="C400" s="1489"/>
      <c r="D400" s="1490"/>
      <c r="E400" s="1487"/>
      <c r="F400" s="1488"/>
      <c r="G400" s="1489"/>
      <c r="H400" s="1490"/>
      <c r="I400" s="1487"/>
      <c r="J400" s="1488"/>
      <c r="K400" s="1489"/>
      <c r="L400" s="1490"/>
      <c r="M400" s="1487"/>
      <c r="N400" s="1488"/>
      <c r="O400" s="1489"/>
      <c r="P400" s="1490"/>
      <c r="X400" s="1445" t="e">
        <f ca="1"/>
        <v>#NAME?</v>
      </c>
      <c r="Y400" s="1446" t="e">
        <f ca="1"/>
        <v>#NAME?</v>
      </c>
      <c r="Z400" s="1408"/>
    </row>
    <row r="401" spans="1:26">
      <c r="A401" s="1487"/>
      <c r="B401" s="1488"/>
      <c r="C401" s="1489"/>
      <c r="D401" s="1490"/>
      <c r="E401" s="1487"/>
      <c r="F401" s="1488"/>
      <c r="G401" s="1489"/>
      <c r="H401" s="1490"/>
      <c r="I401" s="1487"/>
      <c r="J401" s="1488"/>
      <c r="K401" s="1489"/>
      <c r="L401" s="1490"/>
      <c r="M401" s="1487"/>
      <c r="N401" s="1488"/>
      <c r="O401" s="1489"/>
      <c r="P401" s="1490"/>
      <c r="X401" s="1445" t="e">
        <f ca="1"/>
        <v>#NAME?</v>
      </c>
      <c r="Y401" s="1446" t="e">
        <f ca="1"/>
        <v>#NAME?</v>
      </c>
      <c r="Z401" s="1408"/>
    </row>
    <row r="402" spans="1:26">
      <c r="A402" s="1487"/>
      <c r="B402" s="1488"/>
      <c r="C402" s="1489"/>
      <c r="D402" s="1490"/>
      <c r="E402" s="1487"/>
      <c r="F402" s="1488"/>
      <c r="G402" s="1489"/>
      <c r="H402" s="1490"/>
      <c r="I402" s="1487"/>
      <c r="J402" s="1488"/>
      <c r="K402" s="1489"/>
      <c r="L402" s="1490"/>
      <c r="M402" s="1487"/>
      <c r="N402" s="1488"/>
      <c r="O402" s="1489"/>
      <c r="P402" s="1490"/>
      <c r="X402" s="1445" t="e">
        <f ca="1"/>
        <v>#NAME?</v>
      </c>
      <c r="Y402" s="1446" t="e">
        <f ca="1"/>
        <v>#NAME?</v>
      </c>
      <c r="Z402" s="1408"/>
    </row>
    <row r="403" spans="1:26">
      <c r="A403" s="1487"/>
      <c r="B403" s="1488"/>
      <c r="C403" s="1489"/>
      <c r="D403" s="1490"/>
      <c r="E403" s="1487"/>
      <c r="F403" s="1488"/>
      <c r="G403" s="1489"/>
      <c r="H403" s="1490"/>
      <c r="I403" s="1487"/>
      <c r="J403" s="1488"/>
      <c r="K403" s="1489"/>
      <c r="L403" s="1490"/>
      <c r="M403" s="1487"/>
      <c r="N403" s="1488"/>
      <c r="O403" s="1489"/>
      <c r="P403" s="1490"/>
      <c r="X403" s="1445" t="e">
        <f ca="1"/>
        <v>#NAME?</v>
      </c>
      <c r="Y403" s="1446" t="e">
        <f ca="1"/>
        <v>#NAME?</v>
      </c>
      <c r="Z403" s="1408"/>
    </row>
    <row r="404" spans="1:26">
      <c r="A404" s="1487"/>
      <c r="B404" s="1488"/>
      <c r="C404" s="1489"/>
      <c r="D404" s="1490"/>
      <c r="E404" s="1487"/>
      <c r="F404" s="1488"/>
      <c r="G404" s="1489"/>
      <c r="H404" s="1490"/>
      <c r="I404" s="1487"/>
      <c r="J404" s="1488"/>
      <c r="K404" s="1489"/>
      <c r="L404" s="1490"/>
      <c r="M404" s="1487"/>
      <c r="N404" s="1488"/>
      <c r="O404" s="1489"/>
      <c r="P404" s="1490"/>
      <c r="X404" s="1445" t="e">
        <f ca="1"/>
        <v>#NAME?</v>
      </c>
      <c r="Y404" s="1446" t="e">
        <f ca="1"/>
        <v>#NAME?</v>
      </c>
      <c r="Z404" s="1408"/>
    </row>
    <row r="405" spans="1:26">
      <c r="A405" s="1487"/>
      <c r="B405" s="1488"/>
      <c r="C405" s="1489"/>
      <c r="D405" s="1490"/>
      <c r="E405" s="1487"/>
      <c r="F405" s="1488"/>
      <c r="G405" s="1489"/>
      <c r="H405" s="1490"/>
      <c r="I405" s="1487"/>
      <c r="J405" s="1488"/>
      <c r="K405" s="1489"/>
      <c r="L405" s="1490"/>
      <c r="M405" s="1487"/>
      <c r="N405" s="1488"/>
      <c r="O405" s="1489"/>
      <c r="P405" s="1490"/>
      <c r="X405" s="1445" t="e">
        <f ca="1"/>
        <v>#NAME?</v>
      </c>
      <c r="Y405" s="1446" t="e">
        <f ca="1"/>
        <v>#NAME?</v>
      </c>
      <c r="Z405" s="1408"/>
    </row>
    <row r="406" spans="1:26">
      <c r="A406" s="1487"/>
      <c r="B406" s="1488"/>
      <c r="C406" s="1489"/>
      <c r="D406" s="1490"/>
      <c r="E406" s="1487"/>
      <c r="F406" s="1488"/>
      <c r="G406" s="1489"/>
      <c r="H406" s="1490"/>
      <c r="I406" s="1487"/>
      <c r="J406" s="1488"/>
      <c r="K406" s="1489"/>
      <c r="L406" s="1490"/>
      <c r="M406" s="1487"/>
      <c r="N406" s="1488"/>
      <c r="O406" s="1489"/>
      <c r="P406" s="1490"/>
      <c r="X406" s="1445" t="e">
        <f ca="1"/>
        <v>#NAME?</v>
      </c>
      <c r="Y406" s="1446" t="e">
        <f ca="1"/>
        <v>#NAME?</v>
      </c>
      <c r="Z406" s="1408"/>
    </row>
    <row r="407" spans="1:26">
      <c r="A407" s="1487"/>
      <c r="B407" s="1488"/>
      <c r="C407" s="1489"/>
      <c r="D407" s="1490"/>
      <c r="E407" s="1487"/>
      <c r="F407" s="1488"/>
      <c r="G407" s="1489"/>
      <c r="H407" s="1490"/>
      <c r="I407" s="1487"/>
      <c r="J407" s="1488"/>
      <c r="K407" s="1489"/>
      <c r="L407" s="1490"/>
      <c r="M407" s="1487"/>
      <c r="N407" s="1488"/>
      <c r="O407" s="1489"/>
      <c r="P407" s="1490"/>
      <c r="X407" s="1445" t="e">
        <f ca="1"/>
        <v>#NAME?</v>
      </c>
      <c r="Y407" s="1446" t="e">
        <f ca="1"/>
        <v>#NAME?</v>
      </c>
      <c r="Z407" s="1408"/>
    </row>
    <row r="408" spans="1:26">
      <c r="A408" s="1487"/>
      <c r="B408" s="1488"/>
      <c r="C408" s="1489"/>
      <c r="D408" s="1490"/>
      <c r="E408" s="1487"/>
      <c r="F408" s="1488"/>
      <c r="G408" s="1489"/>
      <c r="H408" s="1490"/>
      <c r="I408" s="1487"/>
      <c r="J408" s="1488"/>
      <c r="K408" s="1489"/>
      <c r="L408" s="1490"/>
      <c r="M408" s="1487"/>
      <c r="N408" s="1488"/>
      <c r="O408" s="1489"/>
      <c r="P408" s="1490"/>
      <c r="X408" s="1445" t="e">
        <f ca="1"/>
        <v>#NAME?</v>
      </c>
      <c r="Y408" s="1446" t="e">
        <f ca="1"/>
        <v>#NAME?</v>
      </c>
      <c r="Z408" s="1408"/>
    </row>
    <row r="409" spans="1:26">
      <c r="A409" s="1487"/>
      <c r="B409" s="1488"/>
      <c r="C409" s="1489"/>
      <c r="D409" s="1490"/>
      <c r="E409" s="1487"/>
      <c r="F409" s="1488"/>
      <c r="G409" s="1489"/>
      <c r="H409" s="1490"/>
      <c r="I409" s="1487"/>
      <c r="J409" s="1488"/>
      <c r="K409" s="1489"/>
      <c r="L409" s="1490"/>
      <c r="M409" s="1487"/>
      <c r="N409" s="1488"/>
      <c r="O409" s="1489"/>
      <c r="P409" s="1490"/>
      <c r="X409" s="1445" t="e">
        <f ca="1"/>
        <v>#NAME?</v>
      </c>
      <c r="Y409" s="1446" t="e">
        <f ca="1"/>
        <v>#NAME?</v>
      </c>
      <c r="Z409" s="1408"/>
    </row>
    <row r="410" spans="1:26">
      <c r="A410" s="1487"/>
      <c r="B410" s="1488"/>
      <c r="C410" s="1489"/>
      <c r="D410" s="1490"/>
      <c r="E410" s="1487"/>
      <c r="F410" s="1488"/>
      <c r="G410" s="1489"/>
      <c r="H410" s="1490"/>
      <c r="I410" s="1487"/>
      <c r="J410" s="1488"/>
      <c r="K410" s="1489"/>
      <c r="L410" s="1490"/>
      <c r="M410" s="1487"/>
      <c r="N410" s="1488"/>
      <c r="O410" s="1489"/>
      <c r="P410" s="1490"/>
      <c r="X410" s="1445" t="e">
        <f ca="1"/>
        <v>#NAME?</v>
      </c>
      <c r="Y410" s="1446" t="e">
        <f ca="1"/>
        <v>#NAME?</v>
      </c>
      <c r="Z410" s="1408"/>
    </row>
    <row r="411" spans="1:26">
      <c r="A411" s="1487"/>
      <c r="B411" s="1488"/>
      <c r="C411" s="1489"/>
      <c r="D411" s="1490"/>
      <c r="E411" s="1487"/>
      <c r="F411" s="1488"/>
      <c r="G411" s="1489"/>
      <c r="H411" s="1490"/>
      <c r="I411" s="1487"/>
      <c r="J411" s="1488"/>
      <c r="K411" s="1489"/>
      <c r="L411" s="1490"/>
      <c r="M411" s="1487"/>
      <c r="N411" s="1488"/>
      <c r="O411" s="1489"/>
      <c r="P411" s="1490"/>
      <c r="X411" s="1445" t="e">
        <f ca="1"/>
        <v>#NAME?</v>
      </c>
      <c r="Y411" s="1446" t="e">
        <f ca="1"/>
        <v>#NAME?</v>
      </c>
      <c r="Z411" s="1408"/>
    </row>
    <row r="412" spans="1:26">
      <c r="A412" s="1487"/>
      <c r="B412" s="1488"/>
      <c r="C412" s="1489"/>
      <c r="D412" s="1490"/>
      <c r="E412" s="1487"/>
      <c r="F412" s="1488"/>
      <c r="G412" s="1489"/>
      <c r="H412" s="1490"/>
      <c r="I412" s="1487"/>
      <c r="J412" s="1488"/>
      <c r="K412" s="1489"/>
      <c r="L412" s="1490"/>
      <c r="M412" s="1487"/>
      <c r="N412" s="1488"/>
      <c r="O412" s="1489"/>
      <c r="P412" s="1490"/>
      <c r="X412" s="1445" t="e">
        <f ca="1"/>
        <v>#NAME?</v>
      </c>
      <c r="Y412" s="1446" t="e">
        <f ca="1"/>
        <v>#NAME?</v>
      </c>
      <c r="Z412" s="1408"/>
    </row>
    <row r="413" spans="1:26">
      <c r="A413" s="1487"/>
      <c r="B413" s="1488"/>
      <c r="C413" s="1489"/>
      <c r="D413" s="1490"/>
      <c r="E413" s="1487"/>
      <c r="F413" s="1488"/>
      <c r="G413" s="1489"/>
      <c r="H413" s="1490"/>
      <c r="I413" s="1487"/>
      <c r="J413" s="1488"/>
      <c r="K413" s="1489"/>
      <c r="L413" s="1490"/>
      <c r="M413" s="1487"/>
      <c r="N413" s="1488"/>
      <c r="O413" s="1489"/>
      <c r="P413" s="1490"/>
      <c r="X413" s="1445" t="e">
        <f ca="1"/>
        <v>#NAME?</v>
      </c>
      <c r="Y413" s="1446" t="e">
        <f ca="1"/>
        <v>#NAME?</v>
      </c>
      <c r="Z413" s="1408"/>
    </row>
    <row r="414" spans="1:26">
      <c r="A414" s="1487"/>
      <c r="B414" s="1488"/>
      <c r="C414" s="1489"/>
      <c r="D414" s="1490"/>
      <c r="E414" s="1487"/>
      <c r="F414" s="1488"/>
      <c r="G414" s="1489"/>
      <c r="H414" s="1490"/>
      <c r="I414" s="1487"/>
      <c r="J414" s="1488"/>
      <c r="K414" s="1489"/>
      <c r="L414" s="1490"/>
      <c r="M414" s="1487"/>
      <c r="N414" s="1488"/>
      <c r="O414" s="1489"/>
      <c r="P414" s="1490"/>
      <c r="X414" s="1445" t="e">
        <f ca="1"/>
        <v>#NAME?</v>
      </c>
      <c r="Y414" s="1446" t="e">
        <f ca="1"/>
        <v>#NAME?</v>
      </c>
      <c r="Z414" s="1408"/>
    </row>
    <row r="415" spans="1:26">
      <c r="A415" s="1487"/>
      <c r="B415" s="1488"/>
      <c r="C415" s="1489"/>
      <c r="D415" s="1490"/>
      <c r="E415" s="1487"/>
      <c r="F415" s="1488"/>
      <c r="G415" s="1489"/>
      <c r="H415" s="1490"/>
      <c r="I415" s="1487"/>
      <c r="J415" s="1488"/>
      <c r="K415" s="1489"/>
      <c r="L415" s="1490"/>
      <c r="M415" s="1487"/>
      <c r="N415" s="1488"/>
      <c r="O415" s="1489"/>
      <c r="P415" s="1490"/>
      <c r="X415" s="1445" t="e">
        <f ca="1"/>
        <v>#NAME?</v>
      </c>
      <c r="Y415" s="1446" t="e">
        <f ca="1"/>
        <v>#NAME?</v>
      </c>
      <c r="Z415" s="1408"/>
    </row>
    <row r="416" spans="1:26">
      <c r="A416" s="1487"/>
      <c r="B416" s="1488"/>
      <c r="C416" s="1489"/>
      <c r="D416" s="1490"/>
      <c r="E416" s="1487"/>
      <c r="F416" s="1488"/>
      <c r="G416" s="1489"/>
      <c r="H416" s="1490"/>
      <c r="I416" s="1487"/>
      <c r="J416" s="1488"/>
      <c r="K416" s="1489"/>
      <c r="L416" s="1490"/>
      <c r="M416" s="1487"/>
      <c r="N416" s="1488"/>
      <c r="O416" s="1489"/>
      <c r="P416" s="1490"/>
      <c r="X416" s="1445" t="e">
        <f ca="1"/>
        <v>#NAME?</v>
      </c>
      <c r="Y416" s="1446" t="e">
        <f ca="1"/>
        <v>#NAME?</v>
      </c>
      <c r="Z416" s="1408"/>
    </row>
    <row r="417" spans="1:26">
      <c r="A417" s="1487"/>
      <c r="B417" s="1488"/>
      <c r="C417" s="1489"/>
      <c r="D417" s="1490"/>
      <c r="E417" s="1487"/>
      <c r="F417" s="1488"/>
      <c r="G417" s="1489"/>
      <c r="H417" s="1490"/>
      <c r="I417" s="1487"/>
      <c r="J417" s="1488"/>
      <c r="K417" s="1489"/>
      <c r="L417" s="1490"/>
      <c r="M417" s="1487"/>
      <c r="N417" s="1488"/>
      <c r="O417" s="1489"/>
      <c r="P417" s="1490"/>
      <c r="X417" s="1445" t="e">
        <f ca="1"/>
        <v>#NAME?</v>
      </c>
      <c r="Y417" s="1446" t="e">
        <f ca="1"/>
        <v>#NAME?</v>
      </c>
      <c r="Z417" s="1408"/>
    </row>
    <row r="418" spans="1:26">
      <c r="A418" s="1487"/>
      <c r="B418" s="1488"/>
      <c r="C418" s="1489"/>
      <c r="D418" s="1490"/>
      <c r="E418" s="1487"/>
      <c r="F418" s="1488"/>
      <c r="G418" s="1489"/>
      <c r="H418" s="1490"/>
      <c r="I418" s="1487"/>
      <c r="J418" s="1488"/>
      <c r="K418" s="1489"/>
      <c r="L418" s="1490"/>
      <c r="M418" s="1487"/>
      <c r="N418" s="1488"/>
      <c r="O418" s="1489"/>
      <c r="P418" s="1490"/>
      <c r="X418" s="1445" t="e">
        <f ca="1"/>
        <v>#NAME?</v>
      </c>
      <c r="Y418" s="1446" t="e">
        <f ca="1"/>
        <v>#NAME?</v>
      </c>
      <c r="Z418" s="1408"/>
    </row>
    <row r="419" spans="1:26">
      <c r="A419" s="1487"/>
      <c r="B419" s="1488"/>
      <c r="C419" s="1489"/>
      <c r="D419" s="1490"/>
      <c r="E419" s="1487"/>
      <c r="F419" s="1488"/>
      <c r="G419" s="1489"/>
      <c r="H419" s="1490"/>
      <c r="I419" s="1487"/>
      <c r="J419" s="1488"/>
      <c r="K419" s="1489"/>
      <c r="L419" s="1490"/>
      <c r="M419" s="1487"/>
      <c r="N419" s="1488"/>
      <c r="O419" s="1489"/>
      <c r="P419" s="1490"/>
      <c r="X419" s="1445" t="e">
        <f ca="1"/>
        <v>#NAME?</v>
      </c>
      <c r="Y419" s="1446" t="e">
        <f ca="1"/>
        <v>#NAME?</v>
      </c>
      <c r="Z419" s="1408"/>
    </row>
    <row r="420" spans="1:26">
      <c r="A420" s="1487"/>
      <c r="B420" s="1488"/>
      <c r="C420" s="1489"/>
      <c r="D420" s="1490"/>
      <c r="E420" s="1487"/>
      <c r="F420" s="1488"/>
      <c r="G420" s="1489"/>
      <c r="H420" s="1490"/>
      <c r="I420" s="1487"/>
      <c r="J420" s="1488"/>
      <c r="K420" s="1489"/>
      <c r="L420" s="1490"/>
      <c r="M420" s="1487"/>
      <c r="N420" s="1488"/>
      <c r="O420" s="1489"/>
      <c r="P420" s="1490"/>
      <c r="X420" s="1445" t="e">
        <f ca="1"/>
        <v>#NAME?</v>
      </c>
      <c r="Y420" s="1446" t="e">
        <f ca="1"/>
        <v>#NAME?</v>
      </c>
      <c r="Z420" s="1408"/>
    </row>
    <row r="421" spans="1:26">
      <c r="A421" s="1487"/>
      <c r="B421" s="1488"/>
      <c r="C421" s="1489"/>
      <c r="D421" s="1490"/>
      <c r="E421" s="1487"/>
      <c r="F421" s="1488"/>
      <c r="G421" s="1489"/>
      <c r="H421" s="1490"/>
      <c r="I421" s="1487"/>
      <c r="J421" s="1488"/>
      <c r="K421" s="1489"/>
      <c r="L421" s="1490"/>
      <c r="M421" s="1487"/>
      <c r="N421" s="1488"/>
      <c r="O421" s="1489"/>
      <c r="P421" s="1490"/>
      <c r="X421" s="1445" t="e">
        <f ca="1"/>
        <v>#NAME?</v>
      </c>
      <c r="Y421" s="1446" t="e">
        <f ca="1"/>
        <v>#NAME?</v>
      </c>
      <c r="Z421" s="1408"/>
    </row>
    <row r="422" spans="1:26">
      <c r="A422" s="1487"/>
      <c r="B422" s="1488"/>
      <c r="C422" s="1489"/>
      <c r="D422" s="1490"/>
      <c r="E422" s="1487"/>
      <c r="F422" s="1488"/>
      <c r="G422" s="1489"/>
      <c r="H422" s="1490"/>
      <c r="I422" s="1487"/>
      <c r="J422" s="1488"/>
      <c r="K422" s="1489"/>
      <c r="L422" s="1490"/>
      <c r="M422" s="1487"/>
      <c r="N422" s="1488"/>
      <c r="O422" s="1489"/>
      <c r="P422" s="1490"/>
      <c r="X422" s="1445" t="e">
        <f ca="1"/>
        <v>#NAME?</v>
      </c>
      <c r="Y422" s="1446" t="e">
        <f ca="1"/>
        <v>#NAME?</v>
      </c>
      <c r="Z422" s="1408"/>
    </row>
    <row r="423" spans="1:26">
      <c r="A423" s="1487"/>
      <c r="B423" s="1488"/>
      <c r="C423" s="1489"/>
      <c r="D423" s="1490"/>
      <c r="E423" s="1487"/>
      <c r="F423" s="1488"/>
      <c r="G423" s="1489"/>
      <c r="H423" s="1490"/>
      <c r="I423" s="1487"/>
      <c r="J423" s="1488"/>
      <c r="K423" s="1489"/>
      <c r="L423" s="1490"/>
      <c r="M423" s="1487"/>
      <c r="N423" s="1488"/>
      <c r="O423" s="1489"/>
      <c r="P423" s="1490"/>
      <c r="X423" s="1445" t="e">
        <f ca="1"/>
        <v>#NAME?</v>
      </c>
      <c r="Y423" s="1446" t="e">
        <f ca="1"/>
        <v>#NAME?</v>
      </c>
      <c r="Z423" s="1408"/>
    </row>
    <row r="424" spans="1:26">
      <c r="A424" s="1487"/>
      <c r="B424" s="1488"/>
      <c r="C424" s="1489"/>
      <c r="D424" s="1490"/>
      <c r="E424" s="1487"/>
      <c r="F424" s="1488"/>
      <c r="G424" s="1489"/>
      <c r="H424" s="1490"/>
      <c r="I424" s="1487"/>
      <c r="J424" s="1488"/>
      <c r="K424" s="1489"/>
      <c r="L424" s="1490"/>
      <c r="M424" s="1487"/>
      <c r="N424" s="1488"/>
      <c r="O424" s="1489"/>
      <c r="P424" s="1490"/>
      <c r="X424" s="1445" t="e">
        <f ca="1"/>
        <v>#NAME?</v>
      </c>
      <c r="Y424" s="1446" t="e">
        <f ca="1"/>
        <v>#NAME?</v>
      </c>
      <c r="Z424" s="1408"/>
    </row>
    <row r="425" spans="1:26">
      <c r="A425" s="1487"/>
      <c r="B425" s="1488"/>
      <c r="C425" s="1489"/>
      <c r="D425" s="1490"/>
      <c r="E425" s="1487"/>
      <c r="F425" s="1488"/>
      <c r="G425" s="1489"/>
      <c r="H425" s="1490"/>
      <c r="I425" s="1487"/>
      <c r="J425" s="1488"/>
      <c r="K425" s="1489"/>
      <c r="L425" s="1490"/>
      <c r="M425" s="1487"/>
      <c r="N425" s="1488"/>
      <c r="O425" s="1489"/>
      <c r="P425" s="1490"/>
      <c r="X425" s="1445" t="e">
        <f ca="1"/>
        <v>#NAME?</v>
      </c>
      <c r="Y425" s="1446" t="e">
        <f ca="1"/>
        <v>#NAME?</v>
      </c>
      <c r="Z425" s="1408"/>
    </row>
    <row r="426" spans="1:26">
      <c r="A426" s="1487"/>
      <c r="B426" s="1488"/>
      <c r="C426" s="1489"/>
      <c r="D426" s="1490"/>
      <c r="E426" s="1487"/>
      <c r="F426" s="1488"/>
      <c r="G426" s="1489"/>
      <c r="H426" s="1490"/>
      <c r="I426" s="1487"/>
      <c r="J426" s="1488"/>
      <c r="K426" s="1489"/>
      <c r="L426" s="1490"/>
      <c r="M426" s="1487"/>
      <c r="N426" s="1488"/>
      <c r="O426" s="1489"/>
      <c r="P426" s="1490"/>
      <c r="X426" s="1445" t="e">
        <f ca="1"/>
        <v>#NAME?</v>
      </c>
      <c r="Y426" s="1446" t="e">
        <f ca="1"/>
        <v>#NAME?</v>
      </c>
      <c r="Z426" s="1408"/>
    </row>
    <row r="427" spans="1:26">
      <c r="A427" s="1487"/>
      <c r="B427" s="1488"/>
      <c r="C427" s="1489"/>
      <c r="D427" s="1490"/>
      <c r="E427" s="1487"/>
      <c r="F427" s="1488"/>
      <c r="G427" s="1489"/>
      <c r="H427" s="1490"/>
      <c r="I427" s="1487"/>
      <c r="J427" s="1488"/>
      <c r="K427" s="1489"/>
      <c r="L427" s="1490"/>
      <c r="M427" s="1487"/>
      <c r="N427" s="1488"/>
      <c r="O427" s="1489"/>
      <c r="P427" s="1490"/>
      <c r="X427" s="1445" t="e">
        <f ca="1"/>
        <v>#NAME?</v>
      </c>
      <c r="Y427" s="1446" t="e">
        <f ca="1"/>
        <v>#NAME?</v>
      </c>
      <c r="Z427" s="1408"/>
    </row>
    <row r="428" spans="1:26">
      <c r="A428" s="1487"/>
      <c r="B428" s="1488"/>
      <c r="C428" s="1489"/>
      <c r="D428" s="1490"/>
      <c r="E428" s="1487"/>
      <c r="F428" s="1488"/>
      <c r="G428" s="1489"/>
      <c r="H428" s="1490"/>
      <c r="I428" s="1487"/>
      <c r="J428" s="1488"/>
      <c r="K428" s="1489"/>
      <c r="L428" s="1490"/>
      <c r="M428" s="1487"/>
      <c r="N428" s="1488"/>
      <c r="O428" s="1489"/>
      <c r="P428" s="1490"/>
      <c r="X428" s="1445" t="e">
        <f ca="1"/>
        <v>#NAME?</v>
      </c>
      <c r="Y428" s="1446" t="e">
        <f ca="1"/>
        <v>#NAME?</v>
      </c>
      <c r="Z428" s="1408"/>
    </row>
    <row r="429" spans="1:26">
      <c r="A429" s="1487"/>
      <c r="B429" s="1488"/>
      <c r="C429" s="1489"/>
      <c r="D429" s="1490"/>
      <c r="E429" s="1487"/>
      <c r="F429" s="1488"/>
      <c r="G429" s="1489"/>
      <c r="H429" s="1490"/>
      <c r="I429" s="1487"/>
      <c r="J429" s="1488"/>
      <c r="K429" s="1489"/>
      <c r="L429" s="1490"/>
      <c r="M429" s="1487"/>
      <c r="N429" s="1488"/>
      <c r="O429" s="1489"/>
      <c r="P429" s="1490"/>
      <c r="X429" s="1445" t="e">
        <f ca="1"/>
        <v>#NAME?</v>
      </c>
      <c r="Y429" s="1446" t="e">
        <f ca="1"/>
        <v>#NAME?</v>
      </c>
      <c r="Z429" s="1408"/>
    </row>
    <row r="430" spans="1:26">
      <c r="A430" s="1487"/>
      <c r="B430" s="1488"/>
      <c r="C430" s="1489"/>
      <c r="D430" s="1490"/>
      <c r="E430" s="1487"/>
      <c r="F430" s="1488"/>
      <c r="G430" s="1489"/>
      <c r="H430" s="1490"/>
      <c r="I430" s="1487"/>
      <c r="J430" s="1488"/>
      <c r="K430" s="1489"/>
      <c r="L430" s="1490"/>
      <c r="M430" s="1487"/>
      <c r="N430" s="1488"/>
      <c r="O430" s="1489"/>
      <c r="P430" s="1490"/>
      <c r="X430" s="1445" t="e">
        <f ca="1"/>
        <v>#NAME?</v>
      </c>
      <c r="Y430" s="1446" t="e">
        <f ca="1"/>
        <v>#NAME?</v>
      </c>
      <c r="Z430" s="1408"/>
    </row>
    <row r="431" spans="1:26">
      <c r="A431" s="1487"/>
      <c r="B431" s="1488"/>
      <c r="C431" s="1489"/>
      <c r="D431" s="1490"/>
      <c r="E431" s="1487"/>
      <c r="F431" s="1488"/>
      <c r="G431" s="1489"/>
      <c r="H431" s="1490"/>
      <c r="I431" s="1487"/>
      <c r="J431" s="1488"/>
      <c r="K431" s="1489"/>
      <c r="L431" s="1490"/>
      <c r="M431" s="1487"/>
      <c r="N431" s="1488"/>
      <c r="O431" s="1489"/>
      <c r="P431" s="1490"/>
      <c r="X431" s="1445" t="e">
        <f ca="1"/>
        <v>#NAME?</v>
      </c>
      <c r="Y431" s="1446" t="e">
        <f ca="1"/>
        <v>#NAME?</v>
      </c>
      <c r="Z431" s="1408"/>
    </row>
    <row r="432" spans="1:26">
      <c r="A432" s="1487"/>
      <c r="B432" s="1488"/>
      <c r="C432" s="1489"/>
      <c r="D432" s="1490"/>
      <c r="E432" s="1487"/>
      <c r="F432" s="1488"/>
      <c r="G432" s="1489"/>
      <c r="H432" s="1490"/>
      <c r="I432" s="1487"/>
      <c r="J432" s="1488"/>
      <c r="K432" s="1489"/>
      <c r="L432" s="1490"/>
      <c r="M432" s="1487"/>
      <c r="N432" s="1488"/>
      <c r="O432" s="1489"/>
      <c r="P432" s="1490"/>
      <c r="X432" s="1445" t="e">
        <f ca="1"/>
        <v>#NAME?</v>
      </c>
      <c r="Y432" s="1446" t="e">
        <f ca="1"/>
        <v>#NAME?</v>
      </c>
      <c r="Z432" s="1408"/>
    </row>
    <row r="433" spans="1:26">
      <c r="A433" s="1487"/>
      <c r="B433" s="1488"/>
      <c r="C433" s="1489"/>
      <c r="D433" s="1490"/>
      <c r="E433" s="1487"/>
      <c r="F433" s="1488"/>
      <c r="G433" s="1489"/>
      <c r="H433" s="1490"/>
      <c r="I433" s="1487"/>
      <c r="J433" s="1488"/>
      <c r="K433" s="1489"/>
      <c r="L433" s="1490"/>
      <c r="M433" s="1487"/>
      <c r="N433" s="1488"/>
      <c r="O433" s="1489"/>
      <c r="P433" s="1490"/>
      <c r="X433" s="1445" t="e">
        <f ca="1"/>
        <v>#NAME?</v>
      </c>
      <c r="Y433" s="1446" t="e">
        <f ca="1"/>
        <v>#NAME?</v>
      </c>
      <c r="Z433" s="1408"/>
    </row>
    <row r="434" spans="1:26">
      <c r="A434" s="1487"/>
      <c r="B434" s="1488"/>
      <c r="C434" s="1489"/>
      <c r="D434" s="1490"/>
      <c r="E434" s="1487"/>
      <c r="F434" s="1488"/>
      <c r="G434" s="1489"/>
      <c r="H434" s="1490"/>
      <c r="I434" s="1487"/>
      <c r="J434" s="1488"/>
      <c r="K434" s="1489"/>
      <c r="L434" s="1490"/>
      <c r="M434" s="1487"/>
      <c r="N434" s="1488"/>
      <c r="O434" s="1489"/>
      <c r="P434" s="1490"/>
      <c r="X434" s="1445" t="e">
        <f ca="1"/>
        <v>#NAME?</v>
      </c>
      <c r="Y434" s="1446" t="e">
        <f ca="1"/>
        <v>#NAME?</v>
      </c>
      <c r="Z434" s="1408"/>
    </row>
    <row r="435" spans="1:26">
      <c r="A435" s="1487"/>
      <c r="B435" s="1488"/>
      <c r="C435" s="1489"/>
      <c r="D435" s="1490"/>
      <c r="E435" s="1487"/>
      <c r="F435" s="1488"/>
      <c r="G435" s="1489"/>
      <c r="H435" s="1490"/>
      <c r="I435" s="1487"/>
      <c r="J435" s="1488"/>
      <c r="K435" s="1489"/>
      <c r="L435" s="1490"/>
      <c r="M435" s="1487"/>
      <c r="N435" s="1488"/>
      <c r="O435" s="1489"/>
      <c r="P435" s="1490"/>
      <c r="X435" s="1445" t="e">
        <f ca="1"/>
        <v>#NAME?</v>
      </c>
      <c r="Y435" s="1446" t="e">
        <f ca="1"/>
        <v>#NAME?</v>
      </c>
      <c r="Z435" s="1408"/>
    </row>
    <row r="436" spans="1:26">
      <c r="A436" s="1487"/>
      <c r="B436" s="1488"/>
      <c r="C436" s="1489"/>
      <c r="D436" s="1490"/>
      <c r="E436" s="1487"/>
      <c r="F436" s="1488"/>
      <c r="G436" s="1489"/>
      <c r="H436" s="1490"/>
      <c r="I436" s="1487"/>
      <c r="J436" s="1488"/>
      <c r="K436" s="1489"/>
      <c r="L436" s="1490"/>
      <c r="M436" s="1487"/>
      <c r="N436" s="1488"/>
      <c r="O436" s="1489"/>
      <c r="P436" s="1490"/>
      <c r="X436" s="1445" t="e">
        <f ca="1"/>
        <v>#NAME?</v>
      </c>
      <c r="Y436" s="1446" t="e">
        <f ca="1"/>
        <v>#NAME?</v>
      </c>
      <c r="Z436" s="1408"/>
    </row>
    <row r="437" spans="1:26">
      <c r="A437" s="1487"/>
      <c r="B437" s="1488"/>
      <c r="C437" s="1489"/>
      <c r="D437" s="1490"/>
      <c r="E437" s="1487"/>
      <c r="F437" s="1488"/>
      <c r="G437" s="1489"/>
      <c r="H437" s="1490"/>
      <c r="I437" s="1487"/>
      <c r="J437" s="1488"/>
      <c r="K437" s="1489"/>
      <c r="L437" s="1490"/>
      <c r="M437" s="1487"/>
      <c r="N437" s="1488"/>
      <c r="O437" s="1489"/>
      <c r="P437" s="1490"/>
      <c r="X437" s="1445" t="e">
        <f ca="1"/>
        <v>#NAME?</v>
      </c>
      <c r="Y437" s="1446" t="e">
        <f ca="1"/>
        <v>#NAME?</v>
      </c>
      <c r="Z437" s="1408"/>
    </row>
    <row r="438" spans="1:26">
      <c r="A438" s="1487"/>
      <c r="B438" s="1488"/>
      <c r="C438" s="1489"/>
      <c r="D438" s="1490"/>
      <c r="E438" s="1487"/>
      <c r="F438" s="1488"/>
      <c r="G438" s="1489"/>
      <c r="H438" s="1490"/>
      <c r="I438" s="1487"/>
      <c r="J438" s="1488"/>
      <c r="K438" s="1489"/>
      <c r="L438" s="1490"/>
      <c r="M438" s="1487"/>
      <c r="N438" s="1488"/>
      <c r="O438" s="1489"/>
      <c r="P438" s="1490"/>
      <c r="X438" s="1445" t="e">
        <f ca="1"/>
        <v>#NAME?</v>
      </c>
      <c r="Y438" s="1446" t="e">
        <f ca="1"/>
        <v>#NAME?</v>
      </c>
      <c r="Z438" s="1408"/>
    </row>
    <row r="439" spans="1:26">
      <c r="A439" s="1487"/>
      <c r="B439" s="1488"/>
      <c r="C439" s="1489"/>
      <c r="D439" s="1490"/>
      <c r="E439" s="1487"/>
      <c r="F439" s="1488"/>
      <c r="G439" s="1489"/>
      <c r="H439" s="1490"/>
      <c r="I439" s="1487"/>
      <c r="J439" s="1488"/>
      <c r="K439" s="1489"/>
      <c r="L439" s="1490"/>
      <c r="M439" s="1487"/>
      <c r="N439" s="1488"/>
      <c r="O439" s="1489"/>
      <c r="P439" s="1490"/>
      <c r="X439" s="1445" t="e">
        <f ca="1"/>
        <v>#NAME?</v>
      </c>
      <c r="Y439" s="1446" t="e">
        <f ca="1"/>
        <v>#NAME?</v>
      </c>
      <c r="Z439" s="1408"/>
    </row>
    <row r="440" spans="1:26">
      <c r="A440" s="1487"/>
      <c r="B440" s="1488"/>
      <c r="C440" s="1489"/>
      <c r="D440" s="1490"/>
      <c r="E440" s="1487"/>
      <c r="F440" s="1488"/>
      <c r="G440" s="1489"/>
      <c r="H440" s="1490"/>
      <c r="I440" s="1487"/>
      <c r="J440" s="1488"/>
      <c r="K440" s="1489"/>
      <c r="L440" s="1490"/>
      <c r="M440" s="1487"/>
      <c r="N440" s="1488"/>
      <c r="O440" s="1489"/>
      <c r="P440" s="1490"/>
      <c r="X440" s="1445" t="e">
        <f ca="1"/>
        <v>#NAME?</v>
      </c>
      <c r="Y440" s="1446" t="e">
        <f ca="1"/>
        <v>#NAME?</v>
      </c>
      <c r="Z440" s="1408"/>
    </row>
    <row r="441" spans="1:26">
      <c r="A441" s="1487"/>
      <c r="B441" s="1488"/>
      <c r="C441" s="1489"/>
      <c r="D441" s="1490"/>
      <c r="E441" s="1487"/>
      <c r="F441" s="1488"/>
      <c r="G441" s="1489"/>
      <c r="H441" s="1490"/>
      <c r="I441" s="1487"/>
      <c r="J441" s="1488"/>
      <c r="K441" s="1489"/>
      <c r="L441" s="1490"/>
      <c r="M441" s="1487"/>
      <c r="N441" s="1488"/>
      <c r="O441" s="1489"/>
      <c r="P441" s="1490"/>
      <c r="X441" s="1445" t="e">
        <f ca="1"/>
        <v>#NAME?</v>
      </c>
      <c r="Y441" s="1446" t="e">
        <f ca="1"/>
        <v>#NAME?</v>
      </c>
      <c r="Z441" s="1408"/>
    </row>
    <row r="442" spans="1:26">
      <c r="A442" s="1487"/>
      <c r="B442" s="1488"/>
      <c r="C442" s="1489"/>
      <c r="D442" s="1490"/>
      <c r="E442" s="1487"/>
      <c r="F442" s="1488"/>
      <c r="G442" s="1489"/>
      <c r="H442" s="1490"/>
      <c r="I442" s="1487"/>
      <c r="J442" s="1488"/>
      <c r="K442" s="1489"/>
      <c r="L442" s="1490"/>
      <c r="M442" s="1487"/>
      <c r="N442" s="1488"/>
      <c r="O442" s="1489"/>
      <c r="P442" s="1490"/>
      <c r="X442" s="1445" t="e">
        <f ca="1"/>
        <v>#NAME?</v>
      </c>
      <c r="Y442" s="1446" t="e">
        <f ca="1"/>
        <v>#NAME?</v>
      </c>
      <c r="Z442" s="1408"/>
    </row>
    <row r="443" spans="1:26">
      <c r="A443" s="1487"/>
      <c r="B443" s="1488"/>
      <c r="C443" s="1489"/>
      <c r="D443" s="1490"/>
      <c r="E443" s="1487"/>
      <c r="F443" s="1488"/>
      <c r="G443" s="1489"/>
      <c r="H443" s="1490"/>
      <c r="I443" s="1487"/>
      <c r="J443" s="1488"/>
      <c r="K443" s="1489"/>
      <c r="L443" s="1490"/>
      <c r="M443" s="1487"/>
      <c r="N443" s="1488"/>
      <c r="O443" s="1489"/>
      <c r="P443" s="1490"/>
      <c r="X443" s="1445" t="e">
        <f ca="1"/>
        <v>#NAME?</v>
      </c>
      <c r="Y443" s="1446" t="e">
        <f ca="1"/>
        <v>#NAME?</v>
      </c>
      <c r="Z443" s="1408"/>
    </row>
    <row r="444" spans="1:26">
      <c r="A444" s="1487"/>
      <c r="B444" s="1488"/>
      <c r="C444" s="1489"/>
      <c r="D444" s="1490"/>
      <c r="E444" s="1487"/>
      <c r="F444" s="1488"/>
      <c r="G444" s="1489"/>
      <c r="H444" s="1490"/>
      <c r="I444" s="1487"/>
      <c r="J444" s="1488"/>
      <c r="K444" s="1489"/>
      <c r="L444" s="1490"/>
      <c r="M444" s="1487"/>
      <c r="N444" s="1488"/>
      <c r="O444" s="1489"/>
      <c r="P444" s="1490"/>
      <c r="X444" s="1445" t="e">
        <f ca="1"/>
        <v>#NAME?</v>
      </c>
      <c r="Y444" s="1446" t="e">
        <f ca="1"/>
        <v>#NAME?</v>
      </c>
      <c r="Z444" s="1408"/>
    </row>
    <row r="445" spans="1:26">
      <c r="A445" s="1487"/>
      <c r="B445" s="1488"/>
      <c r="C445" s="1489"/>
      <c r="D445" s="1490"/>
      <c r="E445" s="1487"/>
      <c r="F445" s="1488"/>
      <c r="G445" s="1489"/>
      <c r="H445" s="1490"/>
      <c r="I445" s="1487"/>
      <c r="J445" s="1488"/>
      <c r="K445" s="1489"/>
      <c r="L445" s="1490"/>
      <c r="M445" s="1487"/>
      <c r="N445" s="1488"/>
      <c r="O445" s="1489"/>
      <c r="P445" s="1490"/>
      <c r="X445" s="1445" t="e">
        <f ca="1"/>
        <v>#NAME?</v>
      </c>
      <c r="Y445" s="1446" t="e">
        <f ca="1"/>
        <v>#NAME?</v>
      </c>
      <c r="Z445" s="1408"/>
    </row>
    <row r="446" spans="1:26">
      <c r="A446" s="1487"/>
      <c r="B446" s="1488"/>
      <c r="C446" s="1489"/>
      <c r="D446" s="1490"/>
      <c r="E446" s="1487"/>
      <c r="F446" s="1488"/>
      <c r="G446" s="1489"/>
      <c r="H446" s="1490"/>
      <c r="I446" s="1487"/>
      <c r="J446" s="1488"/>
      <c r="K446" s="1489"/>
      <c r="L446" s="1490"/>
      <c r="M446" s="1487"/>
      <c r="N446" s="1488"/>
      <c r="O446" s="1489"/>
      <c r="P446" s="1490"/>
      <c r="X446" s="1445" t="e">
        <f ca="1"/>
        <v>#NAME?</v>
      </c>
      <c r="Y446" s="1446" t="e">
        <f ca="1"/>
        <v>#NAME?</v>
      </c>
      <c r="Z446" s="1408"/>
    </row>
    <row r="447" spans="1:26">
      <c r="A447" s="1487"/>
      <c r="B447" s="1488"/>
      <c r="C447" s="1489"/>
      <c r="D447" s="1490"/>
      <c r="E447" s="1487"/>
      <c r="F447" s="1488"/>
      <c r="G447" s="1489"/>
      <c r="H447" s="1490"/>
      <c r="I447" s="1487"/>
      <c r="J447" s="1488"/>
      <c r="K447" s="1489"/>
      <c r="L447" s="1490"/>
      <c r="M447" s="1487"/>
      <c r="N447" s="1488"/>
      <c r="O447" s="1489"/>
      <c r="P447" s="1490"/>
      <c r="X447" s="1445" t="e">
        <f ca="1"/>
        <v>#NAME?</v>
      </c>
      <c r="Y447" s="1446" t="e">
        <f ca="1"/>
        <v>#NAME?</v>
      </c>
      <c r="Z447" s="1408"/>
    </row>
    <row r="448" spans="1:26">
      <c r="A448" s="1487"/>
      <c r="B448" s="1488"/>
      <c r="C448" s="1489"/>
      <c r="D448" s="1490"/>
      <c r="E448" s="1487"/>
      <c r="F448" s="1488"/>
      <c r="G448" s="1489"/>
      <c r="H448" s="1490"/>
      <c r="I448" s="1487"/>
      <c r="J448" s="1488"/>
      <c r="K448" s="1489"/>
      <c r="L448" s="1490"/>
      <c r="M448" s="1487"/>
      <c r="N448" s="1488"/>
      <c r="O448" s="1489"/>
      <c r="P448" s="1490"/>
      <c r="X448" s="1445" t="e">
        <f ca="1"/>
        <v>#NAME?</v>
      </c>
      <c r="Y448" s="1446" t="e">
        <f ca="1"/>
        <v>#NAME?</v>
      </c>
      <c r="Z448" s="1408"/>
    </row>
    <row r="449" spans="1:26">
      <c r="A449" s="1487"/>
      <c r="B449" s="1488"/>
      <c r="C449" s="1489"/>
      <c r="D449" s="1490"/>
      <c r="E449" s="1487"/>
      <c r="F449" s="1488"/>
      <c r="G449" s="1489"/>
      <c r="H449" s="1490"/>
      <c r="I449" s="1487"/>
      <c r="J449" s="1488"/>
      <c r="K449" s="1489"/>
      <c r="L449" s="1490"/>
      <c r="M449" s="1487"/>
      <c r="N449" s="1488"/>
      <c r="O449" s="1489"/>
      <c r="P449" s="1490"/>
      <c r="X449" s="1445" t="e">
        <f ca="1"/>
        <v>#NAME?</v>
      </c>
      <c r="Y449" s="1446" t="e">
        <f ca="1"/>
        <v>#NAME?</v>
      </c>
      <c r="Z449" s="1408"/>
    </row>
    <row r="450" spans="1:26">
      <c r="A450" s="1487"/>
      <c r="B450" s="1488"/>
      <c r="C450" s="1489"/>
      <c r="D450" s="1490"/>
      <c r="E450" s="1487"/>
      <c r="F450" s="1488"/>
      <c r="G450" s="1489"/>
      <c r="H450" s="1490"/>
      <c r="I450" s="1487"/>
      <c r="J450" s="1488"/>
      <c r="K450" s="1489"/>
      <c r="L450" s="1490"/>
      <c r="M450" s="1487"/>
      <c r="N450" s="1488"/>
      <c r="O450" s="1489"/>
      <c r="P450" s="1490"/>
      <c r="X450" s="1445" t="e">
        <f ca="1"/>
        <v>#NAME?</v>
      </c>
      <c r="Y450" s="1446" t="e">
        <f ca="1"/>
        <v>#NAME?</v>
      </c>
      <c r="Z450" s="1408"/>
    </row>
    <row r="451" spans="1:26">
      <c r="A451" s="1487"/>
      <c r="B451" s="1488"/>
      <c r="C451" s="1489"/>
      <c r="D451" s="1490"/>
      <c r="E451" s="1487"/>
      <c r="F451" s="1488"/>
      <c r="G451" s="1489"/>
      <c r="H451" s="1490"/>
      <c r="I451" s="1487"/>
      <c r="J451" s="1488"/>
      <c r="K451" s="1489"/>
      <c r="L451" s="1490"/>
      <c r="M451" s="1487"/>
      <c r="N451" s="1488"/>
      <c r="O451" s="1489"/>
      <c r="P451" s="1490"/>
      <c r="X451" s="1445" t="e">
        <f ca="1"/>
        <v>#NAME?</v>
      </c>
      <c r="Y451" s="1446" t="e">
        <f ca="1"/>
        <v>#NAME?</v>
      </c>
      <c r="Z451" s="1408"/>
    </row>
    <row r="452" spans="1:26">
      <c r="A452" s="1487"/>
      <c r="B452" s="1488"/>
      <c r="C452" s="1489"/>
      <c r="D452" s="1490"/>
      <c r="E452" s="1487"/>
      <c r="F452" s="1488"/>
      <c r="G452" s="1489"/>
      <c r="H452" s="1490"/>
      <c r="I452" s="1487"/>
      <c r="J452" s="1488"/>
      <c r="K452" s="1489"/>
      <c r="L452" s="1490"/>
      <c r="M452" s="1487"/>
      <c r="N452" s="1488"/>
      <c r="O452" s="1489"/>
      <c r="P452" s="1490"/>
      <c r="X452" s="1445" t="e">
        <f ca="1"/>
        <v>#NAME?</v>
      </c>
      <c r="Y452" s="1446" t="e">
        <f ca="1"/>
        <v>#NAME?</v>
      </c>
      <c r="Z452" s="1408"/>
    </row>
    <row r="453" spans="1:26">
      <c r="A453" s="1487"/>
      <c r="B453" s="1488"/>
      <c r="C453" s="1489"/>
      <c r="D453" s="1490"/>
      <c r="E453" s="1487"/>
      <c r="F453" s="1488"/>
      <c r="G453" s="1489"/>
      <c r="H453" s="1490"/>
      <c r="I453" s="1487"/>
      <c r="J453" s="1488"/>
      <c r="K453" s="1489"/>
      <c r="L453" s="1490"/>
      <c r="M453" s="1487"/>
      <c r="N453" s="1488"/>
      <c r="O453" s="1489"/>
      <c r="P453" s="1490"/>
      <c r="X453" s="1445" t="e">
        <f ca="1"/>
        <v>#NAME?</v>
      </c>
      <c r="Y453" s="1446" t="e">
        <f ca="1"/>
        <v>#NAME?</v>
      </c>
      <c r="Z453" s="1408"/>
    </row>
    <row r="454" spans="1:26">
      <c r="A454" s="1487"/>
      <c r="B454" s="1488"/>
      <c r="C454" s="1489"/>
      <c r="D454" s="1490"/>
      <c r="E454" s="1487"/>
      <c r="F454" s="1488"/>
      <c r="G454" s="1489"/>
      <c r="H454" s="1490"/>
      <c r="I454" s="1487"/>
      <c r="J454" s="1488"/>
      <c r="K454" s="1489"/>
      <c r="L454" s="1490"/>
      <c r="M454" s="1487"/>
      <c r="N454" s="1488"/>
      <c r="O454" s="1489"/>
      <c r="P454" s="1490"/>
      <c r="X454" s="1445" t="e">
        <f ca="1"/>
        <v>#NAME?</v>
      </c>
      <c r="Y454" s="1446" t="e">
        <f ca="1"/>
        <v>#NAME?</v>
      </c>
      <c r="Z454" s="1408"/>
    </row>
    <row r="455" spans="1:26">
      <c r="A455" s="1487"/>
      <c r="B455" s="1488"/>
      <c r="C455" s="1489"/>
      <c r="D455" s="1490"/>
      <c r="E455" s="1487"/>
      <c r="F455" s="1488"/>
      <c r="G455" s="1489"/>
      <c r="H455" s="1490"/>
      <c r="I455" s="1487"/>
      <c r="J455" s="1488"/>
      <c r="K455" s="1489"/>
      <c r="L455" s="1490"/>
      <c r="M455" s="1487"/>
      <c r="N455" s="1488"/>
      <c r="O455" s="1489"/>
      <c r="P455" s="1490"/>
      <c r="X455" s="1445" t="e">
        <f ca="1"/>
        <v>#NAME?</v>
      </c>
      <c r="Y455" s="1446" t="e">
        <f ca="1"/>
        <v>#NAME?</v>
      </c>
      <c r="Z455" s="1408"/>
    </row>
    <row r="456" spans="1:26">
      <c r="A456" s="1487"/>
      <c r="B456" s="1488"/>
      <c r="C456" s="1489"/>
      <c r="D456" s="1490"/>
      <c r="E456" s="1487"/>
      <c r="F456" s="1488"/>
      <c r="G456" s="1489"/>
      <c r="H456" s="1490"/>
      <c r="I456" s="1487"/>
      <c r="J456" s="1488"/>
      <c r="K456" s="1489"/>
      <c r="L456" s="1490"/>
      <c r="M456" s="1487"/>
      <c r="N456" s="1488"/>
      <c r="O456" s="1489"/>
      <c r="P456" s="1490"/>
      <c r="X456" s="1445" t="e">
        <f ca="1"/>
        <v>#NAME?</v>
      </c>
      <c r="Y456" s="1446" t="e">
        <f ca="1"/>
        <v>#NAME?</v>
      </c>
      <c r="Z456" s="1408"/>
    </row>
    <row r="457" spans="1:26">
      <c r="A457" s="1487"/>
      <c r="B457" s="1488"/>
      <c r="C457" s="1489"/>
      <c r="D457" s="1490"/>
      <c r="E457" s="1487"/>
      <c r="F457" s="1488"/>
      <c r="G457" s="1489"/>
      <c r="H457" s="1490"/>
      <c r="I457" s="1487"/>
      <c r="J457" s="1488"/>
      <c r="K457" s="1489"/>
      <c r="L457" s="1490"/>
      <c r="M457" s="1487"/>
      <c r="N457" s="1488"/>
      <c r="O457" s="1489"/>
      <c r="P457" s="1490"/>
      <c r="X457" s="1445" t="e">
        <f ca="1"/>
        <v>#NAME?</v>
      </c>
      <c r="Y457" s="1446" t="e">
        <f ca="1"/>
        <v>#NAME?</v>
      </c>
      <c r="Z457" s="1408"/>
    </row>
    <row r="458" spans="1:26">
      <c r="A458" s="1487"/>
      <c r="B458" s="1488"/>
      <c r="C458" s="1489"/>
      <c r="D458" s="1490"/>
      <c r="E458" s="1487"/>
      <c r="F458" s="1488"/>
      <c r="G458" s="1489"/>
      <c r="H458" s="1490"/>
      <c r="I458" s="1487"/>
      <c r="J458" s="1488"/>
      <c r="K458" s="1489"/>
      <c r="L458" s="1490"/>
      <c r="M458" s="1487"/>
      <c r="N458" s="1488"/>
      <c r="O458" s="1489"/>
      <c r="P458" s="1490"/>
      <c r="X458" s="1445" t="e">
        <f ca="1"/>
        <v>#NAME?</v>
      </c>
      <c r="Y458" s="1446" t="e">
        <f ca="1"/>
        <v>#NAME?</v>
      </c>
      <c r="Z458" s="1408"/>
    </row>
    <row r="459" spans="1:26">
      <c r="A459" s="1487"/>
      <c r="B459" s="1488"/>
      <c r="C459" s="1489"/>
      <c r="D459" s="1490"/>
      <c r="E459" s="1487"/>
      <c r="F459" s="1488"/>
      <c r="G459" s="1489"/>
      <c r="H459" s="1490"/>
      <c r="I459" s="1487"/>
      <c r="J459" s="1488"/>
      <c r="K459" s="1489"/>
      <c r="L459" s="1490"/>
      <c r="M459" s="1487"/>
      <c r="N459" s="1488"/>
      <c r="O459" s="1489"/>
      <c r="P459" s="1490"/>
      <c r="X459" s="1445" t="e">
        <f ca="1"/>
        <v>#NAME?</v>
      </c>
      <c r="Y459" s="1446" t="e">
        <f ca="1"/>
        <v>#NAME?</v>
      </c>
      <c r="Z459" s="1408"/>
    </row>
    <row r="460" spans="1:26">
      <c r="A460" s="1487"/>
      <c r="B460" s="1488"/>
      <c r="C460" s="1489"/>
      <c r="D460" s="1490"/>
      <c r="E460" s="1487"/>
      <c r="F460" s="1488"/>
      <c r="G460" s="1489"/>
      <c r="H460" s="1490"/>
      <c r="I460" s="1487"/>
      <c r="J460" s="1488"/>
      <c r="K460" s="1489"/>
      <c r="L460" s="1490"/>
      <c r="M460" s="1487"/>
      <c r="N460" s="1488"/>
      <c r="O460" s="1489"/>
      <c r="P460" s="1490"/>
      <c r="X460" s="1445" t="e">
        <f ca="1"/>
        <v>#NAME?</v>
      </c>
      <c r="Y460" s="1446" t="e">
        <f ca="1"/>
        <v>#NAME?</v>
      </c>
      <c r="Z460" s="1408"/>
    </row>
    <row r="461" spans="1:26">
      <c r="A461" s="1487"/>
      <c r="B461" s="1488"/>
      <c r="C461" s="1489"/>
      <c r="D461" s="1490"/>
      <c r="E461" s="1487"/>
      <c r="F461" s="1488"/>
      <c r="G461" s="1489"/>
      <c r="H461" s="1490"/>
      <c r="I461" s="1487"/>
      <c r="J461" s="1488"/>
      <c r="K461" s="1489"/>
      <c r="L461" s="1490"/>
      <c r="M461" s="1487"/>
      <c r="N461" s="1488"/>
      <c r="O461" s="1489"/>
      <c r="P461" s="1490"/>
      <c r="X461" s="1445" t="e">
        <f ca="1"/>
        <v>#NAME?</v>
      </c>
      <c r="Y461" s="1446" t="e">
        <f ca="1"/>
        <v>#NAME?</v>
      </c>
      <c r="Z461" s="1408"/>
    </row>
    <row r="462" spans="1:26">
      <c r="A462" s="1487"/>
      <c r="B462" s="1488"/>
      <c r="C462" s="1489"/>
      <c r="D462" s="1490"/>
      <c r="E462" s="1487"/>
      <c r="F462" s="1488"/>
      <c r="G462" s="1489"/>
      <c r="H462" s="1490"/>
      <c r="I462" s="1487"/>
      <c r="J462" s="1488"/>
      <c r="K462" s="1489"/>
      <c r="L462" s="1490"/>
      <c r="M462" s="1487"/>
      <c r="N462" s="1488"/>
      <c r="O462" s="1489"/>
      <c r="P462" s="1490"/>
      <c r="X462" s="1445" t="e">
        <f ca="1"/>
        <v>#NAME?</v>
      </c>
      <c r="Y462" s="1446" t="e">
        <f ca="1"/>
        <v>#NAME?</v>
      </c>
      <c r="Z462" s="1408"/>
    </row>
    <row r="463" spans="1:26">
      <c r="A463" s="1487"/>
      <c r="B463" s="1488"/>
      <c r="C463" s="1489"/>
      <c r="D463" s="1490"/>
      <c r="E463" s="1487"/>
      <c r="F463" s="1488"/>
      <c r="G463" s="1489"/>
      <c r="H463" s="1490"/>
      <c r="I463" s="1487"/>
      <c r="J463" s="1488"/>
      <c r="K463" s="1489"/>
      <c r="L463" s="1490"/>
      <c r="M463" s="1487"/>
      <c r="N463" s="1488"/>
      <c r="O463" s="1489"/>
      <c r="P463" s="1490"/>
      <c r="X463" s="1445" t="e">
        <f ca="1"/>
        <v>#NAME?</v>
      </c>
      <c r="Y463" s="1446" t="e">
        <f ca="1"/>
        <v>#NAME?</v>
      </c>
      <c r="Z463" s="1408"/>
    </row>
    <row r="464" spans="1:26">
      <c r="A464" s="1487"/>
      <c r="B464" s="1488"/>
      <c r="C464" s="1489"/>
      <c r="D464" s="1490"/>
      <c r="E464" s="1487"/>
      <c r="F464" s="1488"/>
      <c r="G464" s="1489"/>
      <c r="H464" s="1490"/>
      <c r="I464" s="1487"/>
      <c r="J464" s="1488"/>
      <c r="K464" s="1489"/>
      <c r="L464" s="1490"/>
      <c r="M464" s="1487"/>
      <c r="N464" s="1488"/>
      <c r="O464" s="1489"/>
      <c r="P464" s="1490"/>
      <c r="X464" s="1445" t="e">
        <f ca="1"/>
        <v>#NAME?</v>
      </c>
      <c r="Y464" s="1446" t="e">
        <f ca="1"/>
        <v>#NAME?</v>
      </c>
      <c r="Z464" s="1408"/>
    </row>
    <row r="465" spans="1:26">
      <c r="A465" s="1487"/>
      <c r="B465" s="1488"/>
      <c r="C465" s="1489"/>
      <c r="D465" s="1490"/>
      <c r="E465" s="1487"/>
      <c r="F465" s="1488"/>
      <c r="G465" s="1489"/>
      <c r="H465" s="1490"/>
      <c r="I465" s="1487"/>
      <c r="J465" s="1488"/>
      <c r="K465" s="1489"/>
      <c r="L465" s="1490"/>
      <c r="M465" s="1487"/>
      <c r="N465" s="1488"/>
      <c r="O465" s="1489"/>
      <c r="P465" s="1490"/>
      <c r="X465" s="1445" t="e">
        <f ca="1"/>
        <v>#NAME?</v>
      </c>
      <c r="Y465" s="1446" t="e">
        <f ca="1"/>
        <v>#NAME?</v>
      </c>
      <c r="Z465" s="1408"/>
    </row>
    <row r="466" spans="1:26">
      <c r="A466" s="1487"/>
      <c r="B466" s="1488"/>
      <c r="C466" s="1489"/>
      <c r="D466" s="1490"/>
      <c r="E466" s="1487"/>
      <c r="F466" s="1488"/>
      <c r="G466" s="1489"/>
      <c r="H466" s="1490"/>
      <c r="I466" s="1487"/>
      <c r="J466" s="1488"/>
      <c r="K466" s="1489"/>
      <c r="L466" s="1490"/>
      <c r="M466" s="1487"/>
      <c r="N466" s="1488"/>
      <c r="O466" s="1489"/>
      <c r="P466" s="1490"/>
      <c r="X466" s="1445" t="e">
        <f ca="1"/>
        <v>#NAME?</v>
      </c>
      <c r="Y466" s="1446" t="e">
        <f ca="1"/>
        <v>#NAME?</v>
      </c>
      <c r="Z466" s="1408"/>
    </row>
    <row r="467" spans="1:26">
      <c r="A467" s="1487"/>
      <c r="B467" s="1488"/>
      <c r="C467" s="1489"/>
      <c r="D467" s="1490"/>
      <c r="E467" s="1487"/>
      <c r="F467" s="1488"/>
      <c r="G467" s="1489"/>
      <c r="H467" s="1490"/>
      <c r="I467" s="1487"/>
      <c r="J467" s="1488"/>
      <c r="K467" s="1489"/>
      <c r="L467" s="1490"/>
      <c r="M467" s="1487"/>
      <c r="N467" s="1488"/>
      <c r="O467" s="1489"/>
      <c r="P467" s="1490"/>
      <c r="X467" s="1445" t="e">
        <f ca="1"/>
        <v>#NAME?</v>
      </c>
      <c r="Y467" s="1446" t="e">
        <f ca="1"/>
        <v>#NAME?</v>
      </c>
      <c r="Z467" s="1408"/>
    </row>
    <row r="468" spans="1:26">
      <c r="A468" s="1487"/>
      <c r="B468" s="1488"/>
      <c r="C468" s="1489"/>
      <c r="D468" s="1490"/>
      <c r="E468" s="1487"/>
      <c r="F468" s="1488"/>
      <c r="G468" s="1489"/>
      <c r="H468" s="1490"/>
      <c r="I468" s="1487"/>
      <c r="J468" s="1488"/>
      <c r="K468" s="1489"/>
      <c r="L468" s="1490"/>
      <c r="M468" s="1487"/>
      <c r="N468" s="1488"/>
      <c r="O468" s="1489"/>
      <c r="P468" s="1490"/>
      <c r="X468" s="1445" t="e">
        <f ca="1"/>
        <v>#NAME?</v>
      </c>
      <c r="Y468" s="1446" t="e">
        <f ca="1"/>
        <v>#NAME?</v>
      </c>
      <c r="Z468" s="1408"/>
    </row>
    <row r="469" spans="1:26">
      <c r="A469" s="1487"/>
      <c r="B469" s="1488"/>
      <c r="C469" s="1489"/>
      <c r="D469" s="1490"/>
      <c r="E469" s="1487"/>
      <c r="F469" s="1488"/>
      <c r="G469" s="1489"/>
      <c r="H469" s="1490"/>
      <c r="I469" s="1487"/>
      <c r="J469" s="1488"/>
      <c r="K469" s="1489"/>
      <c r="L469" s="1490"/>
      <c r="M469" s="1487"/>
      <c r="N469" s="1488"/>
      <c r="O469" s="1489"/>
      <c r="P469" s="1490"/>
      <c r="X469" s="1445" t="e">
        <f ca="1"/>
        <v>#NAME?</v>
      </c>
      <c r="Y469" s="1446" t="e">
        <f ca="1"/>
        <v>#NAME?</v>
      </c>
      <c r="Z469" s="1408"/>
    </row>
    <row r="470" spans="1:26">
      <c r="A470" s="1487"/>
      <c r="B470" s="1488"/>
      <c r="C470" s="1489"/>
      <c r="D470" s="1490"/>
      <c r="E470" s="1487"/>
      <c r="F470" s="1488"/>
      <c r="G470" s="1489"/>
      <c r="H470" s="1490"/>
      <c r="I470" s="1487"/>
      <c r="J470" s="1488"/>
      <c r="K470" s="1489"/>
      <c r="L470" s="1490"/>
      <c r="M470" s="1487"/>
      <c r="N470" s="1488"/>
      <c r="O470" s="1489"/>
      <c r="P470" s="1490"/>
      <c r="X470" s="1445" t="e">
        <f ca="1"/>
        <v>#NAME?</v>
      </c>
      <c r="Y470" s="1446" t="e">
        <f ca="1"/>
        <v>#NAME?</v>
      </c>
      <c r="Z470" s="1408"/>
    </row>
    <row r="471" spans="1:26">
      <c r="A471" s="1487"/>
      <c r="B471" s="1488"/>
      <c r="C471" s="1489"/>
      <c r="D471" s="1490"/>
      <c r="E471" s="1487"/>
      <c r="F471" s="1488"/>
      <c r="G471" s="1489"/>
      <c r="H471" s="1490"/>
      <c r="I471" s="1487"/>
      <c r="J471" s="1488"/>
      <c r="K471" s="1489"/>
      <c r="L471" s="1490"/>
      <c r="M471" s="1487"/>
      <c r="N471" s="1488"/>
      <c r="O471" s="1489"/>
      <c r="P471" s="1490"/>
      <c r="X471" s="1445" t="e">
        <f ca="1"/>
        <v>#NAME?</v>
      </c>
      <c r="Y471" s="1446" t="e">
        <f ca="1"/>
        <v>#NAME?</v>
      </c>
      <c r="Z471" s="1408"/>
    </row>
    <row r="472" spans="1:26">
      <c r="A472" s="1487"/>
      <c r="B472" s="1488"/>
      <c r="C472" s="1489"/>
      <c r="D472" s="1490"/>
      <c r="E472" s="1487"/>
      <c r="F472" s="1488"/>
      <c r="G472" s="1489"/>
      <c r="H472" s="1490"/>
      <c r="I472" s="1487"/>
      <c r="J472" s="1488"/>
      <c r="K472" s="1489"/>
      <c r="L472" s="1490"/>
      <c r="M472" s="1487"/>
      <c r="N472" s="1488"/>
      <c r="O472" s="1489"/>
      <c r="P472" s="1490"/>
      <c r="X472" s="1445" t="e">
        <f ca="1"/>
        <v>#NAME?</v>
      </c>
      <c r="Y472" s="1446" t="e">
        <f ca="1"/>
        <v>#NAME?</v>
      </c>
      <c r="Z472" s="1408"/>
    </row>
    <row r="473" spans="1:26">
      <c r="A473" s="1487"/>
      <c r="B473" s="1488"/>
      <c r="C473" s="1489"/>
      <c r="D473" s="1490"/>
      <c r="E473" s="1487"/>
      <c r="F473" s="1488"/>
      <c r="G473" s="1489"/>
      <c r="H473" s="1490"/>
      <c r="I473" s="1487"/>
      <c r="J473" s="1488"/>
      <c r="K473" s="1489"/>
      <c r="L473" s="1490"/>
      <c r="M473" s="1487"/>
      <c r="N473" s="1488"/>
      <c r="O473" s="1489"/>
      <c r="P473" s="1490"/>
      <c r="X473" s="1445" t="e">
        <f ca="1"/>
        <v>#NAME?</v>
      </c>
      <c r="Y473" s="1446" t="e">
        <f ca="1"/>
        <v>#NAME?</v>
      </c>
      <c r="Z473" s="1408"/>
    </row>
    <row r="474" spans="1:26">
      <c r="A474" s="1487"/>
      <c r="B474" s="1488"/>
      <c r="C474" s="1489"/>
      <c r="D474" s="1490"/>
      <c r="E474" s="1487"/>
      <c r="F474" s="1488"/>
      <c r="G474" s="1489"/>
      <c r="H474" s="1490"/>
      <c r="I474" s="1487"/>
      <c r="J474" s="1488"/>
      <c r="K474" s="1489"/>
      <c r="L474" s="1490"/>
      <c r="M474" s="1487"/>
      <c r="N474" s="1488"/>
      <c r="O474" s="1489"/>
      <c r="P474" s="1490"/>
      <c r="X474" s="1445" t="e">
        <f ca="1"/>
        <v>#NAME?</v>
      </c>
      <c r="Y474" s="1446" t="e">
        <f ca="1"/>
        <v>#NAME?</v>
      </c>
      <c r="Z474" s="1408"/>
    </row>
    <row r="475" spans="1:26">
      <c r="A475" s="1487"/>
      <c r="B475" s="1488"/>
      <c r="C475" s="1489"/>
      <c r="D475" s="1490"/>
      <c r="E475" s="1487"/>
      <c r="F475" s="1488"/>
      <c r="G475" s="1489"/>
      <c r="H475" s="1490"/>
      <c r="I475" s="1487"/>
      <c r="J475" s="1488"/>
      <c r="K475" s="1489"/>
      <c r="L475" s="1490"/>
      <c r="M475" s="1487"/>
      <c r="N475" s="1488"/>
      <c r="O475" s="1489"/>
      <c r="P475" s="1490"/>
      <c r="X475" s="1445" t="e">
        <f ca="1"/>
        <v>#NAME?</v>
      </c>
      <c r="Y475" s="1446" t="e">
        <f ca="1"/>
        <v>#NAME?</v>
      </c>
      <c r="Z475" s="1408"/>
    </row>
    <row r="476" spans="1:26">
      <c r="A476" s="1487"/>
      <c r="B476" s="1488"/>
      <c r="C476" s="1489"/>
      <c r="D476" s="1490"/>
      <c r="E476" s="1487"/>
      <c r="F476" s="1488"/>
      <c r="G476" s="1489"/>
      <c r="H476" s="1490"/>
      <c r="I476" s="1487"/>
      <c r="J476" s="1488"/>
      <c r="K476" s="1489"/>
      <c r="L476" s="1490"/>
      <c r="M476" s="1487"/>
      <c r="N476" s="1488"/>
      <c r="O476" s="1489"/>
      <c r="P476" s="1490"/>
      <c r="X476" s="1445" t="e">
        <f ca="1"/>
        <v>#NAME?</v>
      </c>
      <c r="Y476" s="1446" t="e">
        <f ca="1"/>
        <v>#NAME?</v>
      </c>
      <c r="Z476" s="1408"/>
    </row>
    <row r="477" spans="1:26">
      <c r="A477" s="1487"/>
      <c r="B477" s="1488"/>
      <c r="C477" s="1489"/>
      <c r="D477" s="1490"/>
      <c r="E477" s="1487"/>
      <c r="F477" s="1488"/>
      <c r="G477" s="1489"/>
      <c r="H477" s="1490"/>
      <c r="I477" s="1487"/>
      <c r="J477" s="1488"/>
      <c r="K477" s="1489"/>
      <c r="L477" s="1490"/>
      <c r="M477" s="1487"/>
      <c r="N477" s="1488"/>
      <c r="O477" s="1489"/>
      <c r="P477" s="1490"/>
      <c r="X477" s="1445" t="e">
        <f ca="1"/>
        <v>#NAME?</v>
      </c>
      <c r="Y477" s="1446" t="e">
        <f ca="1"/>
        <v>#NAME?</v>
      </c>
      <c r="Z477" s="1408"/>
    </row>
    <row r="478" spans="1:26">
      <c r="A478" s="1487"/>
      <c r="B478" s="1488"/>
      <c r="C478" s="1489"/>
      <c r="D478" s="1490"/>
      <c r="E478" s="1487"/>
      <c r="F478" s="1488"/>
      <c r="G478" s="1489"/>
      <c r="H478" s="1490"/>
      <c r="I478" s="1487"/>
      <c r="J478" s="1488"/>
      <c r="K478" s="1489"/>
      <c r="L478" s="1490"/>
      <c r="M478" s="1487"/>
      <c r="N478" s="1488"/>
      <c r="O478" s="1489"/>
      <c r="P478" s="1490"/>
      <c r="X478" s="1445" t="e">
        <f ca="1"/>
        <v>#NAME?</v>
      </c>
      <c r="Y478" s="1446" t="e">
        <f ca="1"/>
        <v>#NAME?</v>
      </c>
      <c r="Z478" s="1408"/>
    </row>
    <row r="479" spans="1:26">
      <c r="A479" s="1487"/>
      <c r="B479" s="1488"/>
      <c r="C479" s="1489"/>
      <c r="D479" s="1490"/>
      <c r="E479" s="1487"/>
      <c r="F479" s="1488"/>
      <c r="G479" s="1489"/>
      <c r="H479" s="1490"/>
      <c r="I479" s="1487"/>
      <c r="J479" s="1488"/>
      <c r="K479" s="1489"/>
      <c r="L479" s="1490"/>
      <c r="M479" s="1487"/>
      <c r="N479" s="1488"/>
      <c r="O479" s="1489"/>
      <c r="P479" s="1490"/>
      <c r="X479" s="1445" t="e">
        <f ca="1"/>
        <v>#NAME?</v>
      </c>
      <c r="Y479" s="1446" t="e">
        <f ca="1"/>
        <v>#NAME?</v>
      </c>
      <c r="Z479" s="1408"/>
    </row>
    <row r="480" spans="1:26">
      <c r="A480" s="1487"/>
      <c r="B480" s="1488"/>
      <c r="C480" s="1489"/>
      <c r="D480" s="1490"/>
      <c r="E480" s="1487"/>
      <c r="F480" s="1488"/>
      <c r="G480" s="1489"/>
      <c r="H480" s="1490"/>
      <c r="I480" s="1487"/>
      <c r="J480" s="1488"/>
      <c r="K480" s="1489"/>
      <c r="L480" s="1490"/>
      <c r="M480" s="1487"/>
      <c r="N480" s="1488"/>
      <c r="O480" s="1489"/>
      <c r="P480" s="1490"/>
      <c r="X480" s="1445" t="e">
        <f ca="1"/>
        <v>#NAME?</v>
      </c>
      <c r="Y480" s="1446" t="e">
        <f ca="1"/>
        <v>#NAME?</v>
      </c>
      <c r="Z480" s="1408"/>
    </row>
    <row r="481" spans="1:26">
      <c r="A481" s="1487"/>
      <c r="B481" s="1488"/>
      <c r="C481" s="1489"/>
      <c r="D481" s="1490"/>
      <c r="E481" s="1487"/>
      <c r="F481" s="1488"/>
      <c r="G481" s="1489"/>
      <c r="H481" s="1490"/>
      <c r="I481" s="1487"/>
      <c r="J481" s="1488"/>
      <c r="K481" s="1489"/>
      <c r="L481" s="1490"/>
      <c r="M481" s="1487"/>
      <c r="N481" s="1488"/>
      <c r="O481" s="1489"/>
      <c r="P481" s="1490"/>
      <c r="X481" s="1445" t="e">
        <f ca="1"/>
        <v>#NAME?</v>
      </c>
      <c r="Y481" s="1446" t="e">
        <f ca="1"/>
        <v>#NAME?</v>
      </c>
      <c r="Z481" s="1408"/>
    </row>
    <row r="482" spans="1:26">
      <c r="A482" s="1487"/>
      <c r="B482" s="1488"/>
      <c r="C482" s="1489"/>
      <c r="D482" s="1490"/>
      <c r="E482" s="1487"/>
      <c r="F482" s="1488"/>
      <c r="G482" s="1489"/>
      <c r="H482" s="1490"/>
      <c r="I482" s="1487"/>
      <c r="J482" s="1488"/>
      <c r="K482" s="1489"/>
      <c r="L482" s="1490"/>
      <c r="M482" s="1487"/>
      <c r="N482" s="1488"/>
      <c r="O482" s="1489"/>
      <c r="P482" s="1490"/>
      <c r="X482" s="1445" t="e">
        <f ca="1"/>
        <v>#NAME?</v>
      </c>
      <c r="Y482" s="1446" t="e">
        <f ca="1"/>
        <v>#NAME?</v>
      </c>
      <c r="Z482" s="1408"/>
    </row>
    <row r="483" spans="1:26">
      <c r="A483" s="1487"/>
      <c r="B483" s="1488"/>
      <c r="C483" s="1489"/>
      <c r="D483" s="1490"/>
      <c r="E483" s="1487"/>
      <c r="F483" s="1488"/>
      <c r="G483" s="1489"/>
      <c r="H483" s="1490"/>
      <c r="I483" s="1487"/>
      <c r="J483" s="1488"/>
      <c r="K483" s="1489"/>
      <c r="L483" s="1490"/>
      <c r="M483" s="1487"/>
      <c r="N483" s="1488"/>
      <c r="O483" s="1489"/>
      <c r="P483" s="1490"/>
      <c r="X483" s="1445" t="e">
        <f ca="1"/>
        <v>#NAME?</v>
      </c>
      <c r="Y483" s="1446" t="e">
        <f ca="1"/>
        <v>#NAME?</v>
      </c>
      <c r="Z483" s="1408"/>
    </row>
    <row r="484" spans="1:26">
      <c r="A484" s="1487"/>
      <c r="B484" s="1488"/>
      <c r="C484" s="1489"/>
      <c r="D484" s="1490"/>
      <c r="E484" s="1487"/>
      <c r="F484" s="1488"/>
      <c r="G484" s="1489"/>
      <c r="H484" s="1490"/>
      <c r="I484" s="1487"/>
      <c r="J484" s="1488"/>
      <c r="K484" s="1489"/>
      <c r="L484" s="1490"/>
      <c r="M484" s="1487"/>
      <c r="N484" s="1488"/>
      <c r="O484" s="1489"/>
      <c r="P484" s="1490"/>
      <c r="X484" s="1445" t="e">
        <f ca="1"/>
        <v>#NAME?</v>
      </c>
      <c r="Y484" s="1446" t="e">
        <f ca="1"/>
        <v>#NAME?</v>
      </c>
      <c r="Z484" s="1408"/>
    </row>
    <row r="485" spans="1:26">
      <c r="A485" s="1487"/>
      <c r="B485" s="1488"/>
      <c r="C485" s="1489"/>
      <c r="D485" s="1490"/>
      <c r="E485" s="1487"/>
      <c r="F485" s="1488"/>
      <c r="G485" s="1489"/>
      <c r="H485" s="1490"/>
      <c r="I485" s="1487"/>
      <c r="J485" s="1488"/>
      <c r="K485" s="1489"/>
      <c r="L485" s="1490"/>
      <c r="M485" s="1487"/>
      <c r="N485" s="1488"/>
      <c r="O485" s="1489"/>
      <c r="P485" s="1490"/>
      <c r="X485" s="1445" t="e">
        <f ca="1"/>
        <v>#NAME?</v>
      </c>
      <c r="Y485" s="1446" t="e">
        <f ca="1"/>
        <v>#NAME?</v>
      </c>
      <c r="Z485" s="1408"/>
    </row>
    <row r="486" spans="1:26">
      <c r="A486" s="1487"/>
      <c r="B486" s="1488"/>
      <c r="C486" s="1489"/>
      <c r="D486" s="1490"/>
      <c r="E486" s="1487"/>
      <c r="F486" s="1488"/>
      <c r="G486" s="1489"/>
      <c r="H486" s="1490"/>
      <c r="I486" s="1487"/>
      <c r="J486" s="1488"/>
      <c r="K486" s="1489"/>
      <c r="L486" s="1490"/>
      <c r="M486" s="1487"/>
      <c r="N486" s="1488"/>
      <c r="O486" s="1489"/>
      <c r="P486" s="1490"/>
      <c r="X486" s="1445" t="e">
        <f ca="1"/>
        <v>#NAME?</v>
      </c>
      <c r="Y486" s="1446" t="e">
        <f ca="1"/>
        <v>#NAME?</v>
      </c>
      <c r="Z486" s="1408"/>
    </row>
    <row r="487" spans="1:26">
      <c r="A487" s="1487"/>
      <c r="B487" s="1488"/>
      <c r="C487" s="1489"/>
      <c r="D487" s="1490"/>
      <c r="E487" s="1487"/>
      <c r="F487" s="1488"/>
      <c r="G487" s="1489"/>
      <c r="H487" s="1490"/>
      <c r="I487" s="1487"/>
      <c r="J487" s="1488"/>
      <c r="K487" s="1489"/>
      <c r="L487" s="1490"/>
      <c r="M487" s="1487"/>
      <c r="N487" s="1488"/>
      <c r="O487" s="1489"/>
      <c r="P487" s="1490"/>
      <c r="X487" s="1445" t="e">
        <f ca="1"/>
        <v>#NAME?</v>
      </c>
      <c r="Y487" s="1446" t="e">
        <f ca="1"/>
        <v>#NAME?</v>
      </c>
      <c r="Z487" s="1408"/>
    </row>
    <row r="488" spans="1:26">
      <c r="A488" s="1487"/>
      <c r="B488" s="1488"/>
      <c r="C488" s="1489"/>
      <c r="D488" s="1490"/>
      <c r="E488" s="1487"/>
      <c r="F488" s="1488"/>
      <c r="G488" s="1489"/>
      <c r="H488" s="1490"/>
      <c r="I488" s="1487"/>
      <c r="J488" s="1488"/>
      <c r="K488" s="1489"/>
      <c r="L488" s="1490"/>
      <c r="M488" s="1487"/>
      <c r="N488" s="1488"/>
      <c r="O488" s="1489"/>
      <c r="P488" s="1490"/>
      <c r="X488" s="1445" t="e">
        <f ca="1"/>
        <v>#NAME?</v>
      </c>
      <c r="Y488" s="1446" t="e">
        <f ca="1"/>
        <v>#NAME?</v>
      </c>
      <c r="Z488" s="1408"/>
    </row>
    <row r="489" spans="1:26">
      <c r="A489" s="1487"/>
      <c r="B489" s="1488"/>
      <c r="C489" s="1489"/>
      <c r="D489" s="1490"/>
      <c r="E489" s="1487"/>
      <c r="F489" s="1488"/>
      <c r="G489" s="1489"/>
      <c r="H489" s="1490"/>
      <c r="I489" s="1487"/>
      <c r="J489" s="1488"/>
      <c r="K489" s="1489"/>
      <c r="L489" s="1490"/>
      <c r="M489" s="1487"/>
      <c r="N489" s="1488"/>
      <c r="O489" s="1489"/>
      <c r="P489" s="1490"/>
      <c r="X489" s="1445" t="e">
        <f ca="1"/>
        <v>#NAME?</v>
      </c>
      <c r="Y489" s="1446" t="e">
        <f ca="1"/>
        <v>#NAME?</v>
      </c>
      <c r="Z489" s="1408"/>
    </row>
    <row r="490" spans="1:26">
      <c r="A490" s="1487"/>
      <c r="B490" s="1488"/>
      <c r="C490" s="1489"/>
      <c r="D490" s="1490"/>
      <c r="E490" s="1487"/>
      <c r="F490" s="1488"/>
      <c r="G490" s="1489"/>
      <c r="H490" s="1490"/>
      <c r="I490" s="1487"/>
      <c r="J490" s="1488"/>
      <c r="K490" s="1489"/>
      <c r="L490" s="1490"/>
      <c r="M490" s="1487"/>
      <c r="N490" s="1488"/>
      <c r="O490" s="1489"/>
      <c r="P490" s="1490"/>
      <c r="X490" s="1445" t="e">
        <f ca="1"/>
        <v>#NAME?</v>
      </c>
      <c r="Y490" s="1446" t="e">
        <f ca="1"/>
        <v>#NAME?</v>
      </c>
      <c r="Z490" s="1408"/>
    </row>
    <row r="491" spans="1:26">
      <c r="A491" s="1487"/>
      <c r="B491" s="1488"/>
      <c r="C491" s="1489"/>
      <c r="D491" s="1490"/>
      <c r="E491" s="1487"/>
      <c r="F491" s="1488"/>
      <c r="G491" s="1489"/>
      <c r="H491" s="1490"/>
      <c r="I491" s="1487"/>
      <c r="J491" s="1488"/>
      <c r="K491" s="1489"/>
      <c r="L491" s="1490"/>
      <c r="M491" s="1487"/>
      <c r="N491" s="1488"/>
      <c r="O491" s="1489"/>
      <c r="P491" s="1490"/>
      <c r="X491" s="1445" t="e">
        <f ca="1"/>
        <v>#NAME?</v>
      </c>
      <c r="Y491" s="1446" t="e">
        <f ca="1"/>
        <v>#NAME?</v>
      </c>
      <c r="Z491" s="1408"/>
    </row>
    <row r="492" spans="1:26">
      <c r="A492" s="1487"/>
      <c r="B492" s="1488"/>
      <c r="C492" s="1489"/>
      <c r="D492" s="1490"/>
      <c r="E492" s="1487"/>
      <c r="F492" s="1488"/>
      <c r="G492" s="1489"/>
      <c r="H492" s="1490"/>
      <c r="I492" s="1487"/>
      <c r="J492" s="1488"/>
      <c r="K492" s="1489"/>
      <c r="L492" s="1490"/>
      <c r="M492" s="1487"/>
      <c r="N492" s="1488"/>
      <c r="O492" s="1489"/>
      <c r="P492" s="1490"/>
      <c r="X492" s="1445" t="e">
        <f ca="1"/>
        <v>#NAME?</v>
      </c>
      <c r="Y492" s="1446" t="e">
        <f ca="1"/>
        <v>#NAME?</v>
      </c>
      <c r="Z492" s="1408"/>
    </row>
    <row r="493" spans="1:26">
      <c r="A493" s="1487"/>
      <c r="B493" s="1488"/>
      <c r="C493" s="1489"/>
      <c r="D493" s="1490"/>
      <c r="E493" s="1487"/>
      <c r="F493" s="1488"/>
      <c r="G493" s="1489"/>
      <c r="H493" s="1490"/>
      <c r="I493" s="1487"/>
      <c r="J493" s="1488"/>
      <c r="K493" s="1489"/>
      <c r="L493" s="1490"/>
      <c r="M493" s="1487"/>
      <c r="N493" s="1488"/>
      <c r="O493" s="1489"/>
      <c r="P493" s="1490"/>
      <c r="X493" s="1445" t="e">
        <f ca="1"/>
        <v>#NAME?</v>
      </c>
      <c r="Y493" s="1446" t="e">
        <f ca="1"/>
        <v>#NAME?</v>
      </c>
      <c r="Z493" s="1408"/>
    </row>
    <row r="494" spans="1:26">
      <c r="A494" s="1487"/>
      <c r="B494" s="1488"/>
      <c r="C494" s="1489"/>
      <c r="D494" s="1490"/>
      <c r="E494" s="1487"/>
      <c r="F494" s="1488"/>
      <c r="G494" s="1489"/>
      <c r="H494" s="1490"/>
      <c r="I494" s="1487"/>
      <c r="J494" s="1488"/>
      <c r="K494" s="1489"/>
      <c r="L494" s="1490"/>
      <c r="M494" s="1487"/>
      <c r="N494" s="1488"/>
      <c r="O494" s="1489"/>
      <c r="P494" s="1490"/>
      <c r="X494" s="1445" t="e">
        <f ca="1"/>
        <v>#NAME?</v>
      </c>
      <c r="Y494" s="1446" t="e">
        <f ca="1"/>
        <v>#NAME?</v>
      </c>
      <c r="Z494" s="1408"/>
    </row>
    <row r="495" spans="1:26">
      <c r="A495" s="1487"/>
      <c r="B495" s="1488"/>
      <c r="C495" s="1489"/>
      <c r="D495" s="1490"/>
      <c r="E495" s="1487"/>
      <c r="F495" s="1488"/>
      <c r="G495" s="1489"/>
      <c r="H495" s="1490"/>
      <c r="I495" s="1487"/>
      <c r="J495" s="1488"/>
      <c r="K495" s="1489"/>
      <c r="L495" s="1490"/>
      <c r="M495" s="1487"/>
      <c r="N495" s="1488"/>
      <c r="O495" s="1489"/>
      <c r="P495" s="1490"/>
      <c r="X495" s="1445" t="e">
        <f ca="1"/>
        <v>#NAME?</v>
      </c>
      <c r="Y495" s="1446" t="e">
        <f ca="1"/>
        <v>#NAME?</v>
      </c>
      <c r="Z495" s="1408"/>
    </row>
    <row r="496" spans="1:26">
      <c r="A496" s="1487"/>
      <c r="B496" s="1488"/>
      <c r="C496" s="1489"/>
      <c r="D496" s="1490"/>
      <c r="E496" s="1487"/>
      <c r="F496" s="1488"/>
      <c r="G496" s="1489"/>
      <c r="H496" s="1490"/>
      <c r="I496" s="1487"/>
      <c r="J496" s="1488"/>
      <c r="K496" s="1489"/>
      <c r="L496" s="1490"/>
      <c r="M496" s="1487"/>
      <c r="N496" s="1488"/>
      <c r="O496" s="1489"/>
      <c r="P496" s="1490"/>
      <c r="X496" s="1445" t="e">
        <f ca="1"/>
        <v>#NAME?</v>
      </c>
      <c r="Y496" s="1446" t="e">
        <f ca="1"/>
        <v>#NAME?</v>
      </c>
      <c r="Z496" s="1408"/>
    </row>
    <row r="497" spans="1:26">
      <c r="A497" s="1487"/>
      <c r="B497" s="1488"/>
      <c r="C497" s="1489"/>
      <c r="D497" s="1490"/>
      <c r="E497" s="1487"/>
      <c r="F497" s="1488"/>
      <c r="G497" s="1489"/>
      <c r="H497" s="1490"/>
      <c r="I497" s="1487"/>
      <c r="J497" s="1488"/>
      <c r="K497" s="1489"/>
      <c r="L497" s="1490"/>
      <c r="M497" s="1487"/>
      <c r="N497" s="1488"/>
      <c r="O497" s="1489"/>
      <c r="P497" s="1490"/>
      <c r="X497" s="1445" t="e">
        <f ca="1"/>
        <v>#NAME?</v>
      </c>
      <c r="Y497" s="1446" t="e">
        <f ca="1"/>
        <v>#NAME?</v>
      </c>
      <c r="Z497" s="1408"/>
    </row>
    <row r="498" spans="1:26">
      <c r="A498" s="1487"/>
      <c r="B498" s="1488"/>
      <c r="C498" s="1489"/>
      <c r="D498" s="1490"/>
      <c r="E498" s="1487"/>
      <c r="F498" s="1488"/>
      <c r="G498" s="1489"/>
      <c r="H498" s="1490"/>
      <c r="I498" s="1487"/>
      <c r="J498" s="1488"/>
      <c r="K498" s="1489"/>
      <c r="L498" s="1490"/>
      <c r="M498" s="1487"/>
      <c r="N498" s="1488"/>
      <c r="O498" s="1489"/>
      <c r="P498" s="1490"/>
      <c r="X498" s="1445" t="e">
        <f ca="1"/>
        <v>#NAME?</v>
      </c>
      <c r="Y498" s="1446" t="e">
        <f ca="1"/>
        <v>#NAME?</v>
      </c>
      <c r="Z498" s="1408"/>
    </row>
    <row r="499" spans="1:26">
      <c r="A499" s="1487"/>
      <c r="B499" s="1488"/>
      <c r="C499" s="1489"/>
      <c r="D499" s="1490"/>
      <c r="E499" s="1487"/>
      <c r="F499" s="1488"/>
      <c r="G499" s="1489"/>
      <c r="H499" s="1490"/>
      <c r="I499" s="1487"/>
      <c r="J499" s="1488"/>
      <c r="K499" s="1489"/>
      <c r="L499" s="1490"/>
      <c r="M499" s="1487"/>
      <c r="N499" s="1488"/>
      <c r="O499" s="1489"/>
      <c r="P499" s="1490"/>
      <c r="X499" s="1445" t="e">
        <f ca="1"/>
        <v>#NAME?</v>
      </c>
      <c r="Y499" s="1446" t="e">
        <f ca="1"/>
        <v>#NAME?</v>
      </c>
      <c r="Z499" s="1408"/>
    </row>
    <row r="500" spans="1:26">
      <c r="A500" s="1487"/>
      <c r="B500" s="1488"/>
      <c r="C500" s="1489"/>
      <c r="D500" s="1490"/>
      <c r="E500" s="1487"/>
      <c r="F500" s="1488"/>
      <c r="G500" s="1489"/>
      <c r="H500" s="1490"/>
      <c r="I500" s="1487"/>
      <c r="J500" s="1488"/>
      <c r="K500" s="1489"/>
      <c r="L500" s="1490"/>
      <c r="M500" s="1487"/>
      <c r="N500" s="1488"/>
      <c r="O500" s="1489"/>
      <c r="P500" s="1490"/>
      <c r="X500" s="1445" t="e">
        <f ca="1"/>
        <v>#NAME?</v>
      </c>
      <c r="Y500" s="1446" t="e">
        <f ca="1"/>
        <v>#NAME?</v>
      </c>
      <c r="Z500" s="1408"/>
    </row>
    <row r="501" spans="1:26">
      <c r="A501" s="1487"/>
      <c r="B501" s="1488"/>
      <c r="C501" s="1489"/>
      <c r="D501" s="1490"/>
      <c r="E501" s="1487"/>
      <c r="F501" s="1488"/>
      <c r="G501" s="1489"/>
      <c r="H501" s="1490"/>
      <c r="I501" s="1487"/>
      <c r="J501" s="1488"/>
      <c r="K501" s="1489"/>
      <c r="L501" s="1490"/>
      <c r="M501" s="1487"/>
      <c r="N501" s="1488"/>
      <c r="O501" s="1489"/>
      <c r="P501" s="1490"/>
      <c r="X501" s="1445" t="e">
        <f ca="1"/>
        <v>#NAME?</v>
      </c>
      <c r="Y501" s="1446" t="e">
        <f ca="1"/>
        <v>#NAME?</v>
      </c>
      <c r="Z501" s="1408"/>
    </row>
    <row r="502" spans="1:26">
      <c r="A502" s="1487"/>
      <c r="B502" s="1488"/>
      <c r="C502" s="1489"/>
      <c r="D502" s="1490"/>
      <c r="E502" s="1487"/>
      <c r="F502" s="1488"/>
      <c r="G502" s="1489"/>
      <c r="H502" s="1490"/>
      <c r="I502" s="1487"/>
      <c r="J502" s="1488"/>
      <c r="K502" s="1489"/>
      <c r="L502" s="1490"/>
      <c r="M502" s="1487"/>
      <c r="N502" s="1488"/>
      <c r="O502" s="1489"/>
      <c r="P502" s="1490"/>
      <c r="X502" s="1445" t="e">
        <f ca="1"/>
        <v>#NAME?</v>
      </c>
      <c r="Y502" s="1446" t="e">
        <f ca="1"/>
        <v>#NAME?</v>
      </c>
      <c r="Z502" s="1408"/>
    </row>
    <row r="503" spans="1:26">
      <c r="A503" s="1487"/>
      <c r="B503" s="1488"/>
      <c r="C503" s="1489"/>
      <c r="D503" s="1490"/>
      <c r="E503" s="1487"/>
      <c r="F503" s="1488"/>
      <c r="G503" s="1489"/>
      <c r="H503" s="1490"/>
      <c r="I503" s="1487"/>
      <c r="J503" s="1488"/>
      <c r="K503" s="1489"/>
      <c r="L503" s="1490"/>
      <c r="M503" s="1487"/>
      <c r="N503" s="1488"/>
      <c r="O503" s="1489"/>
      <c r="P503" s="1490"/>
      <c r="X503" s="1445" t="e">
        <f ca="1"/>
        <v>#NAME?</v>
      </c>
      <c r="Y503" s="1446" t="e">
        <f ca="1"/>
        <v>#NAME?</v>
      </c>
      <c r="Z503" s="1408"/>
    </row>
    <row r="504" spans="1:26">
      <c r="A504" s="1487"/>
      <c r="B504" s="1488"/>
      <c r="C504" s="1489"/>
      <c r="D504" s="1490"/>
      <c r="E504" s="1487"/>
      <c r="F504" s="1488"/>
      <c r="G504" s="1489"/>
      <c r="H504" s="1490"/>
      <c r="I504" s="1487"/>
      <c r="J504" s="1488"/>
      <c r="K504" s="1489"/>
      <c r="L504" s="1490"/>
      <c r="M504" s="1487"/>
      <c r="N504" s="1488"/>
      <c r="O504" s="1489"/>
      <c r="P504" s="1490"/>
      <c r="X504" s="1445" t="e">
        <f ca="1"/>
        <v>#NAME?</v>
      </c>
      <c r="Y504" s="1446" t="e">
        <f ca="1"/>
        <v>#NAME?</v>
      </c>
      <c r="Z504" s="1408"/>
    </row>
    <row r="505" spans="1:26">
      <c r="A505" s="1487"/>
      <c r="B505" s="1488"/>
      <c r="C505" s="1489"/>
      <c r="D505" s="1490"/>
      <c r="E505" s="1487"/>
      <c r="F505" s="1488"/>
      <c r="G505" s="1489"/>
      <c r="H505" s="1490"/>
      <c r="I505" s="1487"/>
      <c r="J505" s="1488"/>
      <c r="K505" s="1489"/>
      <c r="L505" s="1490"/>
      <c r="M505" s="1487"/>
      <c r="N505" s="1488"/>
      <c r="O505" s="1489"/>
      <c r="P505" s="1490"/>
      <c r="X505" s="1445" t="e">
        <f ca="1"/>
        <v>#NAME?</v>
      </c>
      <c r="Y505" s="1446" t="e">
        <f ca="1"/>
        <v>#NAME?</v>
      </c>
      <c r="Z505" s="1408"/>
    </row>
    <row r="506" spans="1:26">
      <c r="A506" s="1487"/>
      <c r="B506" s="1488"/>
      <c r="C506" s="1489"/>
      <c r="D506" s="1490"/>
      <c r="E506" s="1487"/>
      <c r="F506" s="1488"/>
      <c r="G506" s="1489"/>
      <c r="H506" s="1490"/>
      <c r="I506" s="1487"/>
      <c r="J506" s="1488"/>
      <c r="K506" s="1489"/>
      <c r="L506" s="1490"/>
      <c r="M506" s="1487"/>
      <c r="N506" s="1488"/>
      <c r="O506" s="1489"/>
      <c r="P506" s="1490"/>
      <c r="X506" s="1445" t="e">
        <f ca="1"/>
        <v>#NAME?</v>
      </c>
      <c r="Y506" s="1446" t="e">
        <f ca="1"/>
        <v>#NAME?</v>
      </c>
      <c r="Z506" s="1408"/>
    </row>
    <row r="507" spans="1:26">
      <c r="A507" s="1487"/>
      <c r="B507" s="1488"/>
      <c r="C507" s="1489"/>
      <c r="D507" s="1490"/>
      <c r="E507" s="1487"/>
      <c r="F507" s="1488"/>
      <c r="G507" s="1489"/>
      <c r="H507" s="1490"/>
      <c r="I507" s="1487"/>
      <c r="J507" s="1488"/>
      <c r="K507" s="1489"/>
      <c r="L507" s="1490"/>
      <c r="M507" s="1487"/>
      <c r="N507" s="1488"/>
      <c r="O507" s="1489"/>
      <c r="P507" s="1490"/>
      <c r="X507" s="1445" t="e">
        <f ca="1"/>
        <v>#NAME?</v>
      </c>
      <c r="Y507" s="1446" t="e">
        <f ca="1"/>
        <v>#NAME?</v>
      </c>
      <c r="Z507" s="1408"/>
    </row>
    <row r="508" spans="1:26">
      <c r="A508" s="1487"/>
      <c r="B508" s="1488"/>
      <c r="C508" s="1489"/>
      <c r="D508" s="1490"/>
      <c r="E508" s="1487"/>
      <c r="F508" s="1488"/>
      <c r="G508" s="1489"/>
      <c r="H508" s="1490"/>
      <c r="I508" s="1487"/>
      <c r="J508" s="1488"/>
      <c r="K508" s="1489"/>
      <c r="L508" s="1490"/>
      <c r="M508" s="1487"/>
      <c r="N508" s="1488"/>
      <c r="O508" s="1489"/>
      <c r="P508" s="1490"/>
      <c r="X508" s="1445" t="e">
        <f ca="1"/>
        <v>#NAME?</v>
      </c>
      <c r="Y508" s="1446" t="e">
        <f ca="1"/>
        <v>#NAME?</v>
      </c>
      <c r="Z508" s="1408"/>
    </row>
    <row r="509" spans="1:26">
      <c r="A509" s="1487"/>
      <c r="B509" s="1488"/>
      <c r="C509" s="1489"/>
      <c r="D509" s="1490"/>
      <c r="E509" s="1487"/>
      <c r="F509" s="1488"/>
      <c r="G509" s="1489"/>
      <c r="H509" s="1490"/>
      <c r="I509" s="1487"/>
      <c r="J509" s="1488"/>
      <c r="K509" s="1489"/>
      <c r="L509" s="1490"/>
      <c r="M509" s="1487"/>
      <c r="N509" s="1488"/>
      <c r="O509" s="1489"/>
      <c r="P509" s="1490"/>
      <c r="X509" s="1445" t="e">
        <f ca="1"/>
        <v>#NAME?</v>
      </c>
      <c r="Y509" s="1446" t="e">
        <f ca="1"/>
        <v>#NAME?</v>
      </c>
      <c r="Z509" s="1408"/>
    </row>
    <row r="510" spans="1:26">
      <c r="A510" s="1487"/>
      <c r="B510" s="1488"/>
      <c r="C510" s="1489"/>
      <c r="D510" s="1490"/>
      <c r="E510" s="1487"/>
      <c r="F510" s="1488"/>
      <c r="G510" s="1489"/>
      <c r="H510" s="1490"/>
      <c r="I510" s="1487"/>
      <c r="J510" s="1488"/>
      <c r="K510" s="1489"/>
      <c r="L510" s="1490"/>
      <c r="M510" s="1487"/>
      <c r="N510" s="1488"/>
      <c r="O510" s="1489"/>
      <c r="P510" s="1490"/>
      <c r="X510" s="1445" t="e">
        <f ca="1"/>
        <v>#NAME?</v>
      </c>
      <c r="Y510" s="1446" t="e">
        <f ca="1"/>
        <v>#NAME?</v>
      </c>
      <c r="Z510" s="1408"/>
    </row>
    <row r="511" spans="1:26">
      <c r="A511" s="1487"/>
      <c r="B511" s="1488"/>
      <c r="C511" s="1489"/>
      <c r="D511" s="1490"/>
      <c r="E511" s="1487"/>
      <c r="F511" s="1488"/>
      <c r="G511" s="1489"/>
      <c r="H511" s="1490"/>
      <c r="I511" s="1487"/>
      <c r="J511" s="1488"/>
      <c r="K511" s="1489"/>
      <c r="L511" s="1490"/>
      <c r="M511" s="1487"/>
      <c r="N511" s="1488"/>
      <c r="O511" s="1489"/>
      <c r="P511" s="1490"/>
      <c r="X511" s="1445" t="e">
        <f ca="1"/>
        <v>#NAME?</v>
      </c>
      <c r="Y511" s="1446" t="e">
        <f ca="1"/>
        <v>#NAME?</v>
      </c>
      <c r="Z511" s="1408"/>
    </row>
    <row r="512" spans="1:26">
      <c r="A512" s="1487"/>
      <c r="B512" s="1488"/>
      <c r="C512" s="1489"/>
      <c r="D512" s="1490"/>
      <c r="E512" s="1487"/>
      <c r="F512" s="1488"/>
      <c r="G512" s="1489"/>
      <c r="H512" s="1490"/>
      <c r="I512" s="1487"/>
      <c r="J512" s="1488"/>
      <c r="K512" s="1489"/>
      <c r="L512" s="1490"/>
      <c r="M512" s="1487"/>
      <c r="N512" s="1488"/>
      <c r="O512" s="1489"/>
      <c r="P512" s="1490"/>
      <c r="X512" s="1445" t="e">
        <f ca="1"/>
        <v>#NAME?</v>
      </c>
      <c r="Y512" s="1446" t="e">
        <f ca="1"/>
        <v>#NAME?</v>
      </c>
      <c r="Z512" s="1408"/>
    </row>
    <row r="513" spans="1:26">
      <c r="A513" s="1487"/>
      <c r="B513" s="1488"/>
      <c r="C513" s="1489"/>
      <c r="D513" s="1490"/>
      <c r="E513" s="1487"/>
      <c r="F513" s="1488"/>
      <c r="G513" s="1489"/>
      <c r="H513" s="1490"/>
      <c r="I513" s="1487"/>
      <c r="J513" s="1488"/>
      <c r="K513" s="1489"/>
      <c r="L513" s="1490"/>
      <c r="M513" s="1487"/>
      <c r="N513" s="1488"/>
      <c r="O513" s="1489"/>
      <c r="P513" s="1490"/>
      <c r="X513" s="1445" t="e">
        <f ca="1"/>
        <v>#NAME?</v>
      </c>
      <c r="Y513" s="1446" t="e">
        <f ca="1"/>
        <v>#NAME?</v>
      </c>
      <c r="Z513" s="1408"/>
    </row>
    <row r="514" spans="1:26">
      <c r="A514" s="1487"/>
      <c r="B514" s="1488"/>
      <c r="C514" s="1489"/>
      <c r="D514" s="1490"/>
      <c r="E514" s="1487"/>
      <c r="F514" s="1488"/>
      <c r="G514" s="1489"/>
      <c r="H514" s="1490"/>
      <c r="I514" s="1487"/>
      <c r="J514" s="1488"/>
      <c r="K514" s="1489"/>
      <c r="L514" s="1490"/>
      <c r="M514" s="1487"/>
      <c r="N514" s="1488"/>
      <c r="O514" s="1489"/>
      <c r="P514" s="1490"/>
      <c r="X514" s="1445" t="e">
        <f ca="1"/>
        <v>#NAME?</v>
      </c>
      <c r="Y514" s="1446" t="e">
        <f ca="1"/>
        <v>#NAME?</v>
      </c>
      <c r="Z514" s="1408"/>
    </row>
    <row r="515" spans="1:26">
      <c r="A515" s="1487"/>
      <c r="B515" s="1488"/>
      <c r="C515" s="1489"/>
      <c r="D515" s="1490"/>
      <c r="E515" s="1487"/>
      <c r="F515" s="1488"/>
      <c r="G515" s="1489"/>
      <c r="H515" s="1490"/>
      <c r="I515" s="1487"/>
      <c r="J515" s="1488"/>
      <c r="K515" s="1489"/>
      <c r="L515" s="1490"/>
      <c r="M515" s="1487"/>
      <c r="N515" s="1488"/>
      <c r="O515" s="1489"/>
      <c r="P515" s="1490"/>
      <c r="X515" s="1445" t="e">
        <f ca="1"/>
        <v>#NAME?</v>
      </c>
      <c r="Y515" s="1446" t="e">
        <f ca="1"/>
        <v>#NAME?</v>
      </c>
      <c r="Z515" s="1408"/>
    </row>
    <row r="516" spans="1:26">
      <c r="A516" s="1487"/>
      <c r="B516" s="1488"/>
      <c r="C516" s="1489"/>
      <c r="D516" s="1490"/>
      <c r="E516" s="1487"/>
      <c r="F516" s="1488"/>
      <c r="G516" s="1489"/>
      <c r="H516" s="1490"/>
      <c r="I516" s="1487"/>
      <c r="J516" s="1488"/>
      <c r="K516" s="1489"/>
      <c r="L516" s="1490"/>
      <c r="M516" s="1487"/>
      <c r="N516" s="1488"/>
      <c r="O516" s="1489"/>
      <c r="P516" s="1490"/>
      <c r="X516" s="1445" t="e">
        <f ca="1"/>
        <v>#NAME?</v>
      </c>
      <c r="Y516" s="1446" t="e">
        <f ca="1"/>
        <v>#NAME?</v>
      </c>
      <c r="Z516" s="1408"/>
    </row>
    <row r="517" spans="1:26">
      <c r="A517" s="1487"/>
      <c r="B517" s="1488"/>
      <c r="C517" s="1489"/>
      <c r="D517" s="1490"/>
      <c r="E517" s="1487"/>
      <c r="F517" s="1488"/>
      <c r="G517" s="1489"/>
      <c r="H517" s="1490"/>
      <c r="I517" s="1487"/>
      <c r="J517" s="1488"/>
      <c r="K517" s="1489"/>
      <c r="L517" s="1490"/>
      <c r="M517" s="1487"/>
      <c r="N517" s="1488"/>
      <c r="O517" s="1489"/>
      <c r="P517" s="1490"/>
      <c r="X517" s="1445" t="e">
        <f ca="1"/>
        <v>#NAME?</v>
      </c>
      <c r="Y517" s="1446" t="e">
        <f ca="1"/>
        <v>#NAME?</v>
      </c>
      <c r="Z517" s="1408"/>
    </row>
    <row r="518" spans="1:26">
      <c r="A518" s="1487"/>
      <c r="B518" s="1488"/>
      <c r="C518" s="1489"/>
      <c r="D518" s="1490"/>
      <c r="E518" s="1487"/>
      <c r="F518" s="1488"/>
      <c r="G518" s="1489"/>
      <c r="H518" s="1490"/>
      <c r="I518" s="1487"/>
      <c r="J518" s="1488"/>
      <c r="K518" s="1489"/>
      <c r="L518" s="1490"/>
      <c r="M518" s="1487"/>
      <c r="N518" s="1488"/>
      <c r="O518" s="1489"/>
      <c r="P518" s="1490"/>
      <c r="X518" s="1445" t="e">
        <f ca="1"/>
        <v>#NAME?</v>
      </c>
      <c r="Y518" s="1446" t="e">
        <f ca="1"/>
        <v>#NAME?</v>
      </c>
      <c r="Z518" s="1408"/>
    </row>
    <row r="519" spans="1:26">
      <c r="A519" s="1487"/>
      <c r="B519" s="1488"/>
      <c r="C519" s="1489"/>
      <c r="D519" s="1490"/>
      <c r="E519" s="1487"/>
      <c r="F519" s="1488"/>
      <c r="G519" s="1489"/>
      <c r="H519" s="1490"/>
      <c r="I519" s="1487"/>
      <c r="J519" s="1488"/>
      <c r="K519" s="1489"/>
      <c r="L519" s="1490"/>
      <c r="M519" s="1487"/>
      <c r="N519" s="1488"/>
      <c r="O519" s="1489"/>
      <c r="P519" s="1490"/>
      <c r="X519" s="1445" t="e">
        <f ca="1"/>
        <v>#NAME?</v>
      </c>
      <c r="Y519" s="1446" t="e">
        <f ca="1"/>
        <v>#NAME?</v>
      </c>
      <c r="Z519" s="1408"/>
    </row>
    <row r="520" spans="1:26">
      <c r="A520" s="1487"/>
      <c r="B520" s="1488"/>
      <c r="C520" s="1489"/>
      <c r="D520" s="1490"/>
      <c r="E520" s="1487"/>
      <c r="F520" s="1488"/>
      <c r="G520" s="1489"/>
      <c r="H520" s="1490"/>
      <c r="I520" s="1487"/>
      <c r="J520" s="1488"/>
      <c r="K520" s="1489"/>
      <c r="L520" s="1490"/>
      <c r="M520" s="1487"/>
      <c r="N520" s="1488"/>
      <c r="O520" s="1489"/>
      <c r="P520" s="1490"/>
      <c r="X520" s="1445" t="e">
        <f ca="1"/>
        <v>#NAME?</v>
      </c>
      <c r="Y520" s="1446" t="e">
        <f ca="1"/>
        <v>#NAME?</v>
      </c>
      <c r="Z520" s="1408"/>
    </row>
    <row r="521" spans="1:26">
      <c r="A521" s="1487"/>
      <c r="B521" s="1488"/>
      <c r="C521" s="1489"/>
      <c r="D521" s="1490"/>
      <c r="E521" s="1487"/>
      <c r="F521" s="1488"/>
      <c r="G521" s="1489"/>
      <c r="H521" s="1490"/>
      <c r="I521" s="1487"/>
      <c r="J521" s="1488"/>
      <c r="K521" s="1489"/>
      <c r="L521" s="1490"/>
      <c r="M521" s="1487"/>
      <c r="N521" s="1488"/>
      <c r="O521" s="1489"/>
      <c r="P521" s="1490"/>
      <c r="X521" s="1445" t="e">
        <f ca="1"/>
        <v>#NAME?</v>
      </c>
      <c r="Y521" s="1446" t="e">
        <f ca="1"/>
        <v>#NAME?</v>
      </c>
      <c r="Z521" s="1408"/>
    </row>
    <row r="522" spans="1:26">
      <c r="A522" s="1487"/>
      <c r="B522" s="1488"/>
      <c r="C522" s="1489"/>
      <c r="D522" s="1490"/>
      <c r="E522" s="1487"/>
      <c r="F522" s="1488"/>
      <c r="G522" s="1489"/>
      <c r="H522" s="1490"/>
      <c r="I522" s="1487"/>
      <c r="J522" s="1488"/>
      <c r="K522" s="1489"/>
      <c r="L522" s="1490"/>
      <c r="M522" s="1487"/>
      <c r="N522" s="1488"/>
      <c r="O522" s="1489"/>
      <c r="P522" s="1490"/>
      <c r="X522" s="1445" t="e">
        <f ca="1"/>
        <v>#NAME?</v>
      </c>
      <c r="Y522" s="1446" t="e">
        <f ca="1"/>
        <v>#NAME?</v>
      </c>
      <c r="Z522" s="1408"/>
    </row>
    <row r="523" spans="1:26">
      <c r="A523" s="1487"/>
      <c r="B523" s="1488"/>
      <c r="C523" s="1489"/>
      <c r="D523" s="1490"/>
      <c r="E523" s="1487"/>
      <c r="F523" s="1488"/>
      <c r="G523" s="1489"/>
      <c r="H523" s="1490"/>
      <c r="I523" s="1487"/>
      <c r="J523" s="1488"/>
      <c r="K523" s="1489"/>
      <c r="L523" s="1490"/>
      <c r="M523" s="1487"/>
      <c r="N523" s="1488"/>
      <c r="O523" s="1489"/>
      <c r="P523" s="1490"/>
      <c r="X523" s="1445" t="e">
        <f ca="1"/>
        <v>#NAME?</v>
      </c>
      <c r="Y523" s="1446" t="e">
        <f ca="1"/>
        <v>#NAME?</v>
      </c>
      <c r="Z523" s="1408"/>
    </row>
    <row r="524" spans="1:26">
      <c r="A524" s="1487"/>
      <c r="B524" s="1488"/>
      <c r="C524" s="1489"/>
      <c r="D524" s="1490"/>
      <c r="E524" s="1487"/>
      <c r="F524" s="1488"/>
      <c r="G524" s="1489"/>
      <c r="H524" s="1490"/>
      <c r="I524" s="1487"/>
      <c r="J524" s="1488"/>
      <c r="K524" s="1489"/>
      <c r="L524" s="1490"/>
      <c r="M524" s="1487"/>
      <c r="N524" s="1488"/>
      <c r="O524" s="1489"/>
      <c r="P524" s="1490"/>
      <c r="X524" s="1445" t="e">
        <f ca="1"/>
        <v>#NAME?</v>
      </c>
      <c r="Y524" s="1446" t="e">
        <f ca="1"/>
        <v>#NAME?</v>
      </c>
      <c r="Z524" s="1408"/>
    </row>
    <row r="525" spans="1:26">
      <c r="A525" s="1487"/>
      <c r="B525" s="1488"/>
      <c r="C525" s="1489"/>
      <c r="D525" s="1490"/>
      <c r="E525" s="1487"/>
      <c r="F525" s="1488"/>
      <c r="G525" s="1489"/>
      <c r="H525" s="1490"/>
      <c r="I525" s="1487"/>
      <c r="J525" s="1488"/>
      <c r="K525" s="1489"/>
      <c r="L525" s="1490"/>
      <c r="M525" s="1487"/>
      <c r="N525" s="1488"/>
      <c r="O525" s="1489"/>
      <c r="P525" s="1490"/>
      <c r="X525" s="1445" t="e">
        <f ca="1"/>
        <v>#NAME?</v>
      </c>
      <c r="Y525" s="1446" t="e">
        <f ca="1"/>
        <v>#NAME?</v>
      </c>
      <c r="Z525" s="1408"/>
    </row>
    <row r="526" spans="1:26">
      <c r="A526" s="1487"/>
      <c r="B526" s="1488"/>
      <c r="C526" s="1489"/>
      <c r="D526" s="1490"/>
      <c r="E526" s="1487"/>
      <c r="F526" s="1488"/>
      <c r="G526" s="1489"/>
      <c r="H526" s="1490"/>
      <c r="I526" s="1487"/>
      <c r="J526" s="1488"/>
      <c r="K526" s="1489"/>
      <c r="L526" s="1490"/>
      <c r="M526" s="1487"/>
      <c r="N526" s="1488"/>
      <c r="O526" s="1489"/>
      <c r="P526" s="1490"/>
      <c r="X526" s="1445" t="e">
        <f ca="1"/>
        <v>#NAME?</v>
      </c>
      <c r="Y526" s="1446" t="e">
        <f ca="1"/>
        <v>#NAME?</v>
      </c>
      <c r="Z526" s="1408"/>
    </row>
    <row r="527" spans="1:26">
      <c r="A527" s="1487"/>
      <c r="B527" s="1488"/>
      <c r="C527" s="1489"/>
      <c r="D527" s="1490"/>
      <c r="E527" s="1487"/>
      <c r="F527" s="1488"/>
      <c r="G527" s="1489"/>
      <c r="H527" s="1490"/>
      <c r="I527" s="1487"/>
      <c r="J527" s="1488"/>
      <c r="K527" s="1489"/>
      <c r="L527" s="1490"/>
      <c r="M527" s="1487"/>
      <c r="N527" s="1488"/>
      <c r="O527" s="1489"/>
      <c r="P527" s="1490"/>
      <c r="X527" s="1445" t="e">
        <f ca="1"/>
        <v>#NAME?</v>
      </c>
      <c r="Y527" s="1446" t="e">
        <f ca="1"/>
        <v>#NAME?</v>
      </c>
      <c r="Z527" s="1408"/>
    </row>
    <row r="528" spans="1:26">
      <c r="A528" s="1487"/>
      <c r="B528" s="1488"/>
      <c r="C528" s="1489"/>
      <c r="D528" s="1490"/>
      <c r="E528" s="1487"/>
      <c r="F528" s="1488"/>
      <c r="G528" s="1489"/>
      <c r="H528" s="1490"/>
      <c r="I528" s="1487"/>
      <c r="J528" s="1488"/>
      <c r="K528" s="1489"/>
      <c r="L528" s="1490"/>
      <c r="M528" s="1487"/>
      <c r="N528" s="1488"/>
      <c r="O528" s="1489"/>
      <c r="P528" s="1490"/>
      <c r="X528" s="1445" t="e">
        <f ca="1"/>
        <v>#NAME?</v>
      </c>
      <c r="Y528" s="1446" t="e">
        <f ca="1"/>
        <v>#NAME?</v>
      </c>
      <c r="Z528" s="1408"/>
    </row>
    <row r="529" spans="1:26">
      <c r="A529" s="1487"/>
      <c r="B529" s="1488"/>
      <c r="C529" s="1489"/>
      <c r="D529" s="1490"/>
      <c r="E529" s="1487"/>
      <c r="F529" s="1488"/>
      <c r="G529" s="1489"/>
      <c r="H529" s="1490"/>
      <c r="I529" s="1487"/>
      <c r="J529" s="1488"/>
      <c r="K529" s="1489"/>
      <c r="L529" s="1490"/>
      <c r="M529" s="1487"/>
      <c r="N529" s="1488"/>
      <c r="O529" s="1489"/>
      <c r="P529" s="1490"/>
      <c r="X529" s="1445" t="e">
        <f ca="1"/>
        <v>#NAME?</v>
      </c>
      <c r="Y529" s="1446" t="e">
        <f ca="1"/>
        <v>#NAME?</v>
      </c>
      <c r="Z529" s="1408"/>
    </row>
    <row r="530" spans="1:26">
      <c r="A530" s="1487"/>
      <c r="B530" s="1488"/>
      <c r="C530" s="1489"/>
      <c r="D530" s="1490"/>
      <c r="E530" s="1487"/>
      <c r="F530" s="1488"/>
      <c r="G530" s="1489"/>
      <c r="H530" s="1490"/>
      <c r="I530" s="1487"/>
      <c r="J530" s="1488"/>
      <c r="K530" s="1489"/>
      <c r="L530" s="1490"/>
      <c r="M530" s="1487"/>
      <c r="N530" s="1488"/>
      <c r="O530" s="1489"/>
      <c r="P530" s="1490"/>
      <c r="X530" s="1445" t="e">
        <f ca="1"/>
        <v>#NAME?</v>
      </c>
      <c r="Y530" s="1446" t="e">
        <f ca="1"/>
        <v>#NAME?</v>
      </c>
      <c r="Z530" s="1408"/>
    </row>
    <row r="531" spans="1:26">
      <c r="A531" s="1487"/>
      <c r="B531" s="1488"/>
      <c r="C531" s="1489"/>
      <c r="D531" s="1490"/>
      <c r="E531" s="1487"/>
      <c r="F531" s="1488"/>
      <c r="G531" s="1489"/>
      <c r="H531" s="1490"/>
      <c r="I531" s="1487"/>
      <c r="J531" s="1488"/>
      <c r="K531" s="1489"/>
      <c r="L531" s="1490"/>
      <c r="M531" s="1487"/>
      <c r="N531" s="1488"/>
      <c r="O531" s="1489"/>
      <c r="P531" s="1490"/>
      <c r="X531" s="1445" t="e">
        <f ca="1"/>
        <v>#NAME?</v>
      </c>
      <c r="Y531" s="1446" t="e">
        <f ca="1"/>
        <v>#NAME?</v>
      </c>
      <c r="Z531" s="1408"/>
    </row>
    <row r="532" spans="1:26">
      <c r="A532" s="1487"/>
      <c r="B532" s="1488"/>
      <c r="C532" s="1489"/>
      <c r="D532" s="1490"/>
      <c r="E532" s="1487"/>
      <c r="F532" s="1488"/>
      <c r="G532" s="1489"/>
      <c r="H532" s="1490"/>
      <c r="I532" s="1487"/>
      <c r="J532" s="1488"/>
      <c r="K532" s="1489"/>
      <c r="L532" s="1490"/>
      <c r="M532" s="1487"/>
      <c r="N532" s="1488"/>
      <c r="O532" s="1489"/>
      <c r="P532" s="1490"/>
      <c r="X532" s="1445" t="e">
        <f ca="1"/>
        <v>#NAME?</v>
      </c>
      <c r="Y532" s="1446" t="e">
        <f ca="1"/>
        <v>#NAME?</v>
      </c>
      <c r="Z532" s="1408"/>
    </row>
    <row r="533" spans="1:26">
      <c r="A533" s="1487"/>
      <c r="B533" s="1488"/>
      <c r="C533" s="1489"/>
      <c r="D533" s="1490"/>
      <c r="E533" s="1487"/>
      <c r="F533" s="1488"/>
      <c r="G533" s="1489"/>
      <c r="H533" s="1490"/>
      <c r="I533" s="1487"/>
      <c r="J533" s="1488"/>
      <c r="K533" s="1489"/>
      <c r="L533" s="1490"/>
      <c r="M533" s="1487"/>
      <c r="N533" s="1488"/>
      <c r="O533" s="1489"/>
      <c r="P533" s="1490"/>
      <c r="X533" s="1445" t="e">
        <f ca="1"/>
        <v>#NAME?</v>
      </c>
      <c r="Y533" s="1446" t="e">
        <f ca="1"/>
        <v>#NAME?</v>
      </c>
      <c r="Z533" s="1408"/>
    </row>
    <row r="534" spans="1:26">
      <c r="A534" s="1487"/>
      <c r="B534" s="1488"/>
      <c r="C534" s="1489"/>
      <c r="D534" s="1490"/>
      <c r="E534" s="1487"/>
      <c r="F534" s="1488"/>
      <c r="G534" s="1489"/>
      <c r="H534" s="1490"/>
      <c r="I534" s="1487"/>
      <c r="J534" s="1488"/>
      <c r="K534" s="1489"/>
      <c r="L534" s="1490"/>
      <c r="M534" s="1487"/>
      <c r="N534" s="1488"/>
      <c r="O534" s="1489"/>
      <c r="P534" s="1490"/>
      <c r="X534" s="1445" t="e">
        <f ca="1"/>
        <v>#NAME?</v>
      </c>
      <c r="Y534" s="1446" t="e">
        <f ca="1"/>
        <v>#NAME?</v>
      </c>
      <c r="Z534" s="1408"/>
    </row>
    <row r="535" spans="1:26">
      <c r="A535" s="1487"/>
      <c r="B535" s="1488"/>
      <c r="C535" s="1489"/>
      <c r="D535" s="1490"/>
      <c r="E535" s="1487"/>
      <c r="F535" s="1488"/>
      <c r="G535" s="1489"/>
      <c r="H535" s="1490"/>
      <c r="I535" s="1487"/>
      <c r="J535" s="1488"/>
      <c r="K535" s="1489"/>
      <c r="L535" s="1490"/>
      <c r="M535" s="1487"/>
      <c r="N535" s="1488"/>
      <c r="O535" s="1489"/>
      <c r="P535" s="1490"/>
      <c r="X535" s="1445" t="e">
        <f ca="1"/>
        <v>#NAME?</v>
      </c>
      <c r="Y535" s="1446" t="e">
        <f ca="1"/>
        <v>#NAME?</v>
      </c>
      <c r="Z535" s="1408"/>
    </row>
    <row r="536" spans="1:26">
      <c r="A536" s="1487"/>
      <c r="B536" s="1488"/>
      <c r="C536" s="1489"/>
      <c r="D536" s="1490"/>
      <c r="E536" s="1487"/>
      <c r="F536" s="1488"/>
      <c r="G536" s="1489"/>
      <c r="H536" s="1490"/>
      <c r="I536" s="1487"/>
      <c r="J536" s="1488"/>
      <c r="K536" s="1489"/>
      <c r="L536" s="1490"/>
      <c r="M536" s="1487"/>
      <c r="N536" s="1488"/>
      <c r="O536" s="1489"/>
      <c r="P536" s="1490"/>
      <c r="X536" s="1445" t="e">
        <f ca="1"/>
        <v>#NAME?</v>
      </c>
      <c r="Y536" s="1446" t="e">
        <f ca="1"/>
        <v>#NAME?</v>
      </c>
      <c r="Z536" s="1408"/>
    </row>
    <row r="537" spans="1:26">
      <c r="A537" s="1487"/>
      <c r="B537" s="1488"/>
      <c r="C537" s="1489"/>
      <c r="D537" s="1490"/>
      <c r="E537" s="1487"/>
      <c r="F537" s="1488"/>
      <c r="G537" s="1489"/>
      <c r="H537" s="1490"/>
      <c r="I537" s="1487"/>
      <c r="J537" s="1488"/>
      <c r="K537" s="1489"/>
      <c r="L537" s="1490"/>
      <c r="M537" s="1487"/>
      <c r="N537" s="1488"/>
      <c r="O537" s="1489"/>
      <c r="P537" s="1490"/>
      <c r="X537" s="1445" t="e">
        <f ca="1"/>
        <v>#NAME?</v>
      </c>
      <c r="Y537" s="1446" t="e">
        <f ca="1"/>
        <v>#NAME?</v>
      </c>
      <c r="Z537" s="1408"/>
    </row>
    <row r="538" spans="1:26">
      <c r="A538" s="1487"/>
      <c r="B538" s="1488"/>
      <c r="C538" s="1489"/>
      <c r="D538" s="1490"/>
      <c r="E538" s="1487"/>
      <c r="F538" s="1488"/>
      <c r="G538" s="1489"/>
      <c r="H538" s="1490"/>
      <c r="I538" s="1487"/>
      <c r="J538" s="1488"/>
      <c r="K538" s="1489"/>
      <c r="L538" s="1490"/>
      <c r="M538" s="1487"/>
      <c r="N538" s="1488"/>
      <c r="O538" s="1489"/>
      <c r="P538" s="1490"/>
      <c r="X538" s="1445" t="e">
        <f ca="1"/>
        <v>#NAME?</v>
      </c>
      <c r="Y538" s="1446" t="e">
        <f ca="1"/>
        <v>#NAME?</v>
      </c>
      <c r="Z538" s="1408"/>
    </row>
    <row r="539" spans="1:26">
      <c r="A539" s="1487"/>
      <c r="B539" s="1488"/>
      <c r="C539" s="1489"/>
      <c r="D539" s="1490"/>
      <c r="E539" s="1487"/>
      <c r="F539" s="1488"/>
      <c r="G539" s="1489"/>
      <c r="H539" s="1490"/>
      <c r="I539" s="1487"/>
      <c r="J539" s="1488"/>
      <c r="K539" s="1489"/>
      <c r="L539" s="1490"/>
      <c r="M539" s="1487"/>
      <c r="N539" s="1488"/>
      <c r="O539" s="1489"/>
      <c r="P539" s="1490"/>
      <c r="X539" s="1445" t="e">
        <f ca="1"/>
        <v>#NAME?</v>
      </c>
      <c r="Y539" s="1446" t="e">
        <f ca="1"/>
        <v>#NAME?</v>
      </c>
      <c r="Z539" s="1408"/>
    </row>
    <row r="540" spans="1:26">
      <c r="A540" s="1487"/>
      <c r="B540" s="1488"/>
      <c r="C540" s="1489"/>
      <c r="D540" s="1490"/>
      <c r="E540" s="1487"/>
      <c r="F540" s="1488"/>
      <c r="G540" s="1489"/>
      <c r="H540" s="1490"/>
      <c r="I540" s="1487"/>
      <c r="J540" s="1488"/>
      <c r="K540" s="1489"/>
      <c r="L540" s="1490"/>
      <c r="M540" s="1487"/>
      <c r="N540" s="1488"/>
      <c r="O540" s="1489"/>
      <c r="P540" s="1490"/>
      <c r="X540" s="1445" t="e">
        <f ca="1"/>
        <v>#NAME?</v>
      </c>
      <c r="Y540" s="1446" t="e">
        <f ca="1"/>
        <v>#NAME?</v>
      </c>
      <c r="Z540" s="1408"/>
    </row>
    <row r="541" spans="1:26">
      <c r="A541" s="1487"/>
      <c r="B541" s="1488"/>
      <c r="C541" s="1489"/>
      <c r="D541" s="1490"/>
      <c r="E541" s="1487"/>
      <c r="F541" s="1488"/>
      <c r="G541" s="1489"/>
      <c r="H541" s="1490"/>
      <c r="I541" s="1487"/>
      <c r="J541" s="1488"/>
      <c r="K541" s="1489"/>
      <c r="L541" s="1490"/>
      <c r="M541" s="1487"/>
      <c r="N541" s="1488"/>
      <c r="O541" s="1489"/>
      <c r="P541" s="1490"/>
      <c r="X541" s="1445" t="e">
        <f ca="1"/>
        <v>#NAME?</v>
      </c>
      <c r="Y541" s="1446" t="e">
        <f ca="1"/>
        <v>#NAME?</v>
      </c>
      <c r="Z541" s="1408"/>
    </row>
    <row r="542" spans="1:26">
      <c r="A542" s="1487"/>
      <c r="B542" s="1488"/>
      <c r="C542" s="1489"/>
      <c r="D542" s="1490"/>
      <c r="E542" s="1487"/>
      <c r="F542" s="1488"/>
      <c r="G542" s="1489"/>
      <c r="H542" s="1490"/>
      <c r="I542" s="1487"/>
      <c r="J542" s="1488"/>
      <c r="K542" s="1489"/>
      <c r="L542" s="1490"/>
      <c r="M542" s="1487"/>
      <c r="N542" s="1488"/>
      <c r="O542" s="1489"/>
      <c r="P542" s="1490"/>
      <c r="X542" s="1445" t="e">
        <f ca="1"/>
        <v>#NAME?</v>
      </c>
      <c r="Y542" s="1446" t="e">
        <f ca="1"/>
        <v>#NAME?</v>
      </c>
      <c r="Z542" s="1408"/>
    </row>
    <row r="543" spans="1:26">
      <c r="A543" s="1487"/>
      <c r="B543" s="1488"/>
      <c r="C543" s="1489"/>
      <c r="D543" s="1490"/>
      <c r="E543" s="1487"/>
      <c r="F543" s="1488"/>
      <c r="G543" s="1489"/>
      <c r="H543" s="1490"/>
      <c r="I543" s="1487"/>
      <c r="J543" s="1488"/>
      <c r="K543" s="1489"/>
      <c r="L543" s="1490"/>
      <c r="M543" s="1487"/>
      <c r="N543" s="1488"/>
      <c r="O543" s="1489"/>
      <c r="P543" s="1490"/>
      <c r="X543" s="1445" t="e">
        <f ca="1"/>
        <v>#NAME?</v>
      </c>
      <c r="Y543" s="1446" t="e">
        <f ca="1"/>
        <v>#NAME?</v>
      </c>
      <c r="Z543" s="1408"/>
    </row>
    <row r="544" spans="1:26">
      <c r="A544" s="1487"/>
      <c r="B544" s="1488"/>
      <c r="C544" s="1489"/>
      <c r="D544" s="1490"/>
      <c r="E544" s="1487"/>
      <c r="F544" s="1488"/>
      <c r="G544" s="1489"/>
      <c r="H544" s="1490"/>
      <c r="I544" s="1487"/>
      <c r="J544" s="1488"/>
      <c r="K544" s="1489"/>
      <c r="L544" s="1490"/>
      <c r="M544" s="1487"/>
      <c r="N544" s="1488"/>
      <c r="O544" s="1489"/>
      <c r="P544" s="1490"/>
      <c r="X544" s="1445" t="e">
        <f ca="1"/>
        <v>#NAME?</v>
      </c>
      <c r="Y544" s="1446" t="e">
        <f ca="1"/>
        <v>#NAME?</v>
      </c>
      <c r="Z544" s="1408"/>
    </row>
    <row r="545" spans="1:26">
      <c r="A545" s="1487"/>
      <c r="B545" s="1488"/>
      <c r="C545" s="1489"/>
      <c r="D545" s="1490"/>
      <c r="E545" s="1487"/>
      <c r="F545" s="1488"/>
      <c r="G545" s="1489"/>
      <c r="H545" s="1490"/>
      <c r="I545" s="1487"/>
      <c r="J545" s="1488"/>
      <c r="K545" s="1489"/>
      <c r="L545" s="1490"/>
      <c r="M545" s="1487"/>
      <c r="N545" s="1488"/>
      <c r="O545" s="1489"/>
      <c r="P545" s="1490"/>
      <c r="X545" s="1445" t="e">
        <f ca="1"/>
        <v>#NAME?</v>
      </c>
      <c r="Y545" s="1446" t="e">
        <f ca="1"/>
        <v>#NAME?</v>
      </c>
      <c r="Z545" s="1408"/>
    </row>
    <row r="546" spans="1:26">
      <c r="A546" s="1487"/>
      <c r="B546" s="1488"/>
      <c r="C546" s="1489"/>
      <c r="D546" s="1490"/>
      <c r="E546" s="1487"/>
      <c r="F546" s="1488"/>
      <c r="G546" s="1489"/>
      <c r="H546" s="1490"/>
      <c r="I546" s="1487"/>
      <c r="J546" s="1488"/>
      <c r="K546" s="1489"/>
      <c r="L546" s="1490"/>
      <c r="M546" s="1487"/>
      <c r="N546" s="1488"/>
      <c r="O546" s="1489"/>
      <c r="P546" s="1490"/>
      <c r="X546" s="1445" t="e">
        <f ca="1"/>
        <v>#NAME?</v>
      </c>
      <c r="Y546" s="1446" t="e">
        <f ca="1"/>
        <v>#NAME?</v>
      </c>
      <c r="Z546" s="1408"/>
    </row>
    <row r="547" spans="1:26">
      <c r="A547" s="1487"/>
      <c r="B547" s="1488"/>
      <c r="C547" s="1489"/>
      <c r="D547" s="1490"/>
      <c r="E547" s="1487"/>
      <c r="F547" s="1488"/>
      <c r="G547" s="1489"/>
      <c r="H547" s="1490"/>
      <c r="I547" s="1487"/>
      <c r="J547" s="1488"/>
      <c r="K547" s="1489"/>
      <c r="L547" s="1490"/>
      <c r="M547" s="1487"/>
      <c r="N547" s="1488"/>
      <c r="O547" s="1489"/>
      <c r="P547" s="1490"/>
      <c r="X547" s="1445" t="e">
        <f ca="1"/>
        <v>#NAME?</v>
      </c>
      <c r="Y547" s="1446" t="e">
        <f ca="1"/>
        <v>#NAME?</v>
      </c>
      <c r="Z547" s="1408"/>
    </row>
    <row r="548" spans="1:26">
      <c r="A548" s="1487"/>
      <c r="B548" s="1488"/>
      <c r="C548" s="1489"/>
      <c r="D548" s="1490"/>
      <c r="E548" s="1487"/>
      <c r="F548" s="1488"/>
      <c r="G548" s="1489"/>
      <c r="H548" s="1490"/>
      <c r="I548" s="1487"/>
      <c r="J548" s="1488"/>
      <c r="K548" s="1489"/>
      <c r="L548" s="1490"/>
      <c r="M548" s="1487"/>
      <c r="N548" s="1488"/>
      <c r="O548" s="1489"/>
      <c r="P548" s="1490"/>
      <c r="X548" s="1445" t="e">
        <f ca="1"/>
        <v>#NAME?</v>
      </c>
      <c r="Y548" s="1446" t="e">
        <f ca="1"/>
        <v>#NAME?</v>
      </c>
      <c r="Z548" s="1408"/>
    </row>
    <row r="549" spans="1:26">
      <c r="A549" s="1487"/>
      <c r="B549" s="1488"/>
      <c r="C549" s="1489"/>
      <c r="D549" s="1490"/>
      <c r="E549" s="1487"/>
      <c r="F549" s="1488"/>
      <c r="G549" s="1489"/>
      <c r="H549" s="1490"/>
      <c r="I549" s="1487"/>
      <c r="J549" s="1488"/>
      <c r="K549" s="1489"/>
      <c r="L549" s="1490"/>
      <c r="M549" s="1487"/>
      <c r="N549" s="1488"/>
      <c r="O549" s="1489"/>
      <c r="P549" s="1490"/>
      <c r="X549" s="1445" t="e">
        <f ca="1"/>
        <v>#NAME?</v>
      </c>
      <c r="Y549" s="1446" t="e">
        <f ca="1"/>
        <v>#NAME?</v>
      </c>
      <c r="Z549" s="1408"/>
    </row>
    <row r="550" spans="1:26">
      <c r="A550" s="1487"/>
      <c r="B550" s="1488"/>
      <c r="C550" s="1489"/>
      <c r="D550" s="1490"/>
      <c r="E550" s="1487"/>
      <c r="F550" s="1488"/>
      <c r="G550" s="1489"/>
      <c r="H550" s="1490"/>
      <c r="I550" s="1487"/>
      <c r="J550" s="1488"/>
      <c r="K550" s="1489"/>
      <c r="L550" s="1490"/>
      <c r="M550" s="1487"/>
      <c r="N550" s="1488"/>
      <c r="O550" s="1489"/>
      <c r="P550" s="1490"/>
      <c r="X550" s="1445" t="e">
        <f ca="1"/>
        <v>#NAME?</v>
      </c>
      <c r="Y550" s="1446" t="e">
        <f ca="1"/>
        <v>#NAME?</v>
      </c>
      <c r="Z550" s="1408"/>
    </row>
    <row r="551" spans="1:26">
      <c r="A551" s="1487"/>
      <c r="B551" s="1488"/>
      <c r="C551" s="1489"/>
      <c r="D551" s="1490"/>
      <c r="E551" s="1487"/>
      <c r="F551" s="1488"/>
      <c r="G551" s="1489"/>
      <c r="H551" s="1490"/>
      <c r="I551" s="1487"/>
      <c r="J551" s="1488"/>
      <c r="K551" s="1489"/>
      <c r="L551" s="1490"/>
      <c r="M551" s="1487"/>
      <c r="N551" s="1488"/>
      <c r="O551" s="1489"/>
      <c r="P551" s="1490"/>
      <c r="X551" s="1445" t="e">
        <f ca="1"/>
        <v>#NAME?</v>
      </c>
      <c r="Y551" s="1446" t="e">
        <f ca="1"/>
        <v>#NAME?</v>
      </c>
      <c r="Z551" s="1408"/>
    </row>
    <row r="552" spans="1:26">
      <c r="A552" s="1487"/>
      <c r="B552" s="1488"/>
      <c r="C552" s="1489"/>
      <c r="D552" s="1490"/>
      <c r="E552" s="1487"/>
      <c r="F552" s="1488"/>
      <c r="G552" s="1489"/>
      <c r="H552" s="1490"/>
      <c r="I552" s="1487"/>
      <c r="J552" s="1488"/>
      <c r="K552" s="1489"/>
      <c r="L552" s="1490"/>
      <c r="M552" s="1487"/>
      <c r="N552" s="1488"/>
      <c r="O552" s="1489"/>
      <c r="P552" s="1490"/>
      <c r="X552" s="1445" t="e">
        <f ca="1"/>
        <v>#NAME?</v>
      </c>
      <c r="Y552" s="1446" t="e">
        <f ca="1"/>
        <v>#NAME?</v>
      </c>
      <c r="Z552" s="1408"/>
    </row>
    <row r="553" spans="1:26">
      <c r="A553" s="1487"/>
      <c r="B553" s="1488"/>
      <c r="C553" s="1489"/>
      <c r="D553" s="1490"/>
      <c r="E553" s="1487"/>
      <c r="F553" s="1488"/>
      <c r="G553" s="1489"/>
      <c r="H553" s="1490"/>
      <c r="I553" s="1487"/>
      <c r="J553" s="1488"/>
      <c r="K553" s="1489"/>
      <c r="L553" s="1490"/>
      <c r="M553" s="1487"/>
      <c r="N553" s="1488"/>
      <c r="O553" s="1489"/>
      <c r="P553" s="1490"/>
      <c r="X553" s="1445" t="e">
        <f ca="1"/>
        <v>#NAME?</v>
      </c>
      <c r="Y553" s="1446" t="e">
        <f ca="1"/>
        <v>#NAME?</v>
      </c>
      <c r="Z553" s="1408"/>
    </row>
    <row r="554" spans="1:26">
      <c r="A554" s="1487"/>
      <c r="B554" s="1488"/>
      <c r="C554" s="1489"/>
      <c r="D554" s="1490"/>
      <c r="E554" s="1487"/>
      <c r="F554" s="1488"/>
      <c r="G554" s="1489"/>
      <c r="H554" s="1490"/>
      <c r="I554" s="1487"/>
      <c r="J554" s="1488"/>
      <c r="K554" s="1489"/>
      <c r="L554" s="1490"/>
      <c r="M554" s="1487"/>
      <c r="N554" s="1488"/>
      <c r="O554" s="1489"/>
      <c r="P554" s="1490"/>
      <c r="X554" s="1445" t="e">
        <f ca="1"/>
        <v>#NAME?</v>
      </c>
      <c r="Y554" s="1446" t="e">
        <f ca="1"/>
        <v>#NAME?</v>
      </c>
      <c r="Z554" s="1408"/>
    </row>
    <row r="555" spans="1:26">
      <c r="A555" s="1487"/>
      <c r="B555" s="1488"/>
      <c r="C555" s="1489"/>
      <c r="D555" s="1490"/>
      <c r="E555" s="1487"/>
      <c r="F555" s="1488"/>
      <c r="G555" s="1489"/>
      <c r="H555" s="1490"/>
      <c r="I555" s="1487"/>
      <c r="J555" s="1488"/>
      <c r="K555" s="1489"/>
      <c r="L555" s="1490"/>
      <c r="M555" s="1487"/>
      <c r="N555" s="1488"/>
      <c r="O555" s="1489"/>
      <c r="P555" s="1490"/>
      <c r="X555" s="1445" t="e">
        <f ca="1"/>
        <v>#NAME?</v>
      </c>
      <c r="Y555" s="1446" t="e">
        <f ca="1"/>
        <v>#NAME?</v>
      </c>
      <c r="Z555" s="1408"/>
    </row>
    <row r="556" spans="1:26">
      <c r="A556" s="1487"/>
      <c r="B556" s="1488"/>
      <c r="C556" s="1489"/>
      <c r="D556" s="1490"/>
      <c r="E556" s="1487"/>
      <c r="F556" s="1488"/>
      <c r="G556" s="1489"/>
      <c r="H556" s="1490"/>
      <c r="I556" s="1487"/>
      <c r="J556" s="1488"/>
      <c r="K556" s="1489"/>
      <c r="L556" s="1490"/>
      <c r="M556" s="1487"/>
      <c r="N556" s="1488"/>
      <c r="O556" s="1489"/>
      <c r="P556" s="1490"/>
      <c r="X556" s="1445" t="e">
        <f ca="1"/>
        <v>#NAME?</v>
      </c>
      <c r="Y556" s="1446" t="e">
        <f ca="1"/>
        <v>#NAME?</v>
      </c>
      <c r="Z556" s="1408"/>
    </row>
    <row r="557" spans="1:26">
      <c r="A557" s="1487"/>
      <c r="B557" s="1488"/>
      <c r="C557" s="1489"/>
      <c r="D557" s="1490"/>
      <c r="E557" s="1487"/>
      <c r="F557" s="1488"/>
      <c r="G557" s="1489"/>
      <c r="H557" s="1490"/>
      <c r="I557" s="1487"/>
      <c r="J557" s="1488"/>
      <c r="K557" s="1489"/>
      <c r="L557" s="1490"/>
      <c r="M557" s="1487"/>
      <c r="N557" s="1488"/>
      <c r="O557" s="1489"/>
      <c r="P557" s="1490"/>
      <c r="X557" s="1445" t="e">
        <f ca="1"/>
        <v>#NAME?</v>
      </c>
      <c r="Y557" s="1446" t="e">
        <f ca="1"/>
        <v>#NAME?</v>
      </c>
      <c r="Z557" s="1408"/>
    </row>
    <row r="558" spans="1:26">
      <c r="A558" s="1487"/>
      <c r="B558" s="1488"/>
      <c r="C558" s="1489"/>
      <c r="D558" s="1490"/>
      <c r="E558" s="1487"/>
      <c r="F558" s="1488"/>
      <c r="G558" s="1489"/>
      <c r="H558" s="1490"/>
      <c r="I558" s="1487"/>
      <c r="J558" s="1488"/>
      <c r="K558" s="1489"/>
      <c r="L558" s="1490"/>
      <c r="M558" s="1487"/>
      <c r="N558" s="1488"/>
      <c r="O558" s="1489"/>
      <c r="P558" s="1490"/>
      <c r="X558" s="1445" t="e">
        <f ca="1"/>
        <v>#NAME?</v>
      </c>
      <c r="Y558" s="1446" t="e">
        <f ca="1"/>
        <v>#NAME?</v>
      </c>
      <c r="Z558" s="1408"/>
    </row>
    <row r="559" spans="1:26">
      <c r="A559" s="1487"/>
      <c r="B559" s="1488"/>
      <c r="C559" s="1489"/>
      <c r="D559" s="1490"/>
      <c r="E559" s="1487"/>
      <c r="F559" s="1488"/>
      <c r="G559" s="1489"/>
      <c r="H559" s="1490"/>
      <c r="I559" s="1487"/>
      <c r="J559" s="1488"/>
      <c r="K559" s="1489"/>
      <c r="L559" s="1490"/>
      <c r="M559" s="1487"/>
      <c r="N559" s="1488"/>
      <c r="O559" s="1489"/>
      <c r="P559" s="1490"/>
      <c r="X559" s="1445" t="e">
        <f ca="1"/>
        <v>#NAME?</v>
      </c>
      <c r="Y559" s="1446" t="e">
        <f ca="1"/>
        <v>#NAME?</v>
      </c>
      <c r="Z559" s="1408"/>
    </row>
    <row r="560" spans="1:26">
      <c r="A560" s="1487"/>
      <c r="B560" s="1488"/>
      <c r="C560" s="1489"/>
      <c r="D560" s="1490"/>
      <c r="E560" s="1487"/>
      <c r="F560" s="1488"/>
      <c r="G560" s="1489"/>
      <c r="H560" s="1490"/>
      <c r="I560" s="1487"/>
      <c r="J560" s="1488"/>
      <c r="K560" s="1489"/>
      <c r="L560" s="1490"/>
      <c r="M560" s="1487"/>
      <c r="N560" s="1488"/>
      <c r="O560" s="1489"/>
      <c r="P560" s="1490"/>
      <c r="X560" s="1445" t="e">
        <f ca="1"/>
        <v>#NAME?</v>
      </c>
      <c r="Y560" s="1446" t="e">
        <f ca="1"/>
        <v>#NAME?</v>
      </c>
      <c r="Z560" s="1408"/>
    </row>
    <row r="561" spans="1:26">
      <c r="A561" s="1487"/>
      <c r="B561" s="1488"/>
      <c r="C561" s="1489"/>
      <c r="D561" s="1490"/>
      <c r="E561" s="1487"/>
      <c r="F561" s="1488"/>
      <c r="G561" s="1489"/>
      <c r="H561" s="1490"/>
      <c r="I561" s="1487"/>
      <c r="J561" s="1488"/>
      <c r="K561" s="1489"/>
      <c r="L561" s="1490"/>
      <c r="M561" s="1487"/>
      <c r="N561" s="1488"/>
      <c r="O561" s="1489"/>
      <c r="P561" s="1490"/>
      <c r="X561" s="1445" t="e">
        <f ca="1"/>
        <v>#NAME?</v>
      </c>
      <c r="Y561" s="1446" t="e">
        <f ca="1"/>
        <v>#NAME?</v>
      </c>
      <c r="Z561" s="1408"/>
    </row>
    <row r="562" spans="1:26">
      <c r="A562" s="1487"/>
      <c r="B562" s="1488"/>
      <c r="C562" s="1489"/>
      <c r="D562" s="1490"/>
      <c r="E562" s="1487"/>
      <c r="F562" s="1488"/>
      <c r="G562" s="1489"/>
      <c r="H562" s="1490"/>
      <c r="I562" s="1487"/>
      <c r="J562" s="1488"/>
      <c r="K562" s="1489"/>
      <c r="L562" s="1490"/>
      <c r="M562" s="1487"/>
      <c r="N562" s="1488"/>
      <c r="O562" s="1489"/>
      <c r="P562" s="1490"/>
      <c r="X562" s="1445" t="e">
        <f ca="1"/>
        <v>#NAME?</v>
      </c>
      <c r="Y562" s="1446" t="e">
        <f ca="1"/>
        <v>#NAME?</v>
      </c>
      <c r="Z562" s="1408"/>
    </row>
    <row r="563" spans="1:26">
      <c r="A563" s="1487"/>
      <c r="B563" s="1488"/>
      <c r="C563" s="1489"/>
      <c r="D563" s="1490"/>
      <c r="E563" s="1487"/>
      <c r="F563" s="1488"/>
      <c r="G563" s="1489"/>
      <c r="H563" s="1490"/>
      <c r="I563" s="1487"/>
      <c r="J563" s="1488"/>
      <c r="K563" s="1489"/>
      <c r="L563" s="1490"/>
      <c r="M563" s="1487"/>
      <c r="N563" s="1488"/>
      <c r="O563" s="1489"/>
      <c r="P563" s="1490"/>
      <c r="X563" s="1445" t="e">
        <f ca="1"/>
        <v>#NAME?</v>
      </c>
      <c r="Y563" s="1446" t="e">
        <f ca="1"/>
        <v>#NAME?</v>
      </c>
      <c r="Z563" s="1408"/>
    </row>
    <row r="564" spans="1:26">
      <c r="A564" s="1487"/>
      <c r="B564" s="1488"/>
      <c r="C564" s="1489"/>
      <c r="D564" s="1490"/>
      <c r="E564" s="1487"/>
      <c r="F564" s="1488"/>
      <c r="G564" s="1489"/>
      <c r="H564" s="1490"/>
      <c r="I564" s="1487"/>
      <c r="J564" s="1488"/>
      <c r="K564" s="1489"/>
      <c r="L564" s="1490"/>
      <c r="M564" s="1487"/>
      <c r="N564" s="1488"/>
      <c r="O564" s="1489"/>
      <c r="P564" s="1490"/>
      <c r="X564" s="1445" t="e">
        <f ca="1"/>
        <v>#NAME?</v>
      </c>
      <c r="Y564" s="1446" t="e">
        <f ca="1"/>
        <v>#NAME?</v>
      </c>
      <c r="Z564" s="1408"/>
    </row>
    <row r="565" spans="1:26">
      <c r="A565" s="1487"/>
      <c r="B565" s="1488"/>
      <c r="C565" s="1489"/>
      <c r="D565" s="1490"/>
      <c r="E565" s="1487"/>
      <c r="F565" s="1488"/>
      <c r="G565" s="1489"/>
      <c r="H565" s="1490"/>
      <c r="I565" s="1487"/>
      <c r="J565" s="1488"/>
      <c r="K565" s="1489"/>
      <c r="L565" s="1490"/>
      <c r="M565" s="1487"/>
      <c r="N565" s="1488"/>
      <c r="O565" s="1489"/>
      <c r="P565" s="1490"/>
      <c r="X565" s="1445" t="e">
        <f ca="1"/>
        <v>#NAME?</v>
      </c>
      <c r="Y565" s="1446" t="e">
        <f ca="1"/>
        <v>#NAME?</v>
      </c>
      <c r="Z565" s="1408"/>
    </row>
    <row r="566" spans="1:26">
      <c r="A566" s="1487"/>
      <c r="B566" s="1488"/>
      <c r="C566" s="1489"/>
      <c r="D566" s="1490"/>
      <c r="E566" s="1487"/>
      <c r="F566" s="1488"/>
      <c r="G566" s="1489"/>
      <c r="H566" s="1490"/>
      <c r="I566" s="1487"/>
      <c r="J566" s="1488"/>
      <c r="K566" s="1489"/>
      <c r="L566" s="1490"/>
      <c r="M566" s="1487"/>
      <c r="N566" s="1488"/>
      <c r="O566" s="1489"/>
      <c r="P566" s="1490"/>
      <c r="X566" s="1445" t="e">
        <f ca="1"/>
        <v>#NAME?</v>
      </c>
      <c r="Y566" s="1446" t="e">
        <f ca="1"/>
        <v>#NAME?</v>
      </c>
      <c r="Z566" s="1408"/>
    </row>
    <row r="567" spans="1:26">
      <c r="A567" s="1487"/>
      <c r="B567" s="1488"/>
      <c r="C567" s="1489"/>
      <c r="D567" s="1490"/>
      <c r="E567" s="1487"/>
      <c r="F567" s="1488"/>
      <c r="G567" s="1489"/>
      <c r="H567" s="1490"/>
      <c r="I567" s="1487"/>
      <c r="J567" s="1488"/>
      <c r="K567" s="1489"/>
      <c r="L567" s="1490"/>
      <c r="M567" s="1487"/>
      <c r="N567" s="1488"/>
      <c r="O567" s="1489"/>
      <c r="P567" s="1490"/>
      <c r="X567" s="1445" t="e">
        <f ca="1"/>
        <v>#NAME?</v>
      </c>
      <c r="Y567" s="1446" t="e">
        <f ca="1"/>
        <v>#NAME?</v>
      </c>
      <c r="Z567" s="1408"/>
    </row>
    <row r="568" spans="1:26">
      <c r="A568" s="1487"/>
      <c r="B568" s="1488"/>
      <c r="C568" s="1489"/>
      <c r="D568" s="1490"/>
      <c r="E568" s="1487"/>
      <c r="F568" s="1488"/>
      <c r="G568" s="1489"/>
      <c r="H568" s="1490"/>
      <c r="I568" s="1487"/>
      <c r="J568" s="1488"/>
      <c r="K568" s="1489"/>
      <c r="L568" s="1490"/>
      <c r="M568" s="1487"/>
      <c r="N568" s="1488"/>
      <c r="O568" s="1489"/>
      <c r="P568" s="1490"/>
      <c r="X568" s="1445" t="e">
        <f ca="1"/>
        <v>#NAME?</v>
      </c>
      <c r="Y568" s="1446" t="e">
        <f ca="1"/>
        <v>#NAME?</v>
      </c>
      <c r="Z568" s="1408"/>
    </row>
    <row r="569" spans="1:26">
      <c r="A569" s="1487"/>
      <c r="B569" s="1488"/>
      <c r="C569" s="1489"/>
      <c r="D569" s="1490"/>
      <c r="E569" s="1487"/>
      <c r="F569" s="1488"/>
      <c r="G569" s="1489"/>
      <c r="H569" s="1490"/>
      <c r="I569" s="1487"/>
      <c r="J569" s="1488"/>
      <c r="K569" s="1489"/>
      <c r="L569" s="1490"/>
      <c r="M569" s="1487"/>
      <c r="N569" s="1488"/>
      <c r="O569" s="1489"/>
      <c r="P569" s="1490"/>
      <c r="X569" s="1445" t="e">
        <f ca="1"/>
        <v>#NAME?</v>
      </c>
      <c r="Y569" s="1446" t="e">
        <f ca="1"/>
        <v>#NAME?</v>
      </c>
      <c r="Z569" s="1408"/>
    </row>
    <row r="570" spans="1:26">
      <c r="A570" s="1487"/>
      <c r="B570" s="1488"/>
      <c r="C570" s="1489"/>
      <c r="D570" s="1490"/>
      <c r="E570" s="1487"/>
      <c r="F570" s="1488"/>
      <c r="G570" s="1489"/>
      <c r="H570" s="1490"/>
      <c r="I570" s="1487"/>
      <c r="J570" s="1488"/>
      <c r="K570" s="1489"/>
      <c r="L570" s="1490"/>
      <c r="M570" s="1487"/>
      <c r="N570" s="1488"/>
      <c r="O570" s="1489"/>
      <c r="P570" s="1490"/>
      <c r="X570" s="1445" t="e">
        <f ca="1"/>
        <v>#NAME?</v>
      </c>
      <c r="Y570" s="1446" t="e">
        <f ca="1"/>
        <v>#NAME?</v>
      </c>
      <c r="Z570" s="1408"/>
    </row>
    <row r="571" spans="1:26">
      <c r="A571" s="1487"/>
      <c r="B571" s="1488"/>
      <c r="C571" s="1489"/>
      <c r="D571" s="1490"/>
      <c r="E571" s="1487"/>
      <c r="F571" s="1488"/>
      <c r="G571" s="1489"/>
      <c r="H571" s="1490"/>
      <c r="I571" s="1487"/>
      <c r="J571" s="1488"/>
      <c r="K571" s="1489"/>
      <c r="L571" s="1490"/>
      <c r="M571" s="1487"/>
      <c r="N571" s="1488"/>
      <c r="O571" s="1489"/>
      <c r="P571" s="1490"/>
      <c r="X571" s="1445" t="e">
        <f ca="1"/>
        <v>#NAME?</v>
      </c>
      <c r="Y571" s="1446" t="e">
        <f ca="1"/>
        <v>#NAME?</v>
      </c>
      <c r="Z571" s="1408"/>
    </row>
    <row r="572" spans="1:26">
      <c r="A572" s="1487"/>
      <c r="B572" s="1488"/>
      <c r="C572" s="1489"/>
      <c r="D572" s="1490"/>
      <c r="E572" s="1487"/>
      <c r="F572" s="1488"/>
      <c r="G572" s="1489"/>
      <c r="H572" s="1490"/>
      <c r="I572" s="1487"/>
      <c r="J572" s="1488"/>
      <c r="K572" s="1489"/>
      <c r="L572" s="1490"/>
      <c r="M572" s="1487"/>
      <c r="N572" s="1488"/>
      <c r="O572" s="1489"/>
      <c r="P572" s="1490"/>
      <c r="X572" s="1445" t="e">
        <f ca="1"/>
        <v>#NAME?</v>
      </c>
      <c r="Y572" s="1446" t="e">
        <f ca="1"/>
        <v>#NAME?</v>
      </c>
      <c r="Z572" s="1408"/>
    </row>
    <row r="573" spans="1:26">
      <c r="A573" s="1487"/>
      <c r="B573" s="1488"/>
      <c r="C573" s="1489"/>
      <c r="D573" s="1490"/>
      <c r="E573" s="1487"/>
      <c r="F573" s="1488"/>
      <c r="G573" s="1489"/>
      <c r="H573" s="1490"/>
      <c r="I573" s="1487"/>
      <c r="J573" s="1488"/>
      <c r="K573" s="1489"/>
      <c r="L573" s="1490"/>
      <c r="M573" s="1487"/>
      <c r="N573" s="1488"/>
      <c r="O573" s="1489"/>
      <c r="P573" s="1490"/>
      <c r="X573" s="1445" t="e">
        <f ca="1"/>
        <v>#NAME?</v>
      </c>
      <c r="Y573" s="1446" t="e">
        <f ca="1"/>
        <v>#NAME?</v>
      </c>
      <c r="Z573" s="1408"/>
    </row>
    <row r="574" spans="1:26">
      <c r="A574" s="1487"/>
      <c r="B574" s="1488"/>
      <c r="C574" s="1489"/>
      <c r="D574" s="1490"/>
      <c r="E574" s="1487"/>
      <c r="F574" s="1488"/>
      <c r="G574" s="1489"/>
      <c r="H574" s="1490"/>
      <c r="I574" s="1487"/>
      <c r="J574" s="1488"/>
      <c r="K574" s="1489"/>
      <c r="L574" s="1490"/>
      <c r="M574" s="1487"/>
      <c r="N574" s="1488"/>
      <c r="O574" s="1489"/>
      <c r="P574" s="1490"/>
      <c r="X574" s="1445" t="e">
        <f ca="1"/>
        <v>#NAME?</v>
      </c>
      <c r="Y574" s="1446" t="e">
        <f ca="1"/>
        <v>#NAME?</v>
      </c>
      <c r="Z574" s="1408"/>
    </row>
    <row r="575" spans="1:26">
      <c r="A575" s="1487"/>
      <c r="B575" s="1488"/>
      <c r="C575" s="1489"/>
      <c r="D575" s="1490"/>
      <c r="E575" s="1487"/>
      <c r="F575" s="1488"/>
      <c r="G575" s="1489"/>
      <c r="H575" s="1490"/>
      <c r="I575" s="1487"/>
      <c r="J575" s="1488"/>
      <c r="K575" s="1489"/>
      <c r="L575" s="1490"/>
      <c r="M575" s="1487"/>
      <c r="N575" s="1488"/>
      <c r="O575" s="1489"/>
      <c r="P575" s="1490"/>
      <c r="X575" s="1445" t="e">
        <f ca="1"/>
        <v>#NAME?</v>
      </c>
      <c r="Y575" s="1446" t="e">
        <f ca="1"/>
        <v>#NAME?</v>
      </c>
      <c r="Z575" s="1408"/>
    </row>
    <row r="576" spans="1:26">
      <c r="A576" s="1487"/>
      <c r="B576" s="1488"/>
      <c r="C576" s="1489"/>
      <c r="D576" s="1490"/>
      <c r="E576" s="1487"/>
      <c r="F576" s="1488"/>
      <c r="G576" s="1489"/>
      <c r="H576" s="1490"/>
      <c r="I576" s="1487"/>
      <c r="J576" s="1488"/>
      <c r="K576" s="1489"/>
      <c r="L576" s="1490"/>
      <c r="M576" s="1487"/>
      <c r="N576" s="1488"/>
      <c r="O576" s="1489"/>
      <c r="P576" s="1490"/>
      <c r="X576" s="1445" t="e">
        <f ca="1"/>
        <v>#NAME?</v>
      </c>
      <c r="Y576" s="1446" t="e">
        <f ca="1"/>
        <v>#NAME?</v>
      </c>
      <c r="Z576" s="1408"/>
    </row>
    <row r="577" spans="1:26">
      <c r="A577" s="1487"/>
      <c r="B577" s="1488"/>
      <c r="C577" s="1489"/>
      <c r="D577" s="1490"/>
      <c r="E577" s="1487"/>
      <c r="F577" s="1488"/>
      <c r="G577" s="1489"/>
      <c r="H577" s="1490"/>
      <c r="I577" s="1487"/>
      <c r="J577" s="1488"/>
      <c r="K577" s="1489"/>
      <c r="L577" s="1490"/>
      <c r="M577" s="1487"/>
      <c r="N577" s="1488"/>
      <c r="O577" s="1489"/>
      <c r="P577" s="1490"/>
      <c r="X577" s="1445" t="e">
        <f ca="1"/>
        <v>#NAME?</v>
      </c>
      <c r="Y577" s="1446" t="e">
        <f ca="1"/>
        <v>#NAME?</v>
      </c>
      <c r="Z577" s="1408"/>
    </row>
    <row r="578" spans="1:26">
      <c r="A578" s="1487"/>
      <c r="B578" s="1488"/>
      <c r="C578" s="1489"/>
      <c r="D578" s="1490"/>
      <c r="E578" s="1487"/>
      <c r="F578" s="1488"/>
      <c r="G578" s="1489"/>
      <c r="H578" s="1490"/>
      <c r="I578" s="1487"/>
      <c r="J578" s="1488"/>
      <c r="K578" s="1489"/>
      <c r="L578" s="1490"/>
      <c r="M578" s="1487"/>
      <c r="N578" s="1488"/>
      <c r="O578" s="1489"/>
      <c r="P578" s="1490"/>
      <c r="X578" s="1445" t="e">
        <f ca="1"/>
        <v>#NAME?</v>
      </c>
      <c r="Y578" s="1446" t="e">
        <f ca="1"/>
        <v>#NAME?</v>
      </c>
      <c r="Z578" s="1408"/>
    </row>
    <row r="579" spans="1:26">
      <c r="A579" s="1487"/>
      <c r="B579" s="1488"/>
      <c r="C579" s="1489"/>
      <c r="D579" s="1490"/>
      <c r="E579" s="1487"/>
      <c r="F579" s="1488"/>
      <c r="G579" s="1489"/>
      <c r="H579" s="1490"/>
      <c r="I579" s="1487"/>
      <c r="J579" s="1488"/>
      <c r="K579" s="1489"/>
      <c r="L579" s="1490"/>
      <c r="M579" s="1487"/>
      <c r="N579" s="1488"/>
      <c r="O579" s="1489"/>
      <c r="P579" s="1490"/>
      <c r="X579" s="1445" t="e">
        <f ca="1"/>
        <v>#NAME?</v>
      </c>
      <c r="Y579" s="1446" t="e">
        <f ca="1"/>
        <v>#NAME?</v>
      </c>
      <c r="Z579" s="1408"/>
    </row>
    <row r="580" spans="1:26">
      <c r="A580" s="1487"/>
      <c r="B580" s="1488"/>
      <c r="C580" s="1489"/>
      <c r="D580" s="1490"/>
      <c r="E580" s="1487"/>
      <c r="F580" s="1488"/>
      <c r="G580" s="1489"/>
      <c r="H580" s="1490"/>
      <c r="I580" s="1487"/>
      <c r="J580" s="1488"/>
      <c r="K580" s="1489"/>
      <c r="L580" s="1490"/>
      <c r="M580" s="1487"/>
      <c r="N580" s="1488"/>
      <c r="O580" s="1489"/>
      <c r="P580" s="1490"/>
      <c r="X580" s="1445" t="e">
        <f ca="1"/>
        <v>#NAME?</v>
      </c>
      <c r="Y580" s="1446" t="e">
        <f ca="1"/>
        <v>#NAME?</v>
      </c>
      <c r="Z580" s="1408"/>
    </row>
    <row r="581" spans="1:26">
      <c r="A581" s="1487"/>
      <c r="B581" s="1488"/>
      <c r="C581" s="1489"/>
      <c r="D581" s="1490"/>
      <c r="E581" s="1487"/>
      <c r="F581" s="1488"/>
      <c r="G581" s="1489"/>
      <c r="H581" s="1490"/>
      <c r="I581" s="1487"/>
      <c r="J581" s="1488"/>
      <c r="K581" s="1489"/>
      <c r="L581" s="1490"/>
      <c r="M581" s="1487"/>
      <c r="N581" s="1488"/>
      <c r="O581" s="1489"/>
      <c r="P581" s="1490"/>
      <c r="X581" s="1445" t="e">
        <f ca="1"/>
        <v>#NAME?</v>
      </c>
      <c r="Y581" s="1446" t="e">
        <f ca="1"/>
        <v>#NAME?</v>
      </c>
      <c r="Z581" s="1408"/>
    </row>
    <row r="582" spans="1:26">
      <c r="A582" s="1487"/>
      <c r="B582" s="1488"/>
      <c r="C582" s="1489"/>
      <c r="D582" s="1490"/>
      <c r="E582" s="1487"/>
      <c r="F582" s="1488"/>
      <c r="G582" s="1489"/>
      <c r="H582" s="1490"/>
      <c r="I582" s="1487"/>
      <c r="J582" s="1488"/>
      <c r="K582" s="1489"/>
      <c r="L582" s="1490"/>
      <c r="M582" s="1487"/>
      <c r="N582" s="1488"/>
      <c r="O582" s="1489"/>
      <c r="P582" s="1490"/>
      <c r="X582" s="1445" t="e">
        <f ca="1"/>
        <v>#NAME?</v>
      </c>
      <c r="Y582" s="1446" t="e">
        <f ca="1"/>
        <v>#NAME?</v>
      </c>
      <c r="Z582" s="1408"/>
    </row>
    <row r="583" spans="1:26">
      <c r="A583" s="1487"/>
      <c r="B583" s="1488"/>
      <c r="C583" s="1489"/>
      <c r="D583" s="1490"/>
      <c r="E583" s="1487"/>
      <c r="F583" s="1488"/>
      <c r="G583" s="1489"/>
      <c r="H583" s="1490"/>
      <c r="I583" s="1487"/>
      <c r="J583" s="1488"/>
      <c r="K583" s="1489"/>
      <c r="L583" s="1490"/>
      <c r="M583" s="1487"/>
      <c r="N583" s="1488"/>
      <c r="O583" s="1489"/>
      <c r="P583" s="1490"/>
      <c r="X583" s="1445" t="e">
        <f ca="1"/>
        <v>#NAME?</v>
      </c>
      <c r="Y583" s="1446" t="e">
        <f ca="1"/>
        <v>#NAME?</v>
      </c>
      <c r="Z583" s="1408"/>
    </row>
    <row r="584" spans="1:26">
      <c r="A584" s="1487"/>
      <c r="B584" s="1488"/>
      <c r="C584" s="1489"/>
      <c r="D584" s="1490"/>
      <c r="E584" s="1487"/>
      <c r="F584" s="1488"/>
      <c r="G584" s="1489"/>
      <c r="H584" s="1490"/>
      <c r="I584" s="1487"/>
      <c r="J584" s="1488"/>
      <c r="K584" s="1489"/>
      <c r="L584" s="1490"/>
      <c r="M584" s="1487"/>
      <c r="N584" s="1488"/>
      <c r="O584" s="1489"/>
      <c r="P584" s="1490"/>
      <c r="X584" s="1445" t="e">
        <f ca="1"/>
        <v>#NAME?</v>
      </c>
      <c r="Y584" s="1446" t="e">
        <f ca="1"/>
        <v>#NAME?</v>
      </c>
      <c r="Z584" s="1408"/>
    </row>
    <row r="585" spans="1:26">
      <c r="A585" s="1487"/>
      <c r="B585" s="1488"/>
      <c r="C585" s="1489"/>
      <c r="D585" s="1490"/>
      <c r="E585" s="1487"/>
      <c r="F585" s="1488"/>
      <c r="G585" s="1489"/>
      <c r="H585" s="1490"/>
      <c r="I585" s="1487"/>
      <c r="J585" s="1488"/>
      <c r="K585" s="1489"/>
      <c r="L585" s="1490"/>
      <c r="M585" s="1487"/>
      <c r="N585" s="1488"/>
      <c r="O585" s="1489"/>
      <c r="P585" s="1490"/>
      <c r="X585" s="1445" t="e">
        <f ca="1"/>
        <v>#NAME?</v>
      </c>
      <c r="Y585" s="1446" t="e">
        <f ca="1"/>
        <v>#NAME?</v>
      </c>
      <c r="Z585" s="1408"/>
    </row>
    <row r="586" spans="1:26">
      <c r="A586" s="1487"/>
      <c r="B586" s="1488"/>
      <c r="C586" s="1489"/>
      <c r="D586" s="1490"/>
      <c r="E586" s="1487"/>
      <c r="F586" s="1488"/>
      <c r="G586" s="1489"/>
      <c r="H586" s="1490"/>
      <c r="I586" s="1487"/>
      <c r="J586" s="1488"/>
      <c r="K586" s="1489"/>
      <c r="L586" s="1490"/>
      <c r="M586" s="1487"/>
      <c r="N586" s="1488"/>
      <c r="O586" s="1489"/>
      <c r="P586" s="1490"/>
      <c r="X586" s="1445" t="e">
        <f ca="1"/>
        <v>#NAME?</v>
      </c>
      <c r="Y586" s="1446" t="e">
        <f ca="1"/>
        <v>#NAME?</v>
      </c>
      <c r="Z586" s="1408"/>
    </row>
    <row r="587" spans="1:26">
      <c r="A587" s="1487"/>
      <c r="B587" s="1488"/>
      <c r="C587" s="1489"/>
      <c r="D587" s="1490"/>
      <c r="E587" s="1487"/>
      <c r="F587" s="1488"/>
      <c r="G587" s="1489"/>
      <c r="H587" s="1490"/>
      <c r="I587" s="1487"/>
      <c r="J587" s="1488"/>
      <c r="K587" s="1489"/>
      <c r="L587" s="1490"/>
      <c r="M587" s="1487"/>
      <c r="N587" s="1488"/>
      <c r="O587" s="1489"/>
      <c r="P587" s="1490"/>
      <c r="X587" s="1445" t="e">
        <f ca="1"/>
        <v>#NAME?</v>
      </c>
      <c r="Y587" s="1446" t="e">
        <f ca="1"/>
        <v>#NAME?</v>
      </c>
      <c r="Z587" s="1408"/>
    </row>
    <row r="588" spans="1:26">
      <c r="A588" s="1487"/>
      <c r="B588" s="1488"/>
      <c r="C588" s="1489"/>
      <c r="D588" s="1490"/>
      <c r="E588" s="1487"/>
      <c r="F588" s="1488"/>
      <c r="G588" s="1489"/>
      <c r="H588" s="1490"/>
      <c r="I588" s="1487"/>
      <c r="J588" s="1488"/>
      <c r="K588" s="1489"/>
      <c r="L588" s="1490"/>
      <c r="M588" s="1487"/>
      <c r="N588" s="1488"/>
      <c r="O588" s="1489"/>
      <c r="P588" s="1490"/>
      <c r="X588" s="1445" t="e">
        <f ca="1"/>
        <v>#NAME?</v>
      </c>
      <c r="Y588" s="1446" t="e">
        <f ca="1"/>
        <v>#NAME?</v>
      </c>
      <c r="Z588" s="1408"/>
    </row>
    <row r="589" spans="1:26">
      <c r="A589" s="1487"/>
      <c r="B589" s="1488"/>
      <c r="C589" s="1489"/>
      <c r="D589" s="1490"/>
      <c r="E589" s="1487"/>
      <c r="F589" s="1488"/>
      <c r="G589" s="1489"/>
      <c r="H589" s="1490"/>
      <c r="I589" s="1487"/>
      <c r="J589" s="1488"/>
      <c r="K589" s="1489"/>
      <c r="L589" s="1490"/>
      <c r="M589" s="1487"/>
      <c r="N589" s="1488"/>
      <c r="O589" s="1489"/>
      <c r="P589" s="1490"/>
      <c r="X589" s="1445" t="e">
        <f ca="1"/>
        <v>#NAME?</v>
      </c>
      <c r="Y589" s="1446" t="e">
        <f ca="1"/>
        <v>#NAME?</v>
      </c>
      <c r="Z589" s="1408"/>
    </row>
    <row r="590" spans="1:26">
      <c r="A590" s="1487"/>
      <c r="B590" s="1488"/>
      <c r="C590" s="1489"/>
      <c r="D590" s="1490"/>
      <c r="E590" s="1487"/>
      <c r="F590" s="1488"/>
      <c r="G590" s="1489"/>
      <c r="H590" s="1490"/>
      <c r="I590" s="1487"/>
      <c r="J590" s="1488"/>
      <c r="K590" s="1489"/>
      <c r="L590" s="1490"/>
      <c r="M590" s="1487"/>
      <c r="N590" s="1488"/>
      <c r="O590" s="1489"/>
      <c r="P590" s="1490"/>
      <c r="X590" s="1445" t="e">
        <f ca="1"/>
        <v>#NAME?</v>
      </c>
      <c r="Y590" s="1446" t="e">
        <f ca="1"/>
        <v>#NAME?</v>
      </c>
      <c r="Z590" s="1408"/>
    </row>
    <row r="591" spans="1:26">
      <c r="A591" s="1487"/>
      <c r="B591" s="1488"/>
      <c r="C591" s="1489"/>
      <c r="D591" s="1490"/>
      <c r="E591" s="1487"/>
      <c r="F591" s="1488"/>
      <c r="G591" s="1489"/>
      <c r="H591" s="1490"/>
      <c r="I591" s="1487"/>
      <c r="J591" s="1488"/>
      <c r="K591" s="1489"/>
      <c r="L591" s="1490"/>
      <c r="M591" s="1487"/>
      <c r="N591" s="1488"/>
      <c r="O591" s="1489"/>
      <c r="P591" s="1490"/>
      <c r="X591" s="1445" t="e">
        <f ca="1"/>
        <v>#NAME?</v>
      </c>
      <c r="Y591" s="1446" t="e">
        <f ca="1"/>
        <v>#NAME?</v>
      </c>
      <c r="Z591" s="1408"/>
    </row>
    <row r="592" spans="1:26">
      <c r="A592" s="1487"/>
      <c r="B592" s="1488"/>
      <c r="C592" s="1489"/>
      <c r="D592" s="1490"/>
      <c r="E592" s="1487"/>
      <c r="F592" s="1488"/>
      <c r="G592" s="1489"/>
      <c r="H592" s="1490"/>
      <c r="I592" s="1487"/>
      <c r="J592" s="1488"/>
      <c r="K592" s="1489"/>
      <c r="L592" s="1490"/>
      <c r="M592" s="1487"/>
      <c r="N592" s="1488"/>
      <c r="O592" s="1489"/>
      <c r="P592" s="1490"/>
      <c r="X592" s="1445" t="e">
        <f ca="1"/>
        <v>#NAME?</v>
      </c>
      <c r="Y592" s="1446" t="e">
        <f ca="1"/>
        <v>#NAME?</v>
      </c>
      <c r="Z592" s="1408"/>
    </row>
    <row r="593" spans="1:26">
      <c r="A593" s="1487"/>
      <c r="B593" s="1488"/>
      <c r="C593" s="1489"/>
      <c r="D593" s="1490"/>
      <c r="E593" s="1487"/>
      <c r="F593" s="1488"/>
      <c r="G593" s="1489"/>
      <c r="H593" s="1490"/>
      <c r="I593" s="1487"/>
      <c r="J593" s="1488"/>
      <c r="K593" s="1489"/>
      <c r="L593" s="1490"/>
      <c r="M593" s="1487"/>
      <c r="N593" s="1488"/>
      <c r="O593" s="1489"/>
      <c r="P593" s="1490"/>
      <c r="X593" s="1445" t="e">
        <f ca="1"/>
        <v>#NAME?</v>
      </c>
      <c r="Y593" s="1446" t="e">
        <f ca="1"/>
        <v>#NAME?</v>
      </c>
      <c r="Z593" s="1408"/>
    </row>
    <row r="594" spans="1:26">
      <c r="A594" s="1487"/>
      <c r="B594" s="1488"/>
      <c r="C594" s="1489"/>
      <c r="D594" s="1490"/>
      <c r="E594" s="1487"/>
      <c r="F594" s="1488"/>
      <c r="G594" s="1489"/>
      <c r="H594" s="1490"/>
      <c r="I594" s="1487"/>
      <c r="J594" s="1488"/>
      <c r="K594" s="1489"/>
      <c r="L594" s="1490"/>
      <c r="M594" s="1487"/>
      <c r="N594" s="1488"/>
      <c r="O594" s="1489"/>
      <c r="P594" s="1490"/>
      <c r="X594" s="1445" t="e">
        <f ca="1"/>
        <v>#NAME?</v>
      </c>
      <c r="Y594" s="1446" t="e">
        <f ca="1"/>
        <v>#NAME?</v>
      </c>
      <c r="Z594" s="1408"/>
    </row>
    <row r="595" spans="1:26">
      <c r="A595" s="1487"/>
      <c r="B595" s="1488"/>
      <c r="C595" s="1489"/>
      <c r="D595" s="1490"/>
      <c r="E595" s="1487"/>
      <c r="F595" s="1488"/>
      <c r="G595" s="1489"/>
      <c r="H595" s="1490"/>
      <c r="I595" s="1487"/>
      <c r="J595" s="1488"/>
      <c r="K595" s="1489"/>
      <c r="L595" s="1490"/>
      <c r="M595" s="1487"/>
      <c r="N595" s="1488"/>
      <c r="O595" s="1489"/>
      <c r="P595" s="1490"/>
      <c r="X595" s="1445" t="e">
        <f ca="1"/>
        <v>#NAME?</v>
      </c>
      <c r="Y595" s="1446" t="e">
        <f ca="1"/>
        <v>#NAME?</v>
      </c>
      <c r="Z595" s="1408"/>
    </row>
    <row r="596" spans="1:26">
      <c r="A596" s="1487"/>
      <c r="B596" s="1488"/>
      <c r="C596" s="1489"/>
      <c r="D596" s="1490"/>
      <c r="E596" s="1487"/>
      <c r="F596" s="1488"/>
      <c r="G596" s="1489"/>
      <c r="H596" s="1490"/>
      <c r="I596" s="1487"/>
      <c r="J596" s="1488"/>
      <c r="K596" s="1489"/>
      <c r="L596" s="1490"/>
      <c r="M596" s="1487"/>
      <c r="N596" s="1488"/>
      <c r="O596" s="1489"/>
      <c r="P596" s="1490"/>
      <c r="X596" s="1445" t="e">
        <f ca="1"/>
        <v>#NAME?</v>
      </c>
      <c r="Y596" s="1446" t="e">
        <f ca="1"/>
        <v>#NAME?</v>
      </c>
      <c r="Z596" s="1408"/>
    </row>
    <row r="597" spans="1:26">
      <c r="A597" s="1487"/>
      <c r="B597" s="1488"/>
      <c r="C597" s="1489"/>
      <c r="D597" s="1490"/>
      <c r="E597" s="1487"/>
      <c r="F597" s="1488"/>
      <c r="G597" s="1489"/>
      <c r="H597" s="1490"/>
      <c r="I597" s="1487"/>
      <c r="J597" s="1488"/>
      <c r="K597" s="1489"/>
      <c r="L597" s="1490"/>
      <c r="M597" s="1487"/>
      <c r="N597" s="1488"/>
      <c r="O597" s="1489"/>
      <c r="P597" s="1490"/>
      <c r="X597" s="1445" t="e">
        <f ca="1"/>
        <v>#NAME?</v>
      </c>
      <c r="Y597" s="1446" t="e">
        <f ca="1"/>
        <v>#NAME?</v>
      </c>
      <c r="Z597" s="1408"/>
    </row>
    <row r="598" spans="1:26">
      <c r="A598" s="1487"/>
      <c r="B598" s="1488"/>
      <c r="C598" s="1489"/>
      <c r="D598" s="1490"/>
      <c r="E598" s="1487"/>
      <c r="F598" s="1488"/>
      <c r="G598" s="1489"/>
      <c r="H598" s="1490"/>
      <c r="I598" s="1487"/>
      <c r="J598" s="1488"/>
      <c r="K598" s="1489"/>
      <c r="L598" s="1490"/>
      <c r="M598" s="1487"/>
      <c r="N598" s="1488"/>
      <c r="O598" s="1489"/>
      <c r="P598" s="1490"/>
      <c r="X598" s="1445" t="e">
        <f ca="1"/>
        <v>#NAME?</v>
      </c>
      <c r="Y598" s="1446" t="e">
        <f ca="1"/>
        <v>#NAME?</v>
      </c>
      <c r="Z598" s="1408"/>
    </row>
    <row r="599" spans="1:26">
      <c r="A599" s="1487"/>
      <c r="B599" s="1488"/>
      <c r="C599" s="1489"/>
      <c r="D599" s="1490"/>
      <c r="E599" s="1487"/>
      <c r="F599" s="1488"/>
      <c r="G599" s="1489"/>
      <c r="H599" s="1490"/>
      <c r="I599" s="1487"/>
      <c r="J599" s="1488"/>
      <c r="K599" s="1489"/>
      <c r="L599" s="1490"/>
      <c r="M599" s="1487"/>
      <c r="N599" s="1488"/>
      <c r="O599" s="1489"/>
      <c r="P599" s="1490"/>
      <c r="X599" s="1445" t="e">
        <f ca="1"/>
        <v>#NAME?</v>
      </c>
      <c r="Y599" s="1446" t="e">
        <f ca="1"/>
        <v>#NAME?</v>
      </c>
      <c r="Z599" s="1408"/>
    </row>
    <row r="600" spans="1:26">
      <c r="A600" s="1487"/>
      <c r="B600" s="1488"/>
      <c r="C600" s="1489"/>
      <c r="D600" s="1490"/>
      <c r="E600" s="1487"/>
      <c r="F600" s="1488"/>
      <c r="G600" s="1489"/>
      <c r="H600" s="1490"/>
      <c r="I600" s="1487"/>
      <c r="J600" s="1488"/>
      <c r="K600" s="1489"/>
      <c r="L600" s="1490"/>
      <c r="M600" s="1487"/>
      <c r="N600" s="1488"/>
      <c r="O600" s="1489"/>
      <c r="P600" s="1490"/>
      <c r="X600" s="1445" t="e">
        <f ca="1"/>
        <v>#NAME?</v>
      </c>
      <c r="Y600" s="1446" t="e">
        <f ca="1"/>
        <v>#NAME?</v>
      </c>
      <c r="Z600" s="1408"/>
    </row>
    <row r="601" spans="1:26">
      <c r="A601" s="1487"/>
      <c r="B601" s="1488"/>
      <c r="C601" s="1489"/>
      <c r="D601" s="1490"/>
      <c r="E601" s="1487"/>
      <c r="F601" s="1488"/>
      <c r="G601" s="1489"/>
      <c r="H601" s="1490"/>
      <c r="I601" s="1487"/>
      <c r="J601" s="1488"/>
      <c r="K601" s="1489"/>
      <c r="L601" s="1490"/>
      <c r="M601" s="1487"/>
      <c r="N601" s="1488"/>
      <c r="O601" s="1489"/>
      <c r="P601" s="1490"/>
      <c r="X601" s="1445" t="e">
        <f ca="1"/>
        <v>#NAME?</v>
      </c>
      <c r="Y601" s="1446" t="e">
        <f ca="1"/>
        <v>#NAME?</v>
      </c>
      <c r="Z601" s="1408"/>
    </row>
    <row r="602" spans="1:26">
      <c r="A602" s="1487"/>
      <c r="B602" s="1488"/>
      <c r="C602" s="1489"/>
      <c r="D602" s="1490"/>
      <c r="E602" s="1487"/>
      <c r="F602" s="1488"/>
      <c r="G602" s="1489"/>
      <c r="H602" s="1490"/>
      <c r="I602" s="1487"/>
      <c r="J602" s="1488"/>
      <c r="K602" s="1489"/>
      <c r="L602" s="1490"/>
      <c r="M602" s="1487"/>
      <c r="N602" s="1488"/>
      <c r="O602" s="1489"/>
      <c r="P602" s="1490"/>
      <c r="X602" s="1445" t="e">
        <f ca="1"/>
        <v>#NAME?</v>
      </c>
      <c r="Y602" s="1446" t="e">
        <f ca="1"/>
        <v>#NAME?</v>
      </c>
      <c r="Z602" s="1408"/>
    </row>
    <row r="603" spans="1:26">
      <c r="A603" s="1487"/>
      <c r="B603" s="1488"/>
      <c r="C603" s="1489"/>
      <c r="D603" s="1490"/>
      <c r="E603" s="1487"/>
      <c r="F603" s="1488"/>
      <c r="G603" s="1489"/>
      <c r="H603" s="1490"/>
      <c r="I603" s="1487"/>
      <c r="J603" s="1488"/>
      <c r="K603" s="1489"/>
      <c r="L603" s="1490"/>
      <c r="M603" s="1487"/>
      <c r="N603" s="1488"/>
      <c r="O603" s="1489"/>
      <c r="P603" s="1490"/>
      <c r="X603" s="1445" t="e">
        <f ca="1"/>
        <v>#NAME?</v>
      </c>
      <c r="Y603" s="1446" t="e">
        <f ca="1"/>
        <v>#NAME?</v>
      </c>
      <c r="Z603" s="1408"/>
    </row>
    <row r="604" spans="1:26">
      <c r="A604" s="1487"/>
      <c r="B604" s="1488"/>
      <c r="C604" s="1489"/>
      <c r="D604" s="1490"/>
      <c r="E604" s="1487"/>
      <c r="F604" s="1488"/>
      <c r="G604" s="1489"/>
      <c r="H604" s="1490"/>
      <c r="I604" s="1487"/>
      <c r="J604" s="1488"/>
      <c r="K604" s="1489"/>
      <c r="L604" s="1490"/>
      <c r="M604" s="1487"/>
      <c r="N604" s="1488"/>
      <c r="O604" s="1489"/>
      <c r="P604" s="1490"/>
      <c r="X604" s="1445" t="e">
        <f ca="1"/>
        <v>#NAME?</v>
      </c>
      <c r="Y604" s="1446" t="e">
        <f ca="1"/>
        <v>#NAME?</v>
      </c>
      <c r="Z604" s="1408"/>
    </row>
    <row r="605" spans="1:26">
      <c r="A605" s="1487"/>
      <c r="B605" s="1488"/>
      <c r="C605" s="1489"/>
      <c r="D605" s="1490"/>
      <c r="E605" s="1487"/>
      <c r="F605" s="1488"/>
      <c r="G605" s="1489"/>
      <c r="H605" s="1490"/>
      <c r="I605" s="1487"/>
      <c r="J605" s="1488"/>
      <c r="K605" s="1489"/>
      <c r="L605" s="1490"/>
      <c r="M605" s="1487"/>
      <c r="N605" s="1488"/>
      <c r="O605" s="1489"/>
      <c r="P605" s="1490"/>
      <c r="X605" s="1445" t="e">
        <f ca="1"/>
        <v>#NAME?</v>
      </c>
      <c r="Y605" s="1446" t="e">
        <f ca="1"/>
        <v>#NAME?</v>
      </c>
      <c r="Z605" s="1408"/>
    </row>
    <row r="606" spans="1:26">
      <c r="A606" s="1487"/>
      <c r="B606" s="1488"/>
      <c r="C606" s="1489"/>
      <c r="D606" s="1490"/>
      <c r="E606" s="1487"/>
      <c r="F606" s="1488"/>
      <c r="G606" s="1489"/>
      <c r="H606" s="1490"/>
      <c r="I606" s="1487"/>
      <c r="J606" s="1488"/>
      <c r="K606" s="1489"/>
      <c r="L606" s="1490"/>
      <c r="M606" s="1487"/>
      <c r="N606" s="1488"/>
      <c r="O606" s="1489"/>
      <c r="P606" s="1490"/>
      <c r="X606" s="1445" t="e">
        <f ca="1"/>
        <v>#NAME?</v>
      </c>
      <c r="Y606" s="1446" t="e">
        <f ca="1"/>
        <v>#NAME?</v>
      </c>
      <c r="Z606" s="1408"/>
    </row>
    <row r="607" spans="1:26">
      <c r="A607" s="1487"/>
      <c r="B607" s="1488"/>
      <c r="C607" s="1489"/>
      <c r="D607" s="1490"/>
      <c r="E607" s="1487"/>
      <c r="F607" s="1488"/>
      <c r="G607" s="1489"/>
      <c r="H607" s="1490"/>
      <c r="I607" s="1487"/>
      <c r="J607" s="1488"/>
      <c r="K607" s="1489"/>
      <c r="L607" s="1490"/>
      <c r="M607" s="1487"/>
      <c r="N607" s="1488"/>
      <c r="O607" s="1489"/>
      <c r="P607" s="1490"/>
      <c r="X607" s="1445" t="e">
        <f ca="1"/>
        <v>#NAME?</v>
      </c>
      <c r="Y607" s="1446" t="e">
        <f ca="1"/>
        <v>#NAME?</v>
      </c>
      <c r="Z607" s="1408"/>
    </row>
    <row r="608" spans="1:26">
      <c r="A608" s="1487"/>
      <c r="B608" s="1488"/>
      <c r="C608" s="1489"/>
      <c r="D608" s="1490"/>
      <c r="E608" s="1487"/>
      <c r="F608" s="1488"/>
      <c r="G608" s="1489"/>
      <c r="H608" s="1490"/>
      <c r="I608" s="1487"/>
      <c r="J608" s="1488"/>
      <c r="K608" s="1489"/>
      <c r="L608" s="1490"/>
      <c r="M608" s="1487"/>
      <c r="N608" s="1488"/>
      <c r="O608" s="1489"/>
      <c r="P608" s="1490"/>
      <c r="X608" s="1445" t="e">
        <f ca="1"/>
        <v>#NAME?</v>
      </c>
      <c r="Y608" s="1446" t="e">
        <f ca="1"/>
        <v>#NAME?</v>
      </c>
      <c r="Z608" s="1408"/>
    </row>
    <row r="609" spans="1:26">
      <c r="A609" s="1487"/>
      <c r="B609" s="1488"/>
      <c r="C609" s="1489"/>
      <c r="D609" s="1490"/>
      <c r="E609" s="1487"/>
      <c r="F609" s="1488"/>
      <c r="G609" s="1489"/>
      <c r="H609" s="1490"/>
      <c r="I609" s="1487"/>
      <c r="J609" s="1488"/>
      <c r="K609" s="1489"/>
      <c r="L609" s="1490"/>
      <c r="M609" s="1487"/>
      <c r="N609" s="1488"/>
      <c r="O609" s="1489"/>
      <c r="P609" s="1490"/>
      <c r="X609" s="1445" t="e">
        <f ca="1"/>
        <v>#NAME?</v>
      </c>
      <c r="Y609" s="1446" t="e">
        <f ca="1"/>
        <v>#NAME?</v>
      </c>
      <c r="Z609" s="1408"/>
    </row>
    <row r="610" spans="1:26">
      <c r="A610" s="1487"/>
      <c r="B610" s="1488"/>
      <c r="C610" s="1489"/>
      <c r="D610" s="1490"/>
      <c r="E610" s="1487"/>
      <c r="F610" s="1488"/>
      <c r="G610" s="1489"/>
      <c r="H610" s="1490"/>
      <c r="I610" s="1487"/>
      <c r="J610" s="1488"/>
      <c r="K610" s="1489"/>
      <c r="L610" s="1490"/>
      <c r="M610" s="1487"/>
      <c r="N610" s="1488"/>
      <c r="O610" s="1489"/>
      <c r="P610" s="1490"/>
      <c r="X610" s="1445" t="e">
        <f ca="1"/>
        <v>#NAME?</v>
      </c>
      <c r="Y610" s="1446" t="e">
        <f ca="1"/>
        <v>#NAME?</v>
      </c>
      <c r="Z610" s="1408"/>
    </row>
    <row r="611" spans="1:26">
      <c r="A611" s="1487"/>
      <c r="B611" s="1488"/>
      <c r="C611" s="1489"/>
      <c r="D611" s="1490"/>
      <c r="E611" s="1487"/>
      <c r="F611" s="1488"/>
      <c r="G611" s="1489"/>
      <c r="H611" s="1490"/>
      <c r="I611" s="1487"/>
      <c r="J611" s="1488"/>
      <c r="K611" s="1489"/>
      <c r="L611" s="1490"/>
      <c r="M611" s="1487"/>
      <c r="N611" s="1488"/>
      <c r="O611" s="1489"/>
      <c r="P611" s="1490"/>
      <c r="X611" s="1445" t="e">
        <f ca="1"/>
        <v>#NAME?</v>
      </c>
      <c r="Y611" s="1446" t="e">
        <f ca="1"/>
        <v>#NAME?</v>
      </c>
      <c r="Z611" s="1408"/>
    </row>
    <row r="612" spans="1:26">
      <c r="A612" s="1487"/>
      <c r="B612" s="1488"/>
      <c r="C612" s="1489"/>
      <c r="D612" s="1490"/>
      <c r="E612" s="1487"/>
      <c r="F612" s="1488"/>
      <c r="G612" s="1489"/>
      <c r="H612" s="1490"/>
      <c r="I612" s="1487"/>
      <c r="J612" s="1488"/>
      <c r="K612" s="1489"/>
      <c r="L612" s="1490"/>
      <c r="M612" s="1487"/>
      <c r="N612" s="1488"/>
      <c r="O612" s="1489"/>
      <c r="P612" s="1490"/>
      <c r="X612" s="1445" t="e">
        <f ca="1"/>
        <v>#NAME?</v>
      </c>
      <c r="Y612" s="1446" t="e">
        <f ca="1"/>
        <v>#NAME?</v>
      </c>
      <c r="Z612" s="1408"/>
    </row>
    <row r="613" spans="1:26">
      <c r="A613" s="1487"/>
      <c r="B613" s="1488"/>
      <c r="C613" s="1489"/>
      <c r="D613" s="1490"/>
      <c r="E613" s="1487"/>
      <c r="F613" s="1488"/>
      <c r="G613" s="1489"/>
      <c r="H613" s="1490"/>
      <c r="I613" s="1487"/>
      <c r="J613" s="1488"/>
      <c r="K613" s="1489"/>
      <c r="L613" s="1490"/>
      <c r="M613" s="1487"/>
      <c r="N613" s="1488"/>
      <c r="O613" s="1489"/>
      <c r="P613" s="1490"/>
      <c r="X613" s="1445" t="e">
        <f ca="1"/>
        <v>#NAME?</v>
      </c>
      <c r="Y613" s="1446" t="e">
        <f ca="1"/>
        <v>#NAME?</v>
      </c>
      <c r="Z613" s="1408"/>
    </row>
    <row r="614" spans="1:26">
      <c r="A614" s="1487"/>
      <c r="B614" s="1488"/>
      <c r="C614" s="1489"/>
      <c r="D614" s="1490"/>
      <c r="E614" s="1487"/>
      <c r="F614" s="1488"/>
      <c r="G614" s="1489"/>
      <c r="H614" s="1490"/>
      <c r="I614" s="1487"/>
      <c r="J614" s="1488"/>
      <c r="K614" s="1489"/>
      <c r="L614" s="1490"/>
      <c r="M614" s="1487"/>
      <c r="N614" s="1488"/>
      <c r="O614" s="1489"/>
      <c r="P614" s="1490"/>
      <c r="X614" s="1445" t="e">
        <f ca="1"/>
        <v>#NAME?</v>
      </c>
      <c r="Y614" s="1446" t="e">
        <f ca="1"/>
        <v>#NAME?</v>
      </c>
      <c r="Z614" s="1408"/>
    </row>
    <row r="615" spans="1:26">
      <c r="A615" s="1487"/>
      <c r="B615" s="1488"/>
      <c r="C615" s="1489"/>
      <c r="D615" s="1490"/>
      <c r="E615" s="1487"/>
      <c r="F615" s="1488"/>
      <c r="G615" s="1489"/>
      <c r="H615" s="1490"/>
      <c r="I615" s="1487"/>
      <c r="J615" s="1488"/>
      <c r="K615" s="1489"/>
      <c r="L615" s="1490"/>
      <c r="M615" s="1487"/>
      <c r="N615" s="1488"/>
      <c r="O615" s="1489"/>
      <c r="P615" s="1490"/>
      <c r="X615" s="1445" t="e">
        <f ca="1"/>
        <v>#NAME?</v>
      </c>
      <c r="Y615" s="1446" t="e">
        <f ca="1"/>
        <v>#NAME?</v>
      </c>
      <c r="Z615" s="1408"/>
    </row>
    <row r="616" spans="1:26">
      <c r="A616" s="1487"/>
      <c r="B616" s="1488"/>
      <c r="C616" s="1489"/>
      <c r="D616" s="1490"/>
      <c r="E616" s="1487"/>
      <c r="F616" s="1488"/>
      <c r="G616" s="1489"/>
      <c r="H616" s="1490"/>
      <c r="I616" s="1487"/>
      <c r="J616" s="1488"/>
      <c r="K616" s="1489"/>
      <c r="L616" s="1490"/>
      <c r="M616" s="1487"/>
      <c r="N616" s="1488"/>
      <c r="O616" s="1489"/>
      <c r="P616" s="1490"/>
      <c r="X616" s="1445" t="e">
        <f ca="1"/>
        <v>#NAME?</v>
      </c>
      <c r="Y616" s="1446" t="e">
        <f ca="1"/>
        <v>#NAME?</v>
      </c>
      <c r="Z616" s="1408"/>
    </row>
    <row r="617" spans="1:26">
      <c r="A617" s="1487"/>
      <c r="B617" s="1488"/>
      <c r="C617" s="1489"/>
      <c r="D617" s="1490"/>
      <c r="E617" s="1487"/>
      <c r="F617" s="1488"/>
      <c r="G617" s="1489"/>
      <c r="H617" s="1490"/>
      <c r="I617" s="1487"/>
      <c r="J617" s="1488"/>
      <c r="K617" s="1489"/>
      <c r="L617" s="1490"/>
      <c r="M617" s="1487"/>
      <c r="N617" s="1488"/>
      <c r="O617" s="1489"/>
      <c r="P617" s="1490"/>
      <c r="X617" s="1445" t="e">
        <f ca="1"/>
        <v>#NAME?</v>
      </c>
      <c r="Y617" s="1446" t="e">
        <f ca="1"/>
        <v>#NAME?</v>
      </c>
      <c r="Z617" s="1408"/>
    </row>
    <row r="618" spans="1:26">
      <c r="A618" s="1487"/>
      <c r="B618" s="1488"/>
      <c r="C618" s="1489"/>
      <c r="D618" s="1490"/>
      <c r="E618" s="1487"/>
      <c r="F618" s="1488"/>
      <c r="G618" s="1489"/>
      <c r="H618" s="1490"/>
      <c r="I618" s="1487"/>
      <c r="J618" s="1488"/>
      <c r="K618" s="1489"/>
      <c r="L618" s="1490"/>
      <c r="M618" s="1487"/>
      <c r="N618" s="1488"/>
      <c r="O618" s="1489"/>
      <c r="P618" s="1490"/>
      <c r="X618" s="1445" t="e">
        <f ca="1"/>
        <v>#NAME?</v>
      </c>
      <c r="Y618" s="1446" t="e">
        <f ca="1"/>
        <v>#NAME?</v>
      </c>
      <c r="Z618" s="1408"/>
    </row>
    <row r="619" spans="1:26">
      <c r="A619" s="1487"/>
      <c r="B619" s="1488"/>
      <c r="C619" s="1489"/>
      <c r="D619" s="1490"/>
      <c r="E619" s="1487"/>
      <c r="F619" s="1488"/>
      <c r="G619" s="1489"/>
      <c r="H619" s="1490"/>
      <c r="I619" s="1487"/>
      <c r="J619" s="1488"/>
      <c r="K619" s="1489"/>
      <c r="L619" s="1490"/>
      <c r="M619" s="1487"/>
      <c r="N619" s="1488"/>
      <c r="O619" s="1489"/>
      <c r="P619" s="1490"/>
      <c r="X619" s="1445" t="e">
        <f ca="1"/>
        <v>#NAME?</v>
      </c>
      <c r="Y619" s="1446" t="e">
        <f ca="1"/>
        <v>#NAME?</v>
      </c>
      <c r="Z619" s="1408"/>
    </row>
    <row r="620" spans="1:26">
      <c r="A620" s="1487"/>
      <c r="B620" s="1488"/>
      <c r="C620" s="1489"/>
      <c r="D620" s="1490"/>
      <c r="E620" s="1487"/>
      <c r="F620" s="1488"/>
      <c r="G620" s="1489"/>
      <c r="H620" s="1490"/>
      <c r="I620" s="1487"/>
      <c r="J620" s="1488"/>
      <c r="K620" s="1489"/>
      <c r="L620" s="1490"/>
      <c r="M620" s="1487"/>
      <c r="N620" s="1488"/>
      <c r="O620" s="1489"/>
      <c r="P620" s="1490"/>
      <c r="X620" s="1445" t="e">
        <f ca="1"/>
        <v>#NAME?</v>
      </c>
      <c r="Y620" s="1446" t="e">
        <f ca="1"/>
        <v>#NAME?</v>
      </c>
      <c r="Z620" s="1408"/>
    </row>
    <row r="621" spans="1:26">
      <c r="A621" s="1487"/>
      <c r="B621" s="1488"/>
      <c r="C621" s="1489"/>
      <c r="D621" s="1490"/>
      <c r="E621" s="1487"/>
      <c r="F621" s="1488"/>
      <c r="G621" s="1489"/>
      <c r="H621" s="1490"/>
      <c r="I621" s="1487"/>
      <c r="J621" s="1488"/>
      <c r="K621" s="1489"/>
      <c r="L621" s="1490"/>
      <c r="M621" s="1487"/>
      <c r="N621" s="1488"/>
      <c r="O621" s="1489"/>
      <c r="P621" s="1490"/>
      <c r="X621" s="1445" t="e">
        <f ca="1"/>
        <v>#NAME?</v>
      </c>
      <c r="Y621" s="1446" t="e">
        <f ca="1"/>
        <v>#NAME?</v>
      </c>
      <c r="Z621" s="1408"/>
    </row>
    <row r="622" spans="1:26">
      <c r="A622" s="1487"/>
      <c r="B622" s="1488"/>
      <c r="C622" s="1489"/>
      <c r="D622" s="1490"/>
      <c r="E622" s="1487"/>
      <c r="F622" s="1488"/>
      <c r="G622" s="1489"/>
      <c r="H622" s="1490"/>
      <c r="I622" s="1487"/>
      <c r="J622" s="1488"/>
      <c r="K622" s="1489"/>
      <c r="L622" s="1490"/>
      <c r="M622" s="1487"/>
      <c r="N622" s="1488"/>
      <c r="O622" s="1489"/>
      <c r="P622" s="1490"/>
      <c r="X622" s="1445" t="e">
        <f ca="1"/>
        <v>#NAME?</v>
      </c>
      <c r="Y622" s="1446" t="e">
        <f ca="1"/>
        <v>#NAME?</v>
      </c>
      <c r="Z622" s="1408"/>
    </row>
    <row r="623" spans="1:26">
      <c r="A623" s="1487"/>
      <c r="B623" s="1488"/>
      <c r="C623" s="1489"/>
      <c r="D623" s="1490"/>
      <c r="E623" s="1487"/>
      <c r="F623" s="1488"/>
      <c r="G623" s="1489"/>
      <c r="H623" s="1490"/>
      <c r="I623" s="1487"/>
      <c r="J623" s="1488"/>
      <c r="K623" s="1489"/>
      <c r="L623" s="1490"/>
      <c r="M623" s="1487"/>
      <c r="N623" s="1488"/>
      <c r="O623" s="1489"/>
      <c r="P623" s="1490"/>
      <c r="X623" s="1445" t="e">
        <f ca="1"/>
        <v>#NAME?</v>
      </c>
      <c r="Y623" s="1446" t="e">
        <f ca="1"/>
        <v>#NAME?</v>
      </c>
      <c r="Z623" s="1408"/>
    </row>
    <row r="624" spans="1:26">
      <c r="A624" s="1487"/>
      <c r="B624" s="1488"/>
      <c r="C624" s="1489"/>
      <c r="D624" s="1490"/>
      <c r="E624" s="1487"/>
      <c r="F624" s="1488"/>
      <c r="G624" s="1489"/>
      <c r="H624" s="1490"/>
      <c r="I624" s="1487"/>
      <c r="J624" s="1488"/>
      <c r="K624" s="1489"/>
      <c r="L624" s="1490"/>
      <c r="M624" s="1487"/>
      <c r="N624" s="1488"/>
      <c r="O624" s="1489"/>
      <c r="P624" s="1490"/>
      <c r="X624" s="1445" t="e">
        <f ca="1"/>
        <v>#NAME?</v>
      </c>
      <c r="Y624" s="1446" t="e">
        <f ca="1"/>
        <v>#NAME?</v>
      </c>
      <c r="Z624" s="1408"/>
    </row>
    <row r="625" spans="1:26">
      <c r="A625" s="1487"/>
      <c r="B625" s="1488"/>
      <c r="C625" s="1489"/>
      <c r="D625" s="1490"/>
      <c r="E625" s="1487"/>
      <c r="F625" s="1488"/>
      <c r="G625" s="1489"/>
      <c r="H625" s="1490"/>
      <c r="I625" s="1487"/>
      <c r="J625" s="1488"/>
      <c r="K625" s="1489"/>
      <c r="L625" s="1490"/>
      <c r="M625" s="1487"/>
      <c r="N625" s="1488"/>
      <c r="O625" s="1489"/>
      <c r="P625" s="1490"/>
      <c r="X625" s="1445" t="e">
        <f ca="1"/>
        <v>#NAME?</v>
      </c>
      <c r="Y625" s="1446" t="e">
        <f ca="1"/>
        <v>#NAME?</v>
      </c>
      <c r="Z625" s="1408"/>
    </row>
    <row r="626" spans="1:26">
      <c r="A626" s="1487"/>
      <c r="B626" s="1488"/>
      <c r="C626" s="1489"/>
      <c r="D626" s="1490"/>
      <c r="E626" s="1487"/>
      <c r="F626" s="1488"/>
      <c r="G626" s="1489"/>
      <c r="H626" s="1490"/>
      <c r="I626" s="1487"/>
      <c r="J626" s="1488"/>
      <c r="K626" s="1489"/>
      <c r="L626" s="1490"/>
      <c r="M626" s="1487"/>
      <c r="N626" s="1488"/>
      <c r="O626" s="1489"/>
      <c r="P626" s="1490"/>
      <c r="X626" s="1445" t="e">
        <f ca="1"/>
        <v>#NAME?</v>
      </c>
      <c r="Y626" s="1446" t="e">
        <f ca="1"/>
        <v>#NAME?</v>
      </c>
      <c r="Z626" s="1408"/>
    </row>
    <row r="627" spans="1:26">
      <c r="A627" s="1487"/>
      <c r="B627" s="1488"/>
      <c r="C627" s="1489"/>
      <c r="D627" s="1490"/>
      <c r="E627" s="1487"/>
      <c r="F627" s="1488"/>
      <c r="G627" s="1489"/>
      <c r="H627" s="1490"/>
      <c r="I627" s="1487"/>
      <c r="J627" s="1488"/>
      <c r="K627" s="1489"/>
      <c r="L627" s="1490"/>
      <c r="M627" s="1487"/>
      <c r="N627" s="1488"/>
      <c r="O627" s="1489"/>
      <c r="P627" s="1490"/>
      <c r="X627" s="1445" t="e">
        <f ca="1"/>
        <v>#NAME?</v>
      </c>
      <c r="Y627" s="1446" t="e">
        <f ca="1"/>
        <v>#NAME?</v>
      </c>
      <c r="Z627" s="1408"/>
    </row>
    <row r="628" spans="1:26">
      <c r="A628" s="1487"/>
      <c r="B628" s="1488"/>
      <c r="C628" s="1489"/>
      <c r="D628" s="1490"/>
      <c r="E628" s="1487"/>
      <c r="F628" s="1488"/>
      <c r="G628" s="1489"/>
      <c r="H628" s="1490"/>
      <c r="I628" s="1487"/>
      <c r="J628" s="1488"/>
      <c r="K628" s="1489"/>
      <c r="L628" s="1490"/>
      <c r="M628" s="1487"/>
      <c r="N628" s="1488"/>
      <c r="O628" s="1489"/>
      <c r="P628" s="1490"/>
      <c r="X628" s="1445" t="e">
        <f ca="1"/>
        <v>#NAME?</v>
      </c>
      <c r="Y628" s="1446" t="e">
        <f ca="1"/>
        <v>#NAME?</v>
      </c>
      <c r="Z628" s="1408"/>
    </row>
    <row r="629" spans="1:26">
      <c r="A629" s="1487"/>
      <c r="B629" s="1488"/>
      <c r="C629" s="1489"/>
      <c r="D629" s="1490"/>
      <c r="E629" s="1487"/>
      <c r="F629" s="1488"/>
      <c r="G629" s="1489"/>
      <c r="H629" s="1490"/>
      <c r="I629" s="1487"/>
      <c r="J629" s="1488"/>
      <c r="K629" s="1489"/>
      <c r="L629" s="1490"/>
      <c r="M629" s="1487"/>
      <c r="N629" s="1488"/>
      <c r="O629" s="1489"/>
      <c r="P629" s="1490"/>
      <c r="X629" s="1445" t="e">
        <f ca="1"/>
        <v>#NAME?</v>
      </c>
      <c r="Y629" s="1446" t="e">
        <f ca="1"/>
        <v>#NAME?</v>
      </c>
      <c r="Z629" s="1408"/>
    </row>
    <row r="630" spans="1:26">
      <c r="A630" s="1487"/>
      <c r="B630" s="1488"/>
      <c r="C630" s="1489"/>
      <c r="D630" s="1490"/>
      <c r="E630" s="1487"/>
      <c r="F630" s="1488"/>
      <c r="G630" s="1489"/>
      <c r="H630" s="1490"/>
      <c r="I630" s="1487"/>
      <c r="J630" s="1488"/>
      <c r="K630" s="1489"/>
      <c r="L630" s="1490"/>
      <c r="M630" s="1487"/>
      <c r="N630" s="1488"/>
      <c r="O630" s="1489"/>
      <c r="P630" s="1490"/>
      <c r="X630" s="1445" t="e">
        <f ca="1"/>
        <v>#NAME?</v>
      </c>
      <c r="Y630" s="1446" t="e">
        <f ca="1"/>
        <v>#NAME?</v>
      </c>
      <c r="Z630" s="1408"/>
    </row>
    <row r="631" spans="1:26">
      <c r="A631" s="1487"/>
      <c r="B631" s="1488"/>
      <c r="C631" s="1489"/>
      <c r="D631" s="1490"/>
      <c r="E631" s="1487"/>
      <c r="F631" s="1488"/>
      <c r="G631" s="1489"/>
      <c r="H631" s="1490"/>
      <c r="I631" s="1487"/>
      <c r="J631" s="1488"/>
      <c r="K631" s="1489"/>
      <c r="L631" s="1490"/>
      <c r="M631" s="1487"/>
      <c r="N631" s="1488"/>
      <c r="O631" s="1489"/>
      <c r="P631" s="1490"/>
      <c r="X631" s="1445" t="e">
        <f ca="1"/>
        <v>#NAME?</v>
      </c>
      <c r="Y631" s="1446" t="e">
        <f ca="1"/>
        <v>#NAME?</v>
      </c>
      <c r="Z631" s="1408"/>
    </row>
    <row r="632" spans="1:26">
      <c r="A632" s="1487"/>
      <c r="B632" s="1488"/>
      <c r="C632" s="1489"/>
      <c r="D632" s="1490"/>
      <c r="E632" s="1487"/>
      <c r="F632" s="1488"/>
      <c r="G632" s="1489"/>
      <c r="H632" s="1490"/>
      <c r="I632" s="1487"/>
      <c r="J632" s="1488"/>
      <c r="K632" s="1489"/>
      <c r="L632" s="1490"/>
      <c r="M632" s="1487"/>
      <c r="N632" s="1488"/>
      <c r="O632" s="1489"/>
      <c r="P632" s="1490"/>
      <c r="X632" s="1445" t="e">
        <f ca="1"/>
        <v>#NAME?</v>
      </c>
      <c r="Y632" s="1446" t="e">
        <f ca="1"/>
        <v>#NAME?</v>
      </c>
      <c r="Z632" s="1408"/>
    </row>
    <row r="633" spans="1:26">
      <c r="A633" s="1487"/>
      <c r="B633" s="1488"/>
      <c r="C633" s="1489"/>
      <c r="D633" s="1490"/>
      <c r="E633" s="1487"/>
      <c r="F633" s="1488"/>
      <c r="G633" s="1489"/>
      <c r="H633" s="1490"/>
      <c r="I633" s="1487"/>
      <c r="J633" s="1488"/>
      <c r="K633" s="1489"/>
      <c r="L633" s="1490"/>
      <c r="M633" s="1487"/>
      <c r="N633" s="1488"/>
      <c r="O633" s="1489"/>
      <c r="P633" s="1490"/>
      <c r="X633" s="1445" t="e">
        <f ca="1"/>
        <v>#NAME?</v>
      </c>
      <c r="Y633" s="1446" t="e">
        <f ca="1"/>
        <v>#NAME?</v>
      </c>
      <c r="Z633" s="1408"/>
    </row>
    <row r="634" spans="1:26">
      <c r="A634" s="1487"/>
      <c r="B634" s="1488"/>
      <c r="C634" s="1489"/>
      <c r="D634" s="1490"/>
      <c r="E634" s="1487"/>
      <c r="F634" s="1488"/>
      <c r="G634" s="1489"/>
      <c r="H634" s="1490"/>
      <c r="I634" s="1487"/>
      <c r="J634" s="1488"/>
      <c r="K634" s="1489"/>
      <c r="L634" s="1490"/>
      <c r="M634" s="1487"/>
      <c r="N634" s="1488"/>
      <c r="O634" s="1489"/>
      <c r="P634" s="1490"/>
      <c r="X634" s="1445" t="e">
        <f ca="1"/>
        <v>#NAME?</v>
      </c>
      <c r="Y634" s="1446" t="e">
        <f ca="1"/>
        <v>#NAME?</v>
      </c>
      <c r="Z634" s="1408"/>
    </row>
    <row r="635" spans="1:26">
      <c r="A635" s="1487"/>
      <c r="B635" s="1488"/>
      <c r="C635" s="1489"/>
      <c r="D635" s="1490"/>
      <c r="E635" s="1487"/>
      <c r="F635" s="1488"/>
      <c r="G635" s="1489"/>
      <c r="H635" s="1490"/>
      <c r="I635" s="1487"/>
      <c r="J635" s="1488"/>
      <c r="K635" s="1489"/>
      <c r="L635" s="1490"/>
      <c r="M635" s="1487"/>
      <c r="N635" s="1488"/>
      <c r="O635" s="1489"/>
      <c r="P635" s="1490"/>
      <c r="X635" s="1445" t="e">
        <f ca="1"/>
        <v>#NAME?</v>
      </c>
      <c r="Y635" s="1446" t="e">
        <f ca="1"/>
        <v>#NAME?</v>
      </c>
      <c r="Z635" s="1408"/>
    </row>
    <row r="636" spans="1:26">
      <c r="A636" s="1487"/>
      <c r="B636" s="1488"/>
      <c r="C636" s="1489"/>
      <c r="D636" s="1490"/>
      <c r="E636" s="1487"/>
      <c r="F636" s="1488"/>
      <c r="G636" s="1489"/>
      <c r="H636" s="1490"/>
      <c r="I636" s="1487"/>
      <c r="J636" s="1488"/>
      <c r="K636" s="1489"/>
      <c r="L636" s="1490"/>
      <c r="M636" s="1487"/>
      <c r="N636" s="1488"/>
      <c r="O636" s="1489"/>
      <c r="P636" s="1490"/>
      <c r="X636" s="1445" t="e">
        <f ca="1"/>
        <v>#NAME?</v>
      </c>
      <c r="Y636" s="1446" t="e">
        <f ca="1"/>
        <v>#NAME?</v>
      </c>
      <c r="Z636" s="1408"/>
    </row>
    <row r="637" spans="1:26">
      <c r="A637" s="1487"/>
      <c r="B637" s="1488"/>
      <c r="C637" s="1489"/>
      <c r="D637" s="1490"/>
      <c r="E637" s="1487"/>
      <c r="F637" s="1488"/>
      <c r="G637" s="1489"/>
      <c r="H637" s="1490"/>
      <c r="I637" s="1487"/>
      <c r="J637" s="1488"/>
      <c r="K637" s="1489"/>
      <c r="L637" s="1490"/>
      <c r="M637" s="1487"/>
      <c r="N637" s="1488"/>
      <c r="O637" s="1489"/>
      <c r="P637" s="1490"/>
      <c r="X637" s="1445" t="e">
        <f ca="1"/>
        <v>#NAME?</v>
      </c>
      <c r="Y637" s="1446" t="e">
        <f ca="1"/>
        <v>#NAME?</v>
      </c>
      <c r="Z637" s="1408"/>
    </row>
    <row r="638" spans="1:26">
      <c r="A638" s="1487"/>
      <c r="B638" s="1488"/>
      <c r="C638" s="1489"/>
      <c r="D638" s="1490"/>
      <c r="E638" s="1487"/>
      <c r="F638" s="1488"/>
      <c r="G638" s="1489"/>
      <c r="H638" s="1490"/>
      <c r="I638" s="1487"/>
      <c r="J638" s="1488"/>
      <c r="K638" s="1489"/>
      <c r="L638" s="1490"/>
      <c r="M638" s="1487"/>
      <c r="N638" s="1488"/>
      <c r="O638" s="1489"/>
      <c r="P638" s="1490"/>
      <c r="X638" s="1445" t="e">
        <f ca="1"/>
        <v>#NAME?</v>
      </c>
      <c r="Y638" s="1446" t="e">
        <f ca="1"/>
        <v>#NAME?</v>
      </c>
      <c r="Z638" s="1408"/>
    </row>
    <row r="639" spans="1:26">
      <c r="A639" s="1487"/>
      <c r="B639" s="1488"/>
      <c r="C639" s="1489"/>
      <c r="D639" s="1490"/>
      <c r="E639" s="1487"/>
      <c r="F639" s="1488"/>
      <c r="G639" s="1489"/>
      <c r="H639" s="1490"/>
      <c r="I639" s="1487"/>
      <c r="J639" s="1488"/>
      <c r="K639" s="1489"/>
      <c r="L639" s="1490"/>
      <c r="M639" s="1487"/>
      <c r="N639" s="1488"/>
      <c r="O639" s="1489"/>
      <c r="P639" s="1490"/>
      <c r="X639" s="1445" t="e">
        <f ca="1"/>
        <v>#NAME?</v>
      </c>
      <c r="Y639" s="1446" t="e">
        <f ca="1"/>
        <v>#NAME?</v>
      </c>
      <c r="Z639" s="1408"/>
    </row>
    <row r="640" spans="1:26">
      <c r="A640" s="1487"/>
      <c r="B640" s="1488"/>
      <c r="C640" s="1489"/>
      <c r="D640" s="1490"/>
      <c r="E640" s="1487"/>
      <c r="F640" s="1488"/>
      <c r="G640" s="1489"/>
      <c r="H640" s="1490"/>
      <c r="I640" s="1487"/>
      <c r="J640" s="1488"/>
      <c r="K640" s="1489"/>
      <c r="L640" s="1490"/>
      <c r="M640" s="1487"/>
      <c r="N640" s="1488"/>
      <c r="O640" s="1489"/>
      <c r="P640" s="1490"/>
      <c r="X640" s="1445" t="e">
        <f ca="1"/>
        <v>#NAME?</v>
      </c>
      <c r="Y640" s="1446" t="e">
        <f ca="1"/>
        <v>#NAME?</v>
      </c>
      <c r="Z640" s="1408"/>
    </row>
    <row r="641" spans="1:26">
      <c r="A641" s="1487"/>
      <c r="B641" s="1488"/>
      <c r="C641" s="1489"/>
      <c r="D641" s="1490"/>
      <c r="E641" s="1487"/>
      <c r="F641" s="1488"/>
      <c r="G641" s="1489"/>
      <c r="H641" s="1490"/>
      <c r="I641" s="1487"/>
      <c r="J641" s="1488"/>
      <c r="K641" s="1489"/>
      <c r="L641" s="1490"/>
      <c r="M641" s="1487"/>
      <c r="N641" s="1488"/>
      <c r="O641" s="1489"/>
      <c r="P641" s="1490"/>
      <c r="X641" s="1445" t="e">
        <f ca="1"/>
        <v>#NAME?</v>
      </c>
      <c r="Y641" s="1446" t="e">
        <f ca="1"/>
        <v>#NAME?</v>
      </c>
      <c r="Z641" s="1408"/>
    </row>
    <row r="642" spans="1:26">
      <c r="A642" s="1487"/>
      <c r="B642" s="1488"/>
      <c r="C642" s="1489"/>
      <c r="D642" s="1490"/>
      <c r="E642" s="1487"/>
      <c r="F642" s="1488"/>
      <c r="G642" s="1489"/>
      <c r="H642" s="1490"/>
      <c r="I642" s="1487"/>
      <c r="J642" s="1488"/>
      <c r="K642" s="1489"/>
      <c r="L642" s="1490"/>
      <c r="M642" s="1487"/>
      <c r="N642" s="1488"/>
      <c r="O642" s="1489"/>
      <c r="P642" s="1490"/>
      <c r="X642" s="1445" t="e">
        <f ca="1"/>
        <v>#NAME?</v>
      </c>
      <c r="Y642" s="1446" t="e">
        <f ca="1"/>
        <v>#NAME?</v>
      </c>
      <c r="Z642" s="1408"/>
    </row>
    <row r="643" spans="1:26">
      <c r="A643" s="1487"/>
      <c r="B643" s="1488"/>
      <c r="C643" s="1489"/>
      <c r="D643" s="1490"/>
      <c r="E643" s="1487"/>
      <c r="F643" s="1488"/>
      <c r="G643" s="1489"/>
      <c r="H643" s="1490"/>
      <c r="I643" s="1487"/>
      <c r="J643" s="1488"/>
      <c r="K643" s="1489"/>
      <c r="L643" s="1490"/>
      <c r="M643" s="1487"/>
      <c r="N643" s="1488"/>
      <c r="O643" s="1489"/>
      <c r="P643" s="1490"/>
      <c r="X643" s="1445" t="e">
        <f ca="1"/>
        <v>#NAME?</v>
      </c>
      <c r="Y643" s="1446" t="e">
        <f ca="1"/>
        <v>#NAME?</v>
      </c>
      <c r="Z643" s="1408"/>
    </row>
    <row r="644" spans="1:26">
      <c r="A644" s="1487"/>
      <c r="B644" s="1488"/>
      <c r="C644" s="1489"/>
      <c r="D644" s="1490"/>
      <c r="E644" s="1487"/>
      <c r="F644" s="1488"/>
      <c r="G644" s="1489"/>
      <c r="H644" s="1490"/>
      <c r="I644" s="1487"/>
      <c r="J644" s="1488"/>
      <c r="K644" s="1489"/>
      <c r="L644" s="1490"/>
      <c r="M644" s="1487"/>
      <c r="N644" s="1488"/>
      <c r="O644" s="1489"/>
      <c r="P644" s="1490"/>
      <c r="X644" s="1445" t="e">
        <f ca="1"/>
        <v>#NAME?</v>
      </c>
      <c r="Y644" s="1446" t="e">
        <f ca="1"/>
        <v>#NAME?</v>
      </c>
      <c r="Z644" s="1408"/>
    </row>
    <row r="645" spans="1:26">
      <c r="A645" s="1487"/>
      <c r="B645" s="1488"/>
      <c r="C645" s="1489"/>
      <c r="D645" s="1490"/>
      <c r="E645" s="1487"/>
      <c r="F645" s="1488"/>
      <c r="G645" s="1489"/>
      <c r="H645" s="1490"/>
      <c r="I645" s="1487"/>
      <c r="J645" s="1488"/>
      <c r="K645" s="1489"/>
      <c r="L645" s="1490"/>
      <c r="M645" s="1487"/>
      <c r="N645" s="1488"/>
      <c r="O645" s="1489"/>
      <c r="P645" s="1490"/>
      <c r="X645" s="1445" t="e">
        <f ca="1"/>
        <v>#NAME?</v>
      </c>
      <c r="Y645" s="1446" t="e">
        <f ca="1"/>
        <v>#NAME?</v>
      </c>
      <c r="Z645" s="1408"/>
    </row>
    <row r="646" spans="1:26">
      <c r="A646" s="1487"/>
      <c r="B646" s="1488"/>
      <c r="C646" s="1489"/>
      <c r="D646" s="1490"/>
      <c r="E646" s="1487"/>
      <c r="F646" s="1488"/>
      <c r="G646" s="1489"/>
      <c r="H646" s="1490"/>
      <c r="I646" s="1487"/>
      <c r="J646" s="1488"/>
      <c r="K646" s="1489"/>
      <c r="L646" s="1490"/>
      <c r="M646" s="1487"/>
      <c r="N646" s="1488"/>
      <c r="O646" s="1489"/>
      <c r="P646" s="1490"/>
      <c r="X646" s="1445" t="e">
        <f ca="1"/>
        <v>#NAME?</v>
      </c>
      <c r="Y646" s="1446" t="e">
        <f ca="1"/>
        <v>#NAME?</v>
      </c>
      <c r="Z646" s="1408"/>
    </row>
    <row r="647" spans="1:26">
      <c r="A647" s="1487"/>
      <c r="B647" s="1488"/>
      <c r="C647" s="1489"/>
      <c r="D647" s="1490"/>
      <c r="E647" s="1487"/>
      <c r="F647" s="1488"/>
      <c r="G647" s="1489"/>
      <c r="H647" s="1490"/>
      <c r="I647" s="1487"/>
      <c r="J647" s="1488"/>
      <c r="K647" s="1489"/>
      <c r="L647" s="1490"/>
      <c r="M647" s="1487"/>
      <c r="N647" s="1488"/>
      <c r="O647" s="1489"/>
      <c r="P647" s="1490"/>
      <c r="X647" s="1445" t="e">
        <f ca="1"/>
        <v>#NAME?</v>
      </c>
      <c r="Y647" s="1446" t="e">
        <f ca="1"/>
        <v>#NAME?</v>
      </c>
      <c r="Z647" s="1408"/>
    </row>
    <row r="648" spans="1:26">
      <c r="A648" s="1487"/>
      <c r="B648" s="1488"/>
      <c r="C648" s="1489"/>
      <c r="D648" s="1490"/>
      <c r="E648" s="1487"/>
      <c r="F648" s="1488"/>
      <c r="G648" s="1489"/>
      <c r="H648" s="1490"/>
      <c r="I648" s="1487"/>
      <c r="J648" s="1488"/>
      <c r="K648" s="1489"/>
      <c r="L648" s="1490"/>
      <c r="M648" s="1487"/>
      <c r="N648" s="1488"/>
      <c r="O648" s="1489"/>
      <c r="P648" s="1490"/>
      <c r="X648" s="1445" t="e">
        <f ca="1"/>
        <v>#NAME?</v>
      </c>
      <c r="Y648" s="1446" t="e">
        <f ca="1"/>
        <v>#NAME?</v>
      </c>
      <c r="Z648" s="1408"/>
    </row>
    <row r="649" spans="1:26">
      <c r="A649" s="1487"/>
      <c r="B649" s="1488"/>
      <c r="C649" s="1489"/>
      <c r="D649" s="1490"/>
      <c r="E649" s="1487"/>
      <c r="F649" s="1488"/>
      <c r="G649" s="1489"/>
      <c r="H649" s="1490"/>
      <c r="I649" s="1487"/>
      <c r="J649" s="1488"/>
      <c r="K649" s="1489"/>
      <c r="L649" s="1490"/>
      <c r="M649" s="1487"/>
      <c r="N649" s="1488"/>
      <c r="O649" s="1489"/>
      <c r="P649" s="1490"/>
      <c r="X649" s="1445" t="e">
        <f ca="1"/>
        <v>#NAME?</v>
      </c>
      <c r="Y649" s="1446" t="e">
        <f ca="1"/>
        <v>#NAME?</v>
      </c>
      <c r="Z649" s="1408"/>
    </row>
    <row r="650" spans="1:26">
      <c r="A650" s="1487"/>
      <c r="B650" s="1488"/>
      <c r="C650" s="1489"/>
      <c r="D650" s="1490"/>
      <c r="E650" s="1487"/>
      <c r="F650" s="1488"/>
      <c r="G650" s="1489"/>
      <c r="H650" s="1490"/>
      <c r="I650" s="1487"/>
      <c r="J650" s="1488"/>
      <c r="K650" s="1489"/>
      <c r="L650" s="1490"/>
      <c r="M650" s="1487"/>
      <c r="N650" s="1488"/>
      <c r="O650" s="1489"/>
      <c r="P650" s="1490"/>
      <c r="X650" s="1445" t="e">
        <f ca="1"/>
        <v>#NAME?</v>
      </c>
      <c r="Y650" s="1446" t="e">
        <f ca="1"/>
        <v>#NAME?</v>
      </c>
      <c r="Z650" s="1408"/>
    </row>
    <row r="651" spans="1:26">
      <c r="A651" s="1487"/>
      <c r="B651" s="1488"/>
      <c r="C651" s="1489"/>
      <c r="D651" s="1490"/>
      <c r="E651" s="1487"/>
      <c r="F651" s="1488"/>
      <c r="G651" s="1489"/>
      <c r="H651" s="1490"/>
      <c r="I651" s="1487"/>
      <c r="J651" s="1488"/>
      <c r="K651" s="1489"/>
      <c r="L651" s="1490"/>
      <c r="M651" s="1487"/>
      <c r="N651" s="1488"/>
      <c r="O651" s="1489"/>
      <c r="P651" s="1490"/>
      <c r="X651" s="1445" t="e">
        <f ca="1"/>
        <v>#NAME?</v>
      </c>
      <c r="Y651" s="1446" t="e">
        <f ca="1"/>
        <v>#NAME?</v>
      </c>
      <c r="Z651" s="1408"/>
    </row>
    <row r="652" spans="1:26">
      <c r="A652" s="1487"/>
      <c r="B652" s="1488"/>
      <c r="C652" s="1489"/>
      <c r="D652" s="1490"/>
      <c r="E652" s="1487"/>
      <c r="F652" s="1488"/>
      <c r="G652" s="1489"/>
      <c r="H652" s="1490"/>
      <c r="I652" s="1487"/>
      <c r="J652" s="1488"/>
      <c r="K652" s="1489"/>
      <c r="L652" s="1490"/>
      <c r="M652" s="1487"/>
      <c r="N652" s="1488"/>
      <c r="O652" s="1489"/>
      <c r="P652" s="1490"/>
      <c r="X652" s="1445" t="e">
        <f ca="1"/>
        <v>#NAME?</v>
      </c>
      <c r="Y652" s="1446" t="e">
        <f ca="1"/>
        <v>#NAME?</v>
      </c>
      <c r="Z652" s="1408"/>
    </row>
    <row r="653" spans="1:26">
      <c r="A653" s="1487"/>
      <c r="B653" s="1488"/>
      <c r="C653" s="1489"/>
      <c r="D653" s="1490"/>
      <c r="E653" s="1487"/>
      <c r="F653" s="1488"/>
      <c r="G653" s="1489"/>
      <c r="H653" s="1490"/>
      <c r="I653" s="1487"/>
      <c r="J653" s="1488"/>
      <c r="K653" s="1489"/>
      <c r="L653" s="1490"/>
      <c r="M653" s="1487"/>
      <c r="N653" s="1488"/>
      <c r="O653" s="1489"/>
      <c r="P653" s="1490"/>
      <c r="X653" s="1445" t="e">
        <f ca="1"/>
        <v>#NAME?</v>
      </c>
      <c r="Y653" s="1446" t="e">
        <f ca="1"/>
        <v>#NAME?</v>
      </c>
      <c r="Z653" s="1408"/>
    </row>
    <row r="654" spans="1:26">
      <c r="A654" s="1487"/>
      <c r="B654" s="1488"/>
      <c r="C654" s="1489"/>
      <c r="D654" s="1490"/>
      <c r="E654" s="1487"/>
      <c r="F654" s="1488"/>
      <c r="G654" s="1489"/>
      <c r="H654" s="1490"/>
      <c r="I654" s="1487"/>
      <c r="J654" s="1488"/>
      <c r="K654" s="1489"/>
      <c r="L654" s="1490"/>
      <c r="M654" s="1487"/>
      <c r="N654" s="1488"/>
      <c r="O654" s="1489"/>
      <c r="P654" s="1490"/>
      <c r="X654" s="1445" t="e">
        <f ca="1"/>
        <v>#NAME?</v>
      </c>
      <c r="Y654" s="1446" t="e">
        <f ca="1"/>
        <v>#NAME?</v>
      </c>
      <c r="Z654" s="1408"/>
    </row>
    <row r="655" spans="1:26">
      <c r="A655" s="1487"/>
      <c r="B655" s="1488"/>
      <c r="C655" s="1489"/>
      <c r="D655" s="1490"/>
      <c r="E655" s="1487"/>
      <c r="F655" s="1488"/>
      <c r="G655" s="1489"/>
      <c r="H655" s="1490"/>
      <c r="I655" s="1487"/>
      <c r="J655" s="1488"/>
      <c r="K655" s="1489"/>
      <c r="L655" s="1490"/>
      <c r="M655" s="1487"/>
      <c r="N655" s="1488"/>
      <c r="O655" s="1489"/>
      <c r="P655" s="1490"/>
      <c r="X655" s="1445" t="e">
        <f ca="1"/>
        <v>#NAME?</v>
      </c>
      <c r="Y655" s="1446" t="e">
        <f ca="1"/>
        <v>#NAME?</v>
      </c>
      <c r="Z655" s="1408"/>
    </row>
    <row r="656" spans="1:26">
      <c r="A656" s="1487"/>
      <c r="B656" s="1488"/>
      <c r="C656" s="1489"/>
      <c r="D656" s="1490"/>
      <c r="E656" s="1487"/>
      <c r="F656" s="1488"/>
      <c r="G656" s="1489"/>
      <c r="H656" s="1490"/>
      <c r="I656" s="1487"/>
      <c r="J656" s="1488"/>
      <c r="K656" s="1489"/>
      <c r="L656" s="1490"/>
      <c r="M656" s="1487"/>
      <c r="N656" s="1488"/>
      <c r="O656" s="1489"/>
      <c r="P656" s="1490"/>
      <c r="X656" s="1445" t="e">
        <f ca="1"/>
        <v>#NAME?</v>
      </c>
      <c r="Y656" s="1446" t="e">
        <f ca="1"/>
        <v>#NAME?</v>
      </c>
      <c r="Z656" s="1408"/>
    </row>
    <row r="657" spans="1:26">
      <c r="A657" s="1487"/>
      <c r="B657" s="1488"/>
      <c r="C657" s="1489"/>
      <c r="D657" s="1490"/>
      <c r="E657" s="1487"/>
      <c r="F657" s="1488"/>
      <c r="G657" s="1489"/>
      <c r="H657" s="1490"/>
      <c r="I657" s="1487"/>
      <c r="J657" s="1488"/>
      <c r="K657" s="1489"/>
      <c r="L657" s="1490"/>
      <c r="M657" s="1487"/>
      <c r="N657" s="1488"/>
      <c r="O657" s="1489"/>
      <c r="P657" s="1490"/>
      <c r="X657" s="1445" t="e">
        <f ca="1"/>
        <v>#NAME?</v>
      </c>
      <c r="Y657" s="1446" t="e">
        <f ca="1"/>
        <v>#NAME?</v>
      </c>
      <c r="Z657" s="1408"/>
    </row>
    <row r="658" spans="1:26">
      <c r="A658" s="1487"/>
      <c r="B658" s="1488"/>
      <c r="C658" s="1489"/>
      <c r="D658" s="1490"/>
      <c r="E658" s="1487"/>
      <c r="F658" s="1488"/>
      <c r="G658" s="1489"/>
      <c r="H658" s="1490"/>
      <c r="I658" s="1487"/>
      <c r="J658" s="1488"/>
      <c r="K658" s="1489"/>
      <c r="L658" s="1490"/>
      <c r="M658" s="1487"/>
      <c r="N658" s="1488"/>
      <c r="O658" s="1489"/>
      <c r="P658" s="1490"/>
      <c r="X658" s="1445" t="e">
        <f ca="1"/>
        <v>#NAME?</v>
      </c>
      <c r="Y658" s="1446" t="e">
        <f ca="1"/>
        <v>#NAME?</v>
      </c>
      <c r="Z658" s="1408"/>
    </row>
    <row r="659" spans="1:26">
      <c r="A659" s="1487"/>
      <c r="B659" s="1488"/>
      <c r="C659" s="1489"/>
      <c r="D659" s="1490"/>
      <c r="E659" s="1487"/>
      <c r="F659" s="1488"/>
      <c r="G659" s="1489"/>
      <c r="H659" s="1490"/>
      <c r="I659" s="1487"/>
      <c r="J659" s="1488"/>
      <c r="K659" s="1489"/>
      <c r="L659" s="1490"/>
      <c r="M659" s="1487"/>
      <c r="N659" s="1488"/>
      <c r="O659" s="1489"/>
      <c r="P659" s="1490"/>
      <c r="X659" s="1445" t="e">
        <f ca="1"/>
        <v>#NAME?</v>
      </c>
      <c r="Y659" s="1446" t="e">
        <f ca="1"/>
        <v>#NAME?</v>
      </c>
      <c r="Z659" s="1408"/>
    </row>
    <row r="660" spans="1:26">
      <c r="A660" s="1487"/>
      <c r="B660" s="1488"/>
      <c r="C660" s="1489"/>
      <c r="D660" s="1490"/>
      <c r="E660" s="1487"/>
      <c r="F660" s="1488"/>
      <c r="G660" s="1489"/>
      <c r="H660" s="1490"/>
      <c r="I660" s="1487"/>
      <c r="J660" s="1488"/>
      <c r="K660" s="1489"/>
      <c r="L660" s="1490"/>
      <c r="M660" s="1487"/>
      <c r="N660" s="1488"/>
      <c r="O660" s="1489"/>
      <c r="P660" s="1490"/>
      <c r="X660" s="1445" t="e">
        <f ca="1"/>
        <v>#NAME?</v>
      </c>
      <c r="Y660" s="1446" t="e">
        <f ca="1"/>
        <v>#NAME?</v>
      </c>
      <c r="Z660" s="1408"/>
    </row>
    <row r="661" spans="1:26">
      <c r="A661" s="1487"/>
      <c r="B661" s="1488"/>
      <c r="C661" s="1489"/>
      <c r="D661" s="1490"/>
      <c r="E661" s="1487"/>
      <c r="F661" s="1488"/>
      <c r="G661" s="1489"/>
      <c r="H661" s="1490"/>
      <c r="I661" s="1487"/>
      <c r="J661" s="1488"/>
      <c r="K661" s="1489"/>
      <c r="L661" s="1490"/>
      <c r="M661" s="1487"/>
      <c r="N661" s="1488"/>
      <c r="O661" s="1489"/>
      <c r="P661" s="1490"/>
      <c r="X661" s="1445" t="e">
        <f ca="1"/>
        <v>#NAME?</v>
      </c>
      <c r="Y661" s="1446" t="e">
        <f ca="1"/>
        <v>#NAME?</v>
      </c>
      <c r="Z661" s="1408"/>
    </row>
    <row r="662" spans="1:26">
      <c r="A662" s="1487"/>
      <c r="B662" s="1488"/>
      <c r="C662" s="1489"/>
      <c r="D662" s="1490"/>
      <c r="E662" s="1487"/>
      <c r="F662" s="1488"/>
      <c r="G662" s="1489"/>
      <c r="H662" s="1490"/>
      <c r="I662" s="1487"/>
      <c r="J662" s="1488"/>
      <c r="K662" s="1489"/>
      <c r="L662" s="1490"/>
      <c r="M662" s="1487"/>
      <c r="N662" s="1488"/>
      <c r="O662" s="1489"/>
      <c r="P662" s="1490"/>
      <c r="X662" s="1445" t="e">
        <f ca="1"/>
        <v>#NAME?</v>
      </c>
      <c r="Y662" s="1446" t="e">
        <f ca="1"/>
        <v>#NAME?</v>
      </c>
      <c r="Z662" s="1408"/>
    </row>
    <row r="663" spans="1:26">
      <c r="A663" s="1487"/>
      <c r="B663" s="1488"/>
      <c r="C663" s="1489"/>
      <c r="D663" s="1490"/>
      <c r="E663" s="1487"/>
      <c r="F663" s="1488"/>
      <c r="G663" s="1489"/>
      <c r="H663" s="1490"/>
      <c r="I663" s="1487"/>
      <c r="J663" s="1488"/>
      <c r="K663" s="1489"/>
      <c r="L663" s="1490"/>
      <c r="M663" s="1487"/>
      <c r="N663" s="1488"/>
      <c r="O663" s="1489"/>
      <c r="P663" s="1490"/>
      <c r="X663" s="1445" t="e">
        <f ca="1"/>
        <v>#NAME?</v>
      </c>
      <c r="Y663" s="1446" t="e">
        <f ca="1"/>
        <v>#NAME?</v>
      </c>
      <c r="Z663" s="1408"/>
    </row>
    <row r="664" spans="1:26">
      <c r="A664" s="1487"/>
      <c r="B664" s="1488"/>
      <c r="C664" s="1489"/>
      <c r="D664" s="1490"/>
      <c r="E664" s="1487"/>
      <c r="F664" s="1488"/>
      <c r="G664" s="1489"/>
      <c r="H664" s="1490"/>
      <c r="I664" s="1487"/>
      <c r="J664" s="1488"/>
      <c r="K664" s="1489"/>
      <c r="L664" s="1490"/>
      <c r="M664" s="1487"/>
      <c r="N664" s="1488"/>
      <c r="O664" s="1489"/>
      <c r="P664" s="1490"/>
      <c r="X664" s="1445" t="e">
        <f ca="1"/>
        <v>#NAME?</v>
      </c>
      <c r="Y664" s="1446" t="e">
        <f ca="1"/>
        <v>#NAME?</v>
      </c>
      <c r="Z664" s="1408"/>
    </row>
    <row r="665" spans="1:26">
      <c r="A665" s="1487"/>
      <c r="B665" s="1488"/>
      <c r="C665" s="1489"/>
      <c r="D665" s="1490"/>
      <c r="E665" s="1487"/>
      <c r="F665" s="1488"/>
      <c r="G665" s="1489"/>
      <c r="H665" s="1490"/>
      <c r="I665" s="1487"/>
      <c r="J665" s="1488"/>
      <c r="K665" s="1489"/>
      <c r="L665" s="1490"/>
      <c r="M665" s="1487"/>
      <c r="N665" s="1488"/>
      <c r="O665" s="1489"/>
      <c r="P665" s="1490"/>
      <c r="X665" s="1445" t="e">
        <f ca="1"/>
        <v>#NAME?</v>
      </c>
      <c r="Y665" s="1446" t="e">
        <f ca="1"/>
        <v>#NAME?</v>
      </c>
      <c r="Z665" s="1408"/>
    </row>
    <row r="666" spans="1:26">
      <c r="A666" s="1487"/>
      <c r="B666" s="1488"/>
      <c r="C666" s="1489"/>
      <c r="D666" s="1490"/>
      <c r="E666" s="1487"/>
      <c r="F666" s="1488"/>
      <c r="G666" s="1489"/>
      <c r="H666" s="1490"/>
      <c r="I666" s="1487"/>
      <c r="J666" s="1488"/>
      <c r="K666" s="1489"/>
      <c r="L666" s="1490"/>
      <c r="M666" s="1487"/>
      <c r="N666" s="1488"/>
      <c r="O666" s="1489"/>
      <c r="P666" s="1490"/>
      <c r="X666" s="1445" t="e">
        <f ca="1"/>
        <v>#NAME?</v>
      </c>
      <c r="Y666" s="1446" t="e">
        <f ca="1"/>
        <v>#NAME?</v>
      </c>
      <c r="Z666" s="1408"/>
    </row>
    <row r="667" spans="1:26">
      <c r="A667" s="1487"/>
      <c r="B667" s="1488"/>
      <c r="C667" s="1489"/>
      <c r="D667" s="1490"/>
      <c r="E667" s="1487"/>
      <c r="F667" s="1488"/>
      <c r="G667" s="1489"/>
      <c r="H667" s="1490"/>
      <c r="I667" s="1487"/>
      <c r="J667" s="1488"/>
      <c r="K667" s="1489"/>
      <c r="L667" s="1490"/>
      <c r="M667" s="1487"/>
      <c r="N667" s="1488"/>
      <c r="O667" s="1489"/>
      <c r="P667" s="1490"/>
      <c r="X667" s="1445" t="e">
        <f ca="1"/>
        <v>#NAME?</v>
      </c>
      <c r="Y667" s="1446" t="e">
        <f ca="1"/>
        <v>#NAME?</v>
      </c>
      <c r="Z667" s="1408"/>
    </row>
    <row r="668" spans="1:26">
      <c r="A668" s="1487"/>
      <c r="B668" s="1488"/>
      <c r="C668" s="1489"/>
      <c r="D668" s="1490"/>
      <c r="E668" s="1487"/>
      <c r="F668" s="1488"/>
      <c r="G668" s="1489"/>
      <c r="H668" s="1490"/>
      <c r="I668" s="1487"/>
      <c r="J668" s="1488"/>
      <c r="K668" s="1489"/>
      <c r="L668" s="1490"/>
      <c r="M668" s="1487"/>
      <c r="N668" s="1488"/>
      <c r="O668" s="1489"/>
      <c r="P668" s="1490"/>
      <c r="X668" s="1445" t="e">
        <f ca="1"/>
        <v>#NAME?</v>
      </c>
      <c r="Y668" s="1446" t="e">
        <f ca="1"/>
        <v>#NAME?</v>
      </c>
      <c r="Z668" s="1408"/>
    </row>
    <row r="669" spans="1:26">
      <c r="A669" s="1487"/>
      <c r="B669" s="1488"/>
      <c r="C669" s="1489"/>
      <c r="D669" s="1490"/>
      <c r="E669" s="1487"/>
      <c r="F669" s="1488"/>
      <c r="G669" s="1489"/>
      <c r="H669" s="1490"/>
      <c r="I669" s="1487"/>
      <c r="J669" s="1488"/>
      <c r="K669" s="1489"/>
      <c r="L669" s="1490"/>
      <c r="M669" s="1487"/>
      <c r="N669" s="1488"/>
      <c r="O669" s="1489"/>
      <c r="P669" s="1490"/>
      <c r="X669" s="1445" t="e">
        <f ca="1"/>
        <v>#NAME?</v>
      </c>
      <c r="Y669" s="1446" t="e">
        <f ca="1"/>
        <v>#NAME?</v>
      </c>
      <c r="Z669" s="1408"/>
    </row>
    <row r="670" spans="1:26">
      <c r="A670" s="1487"/>
      <c r="B670" s="1488"/>
      <c r="C670" s="1489"/>
      <c r="D670" s="1490"/>
      <c r="E670" s="1487"/>
      <c r="F670" s="1488"/>
      <c r="G670" s="1489"/>
      <c r="H670" s="1490"/>
      <c r="I670" s="1487"/>
      <c r="J670" s="1488"/>
      <c r="K670" s="1489"/>
      <c r="L670" s="1490"/>
      <c r="M670" s="1487"/>
      <c r="N670" s="1488"/>
      <c r="O670" s="1489"/>
      <c r="P670" s="1490"/>
      <c r="X670" s="1445" t="e">
        <f ca="1"/>
        <v>#NAME?</v>
      </c>
      <c r="Y670" s="1446" t="e">
        <f ca="1"/>
        <v>#NAME?</v>
      </c>
      <c r="Z670" s="1408"/>
    </row>
    <row r="671" spans="1:26">
      <c r="A671" s="1487"/>
      <c r="B671" s="1488"/>
      <c r="C671" s="1489"/>
      <c r="D671" s="1490"/>
      <c r="E671" s="1487"/>
      <c r="F671" s="1488"/>
      <c r="G671" s="1489"/>
      <c r="H671" s="1490"/>
      <c r="I671" s="1487"/>
      <c r="J671" s="1488"/>
      <c r="K671" s="1489"/>
      <c r="L671" s="1490"/>
      <c r="M671" s="1487"/>
      <c r="N671" s="1488"/>
      <c r="O671" s="1489"/>
      <c r="P671" s="1490"/>
      <c r="X671" s="1445" t="e">
        <f ca="1"/>
        <v>#NAME?</v>
      </c>
      <c r="Y671" s="1446" t="e">
        <f ca="1"/>
        <v>#NAME?</v>
      </c>
      <c r="Z671" s="1408"/>
    </row>
    <row r="672" spans="1:26">
      <c r="A672" s="1487"/>
      <c r="B672" s="1488"/>
      <c r="C672" s="1489"/>
      <c r="D672" s="1490"/>
      <c r="E672" s="1487"/>
      <c r="F672" s="1488"/>
      <c r="G672" s="1489"/>
      <c r="H672" s="1490"/>
      <c r="I672" s="1487"/>
      <c r="J672" s="1488"/>
      <c r="K672" s="1489"/>
      <c r="L672" s="1490"/>
      <c r="M672" s="1487"/>
      <c r="N672" s="1488"/>
      <c r="O672" s="1489"/>
      <c r="P672" s="1490"/>
      <c r="X672" s="1445" t="e">
        <f ca="1"/>
        <v>#NAME?</v>
      </c>
      <c r="Y672" s="1446" t="e">
        <f ca="1"/>
        <v>#NAME?</v>
      </c>
      <c r="Z672" s="1408"/>
    </row>
    <row r="673" spans="1:26">
      <c r="A673" s="1487"/>
      <c r="B673" s="1488"/>
      <c r="C673" s="1489"/>
      <c r="D673" s="1490"/>
      <c r="E673" s="1487"/>
      <c r="F673" s="1488"/>
      <c r="G673" s="1489"/>
      <c r="H673" s="1490"/>
      <c r="I673" s="1487"/>
      <c r="J673" s="1488"/>
      <c r="K673" s="1489"/>
      <c r="L673" s="1490"/>
      <c r="M673" s="1487"/>
      <c r="N673" s="1488"/>
      <c r="O673" s="1489"/>
      <c r="P673" s="1490"/>
      <c r="X673" s="1445" t="e">
        <f ca="1"/>
        <v>#NAME?</v>
      </c>
      <c r="Y673" s="1446" t="e">
        <f ca="1"/>
        <v>#NAME?</v>
      </c>
      <c r="Z673" s="1408"/>
    </row>
    <row r="674" spans="1:26">
      <c r="A674" s="1487"/>
      <c r="B674" s="1488"/>
      <c r="C674" s="1489"/>
      <c r="D674" s="1490"/>
      <c r="E674" s="1487"/>
      <c r="F674" s="1488"/>
      <c r="G674" s="1489"/>
      <c r="H674" s="1490"/>
      <c r="I674" s="1487"/>
      <c r="J674" s="1488"/>
      <c r="K674" s="1489"/>
      <c r="L674" s="1490"/>
      <c r="M674" s="1487"/>
      <c r="N674" s="1488"/>
      <c r="O674" s="1489"/>
      <c r="P674" s="1490"/>
      <c r="X674" s="1445" t="e">
        <f ca="1"/>
        <v>#NAME?</v>
      </c>
      <c r="Y674" s="1446" t="e">
        <f ca="1"/>
        <v>#NAME?</v>
      </c>
      <c r="Z674" s="1408"/>
    </row>
    <row r="675" spans="1:26">
      <c r="A675" s="1487"/>
      <c r="B675" s="1488"/>
      <c r="C675" s="1489"/>
      <c r="D675" s="1490"/>
      <c r="E675" s="1487"/>
      <c r="F675" s="1488"/>
      <c r="G675" s="1489"/>
      <c r="H675" s="1490"/>
      <c r="I675" s="1487"/>
      <c r="J675" s="1488"/>
      <c r="K675" s="1489"/>
      <c r="L675" s="1490"/>
      <c r="M675" s="1487"/>
      <c r="N675" s="1488"/>
      <c r="O675" s="1489"/>
      <c r="P675" s="1490"/>
      <c r="X675" s="1445" t="e">
        <f ca="1"/>
        <v>#NAME?</v>
      </c>
      <c r="Y675" s="1446" t="e">
        <f ca="1"/>
        <v>#NAME?</v>
      </c>
      <c r="Z675" s="1408"/>
    </row>
    <row r="676" spans="1:26">
      <c r="A676" s="1487"/>
      <c r="B676" s="1488"/>
      <c r="C676" s="1489"/>
      <c r="D676" s="1490"/>
      <c r="E676" s="1487"/>
      <c r="F676" s="1488"/>
      <c r="G676" s="1489"/>
      <c r="H676" s="1490"/>
      <c r="I676" s="1487"/>
      <c r="J676" s="1488"/>
      <c r="K676" s="1489"/>
      <c r="L676" s="1490"/>
      <c r="M676" s="1487"/>
      <c r="N676" s="1488"/>
      <c r="O676" s="1489"/>
      <c r="P676" s="1490"/>
      <c r="X676" s="1445" t="e">
        <f ca="1"/>
        <v>#NAME?</v>
      </c>
      <c r="Y676" s="1446" t="e">
        <f ca="1"/>
        <v>#NAME?</v>
      </c>
      <c r="Z676" s="1408"/>
    </row>
    <row r="677" spans="1:26">
      <c r="A677" s="1487"/>
      <c r="B677" s="1488"/>
      <c r="C677" s="1489"/>
      <c r="D677" s="1490"/>
      <c r="E677" s="1487"/>
      <c r="F677" s="1488"/>
      <c r="G677" s="1489"/>
      <c r="H677" s="1490"/>
      <c r="I677" s="1487"/>
      <c r="J677" s="1488"/>
      <c r="K677" s="1489"/>
      <c r="L677" s="1490"/>
      <c r="M677" s="1487"/>
      <c r="N677" s="1488"/>
      <c r="O677" s="1489"/>
      <c r="P677" s="1490"/>
      <c r="X677" s="1445" t="e">
        <f ca="1"/>
        <v>#NAME?</v>
      </c>
      <c r="Y677" s="1446" t="e">
        <f ca="1"/>
        <v>#NAME?</v>
      </c>
      <c r="Z677" s="1408"/>
    </row>
    <row r="678" spans="1:26">
      <c r="A678" s="1487"/>
      <c r="B678" s="1488"/>
      <c r="C678" s="1489"/>
      <c r="D678" s="1490"/>
      <c r="E678" s="1487"/>
      <c r="F678" s="1488"/>
      <c r="G678" s="1489"/>
      <c r="H678" s="1490"/>
      <c r="I678" s="1487"/>
      <c r="J678" s="1488"/>
      <c r="K678" s="1489"/>
      <c r="L678" s="1490"/>
      <c r="M678" s="1487"/>
      <c r="N678" s="1488"/>
      <c r="O678" s="1489"/>
      <c r="P678" s="1490"/>
      <c r="X678" s="1445" t="e">
        <f ca="1"/>
        <v>#NAME?</v>
      </c>
      <c r="Y678" s="1446" t="e">
        <f ca="1"/>
        <v>#NAME?</v>
      </c>
      <c r="Z678" s="1408"/>
    </row>
    <row r="679" spans="1:26">
      <c r="A679" s="1487"/>
      <c r="B679" s="1488"/>
      <c r="C679" s="1489"/>
      <c r="D679" s="1490"/>
      <c r="E679" s="1487"/>
      <c r="F679" s="1488"/>
      <c r="G679" s="1489"/>
      <c r="H679" s="1490"/>
      <c r="I679" s="1487"/>
      <c r="J679" s="1488"/>
      <c r="K679" s="1489"/>
      <c r="L679" s="1490"/>
      <c r="M679" s="1487"/>
      <c r="N679" s="1488"/>
      <c r="O679" s="1489"/>
      <c r="P679" s="1490"/>
      <c r="X679" s="1445" t="e">
        <f ca="1"/>
        <v>#NAME?</v>
      </c>
      <c r="Y679" s="1446" t="e">
        <f ca="1"/>
        <v>#NAME?</v>
      </c>
      <c r="Z679" s="1408"/>
    </row>
    <row r="680" spans="1:26">
      <c r="A680" s="1487"/>
      <c r="B680" s="1488"/>
      <c r="C680" s="1489"/>
      <c r="D680" s="1490"/>
      <c r="E680" s="1487"/>
      <c r="F680" s="1488"/>
      <c r="G680" s="1489"/>
      <c r="H680" s="1490"/>
      <c r="I680" s="1487"/>
      <c r="J680" s="1488"/>
      <c r="K680" s="1489"/>
      <c r="L680" s="1490"/>
      <c r="M680" s="1487"/>
      <c r="N680" s="1488"/>
      <c r="O680" s="1489"/>
      <c r="P680" s="1490"/>
      <c r="X680" s="1445" t="e">
        <f ca="1"/>
        <v>#NAME?</v>
      </c>
      <c r="Y680" s="1446" t="e">
        <f ca="1"/>
        <v>#NAME?</v>
      </c>
      <c r="Z680" s="1408"/>
    </row>
    <row r="681" spans="1:26">
      <c r="A681" s="1487"/>
      <c r="B681" s="1488"/>
      <c r="C681" s="1489"/>
      <c r="D681" s="1490"/>
      <c r="E681" s="1487"/>
      <c r="F681" s="1488"/>
      <c r="G681" s="1489"/>
      <c r="H681" s="1490"/>
      <c r="I681" s="1487"/>
      <c r="J681" s="1488"/>
      <c r="K681" s="1489"/>
      <c r="L681" s="1490"/>
      <c r="M681" s="1487"/>
      <c r="N681" s="1488"/>
      <c r="O681" s="1489"/>
      <c r="P681" s="1490"/>
      <c r="X681" s="1445" t="e">
        <f ca="1"/>
        <v>#NAME?</v>
      </c>
      <c r="Y681" s="1446" t="e">
        <f ca="1"/>
        <v>#NAME?</v>
      </c>
      <c r="Z681" s="1408"/>
    </row>
    <row r="682" spans="1:26">
      <c r="A682" s="1487"/>
      <c r="B682" s="1488"/>
      <c r="C682" s="1489"/>
      <c r="D682" s="1490"/>
      <c r="E682" s="1487"/>
      <c r="F682" s="1488"/>
      <c r="G682" s="1489"/>
      <c r="H682" s="1490"/>
      <c r="I682" s="1487"/>
      <c r="J682" s="1488"/>
      <c r="K682" s="1489"/>
      <c r="L682" s="1490"/>
      <c r="M682" s="1487"/>
      <c r="N682" s="1488"/>
      <c r="O682" s="1489"/>
      <c r="P682" s="1490"/>
      <c r="X682" s="1445" t="e">
        <f ca="1"/>
        <v>#NAME?</v>
      </c>
      <c r="Y682" s="1446" t="e">
        <f ca="1"/>
        <v>#NAME?</v>
      </c>
      <c r="Z682" s="1408"/>
    </row>
    <row r="683" spans="1:26">
      <c r="A683" s="1487"/>
      <c r="B683" s="1488"/>
      <c r="C683" s="1489"/>
      <c r="D683" s="1490"/>
      <c r="E683" s="1487"/>
      <c r="F683" s="1488"/>
      <c r="G683" s="1489"/>
      <c r="H683" s="1490"/>
      <c r="I683" s="1487"/>
      <c r="J683" s="1488"/>
      <c r="K683" s="1489"/>
      <c r="L683" s="1490"/>
      <c r="M683" s="1487"/>
      <c r="N683" s="1488"/>
      <c r="O683" s="1489"/>
      <c r="P683" s="1490"/>
      <c r="X683" s="1445" t="e">
        <f ca="1"/>
        <v>#NAME?</v>
      </c>
      <c r="Y683" s="1446" t="e">
        <f ca="1"/>
        <v>#NAME?</v>
      </c>
      <c r="Z683" s="1408"/>
    </row>
    <row r="684" spans="1:26">
      <c r="A684" s="1487"/>
      <c r="B684" s="1488"/>
      <c r="C684" s="1489"/>
      <c r="D684" s="1490"/>
      <c r="E684" s="1487"/>
      <c r="F684" s="1488"/>
      <c r="G684" s="1489"/>
      <c r="H684" s="1490"/>
      <c r="I684" s="1487"/>
      <c r="J684" s="1488"/>
      <c r="K684" s="1489"/>
      <c r="L684" s="1490"/>
      <c r="M684" s="1487"/>
      <c r="N684" s="1488"/>
      <c r="O684" s="1489"/>
      <c r="P684" s="1490"/>
      <c r="X684" s="1445" t="e">
        <f ca="1"/>
        <v>#NAME?</v>
      </c>
      <c r="Y684" s="1446" t="e">
        <f ca="1"/>
        <v>#NAME?</v>
      </c>
      <c r="Z684" s="1408"/>
    </row>
    <row r="685" spans="1:26">
      <c r="A685" s="1487"/>
      <c r="B685" s="1488"/>
      <c r="C685" s="1489"/>
      <c r="D685" s="1490"/>
      <c r="E685" s="1487"/>
      <c r="F685" s="1488"/>
      <c r="G685" s="1489"/>
      <c r="H685" s="1490"/>
      <c r="I685" s="1487"/>
      <c r="J685" s="1488"/>
      <c r="K685" s="1489"/>
      <c r="L685" s="1490"/>
      <c r="M685" s="1487"/>
      <c r="N685" s="1488"/>
      <c r="O685" s="1489"/>
      <c r="P685" s="1490"/>
      <c r="X685" s="1445" t="e">
        <f ca="1"/>
        <v>#NAME?</v>
      </c>
      <c r="Y685" s="1446" t="e">
        <f ca="1"/>
        <v>#NAME?</v>
      </c>
      <c r="Z685" s="1408"/>
    </row>
    <row r="686" spans="1:26">
      <c r="A686" s="1487"/>
      <c r="B686" s="1488"/>
      <c r="C686" s="1489"/>
      <c r="D686" s="1490"/>
      <c r="E686" s="1487"/>
      <c r="F686" s="1488"/>
      <c r="G686" s="1489"/>
      <c r="H686" s="1490"/>
      <c r="I686" s="1487"/>
      <c r="J686" s="1488"/>
      <c r="K686" s="1489"/>
      <c r="L686" s="1490"/>
      <c r="M686" s="1487"/>
      <c r="N686" s="1488"/>
      <c r="O686" s="1489"/>
      <c r="P686" s="1490"/>
      <c r="X686" s="1445" t="e">
        <f ca="1"/>
        <v>#NAME?</v>
      </c>
      <c r="Y686" s="1446" t="e">
        <f ca="1"/>
        <v>#NAME?</v>
      </c>
      <c r="Z686" s="1408"/>
    </row>
    <row r="687" spans="1:26">
      <c r="A687" s="1487"/>
      <c r="B687" s="1488"/>
      <c r="C687" s="1489"/>
      <c r="D687" s="1490"/>
      <c r="E687" s="1487"/>
      <c r="F687" s="1488"/>
      <c r="G687" s="1489"/>
      <c r="H687" s="1490"/>
      <c r="I687" s="1487"/>
      <c r="J687" s="1488"/>
      <c r="K687" s="1489"/>
      <c r="L687" s="1490"/>
      <c r="M687" s="1487"/>
      <c r="N687" s="1488"/>
      <c r="O687" s="1489"/>
      <c r="P687" s="1490"/>
      <c r="X687" s="1445" t="e">
        <f ca="1"/>
        <v>#NAME?</v>
      </c>
      <c r="Y687" s="1446" t="e">
        <f ca="1"/>
        <v>#NAME?</v>
      </c>
      <c r="Z687" s="1408"/>
    </row>
    <row r="688" spans="1:26">
      <c r="A688" s="1487"/>
      <c r="B688" s="1488"/>
      <c r="C688" s="1489"/>
      <c r="D688" s="1490"/>
      <c r="E688" s="1487"/>
      <c r="F688" s="1488"/>
      <c r="G688" s="1489"/>
      <c r="H688" s="1490"/>
      <c r="I688" s="1487"/>
      <c r="J688" s="1488"/>
      <c r="K688" s="1489"/>
      <c r="L688" s="1490"/>
      <c r="M688" s="1487"/>
      <c r="N688" s="1488"/>
      <c r="O688" s="1489"/>
      <c r="P688" s="1490"/>
      <c r="X688" s="1445" t="e">
        <f ca="1"/>
        <v>#NAME?</v>
      </c>
      <c r="Y688" s="1446" t="e">
        <f ca="1"/>
        <v>#NAME?</v>
      </c>
      <c r="Z688" s="1408"/>
    </row>
    <row r="689" spans="1:26">
      <c r="A689" s="1487"/>
      <c r="B689" s="1488"/>
      <c r="C689" s="1489"/>
      <c r="D689" s="1490"/>
      <c r="E689" s="1487"/>
      <c r="F689" s="1488"/>
      <c r="G689" s="1489"/>
      <c r="H689" s="1490"/>
      <c r="I689" s="1487"/>
      <c r="J689" s="1488"/>
      <c r="K689" s="1489"/>
      <c r="L689" s="1490"/>
      <c r="M689" s="1487"/>
      <c r="N689" s="1488"/>
      <c r="O689" s="1489"/>
      <c r="P689" s="1490"/>
      <c r="X689" s="1445" t="e">
        <f ca="1"/>
        <v>#NAME?</v>
      </c>
      <c r="Y689" s="1446" t="e">
        <f ca="1"/>
        <v>#NAME?</v>
      </c>
      <c r="Z689" s="1408"/>
    </row>
    <row r="690" spans="1:26">
      <c r="A690" s="1487"/>
      <c r="B690" s="1488"/>
      <c r="C690" s="1489"/>
      <c r="D690" s="1490"/>
      <c r="E690" s="1487"/>
      <c r="F690" s="1488"/>
      <c r="G690" s="1489"/>
      <c r="H690" s="1490"/>
      <c r="I690" s="1487"/>
      <c r="J690" s="1488"/>
      <c r="K690" s="1489"/>
      <c r="L690" s="1490"/>
      <c r="M690" s="1487"/>
      <c r="N690" s="1488"/>
      <c r="O690" s="1489"/>
      <c r="P690" s="1490"/>
      <c r="X690" s="1445" t="e">
        <f ca="1"/>
        <v>#NAME?</v>
      </c>
      <c r="Y690" s="1446" t="e">
        <f ca="1"/>
        <v>#NAME?</v>
      </c>
      <c r="Z690" s="1408"/>
    </row>
    <row r="691" spans="1:26">
      <c r="A691" s="1487"/>
      <c r="B691" s="1488"/>
      <c r="C691" s="1489"/>
      <c r="D691" s="1490"/>
      <c r="E691" s="1487"/>
      <c r="F691" s="1488"/>
      <c r="G691" s="1489"/>
      <c r="H691" s="1490"/>
      <c r="I691" s="1487"/>
      <c r="J691" s="1488"/>
      <c r="K691" s="1489"/>
      <c r="L691" s="1490"/>
      <c r="M691" s="1487"/>
      <c r="N691" s="1488"/>
      <c r="O691" s="1489"/>
      <c r="P691" s="1490"/>
      <c r="X691" s="1445" t="e">
        <f ca="1"/>
        <v>#NAME?</v>
      </c>
      <c r="Y691" s="1446" t="e">
        <f ca="1"/>
        <v>#NAME?</v>
      </c>
      <c r="Z691" s="1408"/>
    </row>
    <row r="692" spans="1:26">
      <c r="A692" s="1487"/>
      <c r="B692" s="1488"/>
      <c r="C692" s="1489"/>
      <c r="D692" s="1490"/>
      <c r="E692" s="1487"/>
      <c r="F692" s="1488"/>
      <c r="G692" s="1489"/>
      <c r="H692" s="1490"/>
      <c r="I692" s="1487"/>
      <c r="J692" s="1488"/>
      <c r="K692" s="1489"/>
      <c r="L692" s="1490"/>
      <c r="M692" s="1487"/>
      <c r="N692" s="1488"/>
      <c r="O692" s="1489"/>
      <c r="P692" s="1490"/>
      <c r="X692" s="1445" t="e">
        <f ca="1"/>
        <v>#NAME?</v>
      </c>
      <c r="Y692" s="1446" t="e">
        <f ca="1"/>
        <v>#NAME?</v>
      </c>
      <c r="Z692" s="1408"/>
    </row>
    <row r="693" spans="1:26">
      <c r="A693" s="1487"/>
      <c r="B693" s="1488"/>
      <c r="C693" s="1489"/>
      <c r="D693" s="1490"/>
      <c r="E693" s="1487"/>
      <c r="F693" s="1488"/>
      <c r="G693" s="1489"/>
      <c r="H693" s="1490"/>
      <c r="I693" s="1487"/>
      <c r="J693" s="1488"/>
      <c r="K693" s="1489"/>
      <c r="L693" s="1490"/>
      <c r="M693" s="1487"/>
      <c r="N693" s="1488"/>
      <c r="O693" s="1489"/>
      <c r="P693" s="1490"/>
      <c r="X693" s="1445" t="e">
        <f ca="1"/>
        <v>#NAME?</v>
      </c>
      <c r="Y693" s="1446" t="e">
        <f ca="1"/>
        <v>#NAME?</v>
      </c>
      <c r="Z693" s="1408"/>
    </row>
    <row r="694" spans="1:26">
      <c r="A694" s="1487"/>
      <c r="B694" s="1488"/>
      <c r="C694" s="1489"/>
      <c r="D694" s="1490"/>
      <c r="E694" s="1487"/>
      <c r="F694" s="1488"/>
      <c r="G694" s="1489"/>
      <c r="H694" s="1490"/>
      <c r="I694" s="1487"/>
      <c r="J694" s="1488"/>
      <c r="K694" s="1489"/>
      <c r="L694" s="1490"/>
      <c r="M694" s="1487"/>
      <c r="N694" s="1488"/>
      <c r="O694" s="1489"/>
      <c r="P694" s="1490"/>
      <c r="X694" s="1445" t="e">
        <f ca="1"/>
        <v>#NAME?</v>
      </c>
      <c r="Y694" s="1446" t="e">
        <f ca="1"/>
        <v>#NAME?</v>
      </c>
      <c r="Z694" s="1408"/>
    </row>
    <row r="695" spans="1:26">
      <c r="A695" s="1487"/>
      <c r="B695" s="1488"/>
      <c r="C695" s="1489"/>
      <c r="D695" s="1490"/>
      <c r="E695" s="1487"/>
      <c r="F695" s="1488"/>
      <c r="G695" s="1489"/>
      <c r="H695" s="1490"/>
      <c r="I695" s="1487"/>
      <c r="J695" s="1488"/>
      <c r="K695" s="1489"/>
      <c r="L695" s="1490"/>
      <c r="M695" s="1487"/>
      <c r="N695" s="1488"/>
      <c r="O695" s="1489"/>
      <c r="P695" s="1490"/>
      <c r="X695" s="1445" t="e">
        <f ca="1"/>
        <v>#NAME?</v>
      </c>
      <c r="Y695" s="1446" t="e">
        <f ca="1"/>
        <v>#NAME?</v>
      </c>
      <c r="Z695" s="1408"/>
    </row>
    <row r="696" spans="1:26">
      <c r="A696" s="1487"/>
      <c r="B696" s="1488"/>
      <c r="C696" s="1489"/>
      <c r="D696" s="1490"/>
      <c r="E696" s="1487"/>
      <c r="F696" s="1488"/>
      <c r="G696" s="1489"/>
      <c r="H696" s="1490"/>
      <c r="I696" s="1487"/>
      <c r="J696" s="1488"/>
      <c r="K696" s="1489"/>
      <c r="L696" s="1490"/>
      <c r="M696" s="1487"/>
      <c r="N696" s="1488"/>
      <c r="O696" s="1489"/>
      <c r="P696" s="1490"/>
      <c r="X696" s="1445" t="e">
        <f ca="1"/>
        <v>#NAME?</v>
      </c>
      <c r="Y696" s="1446" t="e">
        <f ca="1"/>
        <v>#NAME?</v>
      </c>
      <c r="Z696" s="1408"/>
    </row>
    <row r="697" spans="1:26">
      <c r="A697" s="1487"/>
      <c r="B697" s="1488"/>
      <c r="C697" s="1489"/>
      <c r="D697" s="1490"/>
      <c r="E697" s="1487"/>
      <c r="F697" s="1488"/>
      <c r="G697" s="1489"/>
      <c r="H697" s="1490"/>
      <c r="I697" s="1487"/>
      <c r="J697" s="1488"/>
      <c r="K697" s="1489"/>
      <c r="L697" s="1490"/>
      <c r="M697" s="1487"/>
      <c r="N697" s="1488"/>
      <c r="O697" s="1489"/>
      <c r="P697" s="1490"/>
      <c r="X697" s="1445" t="e">
        <f ca="1"/>
        <v>#NAME?</v>
      </c>
      <c r="Y697" s="1446" t="e">
        <f ca="1"/>
        <v>#NAME?</v>
      </c>
      <c r="Z697" s="1408"/>
    </row>
    <row r="698" spans="1:26">
      <c r="A698" s="1487"/>
      <c r="B698" s="1488"/>
      <c r="C698" s="1489"/>
      <c r="D698" s="1490"/>
      <c r="E698" s="1487"/>
      <c r="F698" s="1488"/>
      <c r="G698" s="1489"/>
      <c r="H698" s="1490"/>
      <c r="I698" s="1487"/>
      <c r="J698" s="1488"/>
      <c r="K698" s="1489"/>
      <c r="L698" s="1490"/>
      <c r="M698" s="1487"/>
      <c r="N698" s="1488"/>
      <c r="O698" s="1489"/>
      <c r="P698" s="1490"/>
      <c r="X698" s="1445" t="e">
        <f ca="1"/>
        <v>#NAME?</v>
      </c>
      <c r="Y698" s="1446" t="e">
        <f ca="1"/>
        <v>#NAME?</v>
      </c>
      <c r="Z698" s="1408"/>
    </row>
    <row r="699" spans="1:26">
      <c r="A699" s="1487"/>
      <c r="B699" s="1488"/>
      <c r="C699" s="1489"/>
      <c r="D699" s="1490"/>
      <c r="E699" s="1487"/>
      <c r="F699" s="1488"/>
      <c r="G699" s="1489"/>
      <c r="H699" s="1490"/>
      <c r="I699" s="1487"/>
      <c r="J699" s="1488"/>
      <c r="K699" s="1489"/>
      <c r="L699" s="1490"/>
      <c r="M699" s="1487"/>
      <c r="N699" s="1488"/>
      <c r="O699" s="1489"/>
      <c r="P699" s="1490"/>
      <c r="X699" s="1445" t="e">
        <f ca="1"/>
        <v>#NAME?</v>
      </c>
      <c r="Y699" s="1446" t="e">
        <f ca="1"/>
        <v>#NAME?</v>
      </c>
      <c r="Z699" s="1408"/>
    </row>
    <row r="700" spans="1:26">
      <c r="A700" s="1487"/>
      <c r="B700" s="1488"/>
      <c r="C700" s="1489"/>
      <c r="D700" s="1490"/>
      <c r="E700" s="1487"/>
      <c r="F700" s="1488"/>
      <c r="G700" s="1489"/>
      <c r="H700" s="1490"/>
      <c r="I700" s="1487"/>
      <c r="J700" s="1488"/>
      <c r="K700" s="1489"/>
      <c r="L700" s="1490"/>
      <c r="M700" s="1487"/>
      <c r="N700" s="1488"/>
      <c r="O700" s="1489"/>
      <c r="P700" s="1490"/>
      <c r="X700" s="1445" t="e">
        <f ca="1"/>
        <v>#NAME?</v>
      </c>
      <c r="Y700" s="1446" t="e">
        <f ca="1"/>
        <v>#NAME?</v>
      </c>
      <c r="Z700" s="1408"/>
    </row>
    <row r="701" spans="1:26">
      <c r="A701" s="1487"/>
      <c r="B701" s="1488"/>
      <c r="C701" s="1489"/>
      <c r="D701" s="1490"/>
      <c r="E701" s="1487"/>
      <c r="F701" s="1488"/>
      <c r="G701" s="1489"/>
      <c r="H701" s="1490"/>
      <c r="I701" s="1487"/>
      <c r="J701" s="1488"/>
      <c r="K701" s="1489"/>
      <c r="L701" s="1490"/>
      <c r="M701" s="1487"/>
      <c r="N701" s="1488"/>
      <c r="O701" s="1489"/>
      <c r="P701" s="1490"/>
      <c r="X701" s="1445" t="e">
        <f ca="1"/>
        <v>#NAME?</v>
      </c>
      <c r="Y701" s="1446" t="e">
        <f ca="1"/>
        <v>#NAME?</v>
      </c>
      <c r="Z701" s="1408"/>
    </row>
    <row r="702" spans="1:26">
      <c r="A702" s="1487"/>
      <c r="B702" s="1488"/>
      <c r="C702" s="1489"/>
      <c r="D702" s="1490"/>
      <c r="E702" s="1487"/>
      <c r="F702" s="1488"/>
      <c r="G702" s="1489"/>
      <c r="H702" s="1490"/>
      <c r="I702" s="1487"/>
      <c r="J702" s="1488"/>
      <c r="K702" s="1489"/>
      <c r="L702" s="1490"/>
      <c r="M702" s="1487"/>
      <c r="N702" s="1488"/>
      <c r="O702" s="1489"/>
      <c r="P702" s="1490"/>
      <c r="X702" s="1445" t="e">
        <f ca="1"/>
        <v>#NAME?</v>
      </c>
      <c r="Y702" s="1446" t="e">
        <f ca="1"/>
        <v>#NAME?</v>
      </c>
      <c r="Z702" s="1408"/>
    </row>
    <row r="703" spans="1:26">
      <c r="A703" s="1487"/>
      <c r="B703" s="1488"/>
      <c r="C703" s="1489"/>
      <c r="D703" s="1490"/>
      <c r="E703" s="1487"/>
      <c r="F703" s="1488"/>
      <c r="G703" s="1489"/>
      <c r="H703" s="1490"/>
      <c r="I703" s="1487"/>
      <c r="J703" s="1488"/>
      <c r="K703" s="1489"/>
      <c r="L703" s="1490"/>
      <c r="M703" s="1487"/>
      <c r="N703" s="1488"/>
      <c r="O703" s="1489"/>
      <c r="P703" s="1490"/>
      <c r="X703" s="1445" t="e">
        <f ca="1"/>
        <v>#NAME?</v>
      </c>
      <c r="Y703" s="1446" t="e">
        <f ca="1"/>
        <v>#NAME?</v>
      </c>
      <c r="Z703" s="1408"/>
    </row>
    <row r="704" spans="1:26">
      <c r="A704" s="1487"/>
      <c r="B704" s="1488"/>
      <c r="C704" s="1489"/>
      <c r="D704" s="1490"/>
      <c r="E704" s="1487"/>
      <c r="F704" s="1488"/>
      <c r="G704" s="1489"/>
      <c r="H704" s="1490"/>
      <c r="I704" s="1487"/>
      <c r="J704" s="1488"/>
      <c r="K704" s="1489"/>
      <c r="L704" s="1490"/>
      <c r="M704" s="1487"/>
      <c r="N704" s="1488"/>
      <c r="O704" s="1489"/>
      <c r="P704" s="1490"/>
      <c r="X704" s="1445" t="e">
        <f ca="1"/>
        <v>#NAME?</v>
      </c>
      <c r="Y704" s="1446" t="e">
        <f ca="1"/>
        <v>#NAME?</v>
      </c>
      <c r="Z704" s="1408"/>
    </row>
    <row r="705" spans="1:26">
      <c r="A705" s="1487"/>
      <c r="B705" s="1488"/>
      <c r="C705" s="1489"/>
      <c r="D705" s="1490"/>
      <c r="E705" s="1487"/>
      <c r="F705" s="1488"/>
      <c r="G705" s="1489"/>
      <c r="H705" s="1490"/>
      <c r="I705" s="1487"/>
      <c r="J705" s="1488"/>
      <c r="K705" s="1489"/>
      <c r="L705" s="1490"/>
      <c r="M705" s="1487"/>
      <c r="N705" s="1488"/>
      <c r="O705" s="1489"/>
      <c r="P705" s="1490"/>
      <c r="X705" s="1445" t="e">
        <f ca="1"/>
        <v>#NAME?</v>
      </c>
      <c r="Y705" s="1446" t="e">
        <f ca="1"/>
        <v>#NAME?</v>
      </c>
      <c r="Z705" s="1408"/>
    </row>
    <row r="706" spans="1:26">
      <c r="A706" s="1487"/>
      <c r="B706" s="1488"/>
      <c r="C706" s="1489"/>
      <c r="D706" s="1490"/>
      <c r="E706" s="1487"/>
      <c r="F706" s="1488"/>
      <c r="G706" s="1489"/>
      <c r="H706" s="1490"/>
      <c r="I706" s="1487"/>
      <c r="J706" s="1488"/>
      <c r="K706" s="1489"/>
      <c r="L706" s="1490"/>
      <c r="M706" s="1487"/>
      <c r="N706" s="1488"/>
      <c r="O706" s="1489"/>
      <c r="P706" s="1490"/>
      <c r="X706" s="1445" t="e">
        <f ca="1"/>
        <v>#NAME?</v>
      </c>
      <c r="Y706" s="1446" t="e">
        <f ca="1"/>
        <v>#NAME?</v>
      </c>
      <c r="Z706" s="1408"/>
    </row>
    <row r="707" spans="1:26">
      <c r="A707" s="1487"/>
      <c r="B707" s="1488"/>
      <c r="C707" s="1489"/>
      <c r="D707" s="1490"/>
      <c r="E707" s="1487"/>
      <c r="F707" s="1488"/>
      <c r="G707" s="1489"/>
      <c r="H707" s="1490"/>
      <c r="I707" s="1487"/>
      <c r="J707" s="1488"/>
      <c r="K707" s="1489"/>
      <c r="L707" s="1490"/>
      <c r="M707" s="1487"/>
      <c r="N707" s="1488"/>
      <c r="O707" s="1489"/>
      <c r="P707" s="1490"/>
      <c r="X707" s="1445" t="e">
        <f ca="1"/>
        <v>#NAME?</v>
      </c>
      <c r="Y707" s="1446" t="e">
        <f ca="1"/>
        <v>#NAME?</v>
      </c>
    </row>
    <row r="708" spans="1:26">
      <c r="A708" s="1487"/>
      <c r="B708" s="1488"/>
      <c r="C708" s="1489"/>
      <c r="D708" s="1490"/>
      <c r="E708" s="1487"/>
      <c r="F708" s="1488"/>
      <c r="G708" s="1489"/>
      <c r="H708" s="1490"/>
      <c r="I708" s="1487"/>
      <c r="J708" s="1488"/>
      <c r="K708" s="1489"/>
      <c r="L708" s="1490"/>
      <c r="M708" s="1487"/>
      <c r="N708" s="1488"/>
      <c r="O708" s="1489"/>
      <c r="P708" s="1490"/>
      <c r="X708" s="1445" t="e">
        <f ca="1"/>
        <v>#NAME?</v>
      </c>
      <c r="Y708" s="1446" t="e">
        <f ca="1"/>
        <v>#NAME?</v>
      </c>
    </row>
    <row r="709" spans="1:26">
      <c r="A709" s="1487"/>
      <c r="B709" s="1488"/>
      <c r="C709" s="1489"/>
      <c r="D709" s="1490"/>
      <c r="E709" s="1487"/>
      <c r="F709" s="1488"/>
      <c r="G709" s="1489"/>
      <c r="H709" s="1490"/>
      <c r="I709" s="1487"/>
      <c r="J709" s="1488"/>
      <c r="K709" s="1489"/>
      <c r="L709" s="1490"/>
      <c r="M709" s="1487"/>
      <c r="N709" s="1488"/>
      <c r="O709" s="1489"/>
      <c r="P709" s="1490"/>
      <c r="X709" s="1445" t="e">
        <f ca="1"/>
        <v>#NAME?</v>
      </c>
      <c r="Y709" s="1446" t="e">
        <f ca="1"/>
        <v>#NAME?</v>
      </c>
    </row>
    <row r="710" spans="1:26">
      <c r="A710" s="1487"/>
      <c r="B710" s="1488"/>
      <c r="C710" s="1489"/>
      <c r="D710" s="1490"/>
      <c r="E710" s="1487"/>
      <c r="F710" s="1488"/>
      <c r="G710" s="1489"/>
      <c r="H710" s="1490"/>
      <c r="I710" s="1487"/>
      <c r="J710" s="1488"/>
      <c r="K710" s="1489"/>
      <c r="L710" s="1490"/>
      <c r="M710" s="1487"/>
      <c r="N710" s="1488"/>
      <c r="O710" s="1489"/>
      <c r="P710" s="1490"/>
      <c r="X710" s="1445" t="e">
        <f ca="1"/>
        <v>#NAME?</v>
      </c>
      <c r="Y710" s="1446" t="e">
        <f ca="1"/>
        <v>#NAME?</v>
      </c>
    </row>
    <row r="711" spans="1:26">
      <c r="A711" s="1487"/>
      <c r="B711" s="1488"/>
      <c r="C711" s="1489"/>
      <c r="D711" s="1490"/>
      <c r="E711" s="1487"/>
      <c r="F711" s="1488"/>
      <c r="G711" s="1489"/>
      <c r="H711" s="1490"/>
      <c r="I711" s="1487"/>
      <c r="J711" s="1488"/>
      <c r="K711" s="1489"/>
      <c r="L711" s="1490"/>
      <c r="M711" s="1487"/>
      <c r="N711" s="1488"/>
      <c r="O711" s="1489"/>
      <c r="P711" s="1490"/>
      <c r="X711" s="1445" t="e">
        <f ca="1"/>
        <v>#NAME?</v>
      </c>
      <c r="Y711" s="1446" t="e">
        <f ca="1"/>
        <v>#NAME?</v>
      </c>
    </row>
    <row r="712" spans="1:26">
      <c r="A712" s="1487"/>
      <c r="B712" s="1488"/>
      <c r="C712" s="1489"/>
      <c r="D712" s="1490"/>
      <c r="E712" s="1487"/>
      <c r="F712" s="1488"/>
      <c r="G712" s="1489"/>
      <c r="H712" s="1490"/>
      <c r="I712" s="1487"/>
      <c r="J712" s="1488"/>
      <c r="K712" s="1489"/>
      <c r="L712" s="1490"/>
      <c r="M712" s="1487"/>
      <c r="N712" s="1488"/>
      <c r="O712" s="1489"/>
      <c r="P712" s="1490"/>
      <c r="X712" s="1445" t="e">
        <f ca="1"/>
        <v>#NAME?</v>
      </c>
      <c r="Y712" s="1446" t="e">
        <f ca="1"/>
        <v>#NAME?</v>
      </c>
    </row>
    <row r="713" spans="1:26">
      <c r="A713" s="1487"/>
      <c r="B713" s="1488"/>
      <c r="C713" s="1489"/>
      <c r="D713" s="1490"/>
      <c r="E713" s="1487"/>
      <c r="F713" s="1488"/>
      <c r="G713" s="1489"/>
      <c r="H713" s="1490"/>
      <c r="I713" s="1487"/>
      <c r="J713" s="1488"/>
      <c r="K713" s="1489"/>
      <c r="L713" s="1490"/>
      <c r="M713" s="1487"/>
      <c r="N713" s="1488"/>
      <c r="O713" s="1489"/>
      <c r="P713" s="1490"/>
      <c r="X713" s="1445" t="e">
        <f ca="1"/>
        <v>#NAME?</v>
      </c>
      <c r="Y713" s="1446" t="e">
        <f ca="1"/>
        <v>#NAME?</v>
      </c>
    </row>
    <row r="714" spans="1:26">
      <c r="A714" s="1487"/>
      <c r="B714" s="1488"/>
      <c r="C714" s="1489"/>
      <c r="D714" s="1490"/>
      <c r="E714" s="1487"/>
      <c r="F714" s="1488"/>
      <c r="G714" s="1489"/>
      <c r="H714" s="1490"/>
      <c r="I714" s="1487"/>
      <c r="J714" s="1488"/>
      <c r="K714" s="1489"/>
      <c r="L714" s="1490"/>
      <c r="M714" s="1487"/>
      <c r="N714" s="1488"/>
      <c r="O714" s="1489"/>
      <c r="P714" s="1490"/>
      <c r="X714" s="1445" t="e">
        <f ca="1"/>
        <v>#NAME?</v>
      </c>
      <c r="Y714" s="1446" t="e">
        <f ca="1"/>
        <v>#NAME?</v>
      </c>
    </row>
    <row r="715" spans="1:26">
      <c r="A715" s="1487"/>
      <c r="B715" s="1488"/>
      <c r="C715" s="1489"/>
      <c r="D715" s="1490"/>
      <c r="E715" s="1487"/>
      <c r="F715" s="1488"/>
      <c r="G715" s="1489"/>
      <c r="H715" s="1490"/>
      <c r="I715" s="1487"/>
      <c r="J715" s="1488"/>
      <c r="K715" s="1489"/>
      <c r="L715" s="1490"/>
      <c r="M715" s="1487"/>
      <c r="N715" s="1488"/>
      <c r="O715" s="1489"/>
      <c r="P715" s="1490"/>
      <c r="X715" s="1445" t="e">
        <f ca="1"/>
        <v>#NAME?</v>
      </c>
      <c r="Y715" s="1446" t="e">
        <f ca="1"/>
        <v>#NAME?</v>
      </c>
    </row>
    <row r="716" spans="1:26">
      <c r="A716" s="1487"/>
      <c r="B716" s="1488"/>
      <c r="C716" s="1489"/>
      <c r="D716" s="1490"/>
      <c r="E716" s="1487"/>
      <c r="F716" s="1488"/>
      <c r="G716" s="1489"/>
      <c r="H716" s="1490"/>
      <c r="I716" s="1487"/>
      <c r="J716" s="1488"/>
      <c r="K716" s="1489"/>
      <c r="L716" s="1490"/>
      <c r="M716" s="1487"/>
      <c r="N716" s="1488"/>
      <c r="O716" s="1489"/>
      <c r="P716" s="1490"/>
      <c r="X716" s="1445" t="e">
        <f ca="1"/>
        <v>#NAME?</v>
      </c>
      <c r="Y716" s="1446" t="e">
        <f ca="1"/>
        <v>#NAME?</v>
      </c>
    </row>
    <row r="717" spans="1:26">
      <c r="A717" s="1487"/>
      <c r="B717" s="1488"/>
      <c r="C717" s="1489"/>
      <c r="D717" s="1490"/>
      <c r="E717" s="1487"/>
      <c r="F717" s="1488"/>
      <c r="G717" s="1489"/>
      <c r="H717" s="1490"/>
      <c r="I717" s="1487"/>
      <c r="J717" s="1488"/>
      <c r="K717" s="1489"/>
      <c r="L717" s="1490"/>
      <c r="M717" s="1487"/>
      <c r="N717" s="1488"/>
      <c r="O717" s="1489"/>
      <c r="P717" s="1490"/>
      <c r="X717" s="1445" t="e">
        <f ca="1"/>
        <v>#NAME?</v>
      </c>
      <c r="Y717" s="1446" t="e">
        <f ca="1"/>
        <v>#NAME?</v>
      </c>
    </row>
    <row r="718" spans="1:26">
      <c r="A718" s="1487"/>
      <c r="B718" s="1488"/>
      <c r="C718" s="1489"/>
      <c r="D718" s="1490"/>
      <c r="E718" s="1487"/>
      <c r="F718" s="1488"/>
      <c r="G718" s="1489"/>
      <c r="H718" s="1490"/>
      <c r="I718" s="1487"/>
      <c r="J718" s="1488"/>
      <c r="K718" s="1489"/>
      <c r="L718" s="1490"/>
      <c r="M718" s="1487"/>
      <c r="N718" s="1488"/>
      <c r="O718" s="1489"/>
      <c r="P718" s="1490"/>
      <c r="X718" s="1445" t="e">
        <f ca="1"/>
        <v>#NAME?</v>
      </c>
      <c r="Y718" s="1446" t="e">
        <f ca="1"/>
        <v>#NAME?</v>
      </c>
    </row>
    <row r="719" spans="1:26">
      <c r="A719" s="1487"/>
      <c r="B719" s="1488"/>
      <c r="C719" s="1489"/>
      <c r="D719" s="1490"/>
      <c r="E719" s="1487"/>
      <c r="F719" s="1488"/>
      <c r="G719" s="1489"/>
      <c r="H719" s="1490"/>
      <c r="I719" s="1487"/>
      <c r="J719" s="1488"/>
      <c r="K719" s="1489"/>
      <c r="L719" s="1490"/>
      <c r="M719" s="1487"/>
      <c r="N719" s="1488"/>
      <c r="O719" s="1489"/>
      <c r="P719" s="1490"/>
      <c r="X719" s="1445" t="e">
        <f ca="1"/>
        <v>#NAME?</v>
      </c>
      <c r="Y719" s="1446" t="e">
        <f ca="1"/>
        <v>#NAME?</v>
      </c>
    </row>
    <row r="720" spans="1:26">
      <c r="A720" s="1487"/>
      <c r="B720" s="1488"/>
      <c r="C720" s="1489"/>
      <c r="D720" s="1490"/>
      <c r="E720" s="1487"/>
      <c r="F720" s="1488"/>
      <c r="G720" s="1489"/>
      <c r="H720" s="1490"/>
      <c r="I720" s="1487"/>
      <c r="J720" s="1488"/>
      <c r="K720" s="1489"/>
      <c r="L720" s="1490"/>
      <c r="M720" s="1487"/>
      <c r="N720" s="1488"/>
      <c r="O720" s="1489"/>
      <c r="P720" s="1490"/>
      <c r="X720" s="1445" t="e">
        <f ca="1"/>
        <v>#NAME?</v>
      </c>
      <c r="Y720" s="1446" t="e">
        <f ca="1"/>
        <v>#NAME?</v>
      </c>
    </row>
    <row r="721" spans="1:25">
      <c r="A721" s="1487"/>
      <c r="B721" s="1488"/>
      <c r="C721" s="1489"/>
      <c r="D721" s="1490"/>
      <c r="E721" s="1487"/>
      <c r="F721" s="1488"/>
      <c r="G721" s="1489"/>
      <c r="H721" s="1490"/>
      <c r="I721" s="1487"/>
      <c r="J721" s="1488"/>
      <c r="K721" s="1489"/>
      <c r="L721" s="1490"/>
      <c r="M721" s="1487"/>
      <c r="N721" s="1488"/>
      <c r="O721" s="1489"/>
      <c r="P721" s="1490"/>
      <c r="X721" s="1445" t="e">
        <f ca="1"/>
        <v>#NAME?</v>
      </c>
      <c r="Y721" s="1446" t="e">
        <f ca="1"/>
        <v>#NAME?</v>
      </c>
    </row>
    <row r="722" spans="1:25">
      <c r="A722" s="1487"/>
      <c r="B722" s="1488"/>
      <c r="C722" s="1489"/>
      <c r="D722" s="1490"/>
      <c r="E722" s="1487"/>
      <c r="F722" s="1488"/>
      <c r="G722" s="1489"/>
      <c r="H722" s="1490"/>
      <c r="I722" s="1487"/>
      <c r="J722" s="1488"/>
      <c r="K722" s="1489"/>
      <c r="L722" s="1490"/>
      <c r="M722" s="1487"/>
      <c r="N722" s="1488"/>
      <c r="O722" s="1489"/>
      <c r="P722" s="1490"/>
      <c r="X722" s="1445" t="e">
        <f ca="1"/>
        <v>#NAME?</v>
      </c>
      <c r="Y722" s="1446" t="e">
        <f ca="1"/>
        <v>#NAME?</v>
      </c>
    </row>
    <row r="723" spans="1:25">
      <c r="A723" s="1487"/>
      <c r="B723" s="1488"/>
      <c r="C723" s="1489"/>
      <c r="D723" s="1490"/>
      <c r="E723" s="1487"/>
      <c r="F723" s="1488"/>
      <c r="G723" s="1489"/>
      <c r="H723" s="1490"/>
      <c r="I723" s="1487"/>
      <c r="J723" s="1488"/>
      <c r="K723" s="1489"/>
      <c r="L723" s="1490"/>
      <c r="M723" s="1487"/>
      <c r="N723" s="1488"/>
      <c r="O723" s="1489"/>
      <c r="P723" s="1490"/>
      <c r="X723" s="1445" t="e">
        <f ca="1"/>
        <v>#NAME?</v>
      </c>
      <c r="Y723" s="1446" t="e">
        <f ca="1"/>
        <v>#NAME?</v>
      </c>
    </row>
    <row r="724" spans="1:25">
      <c r="A724" s="1487"/>
      <c r="B724" s="1488"/>
      <c r="C724" s="1489"/>
      <c r="D724" s="1490"/>
      <c r="E724" s="1487"/>
      <c r="F724" s="1488"/>
      <c r="G724" s="1489"/>
      <c r="H724" s="1490"/>
      <c r="I724" s="1487"/>
      <c r="J724" s="1488"/>
      <c r="K724" s="1489"/>
      <c r="L724" s="1490"/>
      <c r="M724" s="1487"/>
      <c r="N724" s="1488"/>
      <c r="O724" s="1489"/>
      <c r="P724" s="1490"/>
      <c r="X724" s="1445" t="e">
        <f ca="1"/>
        <v>#NAME?</v>
      </c>
      <c r="Y724" s="1446" t="e">
        <f ca="1"/>
        <v>#NAME?</v>
      </c>
    </row>
    <row r="725" spans="1:25">
      <c r="A725" s="1487"/>
      <c r="B725" s="1488"/>
      <c r="C725" s="1489"/>
      <c r="D725" s="1490"/>
      <c r="E725" s="1487"/>
      <c r="F725" s="1488"/>
      <c r="G725" s="1489"/>
      <c r="H725" s="1490"/>
      <c r="I725" s="1487"/>
      <c r="J725" s="1488"/>
      <c r="K725" s="1489"/>
      <c r="L725" s="1490"/>
      <c r="M725" s="1487"/>
      <c r="N725" s="1488"/>
      <c r="O725" s="1489"/>
      <c r="P725" s="1490"/>
      <c r="X725" s="1445" t="e">
        <f ca="1"/>
        <v>#NAME?</v>
      </c>
      <c r="Y725" s="1446" t="e">
        <f ca="1"/>
        <v>#NAME?</v>
      </c>
    </row>
    <row r="726" spans="1:25">
      <c r="A726" s="1487"/>
      <c r="B726" s="1488"/>
      <c r="C726" s="1489"/>
      <c r="D726" s="1490"/>
      <c r="E726" s="1487"/>
      <c r="F726" s="1488"/>
      <c r="G726" s="1489"/>
      <c r="H726" s="1490"/>
      <c r="I726" s="1487"/>
      <c r="J726" s="1488"/>
      <c r="K726" s="1489"/>
      <c r="L726" s="1490"/>
      <c r="M726" s="1487"/>
      <c r="N726" s="1488"/>
      <c r="O726" s="1489"/>
      <c r="P726" s="1490"/>
      <c r="X726" s="1445" t="e">
        <f ca="1"/>
        <v>#NAME?</v>
      </c>
      <c r="Y726" s="1446" t="e">
        <f ca="1"/>
        <v>#NAME?</v>
      </c>
    </row>
    <row r="727" spans="1:25">
      <c r="A727" s="1487"/>
      <c r="B727" s="1488"/>
      <c r="C727" s="1489"/>
      <c r="D727" s="1490"/>
      <c r="E727" s="1487"/>
      <c r="F727" s="1488"/>
      <c r="G727" s="1489"/>
      <c r="H727" s="1490"/>
      <c r="I727" s="1487"/>
      <c r="J727" s="1488"/>
      <c r="K727" s="1489"/>
      <c r="L727" s="1490"/>
      <c r="M727" s="1487"/>
      <c r="N727" s="1488"/>
      <c r="O727" s="1489"/>
      <c r="P727" s="1490"/>
      <c r="X727" s="1445" t="e">
        <f ca="1"/>
        <v>#NAME?</v>
      </c>
      <c r="Y727" s="1446" t="e">
        <f ca="1"/>
        <v>#NAME?</v>
      </c>
    </row>
    <row r="728" spans="1:25">
      <c r="A728" s="1487"/>
      <c r="B728" s="1488"/>
      <c r="C728" s="1489"/>
      <c r="D728" s="1490"/>
      <c r="E728" s="1487"/>
      <c r="F728" s="1488"/>
      <c r="G728" s="1489"/>
      <c r="H728" s="1490"/>
      <c r="I728" s="1487"/>
      <c r="J728" s="1488"/>
      <c r="K728" s="1489"/>
      <c r="L728" s="1490"/>
      <c r="M728" s="1487"/>
      <c r="N728" s="1488"/>
      <c r="O728" s="1489"/>
      <c r="P728" s="1490"/>
      <c r="X728" s="1445" t="e">
        <f ca="1"/>
        <v>#NAME?</v>
      </c>
      <c r="Y728" s="1446" t="e">
        <f ca="1"/>
        <v>#NAME?</v>
      </c>
    </row>
    <row r="729" spans="1:25">
      <c r="A729" s="1487"/>
      <c r="B729" s="1488"/>
      <c r="C729" s="1489"/>
      <c r="D729" s="1490"/>
      <c r="E729" s="1487"/>
      <c r="F729" s="1488"/>
      <c r="G729" s="1489"/>
      <c r="H729" s="1490"/>
      <c r="I729" s="1487"/>
      <c r="J729" s="1488"/>
      <c r="K729" s="1489"/>
      <c r="L729" s="1490"/>
      <c r="M729" s="1487"/>
      <c r="N729" s="1488"/>
      <c r="O729" s="1489"/>
      <c r="P729" s="1490"/>
      <c r="X729" s="1445" t="e">
        <f ca="1"/>
        <v>#NAME?</v>
      </c>
      <c r="Y729" s="1446" t="e">
        <f ca="1"/>
        <v>#NAME?</v>
      </c>
    </row>
    <row r="730" spans="1:25">
      <c r="A730" s="1487"/>
      <c r="B730" s="1488"/>
      <c r="C730" s="1489"/>
      <c r="D730" s="1490"/>
      <c r="E730" s="1487"/>
      <c r="F730" s="1488"/>
      <c r="G730" s="1489"/>
      <c r="H730" s="1490"/>
      <c r="I730" s="1487"/>
      <c r="J730" s="1488"/>
      <c r="K730" s="1489"/>
      <c r="L730" s="1490"/>
      <c r="M730" s="1487"/>
      <c r="N730" s="1488"/>
      <c r="O730" s="1489"/>
      <c r="P730" s="1490"/>
      <c r="X730" s="1445" t="e">
        <f ca="1"/>
        <v>#NAME?</v>
      </c>
      <c r="Y730" s="1446" t="e">
        <f ca="1"/>
        <v>#NAME?</v>
      </c>
    </row>
    <row r="731" spans="1:25">
      <c r="A731" s="1487"/>
      <c r="B731" s="1488"/>
      <c r="C731" s="1489"/>
      <c r="D731" s="1490"/>
      <c r="E731" s="1487"/>
      <c r="F731" s="1488"/>
      <c r="G731" s="1489"/>
      <c r="H731" s="1490"/>
      <c r="I731" s="1487"/>
      <c r="J731" s="1488"/>
      <c r="K731" s="1489"/>
      <c r="L731" s="1490"/>
      <c r="M731" s="1487"/>
      <c r="N731" s="1488"/>
      <c r="O731" s="1489"/>
      <c r="P731" s="1490"/>
      <c r="X731" s="1445" t="e">
        <f ca="1"/>
        <v>#NAME?</v>
      </c>
      <c r="Y731" s="1446" t="e">
        <f ca="1"/>
        <v>#NAME?</v>
      </c>
    </row>
    <row r="732" spans="1:25">
      <c r="A732" s="1487"/>
      <c r="B732" s="1488"/>
      <c r="C732" s="1489"/>
      <c r="D732" s="1490"/>
      <c r="E732" s="1487"/>
      <c r="F732" s="1488"/>
      <c r="G732" s="1489"/>
      <c r="H732" s="1490"/>
      <c r="I732" s="1487"/>
      <c r="J732" s="1488"/>
      <c r="K732" s="1489"/>
      <c r="L732" s="1490"/>
      <c r="M732" s="1487"/>
      <c r="N732" s="1488"/>
      <c r="O732" s="1489"/>
      <c r="P732" s="1490"/>
      <c r="X732" s="1445" t="e">
        <f ca="1"/>
        <v>#NAME?</v>
      </c>
      <c r="Y732" s="1446" t="e">
        <f ca="1"/>
        <v>#NAME?</v>
      </c>
    </row>
    <row r="733" spans="1:25">
      <c r="A733" s="1487"/>
      <c r="B733" s="1488"/>
      <c r="C733" s="1489"/>
      <c r="D733" s="1490"/>
      <c r="E733" s="1487"/>
      <c r="F733" s="1488"/>
      <c r="G733" s="1489"/>
      <c r="H733" s="1490"/>
      <c r="I733" s="1487"/>
      <c r="J733" s="1488"/>
      <c r="K733" s="1489"/>
      <c r="L733" s="1490"/>
      <c r="M733" s="1487"/>
      <c r="N733" s="1488"/>
      <c r="O733" s="1489"/>
      <c r="P733" s="1490"/>
      <c r="X733" s="1445" t="e">
        <f ca="1"/>
        <v>#NAME?</v>
      </c>
      <c r="Y733" s="1446" t="e">
        <f ca="1"/>
        <v>#NAME?</v>
      </c>
    </row>
    <row r="734" spans="1:25">
      <c r="A734" s="1487"/>
      <c r="B734" s="1488"/>
      <c r="C734" s="1489"/>
      <c r="D734" s="1490"/>
      <c r="E734" s="1487"/>
      <c r="F734" s="1488"/>
      <c r="G734" s="1489"/>
      <c r="H734" s="1490"/>
      <c r="I734" s="1487"/>
      <c r="J734" s="1488"/>
      <c r="K734" s="1489"/>
      <c r="L734" s="1490"/>
      <c r="M734" s="1487"/>
      <c r="N734" s="1488"/>
      <c r="O734" s="1489"/>
      <c r="P734" s="1490"/>
      <c r="X734" s="1445" t="e">
        <f ca="1"/>
        <v>#NAME?</v>
      </c>
      <c r="Y734" s="1446" t="e">
        <f ca="1"/>
        <v>#NAME?</v>
      </c>
    </row>
    <row r="735" spans="1:25">
      <c r="A735" s="1487"/>
      <c r="B735" s="1488"/>
      <c r="C735" s="1489"/>
      <c r="D735" s="1490"/>
      <c r="E735" s="1487"/>
      <c r="F735" s="1488"/>
      <c r="G735" s="1489"/>
      <c r="H735" s="1490"/>
      <c r="I735" s="1487"/>
      <c r="J735" s="1488"/>
      <c r="K735" s="1489"/>
      <c r="L735" s="1490"/>
      <c r="M735" s="1487"/>
      <c r="N735" s="1488"/>
      <c r="O735" s="1489"/>
      <c r="P735" s="1490"/>
      <c r="X735" s="1445" t="e">
        <f ca="1"/>
        <v>#NAME?</v>
      </c>
      <c r="Y735" s="1446" t="e">
        <f ca="1"/>
        <v>#NAME?</v>
      </c>
    </row>
    <row r="736" spans="1:25">
      <c r="A736" s="1487"/>
      <c r="B736" s="1488"/>
      <c r="C736" s="1489"/>
      <c r="D736" s="1490"/>
      <c r="E736" s="1487"/>
      <c r="F736" s="1488"/>
      <c r="G736" s="1489"/>
      <c r="H736" s="1490"/>
      <c r="I736" s="1487"/>
      <c r="J736" s="1488"/>
      <c r="K736" s="1489"/>
      <c r="L736" s="1490"/>
      <c r="M736" s="1487"/>
      <c r="N736" s="1488"/>
      <c r="O736" s="1489"/>
      <c r="P736" s="1490"/>
      <c r="X736" s="1445" t="e">
        <f ca="1"/>
        <v>#NAME?</v>
      </c>
      <c r="Y736" s="1446" t="e">
        <f ca="1"/>
        <v>#NAME?</v>
      </c>
    </row>
    <row r="737" spans="1:25">
      <c r="A737" s="1487"/>
      <c r="B737" s="1488"/>
      <c r="C737" s="1489"/>
      <c r="D737" s="1490"/>
      <c r="E737" s="1487"/>
      <c r="F737" s="1488"/>
      <c r="G737" s="1489"/>
      <c r="H737" s="1490"/>
      <c r="I737" s="1487"/>
      <c r="J737" s="1488"/>
      <c r="K737" s="1489"/>
      <c r="L737" s="1490"/>
      <c r="M737" s="1487"/>
      <c r="N737" s="1488"/>
      <c r="O737" s="1489"/>
      <c r="P737" s="1490"/>
      <c r="X737" s="1445" t="e">
        <f ca="1"/>
        <v>#NAME?</v>
      </c>
      <c r="Y737" s="1446" t="e">
        <f ca="1"/>
        <v>#NAME?</v>
      </c>
    </row>
    <row r="738" spans="1:25">
      <c r="A738" s="1487"/>
      <c r="B738" s="1488"/>
      <c r="C738" s="1489"/>
      <c r="D738" s="1490"/>
      <c r="E738" s="1487"/>
      <c r="F738" s="1488"/>
      <c r="G738" s="1489"/>
      <c r="H738" s="1490"/>
      <c r="I738" s="1487"/>
      <c r="J738" s="1488"/>
      <c r="K738" s="1489"/>
      <c r="L738" s="1490"/>
      <c r="M738" s="1487"/>
      <c r="N738" s="1488"/>
      <c r="O738" s="1489"/>
      <c r="P738" s="1490"/>
      <c r="X738" s="1445" t="e">
        <f ca="1"/>
        <v>#NAME?</v>
      </c>
      <c r="Y738" s="1446" t="e">
        <f ca="1"/>
        <v>#NAME?</v>
      </c>
    </row>
    <row r="739" spans="1:25">
      <c r="A739" s="1487"/>
      <c r="B739" s="1488"/>
      <c r="C739" s="1489"/>
      <c r="D739" s="1490"/>
      <c r="E739" s="1487"/>
      <c r="F739" s="1488"/>
      <c r="G739" s="1489"/>
      <c r="H739" s="1490"/>
      <c r="I739" s="1487"/>
      <c r="J739" s="1488"/>
      <c r="K739" s="1489"/>
      <c r="L739" s="1490"/>
      <c r="M739" s="1487"/>
      <c r="N739" s="1488"/>
      <c r="O739" s="1489"/>
      <c r="P739" s="1490"/>
      <c r="X739" s="1445" t="e">
        <f ca="1"/>
        <v>#NAME?</v>
      </c>
      <c r="Y739" s="1446" t="e">
        <f ca="1"/>
        <v>#NAME?</v>
      </c>
    </row>
    <row r="740" spans="1:25">
      <c r="A740" s="1487"/>
      <c r="B740" s="1488"/>
      <c r="C740" s="1489"/>
      <c r="D740" s="1490"/>
      <c r="E740" s="1487"/>
      <c r="F740" s="1488"/>
      <c r="G740" s="1489"/>
      <c r="H740" s="1490"/>
      <c r="I740" s="1487"/>
      <c r="J740" s="1488"/>
      <c r="K740" s="1489"/>
      <c r="L740" s="1490"/>
      <c r="M740" s="1487"/>
      <c r="N740" s="1488"/>
      <c r="O740" s="1489"/>
      <c r="P740" s="1490"/>
      <c r="X740" s="1445" t="e">
        <f ca="1"/>
        <v>#NAME?</v>
      </c>
      <c r="Y740" s="1446" t="e">
        <f ca="1"/>
        <v>#NAME?</v>
      </c>
    </row>
    <row r="741" spans="1:25">
      <c r="A741" s="1487"/>
      <c r="B741" s="1488"/>
      <c r="C741" s="1489"/>
      <c r="D741" s="1490"/>
      <c r="E741" s="1487"/>
      <c r="F741" s="1488"/>
      <c r="G741" s="1489"/>
      <c r="H741" s="1490"/>
      <c r="I741" s="1487"/>
      <c r="J741" s="1488"/>
      <c r="K741" s="1489"/>
      <c r="L741" s="1490"/>
      <c r="M741" s="1487"/>
      <c r="N741" s="1488"/>
      <c r="O741" s="1489"/>
      <c r="P741" s="1490"/>
      <c r="X741" s="1445" t="e">
        <f ca="1"/>
        <v>#NAME?</v>
      </c>
      <c r="Y741" s="1446" t="e">
        <f ca="1"/>
        <v>#NAME?</v>
      </c>
    </row>
    <row r="742" spans="1:25">
      <c r="A742" s="1487"/>
      <c r="B742" s="1488"/>
      <c r="C742" s="1489"/>
      <c r="D742" s="1490"/>
      <c r="E742" s="1487"/>
      <c r="F742" s="1488"/>
      <c r="G742" s="1489"/>
      <c r="H742" s="1490"/>
      <c r="I742" s="1487"/>
      <c r="J742" s="1488"/>
      <c r="K742" s="1489"/>
      <c r="L742" s="1490"/>
      <c r="M742" s="1487"/>
      <c r="N742" s="1488"/>
      <c r="O742" s="1489"/>
      <c r="P742" s="1490"/>
      <c r="X742" s="1445" t="e">
        <f ca="1"/>
        <v>#NAME?</v>
      </c>
      <c r="Y742" s="1446" t="e">
        <f ca="1"/>
        <v>#NAME?</v>
      </c>
    </row>
    <row r="743" spans="1:25">
      <c r="A743" s="1487"/>
      <c r="B743" s="1488"/>
      <c r="C743" s="1489"/>
      <c r="D743" s="1490"/>
      <c r="E743" s="1487"/>
      <c r="F743" s="1488"/>
      <c r="G743" s="1489"/>
      <c r="H743" s="1490"/>
      <c r="I743" s="1487"/>
      <c r="J743" s="1488"/>
      <c r="K743" s="1489"/>
      <c r="L743" s="1490"/>
      <c r="M743" s="1487"/>
      <c r="N743" s="1488"/>
      <c r="O743" s="1489"/>
      <c r="P743" s="1490"/>
      <c r="X743" s="1445" t="e">
        <f ca="1"/>
        <v>#NAME?</v>
      </c>
      <c r="Y743" s="1446" t="e">
        <f ca="1"/>
        <v>#NAME?</v>
      </c>
    </row>
    <row r="744" spans="1:25">
      <c r="A744" s="1487"/>
      <c r="B744" s="1488"/>
      <c r="C744" s="1489"/>
      <c r="D744" s="1490"/>
      <c r="E744" s="1487"/>
      <c r="F744" s="1488"/>
      <c r="G744" s="1489"/>
      <c r="H744" s="1490"/>
      <c r="I744" s="1487"/>
      <c r="J744" s="1488"/>
      <c r="K744" s="1489"/>
      <c r="L744" s="1490"/>
      <c r="M744" s="1487"/>
      <c r="N744" s="1488"/>
      <c r="O744" s="1489"/>
      <c r="P744" s="1490"/>
      <c r="X744" s="1445" t="e">
        <f ca="1"/>
        <v>#NAME?</v>
      </c>
      <c r="Y744" s="1446" t="e">
        <f ca="1"/>
        <v>#NAME?</v>
      </c>
    </row>
    <row r="745" spans="1:25">
      <c r="A745" s="1487"/>
      <c r="B745" s="1488"/>
      <c r="C745" s="1489"/>
      <c r="D745" s="1490"/>
      <c r="E745" s="1487"/>
      <c r="F745" s="1488"/>
      <c r="G745" s="1489"/>
      <c r="H745" s="1490"/>
      <c r="I745" s="1487"/>
      <c r="J745" s="1488"/>
      <c r="K745" s="1489"/>
      <c r="L745" s="1490"/>
      <c r="M745" s="1487"/>
      <c r="N745" s="1488"/>
      <c r="O745" s="1489"/>
      <c r="P745" s="1490"/>
      <c r="X745" s="1445" t="e">
        <f ca="1"/>
        <v>#NAME?</v>
      </c>
      <c r="Y745" s="1446" t="e">
        <f ca="1"/>
        <v>#NAME?</v>
      </c>
    </row>
    <row r="746" spans="1:25">
      <c r="A746" s="1487"/>
      <c r="B746" s="1488"/>
      <c r="C746" s="1489"/>
      <c r="D746" s="1490"/>
      <c r="E746" s="1487"/>
      <c r="F746" s="1488"/>
      <c r="G746" s="1489"/>
      <c r="H746" s="1490"/>
      <c r="I746" s="1487"/>
      <c r="J746" s="1488"/>
      <c r="K746" s="1489"/>
      <c r="L746" s="1490"/>
      <c r="M746" s="1487"/>
      <c r="N746" s="1488"/>
      <c r="O746" s="1489"/>
      <c r="P746" s="1490"/>
      <c r="X746" s="1445" t="e">
        <f ca="1"/>
        <v>#NAME?</v>
      </c>
      <c r="Y746" s="1446" t="e">
        <f ca="1"/>
        <v>#NAME?</v>
      </c>
    </row>
    <row r="747" spans="1:25">
      <c r="A747" s="1487"/>
      <c r="B747" s="1488"/>
      <c r="C747" s="1489"/>
      <c r="D747" s="1490"/>
      <c r="E747" s="1487"/>
      <c r="F747" s="1488"/>
      <c r="G747" s="1489"/>
      <c r="H747" s="1490"/>
      <c r="I747" s="1487"/>
      <c r="J747" s="1488"/>
      <c r="K747" s="1489"/>
      <c r="L747" s="1490"/>
      <c r="M747" s="1487"/>
      <c r="N747" s="1488"/>
      <c r="O747" s="1489"/>
      <c r="P747" s="1490"/>
      <c r="X747" s="1445" t="e">
        <f ca="1"/>
        <v>#NAME?</v>
      </c>
      <c r="Y747" s="1446" t="e">
        <f ca="1"/>
        <v>#NAME?</v>
      </c>
    </row>
    <row r="748" spans="1:25">
      <c r="A748" s="1487"/>
      <c r="B748" s="1488"/>
      <c r="C748" s="1489"/>
      <c r="D748" s="1490"/>
      <c r="E748" s="1487"/>
      <c r="F748" s="1488"/>
      <c r="G748" s="1489"/>
      <c r="H748" s="1490"/>
      <c r="I748" s="1487"/>
      <c r="J748" s="1488"/>
      <c r="K748" s="1489"/>
      <c r="L748" s="1490"/>
      <c r="M748" s="1487"/>
      <c r="N748" s="1488"/>
      <c r="O748" s="1489"/>
      <c r="P748" s="1490"/>
      <c r="X748" s="1445" t="e">
        <f ca="1"/>
        <v>#NAME?</v>
      </c>
      <c r="Y748" s="1446" t="e">
        <f ca="1"/>
        <v>#NAME?</v>
      </c>
    </row>
    <row r="749" spans="1:25">
      <c r="A749" s="1487"/>
      <c r="B749" s="1488"/>
      <c r="C749" s="1489"/>
      <c r="D749" s="1490"/>
      <c r="E749" s="1487"/>
      <c r="F749" s="1488"/>
      <c r="G749" s="1489"/>
      <c r="H749" s="1490"/>
      <c r="I749" s="1487"/>
      <c r="J749" s="1488"/>
      <c r="K749" s="1489"/>
      <c r="L749" s="1490"/>
      <c r="M749" s="1487"/>
      <c r="N749" s="1488"/>
      <c r="O749" s="1489"/>
      <c r="P749" s="1490"/>
      <c r="X749" s="1445" t="e">
        <f ca="1"/>
        <v>#NAME?</v>
      </c>
      <c r="Y749" s="1446" t="e">
        <f ca="1"/>
        <v>#NAME?</v>
      </c>
    </row>
    <row r="750" spans="1:25">
      <c r="A750" s="1487"/>
      <c r="B750" s="1488"/>
      <c r="C750" s="1489"/>
      <c r="D750" s="1490"/>
      <c r="E750" s="1487"/>
      <c r="F750" s="1488"/>
      <c r="G750" s="1489"/>
      <c r="H750" s="1490"/>
      <c r="I750" s="1487"/>
      <c r="J750" s="1488"/>
      <c r="K750" s="1489"/>
      <c r="L750" s="1490"/>
      <c r="M750" s="1487"/>
      <c r="N750" s="1488"/>
      <c r="O750" s="1489"/>
      <c r="P750" s="1490"/>
      <c r="X750" s="1445" t="e">
        <f ca="1"/>
        <v>#NAME?</v>
      </c>
      <c r="Y750" s="1446" t="e">
        <f ca="1"/>
        <v>#NAME?</v>
      </c>
    </row>
    <row r="751" spans="1:25">
      <c r="A751" s="1487"/>
      <c r="B751" s="1488"/>
      <c r="C751" s="1489"/>
      <c r="D751" s="1490"/>
      <c r="E751" s="1487"/>
      <c r="F751" s="1488"/>
      <c r="G751" s="1489"/>
      <c r="H751" s="1490"/>
      <c r="I751" s="1487"/>
      <c r="J751" s="1488"/>
      <c r="K751" s="1489"/>
      <c r="L751" s="1490"/>
      <c r="M751" s="1487"/>
      <c r="N751" s="1488"/>
      <c r="O751" s="1489"/>
      <c r="P751" s="1490"/>
      <c r="X751" s="1445" t="e">
        <f ca="1"/>
        <v>#NAME?</v>
      </c>
      <c r="Y751" s="1446" t="e">
        <f ca="1"/>
        <v>#NAME?</v>
      </c>
    </row>
    <row r="752" spans="1:25">
      <c r="A752" s="1487"/>
      <c r="B752" s="1488"/>
      <c r="C752" s="1489"/>
      <c r="D752" s="1490"/>
      <c r="E752" s="1487"/>
      <c r="F752" s="1488"/>
      <c r="G752" s="1489"/>
      <c r="H752" s="1490"/>
      <c r="I752" s="1487"/>
      <c r="J752" s="1488"/>
      <c r="K752" s="1489"/>
      <c r="L752" s="1490"/>
      <c r="M752" s="1487"/>
      <c r="N752" s="1488"/>
      <c r="O752" s="1489"/>
      <c r="P752" s="1490"/>
      <c r="X752" s="1445" t="e">
        <f ca="1"/>
        <v>#NAME?</v>
      </c>
      <c r="Y752" s="1446" t="e">
        <f ca="1"/>
        <v>#NAME?</v>
      </c>
    </row>
    <row r="753" spans="1:25">
      <c r="A753" s="1487"/>
      <c r="B753" s="1488"/>
      <c r="C753" s="1489"/>
      <c r="D753" s="1490"/>
      <c r="E753" s="1487"/>
      <c r="F753" s="1488"/>
      <c r="G753" s="1489"/>
      <c r="H753" s="1490"/>
      <c r="I753" s="1487"/>
      <c r="J753" s="1488"/>
      <c r="K753" s="1489"/>
      <c r="L753" s="1490"/>
      <c r="M753" s="1487"/>
      <c r="N753" s="1488"/>
      <c r="O753" s="1489"/>
      <c r="P753" s="1490"/>
      <c r="X753" s="1445" t="e">
        <f ca="1"/>
        <v>#NAME?</v>
      </c>
      <c r="Y753" s="1446" t="e">
        <f ca="1"/>
        <v>#NAME?</v>
      </c>
    </row>
    <row r="754" spans="1:25">
      <c r="A754" s="1487"/>
      <c r="B754" s="1488"/>
      <c r="C754" s="1489"/>
      <c r="D754" s="1490"/>
      <c r="E754" s="1487"/>
      <c r="F754" s="1488"/>
      <c r="G754" s="1489"/>
      <c r="H754" s="1490"/>
      <c r="I754" s="1487"/>
      <c r="J754" s="1488"/>
      <c r="K754" s="1489"/>
      <c r="L754" s="1490"/>
      <c r="M754" s="1487"/>
      <c r="N754" s="1488"/>
      <c r="O754" s="1489"/>
      <c r="P754" s="1490"/>
      <c r="X754" s="1445" t="e">
        <f ca="1"/>
        <v>#NAME?</v>
      </c>
      <c r="Y754" s="1446" t="e">
        <f ca="1"/>
        <v>#NAME?</v>
      </c>
    </row>
    <row r="755" spans="1:25">
      <c r="A755" s="1487"/>
      <c r="B755" s="1488"/>
      <c r="C755" s="1489"/>
      <c r="D755" s="1490"/>
      <c r="E755" s="1487"/>
      <c r="F755" s="1488"/>
      <c r="G755" s="1489"/>
      <c r="H755" s="1490"/>
      <c r="I755" s="1487"/>
      <c r="J755" s="1488"/>
      <c r="K755" s="1489"/>
      <c r="L755" s="1490"/>
      <c r="M755" s="1487"/>
      <c r="N755" s="1488"/>
      <c r="O755" s="1489"/>
      <c r="P755" s="1490"/>
      <c r="X755" s="1445" t="e">
        <f ca="1"/>
        <v>#NAME?</v>
      </c>
      <c r="Y755" s="1446" t="e">
        <f ca="1"/>
        <v>#NAME?</v>
      </c>
    </row>
    <row r="756" spans="1:25">
      <c r="A756" s="1487"/>
      <c r="B756" s="1488"/>
      <c r="C756" s="1489"/>
      <c r="D756" s="1490"/>
      <c r="E756" s="1487"/>
      <c r="F756" s="1488"/>
      <c r="G756" s="1489"/>
      <c r="H756" s="1490"/>
      <c r="I756" s="1487"/>
      <c r="J756" s="1488"/>
      <c r="K756" s="1489"/>
      <c r="L756" s="1490"/>
      <c r="M756" s="1487"/>
      <c r="N756" s="1488"/>
      <c r="O756" s="1489"/>
      <c r="P756" s="1490"/>
      <c r="X756" s="1445" t="e">
        <f ca="1"/>
        <v>#NAME?</v>
      </c>
      <c r="Y756" s="1446" t="e">
        <f ca="1"/>
        <v>#NAME?</v>
      </c>
    </row>
    <row r="757" spans="1:25">
      <c r="A757" s="1487"/>
      <c r="B757" s="1488"/>
      <c r="C757" s="1489"/>
      <c r="D757" s="1490"/>
      <c r="E757" s="1487"/>
      <c r="F757" s="1488"/>
      <c r="G757" s="1489"/>
      <c r="H757" s="1490"/>
      <c r="I757" s="1487"/>
      <c r="J757" s="1488"/>
      <c r="K757" s="1489"/>
      <c r="L757" s="1490"/>
      <c r="M757" s="1487"/>
      <c r="N757" s="1488"/>
      <c r="O757" s="1489"/>
      <c r="P757" s="1490"/>
      <c r="X757" s="1445" t="e">
        <f ca="1"/>
        <v>#NAME?</v>
      </c>
      <c r="Y757" s="1446" t="e">
        <f ca="1"/>
        <v>#NAME?</v>
      </c>
    </row>
    <row r="758" spans="1:25">
      <c r="A758" s="1487"/>
      <c r="B758" s="1488"/>
      <c r="C758" s="1489"/>
      <c r="D758" s="1490"/>
      <c r="E758" s="1487"/>
      <c r="F758" s="1488"/>
      <c r="G758" s="1489"/>
      <c r="H758" s="1490"/>
      <c r="I758" s="1487"/>
      <c r="J758" s="1488"/>
      <c r="K758" s="1489"/>
      <c r="L758" s="1490"/>
      <c r="M758" s="1487"/>
      <c r="N758" s="1488"/>
      <c r="O758" s="1489"/>
      <c r="P758" s="1490"/>
      <c r="X758" s="1445" t="e">
        <f ca="1"/>
        <v>#NAME?</v>
      </c>
      <c r="Y758" s="1446" t="e">
        <f ca="1"/>
        <v>#NAME?</v>
      </c>
    </row>
    <row r="759" spans="1:25">
      <c r="A759" s="1487"/>
      <c r="B759" s="1488"/>
      <c r="C759" s="1489"/>
      <c r="D759" s="1490"/>
      <c r="E759" s="1487"/>
      <c r="F759" s="1488"/>
      <c r="G759" s="1489"/>
      <c r="H759" s="1490"/>
      <c r="I759" s="1487"/>
      <c r="J759" s="1488"/>
      <c r="K759" s="1489"/>
      <c r="L759" s="1490"/>
      <c r="M759" s="1487"/>
      <c r="N759" s="1488"/>
      <c r="O759" s="1489"/>
      <c r="P759" s="1490"/>
      <c r="X759" s="1445" t="e">
        <f ca="1"/>
        <v>#NAME?</v>
      </c>
      <c r="Y759" s="1446" t="e">
        <f ca="1"/>
        <v>#NAME?</v>
      </c>
    </row>
    <row r="760" spans="1:25">
      <c r="A760" s="1487"/>
      <c r="B760" s="1488"/>
      <c r="C760" s="1489"/>
      <c r="D760" s="1490"/>
      <c r="E760" s="1487"/>
      <c r="F760" s="1488"/>
      <c r="G760" s="1489"/>
      <c r="H760" s="1490"/>
      <c r="I760" s="1487"/>
      <c r="J760" s="1488"/>
      <c r="K760" s="1489"/>
      <c r="L760" s="1490"/>
      <c r="M760" s="1487"/>
      <c r="N760" s="1488"/>
      <c r="O760" s="1489"/>
      <c r="P760" s="1490"/>
      <c r="X760" s="1445" t="e">
        <f ca="1"/>
        <v>#NAME?</v>
      </c>
      <c r="Y760" s="1446" t="e">
        <f ca="1"/>
        <v>#NAME?</v>
      </c>
    </row>
    <row r="761" spans="1:25">
      <c r="A761" s="1487"/>
      <c r="B761" s="1488"/>
      <c r="C761" s="1489"/>
      <c r="D761" s="1490"/>
      <c r="E761" s="1487"/>
      <c r="F761" s="1488"/>
      <c r="G761" s="1489"/>
      <c r="H761" s="1490"/>
      <c r="I761" s="1487"/>
      <c r="J761" s="1488"/>
      <c r="K761" s="1489"/>
      <c r="L761" s="1490"/>
      <c r="M761" s="1487"/>
      <c r="N761" s="1488"/>
      <c r="O761" s="1489"/>
      <c r="P761" s="1490"/>
      <c r="X761" s="1445" t="e">
        <f ca="1"/>
        <v>#NAME?</v>
      </c>
      <c r="Y761" s="1446" t="e">
        <f ca="1"/>
        <v>#NAME?</v>
      </c>
    </row>
    <row r="762" spans="1:25">
      <c r="A762" s="1487"/>
      <c r="B762" s="1488"/>
      <c r="C762" s="1489"/>
      <c r="D762" s="1490"/>
      <c r="E762" s="1487"/>
      <c r="F762" s="1488"/>
      <c r="G762" s="1489"/>
      <c r="H762" s="1490"/>
      <c r="I762" s="1487"/>
      <c r="J762" s="1488"/>
      <c r="K762" s="1489"/>
      <c r="L762" s="1490"/>
      <c r="M762" s="1487"/>
      <c r="N762" s="1488"/>
      <c r="O762" s="1489"/>
      <c r="P762" s="1490"/>
      <c r="X762" s="1445" t="e">
        <f ca="1"/>
        <v>#NAME?</v>
      </c>
      <c r="Y762" s="1446" t="e">
        <f ca="1"/>
        <v>#NAME?</v>
      </c>
    </row>
    <row r="763" spans="1:25">
      <c r="A763" s="1487"/>
      <c r="B763" s="1488"/>
      <c r="C763" s="1489"/>
      <c r="D763" s="1490"/>
      <c r="E763" s="1487"/>
      <c r="F763" s="1488"/>
      <c r="G763" s="1489"/>
      <c r="H763" s="1490"/>
      <c r="I763" s="1487"/>
      <c r="J763" s="1488"/>
      <c r="K763" s="1489"/>
      <c r="L763" s="1490"/>
      <c r="M763" s="1487"/>
      <c r="N763" s="1488"/>
      <c r="O763" s="1489"/>
      <c r="P763" s="1490"/>
      <c r="X763" s="1445" t="e">
        <f ca="1"/>
        <v>#NAME?</v>
      </c>
      <c r="Y763" s="1446" t="e">
        <f ca="1"/>
        <v>#NAME?</v>
      </c>
    </row>
    <row r="764" spans="1:25">
      <c r="A764" s="1487"/>
      <c r="B764" s="1488"/>
      <c r="C764" s="1489"/>
      <c r="D764" s="1490"/>
      <c r="E764" s="1487"/>
      <c r="F764" s="1488"/>
      <c r="G764" s="1489"/>
      <c r="H764" s="1490"/>
      <c r="I764" s="1487"/>
      <c r="J764" s="1488"/>
      <c r="K764" s="1489"/>
      <c r="L764" s="1490"/>
      <c r="M764" s="1487"/>
      <c r="N764" s="1488"/>
      <c r="O764" s="1489"/>
      <c r="P764" s="1490"/>
      <c r="X764" s="1445" t="e">
        <f ca="1"/>
        <v>#NAME?</v>
      </c>
      <c r="Y764" s="1446" t="e">
        <f ca="1"/>
        <v>#NAME?</v>
      </c>
    </row>
    <row r="765" spans="1:25">
      <c r="A765" s="1487"/>
      <c r="B765" s="1488"/>
      <c r="C765" s="1489"/>
      <c r="D765" s="1490"/>
      <c r="E765" s="1487"/>
      <c r="F765" s="1488"/>
      <c r="G765" s="1489"/>
      <c r="H765" s="1490"/>
      <c r="I765" s="1487"/>
      <c r="J765" s="1488"/>
      <c r="K765" s="1489"/>
      <c r="L765" s="1490"/>
      <c r="M765" s="1487"/>
      <c r="N765" s="1488"/>
      <c r="O765" s="1489"/>
      <c r="P765" s="1490"/>
      <c r="X765" s="1445" t="e">
        <f ca="1"/>
        <v>#NAME?</v>
      </c>
      <c r="Y765" s="1446" t="e">
        <f ca="1"/>
        <v>#NAME?</v>
      </c>
    </row>
    <row r="766" spans="1:25">
      <c r="A766" s="1487"/>
      <c r="B766" s="1488"/>
      <c r="C766" s="1489"/>
      <c r="D766" s="1490"/>
      <c r="E766" s="1487"/>
      <c r="F766" s="1488"/>
      <c r="G766" s="1489"/>
      <c r="H766" s="1490"/>
      <c r="I766" s="1487"/>
      <c r="J766" s="1488"/>
      <c r="K766" s="1489"/>
      <c r="L766" s="1490"/>
      <c r="M766" s="1487"/>
      <c r="N766" s="1488"/>
      <c r="O766" s="1489"/>
      <c r="P766" s="1490"/>
      <c r="X766" s="1445" t="e">
        <f ca="1"/>
        <v>#NAME?</v>
      </c>
      <c r="Y766" s="1446" t="e">
        <f ca="1"/>
        <v>#NAME?</v>
      </c>
    </row>
    <row r="767" spans="1:25">
      <c r="A767" s="1487"/>
      <c r="B767" s="1488"/>
      <c r="C767" s="1489"/>
      <c r="D767" s="1490"/>
      <c r="E767" s="1487"/>
      <c r="F767" s="1488"/>
      <c r="G767" s="1489"/>
      <c r="H767" s="1490"/>
      <c r="I767" s="1487"/>
      <c r="J767" s="1488"/>
      <c r="K767" s="1489"/>
      <c r="L767" s="1490"/>
      <c r="M767" s="1487"/>
      <c r="N767" s="1488"/>
      <c r="O767" s="1489"/>
      <c r="P767" s="1490"/>
      <c r="X767" s="1445" t="e">
        <f ca="1"/>
        <v>#NAME?</v>
      </c>
      <c r="Y767" s="1446" t="e">
        <f ca="1"/>
        <v>#NAME?</v>
      </c>
    </row>
    <row r="768" spans="1:25">
      <c r="A768" s="1487"/>
      <c r="B768" s="1488"/>
      <c r="C768" s="1489"/>
      <c r="D768" s="1490"/>
      <c r="E768" s="1487"/>
      <c r="F768" s="1488"/>
      <c r="G768" s="1489"/>
      <c r="H768" s="1490"/>
      <c r="I768" s="1487"/>
      <c r="J768" s="1488"/>
      <c r="K768" s="1489"/>
      <c r="L768" s="1490"/>
      <c r="M768" s="1487"/>
      <c r="N768" s="1488"/>
      <c r="O768" s="1489"/>
      <c r="P768" s="1490"/>
      <c r="X768" s="1445" t="e">
        <f ca="1"/>
        <v>#NAME?</v>
      </c>
      <c r="Y768" s="1446" t="e">
        <f ca="1"/>
        <v>#NAME?</v>
      </c>
    </row>
    <row r="769" spans="1:25">
      <c r="A769" s="1487"/>
      <c r="B769" s="1488"/>
      <c r="C769" s="1489"/>
      <c r="D769" s="1490"/>
      <c r="E769" s="1487"/>
      <c r="F769" s="1488"/>
      <c r="G769" s="1489"/>
      <c r="H769" s="1490"/>
      <c r="I769" s="1487"/>
      <c r="J769" s="1488"/>
      <c r="K769" s="1489"/>
      <c r="L769" s="1490"/>
      <c r="M769" s="1487"/>
      <c r="N769" s="1488"/>
      <c r="O769" s="1489"/>
      <c r="P769" s="1490"/>
      <c r="X769" s="1445" t="e">
        <f ca="1"/>
        <v>#NAME?</v>
      </c>
      <c r="Y769" s="1446" t="e">
        <f ca="1"/>
        <v>#NAME?</v>
      </c>
    </row>
    <row r="770" spans="1:25">
      <c r="A770" s="1487"/>
      <c r="B770" s="1488"/>
      <c r="C770" s="1489"/>
      <c r="D770" s="1490"/>
      <c r="E770" s="1487"/>
      <c r="F770" s="1488"/>
      <c r="G770" s="1489"/>
      <c r="H770" s="1490"/>
      <c r="I770" s="1487"/>
      <c r="J770" s="1488"/>
      <c r="K770" s="1489"/>
      <c r="L770" s="1490"/>
      <c r="M770" s="1487"/>
      <c r="N770" s="1488"/>
      <c r="O770" s="1489"/>
      <c r="P770" s="1490"/>
      <c r="X770" s="1445" t="e">
        <f ca="1"/>
        <v>#NAME?</v>
      </c>
      <c r="Y770" s="1446" t="e">
        <f ca="1"/>
        <v>#NAME?</v>
      </c>
    </row>
    <row r="771" spans="1:25">
      <c r="A771" s="1487"/>
      <c r="B771" s="1488"/>
      <c r="C771" s="1489"/>
      <c r="D771" s="1490"/>
      <c r="E771" s="1487"/>
      <c r="F771" s="1488"/>
      <c r="G771" s="1489"/>
      <c r="H771" s="1490"/>
      <c r="I771" s="1487"/>
      <c r="J771" s="1488"/>
      <c r="K771" s="1489"/>
      <c r="L771" s="1490"/>
      <c r="M771" s="1487"/>
      <c r="N771" s="1488"/>
      <c r="O771" s="1489"/>
      <c r="P771" s="1490"/>
      <c r="X771" s="1445" t="e">
        <f ca="1"/>
        <v>#NAME?</v>
      </c>
      <c r="Y771" s="1446" t="e">
        <f ca="1"/>
        <v>#NAME?</v>
      </c>
    </row>
    <row r="772" spans="1:25">
      <c r="A772" s="1487"/>
      <c r="B772" s="1488"/>
      <c r="C772" s="1489"/>
      <c r="D772" s="1490"/>
      <c r="E772" s="1487"/>
      <c r="F772" s="1488"/>
      <c r="G772" s="1489"/>
      <c r="H772" s="1490"/>
      <c r="I772" s="1487"/>
      <c r="J772" s="1488"/>
      <c r="K772" s="1489"/>
      <c r="L772" s="1490"/>
      <c r="M772" s="1487"/>
      <c r="N772" s="1488"/>
      <c r="O772" s="1489"/>
      <c r="P772" s="1490"/>
      <c r="X772" s="1445" t="e">
        <f ca="1"/>
        <v>#NAME?</v>
      </c>
      <c r="Y772" s="1446" t="e">
        <f ca="1"/>
        <v>#NAME?</v>
      </c>
    </row>
    <row r="773" spans="1:25">
      <c r="A773" s="1487"/>
      <c r="B773" s="1488"/>
      <c r="C773" s="1489"/>
      <c r="D773" s="1490"/>
      <c r="E773" s="1487"/>
      <c r="F773" s="1488"/>
      <c r="G773" s="1489"/>
      <c r="H773" s="1490"/>
      <c r="I773" s="1487"/>
      <c r="J773" s="1488"/>
      <c r="K773" s="1489"/>
      <c r="L773" s="1490"/>
      <c r="M773" s="1487"/>
      <c r="N773" s="1488"/>
      <c r="O773" s="1489"/>
      <c r="P773" s="1490"/>
      <c r="X773" s="1445" t="e">
        <f ca="1"/>
        <v>#NAME?</v>
      </c>
      <c r="Y773" s="1446" t="e">
        <f ca="1"/>
        <v>#NAME?</v>
      </c>
    </row>
    <row r="774" spans="1:25">
      <c r="A774" s="1487"/>
      <c r="B774" s="1488"/>
      <c r="C774" s="1489"/>
      <c r="D774" s="1490"/>
      <c r="E774" s="1487"/>
      <c r="F774" s="1488"/>
      <c r="G774" s="1489"/>
      <c r="H774" s="1490"/>
      <c r="I774" s="1487"/>
      <c r="J774" s="1488"/>
      <c r="K774" s="1489"/>
      <c r="L774" s="1490"/>
      <c r="M774" s="1487"/>
      <c r="N774" s="1488"/>
      <c r="O774" s="1489"/>
      <c r="P774" s="1490"/>
      <c r="X774" s="1445" t="e">
        <f ca="1"/>
        <v>#NAME?</v>
      </c>
      <c r="Y774" s="1446" t="e">
        <f ca="1"/>
        <v>#NAME?</v>
      </c>
    </row>
    <row r="775" spans="1:25">
      <c r="A775" s="1487"/>
      <c r="B775" s="1488"/>
      <c r="C775" s="1489"/>
      <c r="D775" s="1490"/>
      <c r="E775" s="1487"/>
      <c r="F775" s="1488"/>
      <c r="G775" s="1489"/>
      <c r="H775" s="1490"/>
      <c r="I775" s="1487"/>
      <c r="J775" s="1488"/>
      <c r="K775" s="1489"/>
      <c r="L775" s="1490"/>
      <c r="M775" s="1487"/>
      <c r="N775" s="1488"/>
      <c r="O775" s="1489"/>
      <c r="P775" s="1490"/>
      <c r="X775" s="1445" t="e">
        <f ca="1"/>
        <v>#NAME?</v>
      </c>
      <c r="Y775" s="1446" t="e">
        <f ca="1"/>
        <v>#NAME?</v>
      </c>
    </row>
    <row r="776" spans="1:25">
      <c r="A776" s="1487"/>
      <c r="B776" s="1488"/>
      <c r="C776" s="1489"/>
      <c r="D776" s="1490"/>
      <c r="E776" s="1487"/>
      <c r="F776" s="1488"/>
      <c r="G776" s="1489"/>
      <c r="H776" s="1490"/>
      <c r="I776" s="1487"/>
      <c r="J776" s="1488"/>
      <c r="K776" s="1489"/>
      <c r="L776" s="1490"/>
      <c r="M776" s="1487"/>
      <c r="N776" s="1488"/>
      <c r="O776" s="1489"/>
      <c r="P776" s="1490"/>
      <c r="X776" s="1445" t="e">
        <f ca="1"/>
        <v>#NAME?</v>
      </c>
      <c r="Y776" s="1446" t="e">
        <f ca="1"/>
        <v>#NAME?</v>
      </c>
    </row>
    <row r="777" spans="1:25">
      <c r="A777" s="1487"/>
      <c r="B777" s="1488"/>
      <c r="C777" s="1489"/>
      <c r="D777" s="1490"/>
      <c r="E777" s="1487"/>
      <c r="F777" s="1488"/>
      <c r="G777" s="1489"/>
      <c r="H777" s="1490"/>
      <c r="I777" s="1487"/>
      <c r="J777" s="1488"/>
      <c r="K777" s="1489"/>
      <c r="L777" s="1490"/>
      <c r="M777" s="1487"/>
      <c r="N777" s="1488"/>
      <c r="O777" s="1489"/>
      <c r="P777" s="1490"/>
      <c r="X777" s="1445" t="e">
        <f ca="1"/>
        <v>#NAME?</v>
      </c>
      <c r="Y777" s="1446" t="e">
        <f ca="1"/>
        <v>#NAME?</v>
      </c>
    </row>
    <row r="778" spans="1:25">
      <c r="A778" s="1487"/>
      <c r="B778" s="1488"/>
      <c r="C778" s="1489"/>
      <c r="D778" s="1490"/>
      <c r="E778" s="1487"/>
      <c r="F778" s="1488"/>
      <c r="G778" s="1489"/>
      <c r="H778" s="1490"/>
      <c r="I778" s="1487"/>
      <c r="J778" s="1488"/>
      <c r="K778" s="1489"/>
      <c r="L778" s="1490"/>
      <c r="M778" s="1487"/>
      <c r="N778" s="1488"/>
      <c r="O778" s="1489"/>
      <c r="P778" s="1490"/>
      <c r="X778" s="1445" t="e">
        <f ca="1"/>
        <v>#NAME?</v>
      </c>
      <c r="Y778" s="1446" t="e">
        <f ca="1"/>
        <v>#NAME?</v>
      </c>
    </row>
    <row r="779" spans="1:25">
      <c r="A779" s="1487"/>
      <c r="B779" s="1488"/>
      <c r="C779" s="1489"/>
      <c r="D779" s="1490"/>
      <c r="E779" s="1487"/>
      <c r="F779" s="1488"/>
      <c r="G779" s="1489"/>
      <c r="H779" s="1490"/>
      <c r="I779" s="1487"/>
      <c r="J779" s="1488"/>
      <c r="K779" s="1489"/>
      <c r="L779" s="1490"/>
      <c r="M779" s="1487"/>
      <c r="N779" s="1488"/>
      <c r="O779" s="1489"/>
      <c r="P779" s="1490"/>
      <c r="X779" s="1445" t="e">
        <f ca="1"/>
        <v>#NAME?</v>
      </c>
      <c r="Y779" s="1446" t="e">
        <f ca="1"/>
        <v>#NAME?</v>
      </c>
    </row>
    <row r="780" spans="1:25">
      <c r="A780" s="1487"/>
      <c r="B780" s="1488"/>
      <c r="C780" s="1489"/>
      <c r="D780" s="1490"/>
      <c r="E780" s="1487"/>
      <c r="F780" s="1488"/>
      <c r="G780" s="1489"/>
      <c r="H780" s="1490"/>
      <c r="I780" s="1487"/>
      <c r="J780" s="1488"/>
      <c r="K780" s="1489"/>
      <c r="L780" s="1490"/>
      <c r="M780" s="1487"/>
      <c r="N780" s="1488"/>
      <c r="O780" s="1489"/>
      <c r="P780" s="1490"/>
      <c r="X780" s="1445" t="e">
        <f ca="1"/>
        <v>#NAME?</v>
      </c>
      <c r="Y780" s="1446" t="e">
        <f ca="1"/>
        <v>#NAME?</v>
      </c>
    </row>
    <row r="781" spans="1:25">
      <c r="A781" s="1487"/>
      <c r="B781" s="1488"/>
      <c r="C781" s="1489"/>
      <c r="D781" s="1490"/>
      <c r="E781" s="1487"/>
      <c r="F781" s="1488"/>
      <c r="G781" s="1489"/>
      <c r="H781" s="1490"/>
      <c r="I781" s="1487"/>
      <c r="J781" s="1488"/>
      <c r="K781" s="1489"/>
      <c r="L781" s="1490"/>
      <c r="M781" s="1487"/>
      <c r="N781" s="1488"/>
      <c r="O781" s="1489"/>
      <c r="P781" s="1490"/>
      <c r="X781" s="1445" t="e">
        <f ca="1"/>
        <v>#NAME?</v>
      </c>
      <c r="Y781" s="1446" t="e">
        <f ca="1"/>
        <v>#NAME?</v>
      </c>
    </row>
    <row r="782" spans="1:25">
      <c r="A782" s="1487"/>
      <c r="B782" s="1488"/>
      <c r="C782" s="1489"/>
      <c r="D782" s="1490"/>
      <c r="E782" s="1487"/>
      <c r="F782" s="1488"/>
      <c r="G782" s="1489"/>
      <c r="H782" s="1490"/>
      <c r="I782" s="1487"/>
      <c r="J782" s="1488"/>
      <c r="K782" s="1489"/>
      <c r="L782" s="1490"/>
      <c r="M782" s="1487"/>
      <c r="N782" s="1488"/>
      <c r="O782" s="1489"/>
      <c r="P782" s="1490"/>
      <c r="X782" s="1445" t="e">
        <f ca="1"/>
        <v>#NAME?</v>
      </c>
      <c r="Y782" s="1446" t="e">
        <f ca="1"/>
        <v>#NAME?</v>
      </c>
    </row>
    <row r="783" spans="1:25">
      <c r="A783" s="1487"/>
      <c r="B783" s="1488"/>
      <c r="C783" s="1489"/>
      <c r="D783" s="1490"/>
      <c r="E783" s="1487"/>
      <c r="F783" s="1488"/>
      <c r="G783" s="1489"/>
      <c r="H783" s="1490"/>
      <c r="I783" s="1487"/>
      <c r="J783" s="1488"/>
      <c r="K783" s="1489"/>
      <c r="L783" s="1490"/>
      <c r="M783" s="1487"/>
      <c r="N783" s="1488"/>
      <c r="O783" s="1489"/>
      <c r="P783" s="1490"/>
      <c r="X783" s="1445" t="e">
        <f ca="1"/>
        <v>#NAME?</v>
      </c>
      <c r="Y783" s="1446" t="e">
        <f ca="1"/>
        <v>#NAME?</v>
      </c>
    </row>
    <row r="784" spans="1:25">
      <c r="A784" s="1487"/>
      <c r="B784" s="1488"/>
      <c r="C784" s="1489"/>
      <c r="D784" s="1490"/>
      <c r="E784" s="1487"/>
      <c r="F784" s="1488"/>
      <c r="G784" s="1489"/>
      <c r="H784" s="1490"/>
      <c r="I784" s="1487"/>
      <c r="J784" s="1488"/>
      <c r="K784" s="1489"/>
      <c r="L784" s="1490"/>
      <c r="M784" s="1487"/>
      <c r="N784" s="1488"/>
      <c r="O784" s="1489"/>
      <c r="P784" s="1490"/>
      <c r="X784" s="1445" t="e">
        <f ca="1"/>
        <v>#NAME?</v>
      </c>
      <c r="Y784" s="1446" t="e">
        <f ca="1"/>
        <v>#NAME?</v>
      </c>
    </row>
    <row r="785" spans="1:25">
      <c r="A785" s="1487"/>
      <c r="B785" s="1488"/>
      <c r="C785" s="1489"/>
      <c r="D785" s="1490"/>
      <c r="E785" s="1487"/>
      <c r="F785" s="1488"/>
      <c r="G785" s="1489"/>
      <c r="H785" s="1490"/>
      <c r="I785" s="1487"/>
      <c r="J785" s="1488"/>
      <c r="K785" s="1489"/>
      <c r="L785" s="1490"/>
      <c r="M785" s="1487"/>
      <c r="N785" s="1488"/>
      <c r="O785" s="1489"/>
      <c r="P785" s="1490"/>
      <c r="X785" s="1445" t="e">
        <f ca="1"/>
        <v>#NAME?</v>
      </c>
      <c r="Y785" s="1446" t="e">
        <f ca="1"/>
        <v>#NAME?</v>
      </c>
    </row>
    <row r="786" spans="1:25">
      <c r="A786" s="1487"/>
      <c r="B786" s="1488"/>
      <c r="C786" s="1489"/>
      <c r="D786" s="1490"/>
      <c r="E786" s="1487"/>
      <c r="F786" s="1488"/>
      <c r="G786" s="1489"/>
      <c r="H786" s="1490"/>
      <c r="I786" s="1487"/>
      <c r="J786" s="1488"/>
      <c r="K786" s="1489"/>
      <c r="L786" s="1490"/>
      <c r="M786" s="1487"/>
      <c r="N786" s="1488"/>
      <c r="O786" s="1489"/>
      <c r="P786" s="1490"/>
      <c r="X786" s="1445" t="e">
        <f ca="1"/>
        <v>#NAME?</v>
      </c>
      <c r="Y786" s="1446" t="e">
        <f ca="1"/>
        <v>#NAME?</v>
      </c>
    </row>
    <row r="787" spans="1:25">
      <c r="A787" s="1487"/>
      <c r="B787" s="1488"/>
      <c r="C787" s="1489"/>
      <c r="D787" s="1490"/>
      <c r="E787" s="1487"/>
      <c r="F787" s="1488"/>
      <c r="G787" s="1489"/>
      <c r="H787" s="1490"/>
      <c r="I787" s="1487"/>
      <c r="J787" s="1488"/>
      <c r="K787" s="1489"/>
      <c r="L787" s="1490"/>
      <c r="M787" s="1487"/>
      <c r="N787" s="1488"/>
      <c r="O787" s="1489"/>
      <c r="P787" s="1490"/>
      <c r="X787" s="1445" t="e">
        <f ca="1"/>
        <v>#NAME?</v>
      </c>
      <c r="Y787" s="1446" t="e">
        <f ca="1"/>
        <v>#NAME?</v>
      </c>
    </row>
    <row r="788" spans="1:25">
      <c r="A788" s="1487"/>
      <c r="B788" s="1488"/>
      <c r="C788" s="1489"/>
      <c r="D788" s="1490"/>
      <c r="E788" s="1487"/>
      <c r="F788" s="1488"/>
      <c r="G788" s="1489"/>
      <c r="H788" s="1490"/>
      <c r="I788" s="1487"/>
      <c r="J788" s="1488"/>
      <c r="K788" s="1489"/>
      <c r="L788" s="1490"/>
      <c r="M788" s="1487"/>
      <c r="N788" s="1488"/>
      <c r="O788" s="1489"/>
      <c r="P788" s="1490"/>
      <c r="X788" s="1445" t="e">
        <f ca="1"/>
        <v>#NAME?</v>
      </c>
      <c r="Y788" s="1446" t="e">
        <f ca="1"/>
        <v>#NAME?</v>
      </c>
    </row>
    <row r="789" spans="1:25">
      <c r="A789" s="1487"/>
      <c r="B789" s="1488"/>
      <c r="C789" s="1489"/>
      <c r="D789" s="1490"/>
      <c r="E789" s="1487"/>
      <c r="F789" s="1488"/>
      <c r="G789" s="1489"/>
      <c r="H789" s="1490"/>
      <c r="I789" s="1487"/>
      <c r="J789" s="1488"/>
      <c r="K789" s="1489"/>
      <c r="L789" s="1490"/>
      <c r="M789" s="1487"/>
      <c r="N789" s="1488"/>
      <c r="O789" s="1489"/>
      <c r="P789" s="1490"/>
      <c r="X789" s="1445" t="e">
        <f ca="1"/>
        <v>#NAME?</v>
      </c>
      <c r="Y789" s="1446" t="e">
        <f ca="1"/>
        <v>#NAME?</v>
      </c>
    </row>
    <row r="790" spans="1:25">
      <c r="A790" s="1487"/>
      <c r="B790" s="1488"/>
      <c r="C790" s="1489"/>
      <c r="D790" s="1490"/>
      <c r="E790" s="1487"/>
      <c r="F790" s="1488"/>
      <c r="G790" s="1489"/>
      <c r="H790" s="1490"/>
      <c r="I790" s="1487"/>
      <c r="J790" s="1488"/>
      <c r="K790" s="1489"/>
      <c r="L790" s="1490"/>
      <c r="M790" s="1487"/>
      <c r="N790" s="1488"/>
      <c r="O790" s="1489"/>
      <c r="P790" s="1490"/>
      <c r="X790" s="1445" t="e">
        <f ca="1"/>
        <v>#NAME?</v>
      </c>
      <c r="Y790" s="1446" t="e">
        <f ca="1"/>
        <v>#NAME?</v>
      </c>
    </row>
    <row r="791" spans="1:25">
      <c r="A791" s="1487"/>
      <c r="B791" s="1488"/>
      <c r="C791" s="1489"/>
      <c r="D791" s="1490"/>
      <c r="E791" s="1487"/>
      <c r="F791" s="1488"/>
      <c r="G791" s="1489"/>
      <c r="H791" s="1490"/>
      <c r="I791" s="1487"/>
      <c r="J791" s="1488"/>
      <c r="K791" s="1489"/>
      <c r="L791" s="1490"/>
      <c r="M791" s="1487"/>
      <c r="N791" s="1488"/>
      <c r="O791" s="1489"/>
      <c r="P791" s="1490"/>
      <c r="X791" s="1445" t="e">
        <f ca="1"/>
        <v>#NAME?</v>
      </c>
      <c r="Y791" s="1446" t="e">
        <f ca="1"/>
        <v>#NAME?</v>
      </c>
    </row>
    <row r="792" spans="1:25">
      <c r="A792" s="1487"/>
      <c r="B792" s="1488"/>
      <c r="C792" s="1489"/>
      <c r="D792" s="1490"/>
      <c r="E792" s="1487"/>
      <c r="F792" s="1488"/>
      <c r="G792" s="1489"/>
      <c r="H792" s="1490"/>
      <c r="I792" s="1487"/>
      <c r="J792" s="1488"/>
      <c r="K792" s="1489"/>
      <c r="L792" s="1490"/>
      <c r="M792" s="1487"/>
      <c r="N792" s="1488"/>
      <c r="O792" s="1489"/>
      <c r="P792" s="1490"/>
      <c r="X792" s="1445" t="e">
        <f ca="1"/>
        <v>#NAME?</v>
      </c>
      <c r="Y792" s="1446" t="e">
        <f ca="1"/>
        <v>#NAME?</v>
      </c>
    </row>
    <row r="793" spans="1:25">
      <c r="A793" s="1487"/>
      <c r="B793" s="1488"/>
      <c r="C793" s="1489"/>
      <c r="D793" s="1490"/>
      <c r="E793" s="1487"/>
      <c r="F793" s="1488"/>
      <c r="G793" s="1489"/>
      <c r="H793" s="1490"/>
      <c r="I793" s="1487"/>
      <c r="J793" s="1488"/>
      <c r="K793" s="1489"/>
      <c r="L793" s="1490"/>
      <c r="M793" s="1487"/>
      <c r="N793" s="1488"/>
      <c r="O793" s="1489"/>
      <c r="P793" s="1490"/>
      <c r="X793" s="1445" t="e">
        <f ca="1"/>
        <v>#NAME?</v>
      </c>
      <c r="Y793" s="1446" t="e">
        <f ca="1"/>
        <v>#NAME?</v>
      </c>
    </row>
    <row r="794" spans="1:25">
      <c r="A794" s="1487"/>
      <c r="B794" s="1488"/>
      <c r="C794" s="1489"/>
      <c r="D794" s="1490"/>
      <c r="E794" s="1487"/>
      <c r="F794" s="1488"/>
      <c r="G794" s="1489"/>
      <c r="H794" s="1490"/>
      <c r="I794" s="1487"/>
      <c r="J794" s="1488"/>
      <c r="K794" s="1489"/>
      <c r="L794" s="1490"/>
      <c r="M794" s="1487"/>
      <c r="N794" s="1488"/>
      <c r="O794" s="1489"/>
      <c r="P794" s="1490"/>
      <c r="X794" s="1445" t="e">
        <f ca="1"/>
        <v>#NAME?</v>
      </c>
      <c r="Y794" s="1446" t="e">
        <f ca="1"/>
        <v>#NAME?</v>
      </c>
    </row>
    <row r="795" spans="1:25">
      <c r="A795" s="1487"/>
      <c r="B795" s="1488"/>
      <c r="C795" s="1489"/>
      <c r="D795" s="1490"/>
      <c r="E795" s="1487"/>
      <c r="F795" s="1488"/>
      <c r="G795" s="1489"/>
      <c r="H795" s="1490"/>
      <c r="I795" s="1487"/>
      <c r="J795" s="1488"/>
      <c r="K795" s="1489"/>
      <c r="L795" s="1490"/>
      <c r="M795" s="1487"/>
      <c r="N795" s="1488"/>
      <c r="O795" s="1489"/>
      <c r="P795" s="1490"/>
      <c r="X795" s="1445" t="e">
        <f ca="1"/>
        <v>#NAME?</v>
      </c>
      <c r="Y795" s="1446" t="e">
        <f ca="1"/>
        <v>#NAME?</v>
      </c>
    </row>
    <row r="796" spans="1:25">
      <c r="A796" s="1487"/>
      <c r="B796" s="1488"/>
      <c r="C796" s="1489"/>
      <c r="D796" s="1490"/>
      <c r="E796" s="1487"/>
      <c r="F796" s="1488"/>
      <c r="G796" s="1489"/>
      <c r="H796" s="1490"/>
      <c r="I796" s="1487"/>
      <c r="J796" s="1488"/>
      <c r="K796" s="1489"/>
      <c r="L796" s="1490"/>
      <c r="M796" s="1487"/>
      <c r="N796" s="1488"/>
      <c r="O796" s="1489"/>
      <c r="P796" s="1490"/>
      <c r="X796" s="1445" t="e">
        <f ca="1"/>
        <v>#NAME?</v>
      </c>
      <c r="Y796" s="1446" t="e">
        <f ca="1"/>
        <v>#NAME?</v>
      </c>
    </row>
    <row r="797" spans="1:25">
      <c r="A797" s="1487"/>
      <c r="B797" s="1488"/>
      <c r="C797" s="1489"/>
      <c r="D797" s="1490"/>
      <c r="E797" s="1487"/>
      <c r="F797" s="1488"/>
      <c r="G797" s="1489"/>
      <c r="H797" s="1490"/>
      <c r="I797" s="1487"/>
      <c r="J797" s="1488"/>
      <c r="K797" s="1489"/>
      <c r="L797" s="1490"/>
      <c r="M797" s="1487"/>
      <c r="N797" s="1488"/>
      <c r="O797" s="1489"/>
      <c r="P797" s="1490"/>
      <c r="X797" s="1445" t="e">
        <f ca="1"/>
        <v>#NAME?</v>
      </c>
      <c r="Y797" s="1446" t="e">
        <f ca="1"/>
        <v>#NAME?</v>
      </c>
    </row>
    <row r="798" spans="1:25">
      <c r="A798" s="1487"/>
      <c r="B798" s="1488"/>
      <c r="C798" s="1489"/>
      <c r="D798" s="1490"/>
      <c r="E798" s="1487"/>
      <c r="F798" s="1488"/>
      <c r="G798" s="1489"/>
      <c r="H798" s="1490"/>
      <c r="I798" s="1487"/>
      <c r="J798" s="1488"/>
      <c r="K798" s="1489"/>
      <c r="L798" s="1490"/>
      <c r="M798" s="1487"/>
      <c r="N798" s="1488"/>
      <c r="O798" s="1489"/>
      <c r="P798" s="1490"/>
      <c r="X798" s="1445" t="e">
        <f ca="1"/>
        <v>#NAME?</v>
      </c>
      <c r="Y798" s="1446" t="e">
        <f ca="1"/>
        <v>#NAME?</v>
      </c>
    </row>
    <row r="799" spans="1:25">
      <c r="A799" s="1487"/>
      <c r="B799" s="1488"/>
      <c r="C799" s="1489"/>
      <c r="D799" s="1490"/>
      <c r="E799" s="1487"/>
      <c r="F799" s="1488"/>
      <c r="G799" s="1489"/>
      <c r="H799" s="1490"/>
      <c r="I799" s="1487"/>
      <c r="J799" s="1488"/>
      <c r="K799" s="1489"/>
      <c r="L799" s="1490"/>
      <c r="M799" s="1487"/>
      <c r="N799" s="1488"/>
      <c r="O799" s="1489"/>
      <c r="P799" s="1490"/>
      <c r="X799" s="1445" t="e">
        <f ca="1"/>
        <v>#NAME?</v>
      </c>
      <c r="Y799" s="1446" t="e">
        <f ca="1"/>
        <v>#NAME?</v>
      </c>
    </row>
    <row r="800" spans="1:25">
      <c r="A800" s="1487"/>
      <c r="B800" s="1488"/>
      <c r="C800" s="1489"/>
      <c r="D800" s="1490"/>
      <c r="E800" s="1487"/>
      <c r="F800" s="1488"/>
      <c r="G800" s="1489"/>
      <c r="H800" s="1490"/>
      <c r="I800" s="1487"/>
      <c r="J800" s="1488"/>
      <c r="K800" s="1489"/>
      <c r="L800" s="1490"/>
      <c r="M800" s="1487"/>
      <c r="N800" s="1488"/>
      <c r="O800" s="1489"/>
      <c r="P800" s="1490"/>
      <c r="X800" s="1445" t="e">
        <f ca="1"/>
        <v>#NAME?</v>
      </c>
      <c r="Y800" s="1446" t="e">
        <f ca="1"/>
        <v>#NAME?</v>
      </c>
    </row>
    <row r="801" spans="1:25">
      <c r="A801" s="1487"/>
      <c r="B801" s="1488"/>
      <c r="C801" s="1489"/>
      <c r="D801" s="1490"/>
      <c r="E801" s="1487"/>
      <c r="F801" s="1488"/>
      <c r="G801" s="1489"/>
      <c r="H801" s="1490"/>
      <c r="I801" s="1487"/>
      <c r="J801" s="1488"/>
      <c r="K801" s="1489"/>
      <c r="L801" s="1490"/>
      <c r="M801" s="1487"/>
      <c r="N801" s="1488"/>
      <c r="O801" s="1489"/>
      <c r="P801" s="1490"/>
      <c r="X801" s="1445" t="e">
        <f ca="1"/>
        <v>#NAME?</v>
      </c>
      <c r="Y801" s="1446" t="e">
        <f ca="1"/>
        <v>#NAME?</v>
      </c>
    </row>
    <row r="802" spans="1:25">
      <c r="A802" s="1487"/>
      <c r="B802" s="1488"/>
      <c r="C802" s="1489"/>
      <c r="D802" s="1490"/>
      <c r="E802" s="1487"/>
      <c r="F802" s="1488"/>
      <c r="G802" s="1489"/>
      <c r="H802" s="1490"/>
      <c r="I802" s="1487"/>
      <c r="J802" s="1488"/>
      <c r="K802" s="1489"/>
      <c r="L802" s="1490"/>
      <c r="M802" s="1487"/>
      <c r="N802" s="1488"/>
      <c r="O802" s="1489"/>
      <c r="P802" s="1490"/>
      <c r="X802" s="1445" t="e">
        <f ca="1"/>
        <v>#NAME?</v>
      </c>
      <c r="Y802" s="1446" t="e">
        <f ca="1"/>
        <v>#NAME?</v>
      </c>
    </row>
    <row r="803" spans="1:25">
      <c r="A803" s="1487"/>
      <c r="B803" s="1488"/>
      <c r="C803" s="1489"/>
      <c r="D803" s="1490"/>
      <c r="E803" s="1487"/>
      <c r="F803" s="1488"/>
      <c r="G803" s="1489"/>
      <c r="H803" s="1490"/>
      <c r="I803" s="1487"/>
      <c r="J803" s="1488"/>
      <c r="K803" s="1489"/>
      <c r="L803" s="1490"/>
      <c r="M803" s="1487"/>
      <c r="N803" s="1488"/>
      <c r="O803" s="1489"/>
      <c r="P803" s="1490"/>
      <c r="X803" s="1445" t="e">
        <f ca="1"/>
        <v>#NAME?</v>
      </c>
      <c r="Y803" s="1446" t="e">
        <f ca="1"/>
        <v>#NAME?</v>
      </c>
    </row>
    <row r="804" spans="1:25">
      <c r="A804" s="1487"/>
      <c r="B804" s="1488"/>
      <c r="C804" s="1489"/>
      <c r="D804" s="1490"/>
      <c r="E804" s="1487"/>
      <c r="F804" s="1488"/>
      <c r="G804" s="1489"/>
      <c r="H804" s="1490"/>
      <c r="I804" s="1487"/>
      <c r="J804" s="1488"/>
      <c r="K804" s="1489"/>
      <c r="L804" s="1490"/>
      <c r="M804" s="1487"/>
      <c r="N804" s="1488"/>
      <c r="O804" s="1489"/>
      <c r="P804" s="1490"/>
      <c r="X804" s="1445" t="e">
        <f ca="1"/>
        <v>#NAME?</v>
      </c>
      <c r="Y804" s="1446" t="e">
        <f ca="1"/>
        <v>#NAME?</v>
      </c>
    </row>
    <row r="805" spans="1:25">
      <c r="A805" s="1487"/>
      <c r="B805" s="1488"/>
      <c r="C805" s="1489"/>
      <c r="D805" s="1490"/>
      <c r="E805" s="1487"/>
      <c r="F805" s="1488"/>
      <c r="G805" s="1489"/>
      <c r="H805" s="1490"/>
      <c r="I805" s="1487"/>
      <c r="J805" s="1488"/>
      <c r="K805" s="1489"/>
      <c r="L805" s="1490"/>
      <c r="M805" s="1487"/>
      <c r="N805" s="1488"/>
      <c r="O805" s="1489"/>
      <c r="P805" s="1490"/>
      <c r="X805" s="1445" t="e">
        <f ca="1"/>
        <v>#NAME?</v>
      </c>
      <c r="Y805" s="1446" t="e">
        <f ca="1"/>
        <v>#NAME?</v>
      </c>
    </row>
    <row r="806" spans="1:25">
      <c r="A806" s="1487"/>
      <c r="B806" s="1488"/>
      <c r="C806" s="1489"/>
      <c r="D806" s="1490"/>
      <c r="E806" s="1487"/>
      <c r="F806" s="1488"/>
      <c r="G806" s="1489"/>
      <c r="H806" s="1490"/>
      <c r="I806" s="1487"/>
      <c r="J806" s="1488"/>
      <c r="K806" s="1489"/>
      <c r="L806" s="1490"/>
      <c r="M806" s="1487"/>
      <c r="N806" s="1488"/>
      <c r="O806" s="1489"/>
      <c r="P806" s="1490"/>
      <c r="X806" s="1445" t="e">
        <f ca="1"/>
        <v>#NAME?</v>
      </c>
      <c r="Y806" s="1446" t="e">
        <f ca="1"/>
        <v>#NAME?</v>
      </c>
    </row>
    <row r="807" spans="1:25">
      <c r="A807" s="1487"/>
      <c r="B807" s="1488"/>
      <c r="C807" s="1489"/>
      <c r="D807" s="1490"/>
      <c r="E807" s="1487"/>
      <c r="F807" s="1488"/>
      <c r="G807" s="1489"/>
      <c r="H807" s="1490"/>
      <c r="I807" s="1487"/>
      <c r="J807" s="1488"/>
      <c r="K807" s="1489"/>
      <c r="L807" s="1490"/>
      <c r="M807" s="1487"/>
      <c r="N807" s="1488"/>
      <c r="O807" s="1489"/>
      <c r="P807" s="1490"/>
      <c r="X807" s="1445" t="e">
        <f ca="1"/>
        <v>#NAME?</v>
      </c>
      <c r="Y807" s="1446" t="e">
        <f ca="1"/>
        <v>#NAME?</v>
      </c>
    </row>
    <row r="808" spans="1:25">
      <c r="A808" s="1487"/>
      <c r="B808" s="1488"/>
      <c r="C808" s="1489"/>
      <c r="D808" s="1490"/>
      <c r="E808" s="1487"/>
      <c r="F808" s="1488"/>
      <c r="G808" s="1489"/>
      <c r="H808" s="1490"/>
      <c r="I808" s="1487"/>
      <c r="J808" s="1488"/>
      <c r="K808" s="1489"/>
      <c r="L808" s="1490"/>
      <c r="M808" s="1487"/>
      <c r="N808" s="1488"/>
      <c r="O808" s="1489"/>
      <c r="P808" s="1490"/>
      <c r="X808" s="1445" t="e">
        <f ca="1"/>
        <v>#NAME?</v>
      </c>
      <c r="Y808" s="1446" t="e">
        <f ca="1"/>
        <v>#NAME?</v>
      </c>
    </row>
    <row r="809" spans="1:25">
      <c r="A809" s="1487"/>
      <c r="B809" s="1488"/>
      <c r="C809" s="1489"/>
      <c r="D809" s="1490"/>
      <c r="E809" s="1487"/>
      <c r="F809" s="1488"/>
      <c r="G809" s="1489"/>
      <c r="H809" s="1490"/>
      <c r="I809" s="1487"/>
      <c r="J809" s="1488"/>
      <c r="K809" s="1489"/>
      <c r="L809" s="1490"/>
      <c r="M809" s="1487"/>
      <c r="N809" s="1488"/>
      <c r="O809" s="1489"/>
      <c r="P809" s="1490"/>
      <c r="X809" s="1445" t="e">
        <f ca="1"/>
        <v>#NAME?</v>
      </c>
      <c r="Y809" s="1446" t="e">
        <f ca="1"/>
        <v>#NAME?</v>
      </c>
    </row>
    <row r="810" spans="1:25">
      <c r="A810" s="1487"/>
      <c r="B810" s="1488"/>
      <c r="C810" s="1489"/>
      <c r="D810" s="1490"/>
      <c r="E810" s="1487"/>
      <c r="F810" s="1488"/>
      <c r="G810" s="1489"/>
      <c r="H810" s="1490"/>
      <c r="I810" s="1487"/>
      <c r="J810" s="1488"/>
      <c r="K810" s="1489"/>
      <c r="L810" s="1490"/>
      <c r="M810" s="1487"/>
      <c r="N810" s="1488"/>
      <c r="O810" s="1489"/>
      <c r="P810" s="1490"/>
      <c r="X810" s="1445" t="e">
        <f ca="1"/>
        <v>#NAME?</v>
      </c>
      <c r="Y810" s="1446" t="e">
        <f ca="1"/>
        <v>#NAME?</v>
      </c>
    </row>
    <row r="811" spans="1:25">
      <c r="A811" s="1487"/>
      <c r="B811" s="1488"/>
      <c r="C811" s="1489"/>
      <c r="D811" s="1490"/>
      <c r="E811" s="1487"/>
      <c r="F811" s="1488"/>
      <c r="G811" s="1489"/>
      <c r="H811" s="1490"/>
      <c r="I811" s="1487"/>
      <c r="J811" s="1488"/>
      <c r="K811" s="1489"/>
      <c r="L811" s="1490"/>
      <c r="M811" s="1487"/>
      <c r="N811" s="1488"/>
      <c r="O811" s="1489"/>
      <c r="P811" s="1490"/>
      <c r="X811" s="1445" t="e">
        <f ca="1"/>
        <v>#NAME?</v>
      </c>
      <c r="Y811" s="1446" t="e">
        <f ca="1"/>
        <v>#NAME?</v>
      </c>
    </row>
    <row r="812" spans="1:25">
      <c r="A812" s="1487"/>
      <c r="B812" s="1488"/>
      <c r="C812" s="1489"/>
      <c r="D812" s="1490"/>
      <c r="E812" s="1487"/>
      <c r="F812" s="1488"/>
      <c r="G812" s="1489"/>
      <c r="H812" s="1490"/>
      <c r="I812" s="1487"/>
      <c r="J812" s="1488"/>
      <c r="K812" s="1489"/>
      <c r="L812" s="1490"/>
      <c r="M812" s="1487"/>
      <c r="N812" s="1488"/>
      <c r="O812" s="1489"/>
      <c r="P812" s="1490"/>
      <c r="X812" s="1445" t="e">
        <f ca="1"/>
        <v>#NAME?</v>
      </c>
      <c r="Y812" s="1446" t="e">
        <f ca="1"/>
        <v>#NAME?</v>
      </c>
    </row>
    <row r="813" spans="1:25">
      <c r="A813" s="1487"/>
      <c r="B813" s="1488"/>
      <c r="C813" s="1489"/>
      <c r="D813" s="1490"/>
      <c r="E813" s="1487"/>
      <c r="F813" s="1488"/>
      <c r="G813" s="1489"/>
      <c r="H813" s="1490"/>
      <c r="I813" s="1487"/>
      <c r="J813" s="1488"/>
      <c r="K813" s="1489"/>
      <c r="L813" s="1490"/>
      <c r="M813" s="1487"/>
      <c r="N813" s="1488"/>
      <c r="O813" s="1489"/>
      <c r="P813" s="1490"/>
      <c r="X813" s="1445" t="e">
        <f ca="1"/>
        <v>#NAME?</v>
      </c>
      <c r="Y813" s="1446" t="e">
        <f ca="1"/>
        <v>#NAME?</v>
      </c>
    </row>
    <row r="814" spans="1:25">
      <c r="A814" s="1487"/>
      <c r="B814" s="1488"/>
      <c r="C814" s="1489"/>
      <c r="D814" s="1490"/>
      <c r="E814" s="1487"/>
      <c r="F814" s="1488"/>
      <c r="G814" s="1489"/>
      <c r="H814" s="1490"/>
      <c r="I814" s="1487"/>
      <c r="J814" s="1488"/>
      <c r="K814" s="1489"/>
      <c r="L814" s="1490"/>
      <c r="M814" s="1487"/>
      <c r="N814" s="1488"/>
      <c r="O814" s="1489"/>
      <c r="P814" s="1490"/>
      <c r="X814" s="1445" t="e">
        <f ca="1"/>
        <v>#NAME?</v>
      </c>
      <c r="Y814" s="1446" t="e">
        <f ca="1"/>
        <v>#NAME?</v>
      </c>
    </row>
    <row r="815" spans="1:25">
      <c r="A815" s="1487"/>
      <c r="B815" s="1488"/>
      <c r="C815" s="1489"/>
      <c r="D815" s="1490"/>
      <c r="E815" s="1487"/>
      <c r="F815" s="1488"/>
      <c r="G815" s="1489"/>
      <c r="H815" s="1490"/>
      <c r="I815" s="1487"/>
      <c r="J815" s="1488"/>
      <c r="K815" s="1489"/>
      <c r="L815" s="1490"/>
      <c r="M815" s="1487"/>
      <c r="N815" s="1488"/>
      <c r="O815" s="1489"/>
      <c r="P815" s="1490"/>
      <c r="X815" s="1445" t="e">
        <f ca="1"/>
        <v>#NAME?</v>
      </c>
      <c r="Y815" s="1446" t="e">
        <f ca="1"/>
        <v>#NAME?</v>
      </c>
    </row>
    <row r="816" spans="1:25">
      <c r="A816" s="1487"/>
      <c r="B816" s="1488"/>
      <c r="C816" s="1489"/>
      <c r="D816" s="1490"/>
      <c r="E816" s="1487"/>
      <c r="F816" s="1488"/>
      <c r="G816" s="1489"/>
      <c r="H816" s="1490"/>
      <c r="I816" s="1487"/>
      <c r="J816" s="1488"/>
      <c r="K816" s="1489"/>
      <c r="L816" s="1490"/>
      <c r="M816" s="1487"/>
      <c r="N816" s="1488"/>
      <c r="O816" s="1489"/>
      <c r="P816" s="1490"/>
      <c r="X816" s="1445" t="e">
        <f ca="1"/>
        <v>#NAME?</v>
      </c>
      <c r="Y816" s="1446" t="e">
        <f ca="1"/>
        <v>#NAME?</v>
      </c>
    </row>
    <row r="817" spans="1:25">
      <c r="A817" s="1487"/>
      <c r="B817" s="1488"/>
      <c r="C817" s="1489"/>
      <c r="D817" s="1490"/>
      <c r="E817" s="1487"/>
      <c r="F817" s="1488"/>
      <c r="G817" s="1489"/>
      <c r="H817" s="1490"/>
      <c r="I817" s="1487"/>
      <c r="J817" s="1488"/>
      <c r="K817" s="1489"/>
      <c r="L817" s="1490"/>
      <c r="M817" s="1487"/>
      <c r="N817" s="1488"/>
      <c r="O817" s="1489"/>
      <c r="P817" s="1490"/>
      <c r="X817" s="1445" t="e">
        <f ca="1"/>
        <v>#NAME?</v>
      </c>
      <c r="Y817" s="1446" t="e">
        <f ca="1"/>
        <v>#NAME?</v>
      </c>
    </row>
    <row r="818" spans="1:25">
      <c r="A818" s="1487"/>
      <c r="B818" s="1488"/>
      <c r="C818" s="1489"/>
      <c r="D818" s="1490"/>
      <c r="E818" s="1487"/>
      <c r="F818" s="1488"/>
      <c r="G818" s="1489"/>
      <c r="H818" s="1490"/>
      <c r="I818" s="1487"/>
      <c r="J818" s="1488"/>
      <c r="K818" s="1489"/>
      <c r="L818" s="1490"/>
      <c r="M818" s="1487"/>
      <c r="N818" s="1488"/>
      <c r="O818" s="1489"/>
      <c r="P818" s="1490"/>
      <c r="X818" s="1445" t="e">
        <f ca="1"/>
        <v>#NAME?</v>
      </c>
      <c r="Y818" s="1446" t="e">
        <f ca="1"/>
        <v>#NAME?</v>
      </c>
    </row>
    <row r="819" spans="1:25">
      <c r="A819" s="1487"/>
      <c r="B819" s="1488"/>
      <c r="C819" s="1489"/>
      <c r="D819" s="1490"/>
      <c r="E819" s="1487"/>
      <c r="F819" s="1488"/>
      <c r="G819" s="1489"/>
      <c r="H819" s="1490"/>
      <c r="I819" s="1487"/>
      <c r="J819" s="1488"/>
      <c r="K819" s="1489"/>
      <c r="L819" s="1490"/>
      <c r="M819" s="1487"/>
      <c r="N819" s="1488"/>
      <c r="O819" s="1489"/>
      <c r="P819" s="1490"/>
      <c r="X819" s="1445" t="e">
        <f ca="1"/>
        <v>#NAME?</v>
      </c>
      <c r="Y819" s="1446" t="e">
        <f ca="1"/>
        <v>#NAME?</v>
      </c>
    </row>
    <row r="820" spans="1:25">
      <c r="A820" s="1487"/>
      <c r="B820" s="1488"/>
      <c r="C820" s="1489"/>
      <c r="D820" s="1490"/>
      <c r="E820" s="1487"/>
      <c r="F820" s="1488"/>
      <c r="G820" s="1489"/>
      <c r="H820" s="1490"/>
      <c r="I820" s="1487"/>
      <c r="J820" s="1488"/>
      <c r="K820" s="1489"/>
      <c r="L820" s="1490"/>
      <c r="M820" s="1487"/>
      <c r="N820" s="1488"/>
      <c r="O820" s="1489"/>
      <c r="P820" s="1490"/>
      <c r="X820" s="1445" t="e">
        <f ca="1"/>
        <v>#NAME?</v>
      </c>
      <c r="Y820" s="1446" t="e">
        <f ca="1"/>
        <v>#NAME?</v>
      </c>
    </row>
    <row r="821" spans="1:25">
      <c r="A821" s="1487"/>
      <c r="B821" s="1488"/>
      <c r="C821" s="1489"/>
      <c r="D821" s="1490"/>
      <c r="E821" s="1487"/>
      <c r="F821" s="1488"/>
      <c r="G821" s="1489"/>
      <c r="H821" s="1490"/>
      <c r="I821" s="1487"/>
      <c r="J821" s="1488"/>
      <c r="K821" s="1489"/>
      <c r="L821" s="1490"/>
      <c r="M821" s="1487"/>
      <c r="N821" s="1488"/>
      <c r="O821" s="1489"/>
      <c r="P821" s="1490"/>
      <c r="X821" s="1445" t="e">
        <f ca="1"/>
        <v>#NAME?</v>
      </c>
      <c r="Y821" s="1446" t="e">
        <f ca="1"/>
        <v>#NAME?</v>
      </c>
    </row>
    <row r="822" spans="1:25">
      <c r="A822" s="1487"/>
      <c r="B822" s="1488"/>
      <c r="C822" s="1489"/>
      <c r="D822" s="1490"/>
      <c r="E822" s="1487"/>
      <c r="F822" s="1488"/>
      <c r="G822" s="1489"/>
      <c r="H822" s="1490"/>
      <c r="I822" s="1487"/>
      <c r="J822" s="1488"/>
      <c r="K822" s="1489"/>
      <c r="L822" s="1490"/>
      <c r="M822" s="1487"/>
      <c r="N822" s="1488"/>
      <c r="O822" s="1489"/>
      <c r="P822" s="1490"/>
      <c r="X822" s="1445" t="e">
        <f ca="1"/>
        <v>#NAME?</v>
      </c>
      <c r="Y822" s="1446" t="e">
        <f ca="1"/>
        <v>#NAME?</v>
      </c>
    </row>
    <row r="823" spans="1:25">
      <c r="A823" s="1487"/>
      <c r="B823" s="1488"/>
      <c r="C823" s="1489"/>
      <c r="D823" s="1490"/>
      <c r="E823" s="1487"/>
      <c r="F823" s="1488"/>
      <c r="G823" s="1489"/>
      <c r="H823" s="1490"/>
      <c r="I823" s="1487"/>
      <c r="J823" s="1488"/>
      <c r="K823" s="1489"/>
      <c r="L823" s="1490"/>
      <c r="M823" s="1487"/>
      <c r="N823" s="1488"/>
      <c r="O823" s="1489"/>
      <c r="P823" s="1490"/>
      <c r="X823" s="1445" t="e">
        <f ca="1"/>
        <v>#NAME?</v>
      </c>
      <c r="Y823" s="1446" t="e">
        <f ca="1"/>
        <v>#NAME?</v>
      </c>
    </row>
    <row r="824" spans="1:25">
      <c r="A824" s="1487"/>
      <c r="B824" s="1488"/>
      <c r="C824" s="1489"/>
      <c r="D824" s="1490"/>
      <c r="E824" s="1487"/>
      <c r="F824" s="1488"/>
      <c r="G824" s="1489"/>
      <c r="H824" s="1490"/>
      <c r="I824" s="1487"/>
      <c r="J824" s="1488"/>
      <c r="K824" s="1489"/>
      <c r="L824" s="1490"/>
      <c r="M824" s="1487"/>
      <c r="N824" s="1488"/>
      <c r="O824" s="1489"/>
      <c r="P824" s="1490"/>
      <c r="X824" s="1445" t="e">
        <f ca="1"/>
        <v>#NAME?</v>
      </c>
      <c r="Y824" s="1446" t="e">
        <f ca="1"/>
        <v>#NAME?</v>
      </c>
    </row>
    <row r="825" spans="1:25">
      <c r="A825" s="1487"/>
      <c r="B825" s="1488"/>
      <c r="C825" s="1489"/>
      <c r="D825" s="1490"/>
      <c r="E825" s="1487"/>
      <c r="F825" s="1488"/>
      <c r="G825" s="1489"/>
      <c r="H825" s="1490"/>
      <c r="I825" s="1487"/>
      <c r="J825" s="1488"/>
      <c r="K825" s="1489"/>
      <c r="L825" s="1490"/>
      <c r="M825" s="1487"/>
      <c r="N825" s="1488"/>
      <c r="O825" s="1489"/>
      <c r="P825" s="1490"/>
      <c r="X825" s="1445" t="e">
        <f ca="1"/>
        <v>#NAME?</v>
      </c>
      <c r="Y825" s="1446" t="e">
        <f ca="1"/>
        <v>#NAME?</v>
      </c>
    </row>
    <row r="826" spans="1:25">
      <c r="A826" s="1487"/>
      <c r="B826" s="1488"/>
      <c r="C826" s="1489"/>
      <c r="D826" s="1490"/>
      <c r="E826" s="1487"/>
      <c r="F826" s="1488"/>
      <c r="G826" s="1489"/>
      <c r="H826" s="1490"/>
      <c r="I826" s="1487"/>
      <c r="J826" s="1488"/>
      <c r="K826" s="1489"/>
      <c r="L826" s="1490"/>
      <c r="M826" s="1487"/>
      <c r="N826" s="1488"/>
      <c r="O826" s="1489"/>
      <c r="P826" s="1490"/>
      <c r="X826" s="1445" t="e">
        <f ca="1"/>
        <v>#NAME?</v>
      </c>
      <c r="Y826" s="1446" t="e">
        <f ca="1"/>
        <v>#NAME?</v>
      </c>
    </row>
    <row r="827" spans="1:25">
      <c r="A827" s="1487"/>
      <c r="B827" s="1488"/>
      <c r="C827" s="1489"/>
      <c r="D827" s="1490"/>
      <c r="E827" s="1487"/>
      <c r="F827" s="1488"/>
      <c r="G827" s="1489"/>
      <c r="H827" s="1490"/>
      <c r="I827" s="1487"/>
      <c r="J827" s="1488"/>
      <c r="K827" s="1489"/>
      <c r="L827" s="1490"/>
      <c r="M827" s="1487"/>
      <c r="N827" s="1488"/>
      <c r="O827" s="1489"/>
      <c r="P827" s="1490"/>
      <c r="X827" s="1445" t="e">
        <f ca="1"/>
        <v>#NAME?</v>
      </c>
      <c r="Y827" s="1446" t="e">
        <f ca="1"/>
        <v>#NAME?</v>
      </c>
    </row>
    <row r="828" spans="1:25">
      <c r="A828" s="1487"/>
      <c r="B828" s="1488"/>
      <c r="C828" s="1489"/>
      <c r="D828" s="1490"/>
      <c r="E828" s="1487"/>
      <c r="F828" s="1488"/>
      <c r="G828" s="1489"/>
      <c r="H828" s="1490"/>
      <c r="I828" s="1487"/>
      <c r="J828" s="1488"/>
      <c r="K828" s="1489"/>
      <c r="L828" s="1490"/>
      <c r="M828" s="1487"/>
      <c r="N828" s="1488"/>
      <c r="O828" s="1489"/>
      <c r="P828" s="1490"/>
      <c r="X828" s="1445" t="e">
        <f ca="1"/>
        <v>#NAME?</v>
      </c>
      <c r="Y828" s="1446" t="e">
        <f ca="1"/>
        <v>#NAME?</v>
      </c>
    </row>
    <row r="829" spans="1:25">
      <c r="A829" s="1487"/>
      <c r="B829" s="1488"/>
      <c r="C829" s="1489"/>
      <c r="D829" s="1490"/>
      <c r="E829" s="1487"/>
      <c r="F829" s="1488"/>
      <c r="G829" s="1489"/>
      <c r="H829" s="1490"/>
      <c r="I829" s="1487"/>
      <c r="J829" s="1488"/>
      <c r="K829" s="1489"/>
      <c r="L829" s="1490"/>
      <c r="M829" s="1487"/>
      <c r="N829" s="1488"/>
      <c r="O829" s="1489"/>
      <c r="P829" s="1490"/>
      <c r="X829" s="1445" t="e">
        <f ca="1"/>
        <v>#NAME?</v>
      </c>
      <c r="Y829" s="1446" t="e">
        <f ca="1"/>
        <v>#NAME?</v>
      </c>
    </row>
    <row r="830" spans="1:25">
      <c r="A830" s="1487"/>
      <c r="B830" s="1488"/>
      <c r="C830" s="1489"/>
      <c r="D830" s="1490"/>
      <c r="E830" s="1487"/>
      <c r="F830" s="1488"/>
      <c r="G830" s="1489"/>
      <c r="H830" s="1490"/>
      <c r="I830" s="1487"/>
      <c r="J830" s="1488"/>
      <c r="K830" s="1489"/>
      <c r="L830" s="1490"/>
      <c r="M830" s="1487"/>
      <c r="N830" s="1488"/>
      <c r="O830" s="1489"/>
      <c r="P830" s="1490"/>
      <c r="X830" s="1445" t="e">
        <f ca="1"/>
        <v>#NAME?</v>
      </c>
      <c r="Y830" s="1446" t="e">
        <f ca="1"/>
        <v>#NAME?</v>
      </c>
    </row>
    <row r="831" spans="1:25">
      <c r="A831" s="1487"/>
      <c r="B831" s="1488"/>
      <c r="C831" s="1489"/>
      <c r="D831" s="1490"/>
      <c r="E831" s="1487"/>
      <c r="F831" s="1488"/>
      <c r="G831" s="1489"/>
      <c r="H831" s="1490"/>
      <c r="I831" s="1487"/>
      <c r="J831" s="1488"/>
      <c r="K831" s="1489"/>
      <c r="L831" s="1490"/>
      <c r="M831" s="1487"/>
      <c r="N831" s="1488"/>
      <c r="O831" s="1489"/>
      <c r="P831" s="1490"/>
      <c r="X831" s="1445" t="e">
        <f ca="1"/>
        <v>#NAME?</v>
      </c>
      <c r="Y831" s="1446" t="e">
        <f ca="1"/>
        <v>#NAME?</v>
      </c>
    </row>
    <row r="832" spans="1:25">
      <c r="A832" s="1487"/>
      <c r="B832" s="1488"/>
      <c r="C832" s="1489"/>
      <c r="D832" s="1490"/>
      <c r="E832" s="1487"/>
      <c r="F832" s="1488"/>
      <c r="G832" s="1489"/>
      <c r="H832" s="1490"/>
      <c r="I832" s="1487"/>
      <c r="J832" s="1488"/>
      <c r="K832" s="1489"/>
      <c r="L832" s="1490"/>
      <c r="M832" s="1487"/>
      <c r="N832" s="1488"/>
      <c r="O832" s="1489"/>
      <c r="P832" s="1490"/>
      <c r="X832" s="1445" t="e">
        <f ca="1"/>
        <v>#NAME?</v>
      </c>
      <c r="Y832" s="1446" t="e">
        <f ca="1"/>
        <v>#NAME?</v>
      </c>
    </row>
    <row r="833" spans="1:25">
      <c r="A833" s="1487"/>
      <c r="B833" s="1488"/>
      <c r="C833" s="1489"/>
      <c r="D833" s="1490"/>
      <c r="E833" s="1487"/>
      <c r="F833" s="1488"/>
      <c r="G833" s="1489"/>
      <c r="H833" s="1490"/>
      <c r="I833" s="1487"/>
      <c r="J833" s="1488"/>
      <c r="K833" s="1489"/>
      <c r="L833" s="1490"/>
      <c r="M833" s="1487"/>
      <c r="N833" s="1488"/>
      <c r="O833" s="1489"/>
      <c r="P833" s="1490"/>
      <c r="X833" s="1445" t="e">
        <f ca="1"/>
        <v>#NAME?</v>
      </c>
      <c r="Y833" s="1446" t="e">
        <f ca="1"/>
        <v>#NAME?</v>
      </c>
    </row>
    <row r="834" spans="1:25">
      <c r="A834" s="1487"/>
      <c r="B834" s="1488"/>
      <c r="C834" s="1489"/>
      <c r="D834" s="1490"/>
      <c r="E834" s="1487"/>
      <c r="F834" s="1488"/>
      <c r="G834" s="1489"/>
      <c r="H834" s="1490"/>
      <c r="I834" s="1487"/>
      <c r="J834" s="1488"/>
      <c r="K834" s="1489"/>
      <c r="L834" s="1490"/>
      <c r="M834" s="1487"/>
      <c r="N834" s="1488"/>
      <c r="O834" s="1489"/>
      <c r="P834" s="1490"/>
      <c r="X834" s="1445" t="e">
        <f ca="1"/>
        <v>#NAME?</v>
      </c>
      <c r="Y834" s="1446" t="e">
        <f ca="1"/>
        <v>#NAME?</v>
      </c>
    </row>
    <row r="835" spans="1:25">
      <c r="A835" s="1487"/>
      <c r="B835" s="1488"/>
      <c r="C835" s="1489"/>
      <c r="D835" s="1490"/>
      <c r="E835" s="1487"/>
      <c r="F835" s="1488"/>
      <c r="G835" s="1489"/>
      <c r="H835" s="1490"/>
      <c r="I835" s="1487"/>
      <c r="J835" s="1488"/>
      <c r="K835" s="1489"/>
      <c r="L835" s="1490"/>
      <c r="M835" s="1487"/>
      <c r="N835" s="1488"/>
      <c r="O835" s="1489"/>
      <c r="P835" s="1490"/>
      <c r="X835" s="1445" t="e">
        <f ca="1"/>
        <v>#NAME?</v>
      </c>
      <c r="Y835" s="1446" t="e">
        <f ca="1"/>
        <v>#NAME?</v>
      </c>
    </row>
    <row r="836" spans="1:25">
      <c r="A836" s="1487"/>
      <c r="B836" s="1488"/>
      <c r="C836" s="1489"/>
      <c r="D836" s="1490"/>
      <c r="E836" s="1487"/>
      <c r="F836" s="1488"/>
      <c r="G836" s="1489"/>
      <c r="H836" s="1490"/>
      <c r="I836" s="1487"/>
      <c r="J836" s="1488"/>
      <c r="K836" s="1489"/>
      <c r="L836" s="1490"/>
      <c r="M836" s="1487"/>
      <c r="N836" s="1488"/>
      <c r="O836" s="1489"/>
      <c r="P836" s="1490"/>
      <c r="X836" s="1445" t="e">
        <f ca="1"/>
        <v>#NAME?</v>
      </c>
      <c r="Y836" s="1446" t="e">
        <f ca="1"/>
        <v>#NAME?</v>
      </c>
    </row>
    <row r="837" spans="1:25">
      <c r="A837" s="1487"/>
      <c r="B837" s="1488"/>
      <c r="C837" s="1489"/>
      <c r="D837" s="1490"/>
      <c r="E837" s="1487"/>
      <c r="F837" s="1488"/>
      <c r="G837" s="1489"/>
      <c r="H837" s="1490"/>
      <c r="I837" s="1487"/>
      <c r="J837" s="1488"/>
      <c r="K837" s="1489"/>
      <c r="L837" s="1490"/>
      <c r="M837" s="1487"/>
      <c r="N837" s="1488"/>
      <c r="O837" s="1489"/>
      <c r="P837" s="1490"/>
      <c r="X837" s="1445" t="e">
        <f ca="1"/>
        <v>#NAME?</v>
      </c>
      <c r="Y837" s="1446" t="e">
        <f ca="1"/>
        <v>#NAME?</v>
      </c>
    </row>
    <row r="838" spans="1:25">
      <c r="A838" s="1487"/>
      <c r="B838" s="1488"/>
      <c r="C838" s="1489"/>
      <c r="D838" s="1490"/>
      <c r="E838" s="1487"/>
      <c r="F838" s="1488"/>
      <c r="G838" s="1489"/>
      <c r="H838" s="1490"/>
      <c r="I838" s="1487"/>
      <c r="J838" s="1488"/>
      <c r="K838" s="1489"/>
      <c r="L838" s="1490"/>
      <c r="M838" s="1487"/>
      <c r="N838" s="1488"/>
      <c r="O838" s="1489"/>
      <c r="P838" s="1490"/>
      <c r="X838" s="1445" t="e">
        <f ca="1"/>
        <v>#NAME?</v>
      </c>
      <c r="Y838" s="1446" t="e">
        <f ca="1"/>
        <v>#NAME?</v>
      </c>
    </row>
    <row r="839" spans="1:25">
      <c r="A839" s="1487"/>
      <c r="B839" s="1488"/>
      <c r="C839" s="1489"/>
      <c r="D839" s="1490"/>
      <c r="E839" s="1487"/>
      <c r="F839" s="1488"/>
      <c r="G839" s="1489"/>
      <c r="H839" s="1490"/>
      <c r="I839" s="1487"/>
      <c r="J839" s="1488"/>
      <c r="K839" s="1489"/>
      <c r="L839" s="1490"/>
      <c r="M839" s="1487"/>
      <c r="N839" s="1488"/>
      <c r="O839" s="1489"/>
      <c r="P839" s="1490"/>
      <c r="X839" s="1445" t="e">
        <f ca="1"/>
        <v>#NAME?</v>
      </c>
      <c r="Y839" s="1446" t="e">
        <f ca="1"/>
        <v>#NAME?</v>
      </c>
    </row>
    <row r="840" spans="1:25">
      <c r="A840" s="1487"/>
      <c r="B840" s="1488"/>
      <c r="C840" s="1489"/>
      <c r="D840" s="1490"/>
      <c r="E840" s="1487"/>
      <c r="F840" s="1488"/>
      <c r="G840" s="1489"/>
      <c r="H840" s="1490"/>
      <c r="I840" s="1487"/>
      <c r="J840" s="1488"/>
      <c r="K840" s="1489"/>
      <c r="L840" s="1490"/>
      <c r="M840" s="1487"/>
      <c r="N840" s="1488"/>
      <c r="O840" s="1489"/>
      <c r="P840" s="1490"/>
      <c r="X840" s="1445" t="e">
        <f ca="1"/>
        <v>#NAME?</v>
      </c>
      <c r="Y840" s="1446" t="e">
        <f ca="1"/>
        <v>#NAME?</v>
      </c>
    </row>
    <row r="841" spans="1:25">
      <c r="A841" s="1487"/>
      <c r="B841" s="1488"/>
      <c r="C841" s="1489"/>
      <c r="D841" s="1490"/>
      <c r="E841" s="1487"/>
      <c r="F841" s="1488"/>
      <c r="G841" s="1489"/>
      <c r="H841" s="1490"/>
      <c r="I841" s="1487"/>
      <c r="J841" s="1488"/>
      <c r="K841" s="1489"/>
      <c r="L841" s="1490"/>
      <c r="M841" s="1487"/>
      <c r="N841" s="1488"/>
      <c r="O841" s="1489"/>
      <c r="P841" s="1490"/>
      <c r="X841" s="1445" t="e">
        <f ca="1"/>
        <v>#NAME?</v>
      </c>
      <c r="Y841" s="1446" t="e">
        <f ca="1"/>
        <v>#NAME?</v>
      </c>
    </row>
    <row r="842" spans="1:25">
      <c r="A842" s="1487"/>
      <c r="B842" s="1488"/>
      <c r="C842" s="1489"/>
      <c r="D842" s="1490"/>
      <c r="E842" s="1487"/>
      <c r="F842" s="1488"/>
      <c r="G842" s="1489"/>
      <c r="H842" s="1490"/>
      <c r="I842" s="1487"/>
      <c r="J842" s="1488"/>
      <c r="K842" s="1489"/>
      <c r="L842" s="1490"/>
      <c r="M842" s="1487"/>
      <c r="N842" s="1488"/>
      <c r="O842" s="1489"/>
      <c r="P842" s="1490"/>
      <c r="X842" s="1445" t="e">
        <f ca="1"/>
        <v>#NAME?</v>
      </c>
      <c r="Y842" s="1446" t="e">
        <f ca="1"/>
        <v>#NAME?</v>
      </c>
    </row>
    <row r="843" spans="1:25">
      <c r="A843" s="1487"/>
      <c r="B843" s="1488"/>
      <c r="C843" s="1489"/>
      <c r="D843" s="1490"/>
      <c r="E843" s="1487"/>
      <c r="F843" s="1488"/>
      <c r="G843" s="1489"/>
      <c r="H843" s="1490"/>
      <c r="I843" s="1487"/>
      <c r="J843" s="1488"/>
      <c r="K843" s="1489"/>
      <c r="L843" s="1490"/>
      <c r="M843" s="1487"/>
      <c r="N843" s="1488"/>
      <c r="O843" s="1489"/>
      <c r="P843" s="1490"/>
      <c r="X843" s="1445" t="e">
        <f ca="1"/>
        <v>#NAME?</v>
      </c>
      <c r="Y843" s="1446" t="e">
        <f ca="1"/>
        <v>#NAME?</v>
      </c>
    </row>
    <row r="844" spans="1:25">
      <c r="A844" s="1487"/>
      <c r="B844" s="1488"/>
      <c r="C844" s="1489"/>
      <c r="D844" s="1490"/>
      <c r="E844" s="1487"/>
      <c r="F844" s="1488"/>
      <c r="G844" s="1489"/>
      <c r="H844" s="1490"/>
      <c r="I844" s="1487"/>
      <c r="J844" s="1488"/>
      <c r="K844" s="1489"/>
      <c r="L844" s="1490"/>
      <c r="M844" s="1487"/>
      <c r="N844" s="1488"/>
      <c r="O844" s="1489"/>
      <c r="P844" s="1490"/>
      <c r="X844" s="1445" t="e">
        <f ca="1"/>
        <v>#NAME?</v>
      </c>
      <c r="Y844" s="1446" t="e">
        <f ca="1"/>
        <v>#NAME?</v>
      </c>
    </row>
    <row r="845" spans="1:25">
      <c r="A845" s="1487"/>
      <c r="B845" s="1488"/>
      <c r="C845" s="1489"/>
      <c r="D845" s="1490"/>
      <c r="E845" s="1487"/>
      <c r="F845" s="1488"/>
      <c r="G845" s="1489"/>
      <c r="H845" s="1490"/>
      <c r="I845" s="1487"/>
      <c r="J845" s="1488"/>
      <c r="K845" s="1489"/>
      <c r="L845" s="1490"/>
      <c r="M845" s="1487"/>
      <c r="N845" s="1488"/>
      <c r="O845" s="1489"/>
      <c r="P845" s="1490"/>
      <c r="X845" s="1445" t="e">
        <f ca="1"/>
        <v>#NAME?</v>
      </c>
      <c r="Y845" s="1446" t="e">
        <f ca="1"/>
        <v>#NAME?</v>
      </c>
    </row>
    <row r="846" spans="1:25">
      <c r="A846" s="1487"/>
      <c r="B846" s="1488"/>
      <c r="C846" s="1489"/>
      <c r="D846" s="1490"/>
      <c r="E846" s="1487"/>
      <c r="F846" s="1488"/>
      <c r="G846" s="1489"/>
      <c r="H846" s="1490"/>
      <c r="I846" s="1487"/>
      <c r="J846" s="1488"/>
      <c r="K846" s="1489"/>
      <c r="L846" s="1490"/>
      <c r="M846" s="1487"/>
      <c r="N846" s="1488"/>
      <c r="O846" s="1489"/>
      <c r="P846" s="1490"/>
      <c r="X846" s="1445" t="e">
        <f ca="1"/>
        <v>#NAME?</v>
      </c>
      <c r="Y846" s="1446" t="e">
        <f ca="1"/>
        <v>#NAME?</v>
      </c>
    </row>
    <row r="847" spans="1:25">
      <c r="A847" s="1487"/>
      <c r="B847" s="1488"/>
      <c r="C847" s="1489"/>
      <c r="D847" s="1490"/>
      <c r="E847" s="1487"/>
      <c r="F847" s="1488"/>
      <c r="G847" s="1489"/>
      <c r="H847" s="1490"/>
      <c r="I847" s="1487"/>
      <c r="J847" s="1488"/>
      <c r="K847" s="1489"/>
      <c r="L847" s="1490"/>
      <c r="M847" s="1487"/>
      <c r="N847" s="1488"/>
      <c r="O847" s="1489"/>
      <c r="P847" s="1490"/>
      <c r="X847" s="1445" t="e">
        <f ca="1"/>
        <v>#NAME?</v>
      </c>
      <c r="Y847" s="1446" t="e">
        <f ca="1"/>
        <v>#NAME?</v>
      </c>
    </row>
    <row r="848" spans="1:25">
      <c r="A848" s="1487"/>
      <c r="B848" s="1488"/>
      <c r="C848" s="1489"/>
      <c r="D848" s="1490"/>
      <c r="E848" s="1487"/>
      <c r="F848" s="1488"/>
      <c r="G848" s="1489"/>
      <c r="H848" s="1490"/>
      <c r="I848" s="1487"/>
      <c r="J848" s="1488"/>
      <c r="K848" s="1489"/>
      <c r="L848" s="1490"/>
      <c r="M848" s="1487"/>
      <c r="N848" s="1488"/>
      <c r="O848" s="1489"/>
      <c r="P848" s="1490"/>
      <c r="X848" s="1445" t="e">
        <f ca="1"/>
        <v>#NAME?</v>
      </c>
      <c r="Y848" s="1446" t="e">
        <f ca="1"/>
        <v>#NAME?</v>
      </c>
    </row>
    <row r="849" spans="1:25">
      <c r="A849" s="1487"/>
      <c r="B849" s="1488"/>
      <c r="C849" s="1489"/>
      <c r="D849" s="1490"/>
      <c r="E849" s="1487"/>
      <c r="F849" s="1488"/>
      <c r="G849" s="1489"/>
      <c r="H849" s="1490"/>
      <c r="I849" s="1487"/>
      <c r="J849" s="1488"/>
      <c r="K849" s="1489"/>
      <c r="L849" s="1490"/>
      <c r="M849" s="1487"/>
      <c r="N849" s="1488"/>
      <c r="O849" s="1489"/>
      <c r="P849" s="1490"/>
      <c r="X849" s="1445" t="e">
        <f ca="1"/>
        <v>#NAME?</v>
      </c>
      <c r="Y849" s="1446" t="e">
        <f ca="1"/>
        <v>#NAME?</v>
      </c>
    </row>
    <row r="850" spans="1:25">
      <c r="A850" s="1487"/>
      <c r="B850" s="1488"/>
      <c r="C850" s="1489"/>
      <c r="D850" s="1490"/>
      <c r="E850" s="1487"/>
      <c r="F850" s="1488"/>
      <c r="G850" s="1489"/>
      <c r="H850" s="1490"/>
      <c r="I850" s="1487"/>
      <c r="J850" s="1488"/>
      <c r="K850" s="1489"/>
      <c r="L850" s="1490"/>
      <c r="M850" s="1487"/>
      <c r="N850" s="1488"/>
      <c r="O850" s="1489"/>
      <c r="P850" s="1490"/>
      <c r="X850" s="1445" t="e">
        <f ca="1"/>
        <v>#NAME?</v>
      </c>
      <c r="Y850" s="1446" t="e">
        <f ca="1"/>
        <v>#NAME?</v>
      </c>
    </row>
    <row r="851" spans="1:25">
      <c r="A851" s="1487"/>
      <c r="B851" s="1488"/>
      <c r="C851" s="1489"/>
      <c r="D851" s="1490"/>
      <c r="E851" s="1487"/>
      <c r="F851" s="1488"/>
      <c r="G851" s="1489"/>
      <c r="H851" s="1490"/>
      <c r="I851" s="1487"/>
      <c r="J851" s="1488"/>
      <c r="K851" s="1489"/>
      <c r="L851" s="1490"/>
      <c r="M851" s="1487"/>
      <c r="N851" s="1488"/>
      <c r="O851" s="1489"/>
      <c r="P851" s="1490"/>
      <c r="X851" s="1445" t="e">
        <f ca="1"/>
        <v>#NAME?</v>
      </c>
      <c r="Y851" s="1446" t="e">
        <f ca="1"/>
        <v>#NAME?</v>
      </c>
    </row>
    <row r="852" spans="1:25">
      <c r="A852" s="1487"/>
      <c r="B852" s="1488"/>
      <c r="C852" s="1489"/>
      <c r="D852" s="1490"/>
      <c r="E852" s="1487"/>
      <c r="F852" s="1488"/>
      <c r="G852" s="1489"/>
      <c r="H852" s="1490"/>
      <c r="I852" s="1487"/>
      <c r="J852" s="1488"/>
      <c r="K852" s="1489"/>
      <c r="L852" s="1490"/>
      <c r="M852" s="1487"/>
      <c r="N852" s="1488"/>
      <c r="O852" s="1489"/>
      <c r="P852" s="1490"/>
      <c r="X852" s="1445" t="e">
        <f ca="1"/>
        <v>#NAME?</v>
      </c>
      <c r="Y852" s="1446" t="e">
        <f ca="1"/>
        <v>#NAME?</v>
      </c>
    </row>
    <row r="853" spans="1:25">
      <c r="A853" s="1487"/>
      <c r="B853" s="1488"/>
      <c r="C853" s="1489"/>
      <c r="D853" s="1490"/>
      <c r="E853" s="1487"/>
      <c r="F853" s="1488"/>
      <c r="G853" s="1489"/>
      <c r="H853" s="1490"/>
      <c r="I853" s="1487"/>
      <c r="J853" s="1488"/>
      <c r="K853" s="1489"/>
      <c r="L853" s="1490"/>
      <c r="M853" s="1487"/>
      <c r="N853" s="1488"/>
      <c r="O853" s="1489"/>
      <c r="P853" s="1490"/>
      <c r="X853" s="1445" t="e">
        <f ca="1"/>
        <v>#NAME?</v>
      </c>
      <c r="Y853" s="1446" t="e">
        <f ca="1"/>
        <v>#NAME?</v>
      </c>
    </row>
    <row r="854" spans="1:25">
      <c r="A854" s="1487"/>
      <c r="B854" s="1488"/>
      <c r="C854" s="1489"/>
      <c r="D854" s="1490"/>
      <c r="E854" s="1487"/>
      <c r="F854" s="1488"/>
      <c r="G854" s="1489"/>
      <c r="H854" s="1490"/>
      <c r="I854" s="1487"/>
      <c r="J854" s="1488"/>
      <c r="K854" s="1489"/>
      <c r="L854" s="1490"/>
      <c r="M854" s="1487"/>
      <c r="N854" s="1488"/>
      <c r="O854" s="1489"/>
      <c r="P854" s="1490"/>
      <c r="X854" s="1445" t="e">
        <f ca="1"/>
        <v>#NAME?</v>
      </c>
      <c r="Y854" s="1446" t="e">
        <f ca="1"/>
        <v>#NAME?</v>
      </c>
    </row>
    <row r="855" spans="1:25">
      <c r="A855" s="1487"/>
      <c r="B855" s="1488"/>
      <c r="C855" s="1489"/>
      <c r="D855" s="1490"/>
      <c r="E855" s="1487"/>
      <c r="F855" s="1488"/>
      <c r="G855" s="1489"/>
      <c r="H855" s="1490"/>
      <c r="I855" s="1487"/>
      <c r="J855" s="1488"/>
      <c r="K855" s="1489"/>
      <c r="L855" s="1490"/>
      <c r="M855" s="1487"/>
      <c r="N855" s="1488"/>
      <c r="O855" s="1489"/>
      <c r="P855" s="1490"/>
      <c r="X855" s="1445" t="e">
        <f ca="1"/>
        <v>#NAME?</v>
      </c>
      <c r="Y855" s="1446" t="e">
        <f ca="1"/>
        <v>#NAME?</v>
      </c>
    </row>
    <row r="856" spans="1:25">
      <c r="A856" s="1487"/>
      <c r="B856" s="1488"/>
      <c r="C856" s="1489"/>
      <c r="D856" s="1490"/>
      <c r="E856" s="1487"/>
      <c r="F856" s="1488"/>
      <c r="G856" s="1489"/>
      <c r="H856" s="1490"/>
      <c r="I856" s="1487"/>
      <c r="J856" s="1488"/>
      <c r="K856" s="1489"/>
      <c r="L856" s="1490"/>
      <c r="M856" s="1487"/>
      <c r="N856" s="1488"/>
      <c r="O856" s="1489"/>
      <c r="P856" s="1490"/>
      <c r="X856" s="1445" t="e">
        <f ca="1"/>
        <v>#NAME?</v>
      </c>
      <c r="Y856" s="1446" t="e">
        <f ca="1"/>
        <v>#NAME?</v>
      </c>
    </row>
    <row r="857" spans="1:25">
      <c r="A857" s="1487"/>
      <c r="B857" s="1488"/>
      <c r="C857" s="1489"/>
      <c r="D857" s="1490"/>
      <c r="E857" s="1487"/>
      <c r="F857" s="1488"/>
      <c r="G857" s="1489"/>
      <c r="H857" s="1490"/>
      <c r="I857" s="1487"/>
      <c r="J857" s="1488"/>
      <c r="K857" s="1489"/>
      <c r="L857" s="1490"/>
      <c r="M857" s="1487"/>
      <c r="N857" s="1488"/>
      <c r="O857" s="1489"/>
      <c r="P857" s="1490"/>
      <c r="X857" s="1445" t="e">
        <f ca="1"/>
        <v>#NAME?</v>
      </c>
      <c r="Y857" s="1446" t="e">
        <f ca="1"/>
        <v>#NAME?</v>
      </c>
    </row>
    <row r="858" spans="1:25">
      <c r="A858" s="1487"/>
      <c r="B858" s="1488"/>
      <c r="C858" s="1489"/>
      <c r="D858" s="1490"/>
      <c r="E858" s="1487"/>
      <c r="F858" s="1488"/>
      <c r="G858" s="1489"/>
      <c r="H858" s="1490"/>
      <c r="I858" s="1487"/>
      <c r="J858" s="1488"/>
      <c r="K858" s="1489"/>
      <c r="L858" s="1490"/>
      <c r="M858" s="1487"/>
      <c r="N858" s="1488"/>
      <c r="O858" s="1489"/>
      <c r="P858" s="1490"/>
      <c r="X858" s="1445" t="e">
        <f ca="1"/>
        <v>#NAME?</v>
      </c>
      <c r="Y858" s="1446" t="e">
        <f ca="1"/>
        <v>#NAME?</v>
      </c>
    </row>
    <row r="859" spans="1:25">
      <c r="A859" s="1487"/>
      <c r="B859" s="1488"/>
      <c r="C859" s="1489"/>
      <c r="D859" s="1490"/>
      <c r="E859" s="1487"/>
      <c r="F859" s="1488"/>
      <c r="G859" s="1489"/>
      <c r="H859" s="1490"/>
      <c r="I859" s="1487"/>
      <c r="J859" s="1488"/>
      <c r="K859" s="1489"/>
      <c r="L859" s="1490"/>
      <c r="M859" s="1487"/>
      <c r="N859" s="1488"/>
      <c r="O859" s="1489"/>
      <c r="P859" s="1490"/>
      <c r="X859" s="1445" t="e">
        <f ca="1"/>
        <v>#NAME?</v>
      </c>
      <c r="Y859" s="1446" t="e">
        <f ca="1"/>
        <v>#NAME?</v>
      </c>
    </row>
    <row r="860" spans="1:25">
      <c r="A860" s="1487"/>
      <c r="B860" s="1488"/>
      <c r="C860" s="1489"/>
      <c r="D860" s="1490"/>
      <c r="E860" s="1487"/>
      <c r="F860" s="1488"/>
      <c r="G860" s="1489"/>
      <c r="H860" s="1490"/>
      <c r="I860" s="1487"/>
      <c r="J860" s="1488"/>
      <c r="K860" s="1489"/>
      <c r="L860" s="1490"/>
      <c r="M860" s="1487"/>
      <c r="N860" s="1488"/>
      <c r="O860" s="1489"/>
      <c r="P860" s="1490"/>
      <c r="X860" s="1445" t="e">
        <f ca="1"/>
        <v>#NAME?</v>
      </c>
      <c r="Y860" s="1446" t="e">
        <f ca="1"/>
        <v>#NAME?</v>
      </c>
    </row>
    <row r="861" spans="1:25">
      <c r="A861" s="1487"/>
      <c r="B861" s="1488"/>
      <c r="C861" s="1489"/>
      <c r="D861" s="1490"/>
      <c r="E861" s="1487"/>
      <c r="F861" s="1488"/>
      <c r="G861" s="1489"/>
      <c r="H861" s="1490"/>
      <c r="I861" s="1487"/>
      <c r="J861" s="1488"/>
      <c r="K861" s="1489"/>
      <c r="L861" s="1490"/>
      <c r="M861" s="1487"/>
      <c r="N861" s="1488"/>
      <c r="O861" s="1489"/>
      <c r="P861" s="1490"/>
      <c r="X861" s="1445" t="e">
        <f ca="1"/>
        <v>#NAME?</v>
      </c>
      <c r="Y861" s="1446" t="e">
        <f ca="1"/>
        <v>#NAME?</v>
      </c>
    </row>
    <row r="862" spans="1:25">
      <c r="A862" s="1487"/>
      <c r="B862" s="1488"/>
      <c r="C862" s="1489"/>
      <c r="D862" s="1490"/>
      <c r="E862" s="1487"/>
      <c r="F862" s="1488"/>
      <c r="G862" s="1489"/>
      <c r="H862" s="1490"/>
      <c r="I862" s="1487"/>
      <c r="J862" s="1488"/>
      <c r="K862" s="1489"/>
      <c r="L862" s="1490"/>
      <c r="M862" s="1487"/>
      <c r="N862" s="1488"/>
      <c r="O862" s="1489"/>
      <c r="P862" s="1490"/>
      <c r="X862" s="1445" t="e">
        <f ca="1"/>
        <v>#NAME?</v>
      </c>
      <c r="Y862" s="1446" t="e">
        <f ca="1"/>
        <v>#NAME?</v>
      </c>
    </row>
    <row r="863" spans="1:25">
      <c r="A863" s="1487"/>
      <c r="B863" s="1488"/>
      <c r="C863" s="1489"/>
      <c r="D863" s="1490"/>
      <c r="E863" s="1487"/>
      <c r="F863" s="1488"/>
      <c r="G863" s="1489"/>
      <c r="H863" s="1490"/>
      <c r="I863" s="1487"/>
      <c r="J863" s="1488"/>
      <c r="K863" s="1489"/>
      <c r="L863" s="1490"/>
      <c r="M863" s="1487"/>
      <c r="N863" s="1488"/>
      <c r="O863" s="1489"/>
      <c r="P863" s="1490"/>
      <c r="X863" s="1445" t="e">
        <f ca="1"/>
        <v>#NAME?</v>
      </c>
      <c r="Y863" s="1446" t="e">
        <f ca="1"/>
        <v>#NAME?</v>
      </c>
    </row>
    <row r="864" spans="1:25">
      <c r="A864" s="1487"/>
      <c r="B864" s="1488"/>
      <c r="C864" s="1489"/>
      <c r="D864" s="1490"/>
      <c r="E864" s="1487"/>
      <c r="F864" s="1488"/>
      <c r="G864" s="1489"/>
      <c r="H864" s="1490"/>
      <c r="I864" s="1487"/>
      <c r="J864" s="1488"/>
      <c r="K864" s="1489"/>
      <c r="L864" s="1490"/>
      <c r="M864" s="1487"/>
      <c r="N864" s="1488"/>
      <c r="O864" s="1489"/>
      <c r="P864" s="1490"/>
      <c r="X864" s="1445" t="e">
        <f ca="1"/>
        <v>#NAME?</v>
      </c>
      <c r="Y864" s="1446" t="e">
        <f ca="1"/>
        <v>#NAME?</v>
      </c>
    </row>
    <row r="865" spans="1:25">
      <c r="A865" s="1487"/>
      <c r="B865" s="1488"/>
      <c r="C865" s="1489"/>
      <c r="D865" s="1490"/>
      <c r="E865" s="1487"/>
      <c r="F865" s="1488"/>
      <c r="G865" s="1489"/>
      <c r="H865" s="1490"/>
      <c r="I865" s="1487"/>
      <c r="J865" s="1488"/>
      <c r="K865" s="1489"/>
      <c r="L865" s="1490"/>
      <c r="M865" s="1487"/>
      <c r="N865" s="1488"/>
      <c r="O865" s="1489"/>
      <c r="P865" s="1490"/>
      <c r="X865" s="1445" t="e">
        <f ca="1"/>
        <v>#NAME?</v>
      </c>
      <c r="Y865" s="1446" t="e">
        <f ca="1"/>
        <v>#NAME?</v>
      </c>
    </row>
    <row r="866" spans="1:25">
      <c r="A866" s="1487"/>
      <c r="B866" s="1488"/>
      <c r="C866" s="1489"/>
      <c r="D866" s="1490"/>
      <c r="E866" s="1487"/>
      <c r="F866" s="1488"/>
      <c r="G866" s="1489"/>
      <c r="H866" s="1490"/>
      <c r="I866" s="1487"/>
      <c r="J866" s="1488"/>
      <c r="K866" s="1489"/>
      <c r="L866" s="1490"/>
      <c r="M866" s="1487"/>
      <c r="N866" s="1488"/>
      <c r="O866" s="1489"/>
      <c r="P866" s="1490"/>
      <c r="X866" s="1445" t="e">
        <f ca="1"/>
        <v>#NAME?</v>
      </c>
      <c r="Y866" s="1446" t="e">
        <f ca="1"/>
        <v>#NAME?</v>
      </c>
    </row>
    <row r="867" spans="1:25">
      <c r="A867" s="1487"/>
      <c r="B867" s="1488"/>
      <c r="C867" s="1489"/>
      <c r="D867" s="1490"/>
      <c r="E867" s="1487"/>
      <c r="F867" s="1488"/>
      <c r="G867" s="1489"/>
      <c r="H867" s="1490"/>
      <c r="I867" s="1487"/>
      <c r="J867" s="1488"/>
      <c r="K867" s="1489"/>
      <c r="L867" s="1490"/>
      <c r="M867" s="1487"/>
      <c r="N867" s="1488"/>
      <c r="O867" s="1489"/>
      <c r="P867" s="1490"/>
      <c r="X867" s="1445" t="e">
        <f ca="1"/>
        <v>#NAME?</v>
      </c>
      <c r="Y867" s="1446" t="e">
        <f ca="1"/>
        <v>#NAME?</v>
      </c>
    </row>
    <row r="868" spans="1:25">
      <c r="A868" s="1487"/>
      <c r="B868" s="1488"/>
      <c r="C868" s="1489"/>
      <c r="D868" s="1490"/>
      <c r="E868" s="1487"/>
      <c r="F868" s="1488"/>
      <c r="G868" s="1489"/>
      <c r="H868" s="1490"/>
      <c r="I868" s="1487"/>
      <c r="J868" s="1488"/>
      <c r="K868" s="1489"/>
      <c r="L868" s="1490"/>
      <c r="M868" s="1487"/>
      <c r="N868" s="1488"/>
      <c r="O868" s="1489"/>
      <c r="P868" s="1490"/>
      <c r="X868" s="1445" t="e">
        <f ca="1"/>
        <v>#NAME?</v>
      </c>
      <c r="Y868" s="1446" t="e">
        <f ca="1"/>
        <v>#NAME?</v>
      </c>
    </row>
    <row r="869" spans="1:25">
      <c r="A869" s="1487"/>
      <c r="B869" s="1488"/>
      <c r="C869" s="1489"/>
      <c r="D869" s="1490"/>
      <c r="E869" s="1487"/>
      <c r="F869" s="1488"/>
      <c r="G869" s="1489"/>
      <c r="H869" s="1490"/>
      <c r="I869" s="1487"/>
      <c r="J869" s="1488"/>
      <c r="K869" s="1489"/>
      <c r="L869" s="1490"/>
      <c r="M869" s="1487"/>
      <c r="N869" s="1488"/>
      <c r="O869" s="1489"/>
      <c r="P869" s="1490"/>
      <c r="X869" s="1445" t="e">
        <f ca="1"/>
        <v>#NAME?</v>
      </c>
      <c r="Y869" s="1446" t="e">
        <f ca="1"/>
        <v>#NAME?</v>
      </c>
    </row>
    <row r="870" spans="1:25">
      <c r="A870" s="1487"/>
      <c r="B870" s="1488"/>
      <c r="C870" s="1489"/>
      <c r="D870" s="1490"/>
      <c r="E870" s="1487"/>
      <c r="F870" s="1488"/>
      <c r="G870" s="1489"/>
      <c r="H870" s="1490"/>
      <c r="I870" s="1487"/>
      <c r="J870" s="1488"/>
      <c r="K870" s="1489"/>
      <c r="L870" s="1490"/>
      <c r="M870" s="1487"/>
      <c r="N870" s="1488"/>
      <c r="O870" s="1489"/>
      <c r="P870" s="1490"/>
      <c r="X870" s="1445" t="e">
        <f ca="1"/>
        <v>#NAME?</v>
      </c>
      <c r="Y870" s="1446" t="e">
        <f ca="1"/>
        <v>#NAME?</v>
      </c>
    </row>
    <row r="871" spans="1:25">
      <c r="A871" s="1487"/>
      <c r="B871" s="1488"/>
      <c r="C871" s="1489"/>
      <c r="D871" s="1490"/>
      <c r="E871" s="1487"/>
      <c r="F871" s="1488"/>
      <c r="G871" s="1489"/>
      <c r="H871" s="1490"/>
      <c r="I871" s="1487"/>
      <c r="J871" s="1488"/>
      <c r="K871" s="1489"/>
      <c r="L871" s="1490"/>
      <c r="M871" s="1487"/>
      <c r="N871" s="1488"/>
      <c r="O871" s="1489"/>
      <c r="P871" s="1490"/>
      <c r="X871" s="1445" t="e">
        <f ca="1"/>
        <v>#NAME?</v>
      </c>
      <c r="Y871" s="1446" t="e">
        <f ca="1"/>
        <v>#NAME?</v>
      </c>
    </row>
    <row r="872" spans="1:25">
      <c r="A872" s="1487"/>
      <c r="B872" s="1488"/>
      <c r="C872" s="1489"/>
      <c r="D872" s="1490"/>
      <c r="E872" s="1487"/>
      <c r="F872" s="1488"/>
      <c r="G872" s="1489"/>
      <c r="H872" s="1490"/>
      <c r="I872" s="1487"/>
      <c r="J872" s="1488"/>
      <c r="K872" s="1489"/>
      <c r="L872" s="1490"/>
      <c r="M872" s="1487"/>
      <c r="N872" s="1488"/>
      <c r="O872" s="1489"/>
      <c r="P872" s="1490"/>
      <c r="X872" s="1445" t="e">
        <f ca="1"/>
        <v>#NAME?</v>
      </c>
      <c r="Y872" s="1446" t="e">
        <f ca="1"/>
        <v>#NAME?</v>
      </c>
    </row>
    <row r="873" spans="1:25">
      <c r="A873" s="1487"/>
      <c r="B873" s="1488"/>
      <c r="C873" s="1489"/>
      <c r="D873" s="1490"/>
      <c r="E873" s="1487"/>
      <c r="F873" s="1488"/>
      <c r="G873" s="1489"/>
      <c r="H873" s="1490"/>
      <c r="I873" s="1487"/>
      <c r="J873" s="1488"/>
      <c r="K873" s="1489"/>
      <c r="L873" s="1490"/>
      <c r="M873" s="1487"/>
      <c r="N873" s="1488"/>
      <c r="O873" s="1489"/>
      <c r="P873" s="1490"/>
      <c r="X873" s="1445" t="e">
        <f ca="1"/>
        <v>#NAME?</v>
      </c>
      <c r="Y873" s="1446" t="e">
        <f ca="1"/>
        <v>#NAME?</v>
      </c>
    </row>
    <row r="874" spans="1:25">
      <c r="A874" s="1487"/>
      <c r="B874" s="1488"/>
      <c r="C874" s="1489"/>
      <c r="D874" s="1490"/>
      <c r="E874" s="1487"/>
      <c r="F874" s="1488"/>
      <c r="G874" s="1489"/>
      <c r="H874" s="1490"/>
      <c r="I874" s="1487"/>
      <c r="J874" s="1488"/>
      <c r="K874" s="1489"/>
      <c r="L874" s="1490"/>
      <c r="M874" s="1487"/>
      <c r="N874" s="1488"/>
      <c r="O874" s="1489"/>
      <c r="P874" s="1490"/>
      <c r="X874" s="1445" t="e">
        <f ca="1"/>
        <v>#NAME?</v>
      </c>
      <c r="Y874" s="1446" t="e">
        <f ca="1"/>
        <v>#NAME?</v>
      </c>
    </row>
    <row r="875" spans="1:25">
      <c r="A875" s="1487"/>
      <c r="B875" s="1488"/>
      <c r="C875" s="1489"/>
      <c r="D875" s="1490"/>
      <c r="E875" s="1487"/>
      <c r="F875" s="1488"/>
      <c r="G875" s="1489"/>
      <c r="H875" s="1490"/>
      <c r="I875" s="1487"/>
      <c r="J875" s="1488"/>
      <c r="K875" s="1489"/>
      <c r="L875" s="1490"/>
      <c r="M875" s="1487"/>
      <c r="N875" s="1488"/>
      <c r="O875" s="1489"/>
      <c r="P875" s="1490"/>
      <c r="X875" s="1445" t="e">
        <f ca="1"/>
        <v>#NAME?</v>
      </c>
      <c r="Y875" s="1446" t="e">
        <f ca="1"/>
        <v>#NAME?</v>
      </c>
    </row>
    <row r="876" spans="1:25">
      <c r="A876" s="1487"/>
      <c r="B876" s="1488"/>
      <c r="C876" s="1489"/>
      <c r="D876" s="1490"/>
      <c r="E876" s="1487"/>
      <c r="F876" s="1488"/>
      <c r="G876" s="1489"/>
      <c r="H876" s="1490"/>
      <c r="I876" s="1487"/>
      <c r="J876" s="1488"/>
      <c r="K876" s="1489"/>
      <c r="L876" s="1490"/>
      <c r="M876" s="1487"/>
      <c r="N876" s="1488"/>
      <c r="O876" s="1489"/>
      <c r="P876" s="1490"/>
      <c r="X876" s="1445" t="e">
        <f ca="1"/>
        <v>#NAME?</v>
      </c>
      <c r="Y876" s="1446" t="e">
        <f ca="1"/>
        <v>#NAME?</v>
      </c>
    </row>
    <row r="877" spans="1:25">
      <c r="A877" s="1487"/>
      <c r="B877" s="1488"/>
      <c r="C877" s="1489"/>
      <c r="D877" s="1490"/>
      <c r="E877" s="1487"/>
      <c r="F877" s="1488"/>
      <c r="G877" s="1489"/>
      <c r="H877" s="1490"/>
      <c r="I877" s="1487"/>
      <c r="J877" s="1488"/>
      <c r="K877" s="1489"/>
      <c r="L877" s="1490"/>
      <c r="M877" s="1487"/>
      <c r="N877" s="1488"/>
      <c r="O877" s="1489"/>
      <c r="P877" s="1490"/>
      <c r="X877" s="1445" t="e">
        <f ca="1"/>
        <v>#NAME?</v>
      </c>
      <c r="Y877" s="1446" t="e">
        <f ca="1"/>
        <v>#NAME?</v>
      </c>
    </row>
    <row r="878" spans="1:25">
      <c r="A878" s="1487"/>
      <c r="B878" s="1488"/>
      <c r="C878" s="1489"/>
      <c r="D878" s="1490"/>
      <c r="E878" s="1487"/>
      <c r="F878" s="1488"/>
      <c r="G878" s="1489"/>
      <c r="H878" s="1490"/>
      <c r="I878" s="1487"/>
      <c r="J878" s="1488"/>
      <c r="K878" s="1489"/>
      <c r="L878" s="1490"/>
      <c r="M878" s="1487"/>
      <c r="N878" s="1488"/>
      <c r="O878" s="1489"/>
      <c r="P878" s="1490"/>
      <c r="X878" s="1445" t="e">
        <f ca="1"/>
        <v>#NAME?</v>
      </c>
      <c r="Y878" s="1446" t="e">
        <f ca="1"/>
        <v>#NAME?</v>
      </c>
    </row>
    <row r="879" spans="1:25">
      <c r="A879" s="1487"/>
      <c r="B879" s="1488"/>
      <c r="C879" s="1489"/>
      <c r="D879" s="1490"/>
      <c r="E879" s="1487"/>
      <c r="F879" s="1488"/>
      <c r="G879" s="1489"/>
      <c r="H879" s="1490"/>
      <c r="I879" s="1487"/>
      <c r="J879" s="1488"/>
      <c r="K879" s="1489"/>
      <c r="L879" s="1490"/>
      <c r="M879" s="1487"/>
      <c r="N879" s="1488"/>
      <c r="O879" s="1489"/>
      <c r="P879" s="1490"/>
      <c r="X879" s="1445" t="e">
        <f ca="1"/>
        <v>#NAME?</v>
      </c>
      <c r="Y879" s="1446" t="e">
        <f ca="1"/>
        <v>#NAME?</v>
      </c>
    </row>
    <row r="880" spans="1:25">
      <c r="A880" s="1487"/>
      <c r="B880" s="1488"/>
      <c r="C880" s="1489"/>
      <c r="D880" s="1490"/>
      <c r="E880" s="1487"/>
      <c r="F880" s="1488"/>
      <c r="G880" s="1489"/>
      <c r="H880" s="1490"/>
      <c r="I880" s="1487"/>
      <c r="J880" s="1488"/>
      <c r="K880" s="1489"/>
      <c r="L880" s="1490"/>
      <c r="M880" s="1487"/>
      <c r="N880" s="1488"/>
      <c r="O880" s="1489"/>
      <c r="P880" s="1490"/>
      <c r="X880" s="1445" t="e">
        <f ca="1"/>
        <v>#NAME?</v>
      </c>
      <c r="Y880" s="1446" t="e">
        <f ca="1"/>
        <v>#NAME?</v>
      </c>
    </row>
    <row r="881" spans="1:25">
      <c r="A881" s="1487"/>
      <c r="B881" s="1488"/>
      <c r="C881" s="1489"/>
      <c r="D881" s="1490"/>
      <c r="E881" s="1487"/>
      <c r="F881" s="1488"/>
      <c r="G881" s="1489"/>
      <c r="H881" s="1490"/>
      <c r="I881" s="1487"/>
      <c r="J881" s="1488"/>
      <c r="K881" s="1489"/>
      <c r="L881" s="1490"/>
      <c r="M881" s="1487"/>
      <c r="N881" s="1488"/>
      <c r="O881" s="1489"/>
      <c r="P881" s="1490"/>
      <c r="X881" s="1445" t="e">
        <f ca="1"/>
        <v>#NAME?</v>
      </c>
      <c r="Y881" s="1446" t="e">
        <f ca="1"/>
        <v>#NAME?</v>
      </c>
    </row>
    <row r="882" spans="1:25">
      <c r="A882" s="1487"/>
      <c r="B882" s="1488"/>
      <c r="C882" s="1489"/>
      <c r="D882" s="1490"/>
      <c r="E882" s="1487"/>
      <c r="F882" s="1488"/>
      <c r="G882" s="1489"/>
      <c r="H882" s="1490"/>
      <c r="I882" s="1487"/>
      <c r="J882" s="1488"/>
      <c r="K882" s="1489"/>
      <c r="L882" s="1490"/>
      <c r="M882" s="1487"/>
      <c r="N882" s="1488"/>
      <c r="O882" s="1489"/>
      <c r="P882" s="1490"/>
      <c r="X882" s="1445" t="e">
        <f ca="1"/>
        <v>#NAME?</v>
      </c>
      <c r="Y882" s="1446" t="e">
        <f ca="1"/>
        <v>#NAME?</v>
      </c>
    </row>
    <row r="883" spans="1:25">
      <c r="A883" s="1487"/>
      <c r="B883" s="1488"/>
      <c r="C883" s="1489"/>
      <c r="D883" s="1490"/>
      <c r="E883" s="1487"/>
      <c r="F883" s="1488"/>
      <c r="G883" s="1489"/>
      <c r="H883" s="1490"/>
      <c r="I883" s="1487"/>
      <c r="J883" s="1488"/>
      <c r="K883" s="1489"/>
      <c r="L883" s="1490"/>
      <c r="M883" s="1487"/>
      <c r="N883" s="1488"/>
      <c r="O883" s="1489"/>
      <c r="P883" s="1490"/>
      <c r="X883" s="1445" t="e">
        <f ca="1"/>
        <v>#NAME?</v>
      </c>
      <c r="Y883" s="1446" t="e">
        <f ca="1"/>
        <v>#NAME?</v>
      </c>
    </row>
    <row r="884" spans="1:25">
      <c r="A884" s="1487"/>
      <c r="B884" s="1488"/>
      <c r="C884" s="1489"/>
      <c r="D884" s="1490"/>
      <c r="E884" s="1487"/>
      <c r="F884" s="1488"/>
      <c r="G884" s="1489"/>
      <c r="H884" s="1490"/>
      <c r="I884" s="1487"/>
      <c r="J884" s="1488"/>
      <c r="K884" s="1489"/>
      <c r="L884" s="1490"/>
      <c r="M884" s="1487"/>
      <c r="N884" s="1488"/>
      <c r="O884" s="1489"/>
      <c r="P884" s="1490"/>
      <c r="X884" s="1445" t="e">
        <f ca="1"/>
        <v>#NAME?</v>
      </c>
      <c r="Y884" s="1446" t="e">
        <f ca="1"/>
        <v>#NAME?</v>
      </c>
    </row>
    <row r="885" spans="1:25">
      <c r="A885" s="1487"/>
      <c r="B885" s="1488"/>
      <c r="C885" s="1489"/>
      <c r="D885" s="1490"/>
      <c r="E885" s="1487"/>
      <c r="F885" s="1488"/>
      <c r="G885" s="1489"/>
      <c r="H885" s="1490"/>
      <c r="I885" s="1487"/>
      <c r="J885" s="1488"/>
      <c r="K885" s="1489"/>
      <c r="L885" s="1490"/>
      <c r="M885" s="1487"/>
      <c r="N885" s="1488"/>
      <c r="O885" s="1489"/>
      <c r="P885" s="1490"/>
      <c r="X885" s="1445" t="e">
        <f ca="1"/>
        <v>#NAME?</v>
      </c>
      <c r="Y885" s="1446" t="e">
        <f ca="1"/>
        <v>#NAME?</v>
      </c>
    </row>
    <row r="886" spans="1:25">
      <c r="A886" s="1487"/>
      <c r="B886" s="1488"/>
      <c r="C886" s="1489"/>
      <c r="D886" s="1490"/>
      <c r="E886" s="1487"/>
      <c r="F886" s="1488"/>
      <c r="G886" s="1489"/>
      <c r="H886" s="1490"/>
      <c r="I886" s="1487"/>
      <c r="J886" s="1488"/>
      <c r="K886" s="1489"/>
      <c r="L886" s="1490"/>
      <c r="M886" s="1487"/>
      <c r="N886" s="1488"/>
      <c r="O886" s="1489"/>
      <c r="P886" s="1490"/>
      <c r="X886" s="1445" t="e">
        <f ca="1"/>
        <v>#NAME?</v>
      </c>
      <c r="Y886" s="1446" t="e">
        <f ca="1"/>
        <v>#NAME?</v>
      </c>
    </row>
    <row r="887" spans="1:25">
      <c r="A887" s="1487"/>
      <c r="B887" s="1488"/>
      <c r="C887" s="1489"/>
      <c r="D887" s="1490"/>
      <c r="E887" s="1487"/>
      <c r="F887" s="1488"/>
      <c r="G887" s="1489"/>
      <c r="H887" s="1490"/>
      <c r="I887" s="1487"/>
      <c r="J887" s="1488"/>
      <c r="K887" s="1489"/>
      <c r="L887" s="1490"/>
      <c r="M887" s="1487"/>
      <c r="N887" s="1488"/>
      <c r="O887" s="1489"/>
      <c r="P887" s="1490"/>
      <c r="X887" s="1445" t="e">
        <f ca="1"/>
        <v>#NAME?</v>
      </c>
      <c r="Y887" s="1446" t="e">
        <f ca="1"/>
        <v>#NAME?</v>
      </c>
    </row>
    <row r="888" spans="1:25">
      <c r="A888" s="1487"/>
      <c r="B888" s="1488"/>
      <c r="C888" s="1489"/>
      <c r="D888" s="1490"/>
      <c r="E888" s="1487"/>
      <c r="F888" s="1488"/>
      <c r="G888" s="1489"/>
      <c r="H888" s="1490"/>
      <c r="I888" s="1487"/>
      <c r="J888" s="1488"/>
      <c r="K888" s="1489"/>
      <c r="L888" s="1490"/>
      <c r="M888" s="1487"/>
      <c r="N888" s="1488"/>
      <c r="O888" s="1489"/>
      <c r="P888" s="1490"/>
      <c r="X888" s="1445" t="e">
        <f ca="1"/>
        <v>#NAME?</v>
      </c>
      <c r="Y888" s="1446" t="e">
        <f ca="1"/>
        <v>#NAME?</v>
      </c>
    </row>
    <row r="889" spans="1:25">
      <c r="A889" s="1487"/>
      <c r="B889" s="1488"/>
      <c r="C889" s="1489"/>
      <c r="D889" s="1490"/>
      <c r="E889" s="1487"/>
      <c r="F889" s="1488"/>
      <c r="G889" s="1489"/>
      <c r="H889" s="1490"/>
      <c r="I889" s="1487"/>
      <c r="J889" s="1488"/>
      <c r="K889" s="1489"/>
      <c r="L889" s="1490"/>
      <c r="M889" s="1487"/>
      <c r="N889" s="1488"/>
      <c r="O889" s="1489"/>
      <c r="P889" s="1490"/>
      <c r="X889" s="1445" t="e">
        <f ca="1"/>
        <v>#NAME?</v>
      </c>
      <c r="Y889" s="1446" t="e">
        <f ca="1"/>
        <v>#NAME?</v>
      </c>
    </row>
    <row r="890" spans="1:25">
      <c r="A890" s="1487"/>
      <c r="B890" s="1488"/>
      <c r="C890" s="1489"/>
      <c r="D890" s="1490"/>
      <c r="E890" s="1487"/>
      <c r="F890" s="1488"/>
      <c r="G890" s="1489"/>
      <c r="H890" s="1490"/>
      <c r="I890" s="1487"/>
      <c r="J890" s="1488"/>
      <c r="K890" s="1489"/>
      <c r="L890" s="1490"/>
      <c r="M890" s="1487"/>
      <c r="N890" s="1488"/>
      <c r="O890" s="1489"/>
      <c r="P890" s="1490"/>
      <c r="X890" s="1445" t="e">
        <f ca="1"/>
        <v>#NAME?</v>
      </c>
      <c r="Y890" s="1446" t="e">
        <f ca="1"/>
        <v>#NAME?</v>
      </c>
    </row>
    <row r="891" spans="1:25">
      <c r="A891" s="1487"/>
      <c r="B891" s="1488"/>
      <c r="C891" s="1489"/>
      <c r="D891" s="1490"/>
      <c r="E891" s="1487"/>
      <c r="F891" s="1488"/>
      <c r="G891" s="1489"/>
      <c r="H891" s="1490"/>
      <c r="I891" s="1487"/>
      <c r="J891" s="1488"/>
      <c r="K891" s="1489"/>
      <c r="L891" s="1490"/>
      <c r="M891" s="1487"/>
      <c r="N891" s="1488"/>
      <c r="O891" s="1489"/>
      <c r="P891" s="1490"/>
      <c r="X891" s="1445" t="e">
        <f ca="1"/>
        <v>#NAME?</v>
      </c>
      <c r="Y891" s="1446" t="e">
        <f ca="1"/>
        <v>#NAME?</v>
      </c>
    </row>
    <row r="892" spans="1:25">
      <c r="A892" s="1487"/>
      <c r="B892" s="1488"/>
      <c r="C892" s="1489"/>
      <c r="D892" s="1490"/>
      <c r="E892" s="1487"/>
      <c r="F892" s="1488"/>
      <c r="G892" s="1489"/>
      <c r="H892" s="1490"/>
      <c r="I892" s="1487"/>
      <c r="J892" s="1488"/>
      <c r="K892" s="1489"/>
      <c r="L892" s="1490"/>
      <c r="M892" s="1487"/>
      <c r="N892" s="1488"/>
      <c r="O892" s="1489"/>
      <c r="P892" s="1490"/>
      <c r="X892" s="1445" t="e">
        <f ca="1"/>
        <v>#NAME?</v>
      </c>
      <c r="Y892" s="1446" t="e">
        <f ca="1"/>
        <v>#NAME?</v>
      </c>
    </row>
    <row r="893" spans="1:25">
      <c r="A893" s="1487"/>
      <c r="B893" s="1488"/>
      <c r="C893" s="1489"/>
      <c r="D893" s="1490"/>
      <c r="E893" s="1487"/>
      <c r="F893" s="1488"/>
      <c r="G893" s="1489"/>
      <c r="H893" s="1490"/>
      <c r="I893" s="1487"/>
      <c r="J893" s="1488"/>
      <c r="K893" s="1489"/>
      <c r="L893" s="1490"/>
      <c r="M893" s="1487"/>
      <c r="N893" s="1488"/>
      <c r="O893" s="1489"/>
      <c r="P893" s="1490"/>
      <c r="X893" s="1445" t="e">
        <f ca="1"/>
        <v>#NAME?</v>
      </c>
      <c r="Y893" s="1446" t="e">
        <f ca="1"/>
        <v>#NAME?</v>
      </c>
    </row>
    <row r="894" spans="1:25">
      <c r="A894" s="1487"/>
      <c r="B894" s="1488"/>
      <c r="C894" s="1489"/>
      <c r="D894" s="1490"/>
      <c r="E894" s="1487"/>
      <c r="F894" s="1488"/>
      <c r="G894" s="1489"/>
      <c r="H894" s="1490"/>
      <c r="I894" s="1487"/>
      <c r="J894" s="1488"/>
      <c r="K894" s="1489"/>
      <c r="L894" s="1490"/>
      <c r="M894" s="1487"/>
      <c r="N894" s="1488"/>
      <c r="O894" s="1489"/>
      <c r="P894" s="1490"/>
      <c r="X894" s="1445" t="e">
        <f ca="1"/>
        <v>#NAME?</v>
      </c>
      <c r="Y894" s="1446" t="e">
        <f ca="1"/>
        <v>#NAME?</v>
      </c>
    </row>
    <row r="895" spans="1:25">
      <c r="A895" s="1487"/>
      <c r="B895" s="1488"/>
      <c r="C895" s="1489"/>
      <c r="D895" s="1490"/>
      <c r="E895" s="1487"/>
      <c r="F895" s="1488"/>
      <c r="G895" s="1489"/>
      <c r="H895" s="1490"/>
      <c r="I895" s="1487"/>
      <c r="J895" s="1488"/>
      <c r="K895" s="1489"/>
      <c r="L895" s="1490"/>
      <c r="M895" s="1487"/>
      <c r="N895" s="1488"/>
      <c r="O895" s="1489"/>
      <c r="P895" s="1490"/>
      <c r="X895" s="1445" t="e">
        <f ca="1"/>
        <v>#NAME?</v>
      </c>
      <c r="Y895" s="1446" t="e">
        <f ca="1"/>
        <v>#NAME?</v>
      </c>
    </row>
    <row r="896" spans="1:25">
      <c r="A896" s="1487"/>
      <c r="B896" s="1488"/>
      <c r="C896" s="1489"/>
      <c r="D896" s="1490"/>
      <c r="E896" s="1487"/>
      <c r="F896" s="1488"/>
      <c r="G896" s="1489"/>
      <c r="H896" s="1490"/>
      <c r="I896" s="1487"/>
      <c r="J896" s="1488"/>
      <c r="K896" s="1489"/>
      <c r="L896" s="1490"/>
      <c r="M896" s="1487"/>
      <c r="N896" s="1488"/>
      <c r="O896" s="1489"/>
      <c r="P896" s="1490"/>
      <c r="X896" s="1445" t="e">
        <f ca="1"/>
        <v>#NAME?</v>
      </c>
      <c r="Y896" s="1446" t="e">
        <f ca="1"/>
        <v>#NAME?</v>
      </c>
    </row>
    <row r="897" spans="1:25">
      <c r="A897" s="1487"/>
      <c r="B897" s="1488"/>
      <c r="C897" s="1489"/>
      <c r="D897" s="1490"/>
      <c r="E897" s="1487"/>
      <c r="F897" s="1488"/>
      <c r="G897" s="1489"/>
      <c r="H897" s="1490"/>
      <c r="I897" s="1487"/>
      <c r="J897" s="1488"/>
      <c r="K897" s="1489"/>
      <c r="L897" s="1490"/>
      <c r="M897" s="1487"/>
      <c r="N897" s="1488"/>
      <c r="O897" s="1489"/>
      <c r="P897" s="1490"/>
      <c r="X897" s="1445" t="e">
        <f ca="1"/>
        <v>#NAME?</v>
      </c>
      <c r="Y897" s="1446" t="e">
        <f ca="1"/>
        <v>#NAME?</v>
      </c>
    </row>
    <row r="898" spans="1:25">
      <c r="A898" s="1487"/>
      <c r="B898" s="1488"/>
      <c r="C898" s="1489"/>
      <c r="D898" s="1490"/>
      <c r="E898" s="1487"/>
      <c r="F898" s="1488"/>
      <c r="G898" s="1489"/>
      <c r="H898" s="1490"/>
      <c r="I898" s="1487"/>
      <c r="J898" s="1488"/>
      <c r="K898" s="1489"/>
      <c r="L898" s="1490"/>
      <c r="M898" s="1487"/>
      <c r="N898" s="1488"/>
      <c r="O898" s="1489"/>
      <c r="P898" s="1490"/>
      <c r="X898" s="1445" t="e">
        <f ca="1"/>
        <v>#NAME?</v>
      </c>
      <c r="Y898" s="1446" t="e">
        <f ca="1"/>
        <v>#NAME?</v>
      </c>
    </row>
    <row r="899" spans="1:25">
      <c r="A899" s="1487"/>
      <c r="B899" s="1488"/>
      <c r="C899" s="1489"/>
      <c r="D899" s="1490"/>
      <c r="E899" s="1487"/>
      <c r="F899" s="1488"/>
      <c r="G899" s="1489"/>
      <c r="H899" s="1490"/>
      <c r="I899" s="1487"/>
      <c r="J899" s="1488"/>
      <c r="K899" s="1489"/>
      <c r="L899" s="1490"/>
      <c r="M899" s="1487"/>
      <c r="N899" s="1488"/>
      <c r="O899" s="1489"/>
      <c r="P899" s="1490"/>
      <c r="X899" s="1445" t="e">
        <f ca="1"/>
        <v>#NAME?</v>
      </c>
      <c r="Y899" s="1446" t="e">
        <f ca="1"/>
        <v>#NAME?</v>
      </c>
    </row>
    <row r="900" spans="1:25">
      <c r="A900" s="1487"/>
      <c r="B900" s="1488"/>
      <c r="C900" s="1489"/>
      <c r="D900" s="1490"/>
      <c r="E900" s="1487"/>
      <c r="F900" s="1488"/>
      <c r="G900" s="1489"/>
      <c r="H900" s="1490"/>
      <c r="I900" s="1487"/>
      <c r="J900" s="1488"/>
      <c r="K900" s="1489"/>
      <c r="L900" s="1490"/>
      <c r="M900" s="1487"/>
      <c r="N900" s="1488"/>
      <c r="O900" s="1489"/>
      <c r="P900" s="1490"/>
      <c r="X900" s="1445" t="e">
        <f ca="1"/>
        <v>#NAME?</v>
      </c>
      <c r="Y900" s="1446" t="e">
        <f ca="1"/>
        <v>#NAME?</v>
      </c>
    </row>
    <row r="901" spans="1:25">
      <c r="A901" s="1487"/>
      <c r="B901" s="1488"/>
      <c r="C901" s="1489"/>
      <c r="D901" s="1490"/>
      <c r="E901" s="1487"/>
      <c r="F901" s="1488"/>
      <c r="G901" s="1489"/>
      <c r="H901" s="1490"/>
      <c r="I901" s="1487"/>
      <c r="J901" s="1488"/>
      <c r="K901" s="1489"/>
      <c r="L901" s="1490"/>
      <c r="M901" s="1487"/>
      <c r="N901" s="1488"/>
      <c r="O901" s="1489"/>
      <c r="P901" s="1490"/>
      <c r="X901" s="1445" t="e">
        <f ca="1"/>
        <v>#NAME?</v>
      </c>
      <c r="Y901" s="1446" t="e">
        <f ca="1"/>
        <v>#NAME?</v>
      </c>
    </row>
    <row r="902" spans="1:25">
      <c r="A902" s="1487"/>
      <c r="B902" s="1488"/>
      <c r="C902" s="1489"/>
      <c r="D902" s="1490"/>
      <c r="E902" s="1487"/>
      <c r="F902" s="1488"/>
      <c r="G902" s="1489"/>
      <c r="H902" s="1490"/>
      <c r="I902" s="1487"/>
      <c r="J902" s="1488"/>
      <c r="K902" s="1489"/>
      <c r="L902" s="1490"/>
      <c r="M902" s="1487"/>
      <c r="N902" s="1488"/>
      <c r="O902" s="1489"/>
      <c r="P902" s="1490"/>
      <c r="X902" s="1445" t="e">
        <f ca="1"/>
        <v>#NAME?</v>
      </c>
      <c r="Y902" s="1446" t="e">
        <f ca="1"/>
        <v>#NAME?</v>
      </c>
    </row>
    <row r="903" spans="1:25">
      <c r="A903" s="1487"/>
      <c r="B903" s="1488"/>
      <c r="C903" s="1489"/>
      <c r="D903" s="1490"/>
      <c r="E903" s="1487"/>
      <c r="F903" s="1488"/>
      <c r="G903" s="1489"/>
      <c r="H903" s="1490"/>
      <c r="I903" s="1487"/>
      <c r="J903" s="1488"/>
      <c r="K903" s="1489"/>
      <c r="L903" s="1490"/>
      <c r="M903" s="1487"/>
      <c r="N903" s="1488"/>
      <c r="O903" s="1489"/>
      <c r="P903" s="1490"/>
      <c r="X903" s="1445" t="e">
        <f ca="1"/>
        <v>#NAME?</v>
      </c>
      <c r="Y903" s="1446" t="e">
        <f ca="1"/>
        <v>#NAME?</v>
      </c>
    </row>
    <row r="904" spans="1:25">
      <c r="A904" s="1487"/>
      <c r="B904" s="1488"/>
      <c r="C904" s="1489"/>
      <c r="D904" s="1490"/>
      <c r="E904" s="1487"/>
      <c r="F904" s="1488"/>
      <c r="G904" s="1489"/>
      <c r="H904" s="1490"/>
      <c r="I904" s="1487"/>
      <c r="J904" s="1488"/>
      <c r="K904" s="1489"/>
      <c r="L904" s="1490"/>
      <c r="M904" s="1487"/>
      <c r="N904" s="1488"/>
      <c r="O904" s="1489"/>
      <c r="P904" s="1490"/>
      <c r="X904" s="1445" t="e">
        <f ca="1"/>
        <v>#NAME?</v>
      </c>
      <c r="Y904" s="1446" t="e">
        <f ca="1"/>
        <v>#NAME?</v>
      </c>
    </row>
    <row r="905" spans="1:25">
      <c r="A905" s="1487"/>
      <c r="B905" s="1488"/>
      <c r="C905" s="1489"/>
      <c r="D905" s="1490"/>
      <c r="E905" s="1487"/>
      <c r="F905" s="1488"/>
      <c r="G905" s="1489"/>
      <c r="H905" s="1490"/>
      <c r="I905" s="1487"/>
      <c r="J905" s="1488"/>
      <c r="K905" s="1489"/>
      <c r="L905" s="1490"/>
      <c r="M905" s="1487"/>
      <c r="N905" s="1488"/>
      <c r="O905" s="1489"/>
      <c r="P905" s="1490"/>
      <c r="X905" s="1445" t="e">
        <f ca="1"/>
        <v>#NAME?</v>
      </c>
      <c r="Y905" s="1446" t="e">
        <f ca="1"/>
        <v>#NAME?</v>
      </c>
    </row>
    <row r="906" spans="1:25">
      <c r="A906" s="1487"/>
      <c r="B906" s="1488"/>
      <c r="C906" s="1489"/>
      <c r="D906" s="1490"/>
      <c r="E906" s="1487"/>
      <c r="F906" s="1488"/>
      <c r="G906" s="1489"/>
      <c r="H906" s="1490"/>
      <c r="I906" s="1487"/>
      <c r="J906" s="1488"/>
      <c r="K906" s="1489"/>
      <c r="L906" s="1490"/>
      <c r="M906" s="1487"/>
      <c r="N906" s="1488"/>
      <c r="O906" s="1489"/>
      <c r="P906" s="1490"/>
      <c r="X906" s="1445" t="e">
        <f ca="1"/>
        <v>#NAME?</v>
      </c>
      <c r="Y906" s="1446" t="e">
        <f ca="1"/>
        <v>#NAME?</v>
      </c>
    </row>
    <row r="907" spans="1:25">
      <c r="A907" s="1487"/>
      <c r="B907" s="1488"/>
      <c r="C907" s="1489"/>
      <c r="D907" s="1490"/>
      <c r="E907" s="1487"/>
      <c r="F907" s="1488"/>
      <c r="G907" s="1489"/>
      <c r="H907" s="1490"/>
      <c r="I907" s="1487"/>
      <c r="J907" s="1488"/>
      <c r="K907" s="1489"/>
      <c r="L907" s="1490"/>
      <c r="M907" s="1487"/>
      <c r="N907" s="1488"/>
      <c r="O907" s="1489"/>
      <c r="P907" s="1490"/>
      <c r="X907" s="1445" t="e">
        <f ca="1"/>
        <v>#NAME?</v>
      </c>
      <c r="Y907" s="1446" t="e">
        <f ca="1"/>
        <v>#NAME?</v>
      </c>
    </row>
    <row r="908" spans="1:25">
      <c r="A908" s="1487"/>
      <c r="B908" s="1488"/>
      <c r="C908" s="1489"/>
      <c r="D908" s="1490"/>
      <c r="E908" s="1487"/>
      <c r="F908" s="1488"/>
      <c r="G908" s="1489"/>
      <c r="H908" s="1490"/>
      <c r="I908" s="1487"/>
      <c r="J908" s="1488"/>
      <c r="K908" s="1489"/>
      <c r="L908" s="1490"/>
      <c r="M908" s="1487"/>
      <c r="N908" s="1488"/>
      <c r="O908" s="1489"/>
      <c r="P908" s="1490"/>
      <c r="X908" s="1445" t="e">
        <f ca="1"/>
        <v>#NAME?</v>
      </c>
      <c r="Y908" s="1446" t="e">
        <f ca="1"/>
        <v>#NAME?</v>
      </c>
    </row>
    <row r="909" spans="1:25">
      <c r="A909" s="1487"/>
      <c r="B909" s="1488"/>
      <c r="C909" s="1489"/>
      <c r="D909" s="1490"/>
      <c r="E909" s="1487"/>
      <c r="F909" s="1488"/>
      <c r="G909" s="1489"/>
      <c r="H909" s="1490"/>
      <c r="I909" s="1487"/>
      <c r="J909" s="1488"/>
      <c r="K909" s="1489"/>
      <c r="L909" s="1490"/>
      <c r="M909" s="1487"/>
      <c r="N909" s="1488"/>
      <c r="O909" s="1489"/>
      <c r="P909" s="1490"/>
      <c r="X909" s="1445" t="e">
        <f ca="1"/>
        <v>#NAME?</v>
      </c>
      <c r="Y909" s="1446" t="e">
        <f ca="1"/>
        <v>#NAME?</v>
      </c>
    </row>
    <row r="910" spans="1:25">
      <c r="A910" s="1487"/>
      <c r="B910" s="1488"/>
      <c r="C910" s="1489"/>
      <c r="D910" s="1490"/>
      <c r="E910" s="1487"/>
      <c r="F910" s="1488"/>
      <c r="G910" s="1489"/>
      <c r="H910" s="1490"/>
      <c r="I910" s="1487"/>
      <c r="J910" s="1488"/>
      <c r="K910" s="1489"/>
      <c r="L910" s="1490"/>
      <c r="M910" s="1487"/>
      <c r="N910" s="1488"/>
      <c r="O910" s="1489"/>
      <c r="P910" s="1490"/>
      <c r="X910" s="1445" t="e">
        <f ca="1"/>
        <v>#NAME?</v>
      </c>
      <c r="Y910" s="1446" t="e">
        <f ca="1"/>
        <v>#NAME?</v>
      </c>
    </row>
    <row r="911" spans="1:25">
      <c r="A911" s="1487"/>
      <c r="B911" s="1488"/>
      <c r="C911" s="1489"/>
      <c r="D911" s="1490"/>
      <c r="E911" s="1487"/>
      <c r="F911" s="1488"/>
      <c r="G911" s="1489"/>
      <c r="H911" s="1490"/>
      <c r="I911" s="1487"/>
      <c r="J911" s="1488"/>
      <c r="K911" s="1489"/>
      <c r="L911" s="1490"/>
      <c r="M911" s="1487"/>
      <c r="N911" s="1488"/>
      <c r="O911" s="1489"/>
      <c r="P911" s="1490"/>
      <c r="X911" s="1445" t="e">
        <f ca="1"/>
        <v>#NAME?</v>
      </c>
      <c r="Y911" s="1446" t="e">
        <f ca="1"/>
        <v>#NAME?</v>
      </c>
    </row>
    <row r="912" spans="1:25">
      <c r="A912" s="1487"/>
      <c r="B912" s="1488"/>
      <c r="C912" s="1489"/>
      <c r="D912" s="1490"/>
      <c r="E912" s="1487"/>
      <c r="F912" s="1488"/>
      <c r="G912" s="1489"/>
      <c r="H912" s="1490"/>
      <c r="I912" s="1487"/>
      <c r="J912" s="1488"/>
      <c r="K912" s="1489"/>
      <c r="L912" s="1490"/>
      <c r="M912" s="1487"/>
      <c r="N912" s="1488"/>
      <c r="O912" s="1489"/>
      <c r="P912" s="1490"/>
      <c r="X912" s="1445" t="e">
        <f ca="1"/>
        <v>#NAME?</v>
      </c>
      <c r="Y912" s="1446" t="e">
        <f ca="1"/>
        <v>#NAME?</v>
      </c>
    </row>
    <row r="913" spans="1:25">
      <c r="A913" s="1487"/>
      <c r="B913" s="1488"/>
      <c r="C913" s="1489"/>
      <c r="D913" s="1490"/>
      <c r="E913" s="1487"/>
      <c r="F913" s="1488"/>
      <c r="G913" s="1489"/>
      <c r="H913" s="1490"/>
      <c r="I913" s="1487"/>
      <c r="J913" s="1488"/>
      <c r="K913" s="1489"/>
      <c r="L913" s="1490"/>
      <c r="M913" s="1487"/>
      <c r="N913" s="1488"/>
      <c r="O913" s="1489"/>
      <c r="P913" s="1490"/>
      <c r="X913" s="1445" t="e">
        <f ca="1"/>
        <v>#NAME?</v>
      </c>
      <c r="Y913" s="1446" t="e">
        <f ca="1"/>
        <v>#NAME?</v>
      </c>
    </row>
    <row r="914" spans="1:25">
      <c r="A914" s="1487"/>
      <c r="B914" s="1488"/>
      <c r="C914" s="1489"/>
      <c r="D914" s="1490"/>
      <c r="E914" s="1487"/>
      <c r="F914" s="1488"/>
      <c r="G914" s="1489"/>
      <c r="H914" s="1490"/>
      <c r="I914" s="1487"/>
      <c r="J914" s="1488"/>
      <c r="K914" s="1489"/>
      <c r="L914" s="1490"/>
      <c r="M914" s="1487"/>
      <c r="N914" s="1488"/>
      <c r="O914" s="1489"/>
      <c r="P914" s="1490"/>
      <c r="X914" s="1445" t="e">
        <f ca="1"/>
        <v>#NAME?</v>
      </c>
      <c r="Y914" s="1446" t="e">
        <f ca="1"/>
        <v>#NAME?</v>
      </c>
    </row>
    <row r="915" spans="1:25">
      <c r="A915" s="1487"/>
      <c r="B915" s="1488"/>
      <c r="C915" s="1489"/>
      <c r="D915" s="1490"/>
      <c r="E915" s="1487"/>
      <c r="F915" s="1488"/>
      <c r="G915" s="1489"/>
      <c r="H915" s="1490"/>
      <c r="I915" s="1487"/>
      <c r="J915" s="1488"/>
      <c r="K915" s="1489"/>
      <c r="L915" s="1490"/>
      <c r="M915" s="1487"/>
      <c r="N915" s="1488"/>
      <c r="O915" s="1489"/>
      <c r="P915" s="1490"/>
      <c r="X915" s="1445" t="e">
        <f ca="1"/>
        <v>#NAME?</v>
      </c>
      <c r="Y915" s="1446" t="e">
        <f ca="1"/>
        <v>#NAME?</v>
      </c>
    </row>
    <row r="916" spans="1:25">
      <c r="A916" s="1487"/>
      <c r="B916" s="1488"/>
      <c r="C916" s="1489"/>
      <c r="D916" s="1490"/>
      <c r="E916" s="1487"/>
      <c r="F916" s="1488"/>
      <c r="G916" s="1489"/>
      <c r="H916" s="1490"/>
      <c r="I916" s="1487"/>
      <c r="J916" s="1488"/>
      <c r="K916" s="1489"/>
      <c r="L916" s="1490"/>
      <c r="M916" s="1487"/>
      <c r="N916" s="1488"/>
      <c r="O916" s="1489"/>
      <c r="P916" s="1490"/>
      <c r="X916" s="1445" t="e">
        <f ca="1"/>
        <v>#NAME?</v>
      </c>
      <c r="Y916" s="1446" t="e">
        <f ca="1"/>
        <v>#NAME?</v>
      </c>
    </row>
    <row r="917" spans="1:25">
      <c r="A917" s="1487"/>
      <c r="B917" s="1488"/>
      <c r="C917" s="1489"/>
      <c r="D917" s="1490"/>
      <c r="E917" s="1487"/>
      <c r="F917" s="1488"/>
      <c r="G917" s="1489"/>
      <c r="H917" s="1490"/>
      <c r="I917" s="1487"/>
      <c r="J917" s="1488"/>
      <c r="K917" s="1489"/>
      <c r="L917" s="1490"/>
      <c r="M917" s="1487"/>
      <c r="N917" s="1488"/>
      <c r="O917" s="1489"/>
      <c r="P917" s="1490"/>
      <c r="X917" s="1445" t="e">
        <f ca="1"/>
        <v>#NAME?</v>
      </c>
      <c r="Y917" s="1446" t="e">
        <f ca="1"/>
        <v>#NAME?</v>
      </c>
    </row>
    <row r="918" spans="1:25">
      <c r="A918" s="1487"/>
      <c r="B918" s="1488"/>
      <c r="C918" s="1489"/>
      <c r="D918" s="1490"/>
      <c r="E918" s="1487"/>
      <c r="F918" s="1488"/>
      <c r="G918" s="1489"/>
      <c r="H918" s="1490"/>
      <c r="I918" s="1487"/>
      <c r="J918" s="1488"/>
      <c r="K918" s="1489"/>
      <c r="L918" s="1490"/>
      <c r="M918" s="1487"/>
      <c r="N918" s="1488"/>
      <c r="O918" s="1489"/>
      <c r="P918" s="1490"/>
      <c r="X918" s="1445" t="e">
        <f ca="1"/>
        <v>#NAME?</v>
      </c>
      <c r="Y918" s="1446" t="e">
        <f ca="1"/>
        <v>#NAME?</v>
      </c>
    </row>
    <row r="919" spans="1:25">
      <c r="A919" s="1487"/>
      <c r="B919" s="1488"/>
      <c r="C919" s="1489"/>
      <c r="D919" s="1490"/>
      <c r="E919" s="1487"/>
      <c r="F919" s="1488"/>
      <c r="G919" s="1489"/>
      <c r="H919" s="1490"/>
      <c r="I919" s="1487"/>
      <c r="J919" s="1488"/>
      <c r="K919" s="1489"/>
      <c r="L919" s="1490"/>
      <c r="M919" s="1487"/>
      <c r="N919" s="1488"/>
      <c r="O919" s="1489"/>
      <c r="P919" s="1490"/>
      <c r="X919" s="1445" t="e">
        <f ca="1"/>
        <v>#NAME?</v>
      </c>
      <c r="Y919" s="1446" t="e">
        <f ca="1"/>
        <v>#NAME?</v>
      </c>
    </row>
    <row r="920" spans="1:25">
      <c r="A920" s="1487"/>
      <c r="B920" s="1488"/>
      <c r="C920" s="1489"/>
      <c r="D920" s="1490"/>
      <c r="E920" s="1487"/>
      <c r="F920" s="1488"/>
      <c r="G920" s="1489"/>
      <c r="H920" s="1490"/>
      <c r="I920" s="1487"/>
      <c r="J920" s="1488"/>
      <c r="K920" s="1489"/>
      <c r="L920" s="1490"/>
      <c r="M920" s="1487"/>
      <c r="N920" s="1488"/>
      <c r="O920" s="1489"/>
      <c r="P920" s="1490"/>
      <c r="X920" s="1445" t="e">
        <f ca="1"/>
        <v>#NAME?</v>
      </c>
      <c r="Y920" s="1446" t="e">
        <f ca="1"/>
        <v>#NAME?</v>
      </c>
    </row>
    <row r="921" spans="1:25">
      <c r="A921" s="1487"/>
      <c r="B921" s="1488"/>
      <c r="C921" s="1489"/>
      <c r="D921" s="1490"/>
      <c r="E921" s="1487"/>
      <c r="F921" s="1488"/>
      <c r="G921" s="1489"/>
      <c r="H921" s="1490"/>
      <c r="I921" s="1487"/>
      <c r="J921" s="1488"/>
      <c r="K921" s="1489"/>
      <c r="L921" s="1490"/>
      <c r="M921" s="1487"/>
      <c r="N921" s="1488"/>
      <c r="O921" s="1489"/>
      <c r="P921" s="1490"/>
      <c r="X921" s="1445" t="e">
        <f ca="1"/>
        <v>#NAME?</v>
      </c>
      <c r="Y921" s="1446" t="e">
        <f ca="1"/>
        <v>#NAME?</v>
      </c>
    </row>
    <row r="922" spans="1:25">
      <c r="A922" s="1487"/>
      <c r="B922" s="1488"/>
      <c r="C922" s="1489"/>
      <c r="D922" s="1490"/>
      <c r="E922" s="1487"/>
      <c r="F922" s="1488"/>
      <c r="G922" s="1489"/>
      <c r="H922" s="1490"/>
      <c r="I922" s="1487"/>
      <c r="J922" s="1488"/>
      <c r="K922" s="1489"/>
      <c r="L922" s="1490"/>
      <c r="M922" s="1487"/>
      <c r="N922" s="1488"/>
      <c r="O922" s="1489"/>
      <c r="P922" s="1490"/>
      <c r="X922" s="1445" t="e">
        <f ca="1"/>
        <v>#NAME?</v>
      </c>
      <c r="Y922" s="1446" t="e">
        <f ca="1"/>
        <v>#NAME?</v>
      </c>
    </row>
    <row r="923" spans="1:25">
      <c r="A923" s="1487"/>
      <c r="B923" s="1488"/>
      <c r="C923" s="1489"/>
      <c r="D923" s="1490"/>
      <c r="E923" s="1487"/>
      <c r="F923" s="1488"/>
      <c r="G923" s="1489"/>
      <c r="H923" s="1490"/>
      <c r="I923" s="1487"/>
      <c r="J923" s="1488"/>
      <c r="K923" s="1489"/>
      <c r="L923" s="1490"/>
      <c r="M923" s="1487"/>
      <c r="N923" s="1488"/>
      <c r="O923" s="1489"/>
      <c r="P923" s="1490"/>
      <c r="X923" s="1445" t="e">
        <f ca="1"/>
        <v>#NAME?</v>
      </c>
      <c r="Y923" s="1446" t="e">
        <f ca="1"/>
        <v>#NAME?</v>
      </c>
    </row>
    <row r="924" spans="1:25">
      <c r="A924" s="1487"/>
      <c r="B924" s="1488"/>
      <c r="C924" s="1489"/>
      <c r="D924" s="1490"/>
      <c r="E924" s="1487"/>
      <c r="F924" s="1488"/>
      <c r="G924" s="1489"/>
      <c r="H924" s="1490"/>
      <c r="I924" s="1487"/>
      <c r="J924" s="1488"/>
      <c r="K924" s="1489"/>
      <c r="L924" s="1490"/>
      <c r="M924" s="1487"/>
      <c r="N924" s="1488"/>
      <c r="O924" s="1489"/>
      <c r="P924" s="1490"/>
      <c r="X924" s="1445" t="e">
        <f ca="1"/>
        <v>#NAME?</v>
      </c>
      <c r="Y924" s="1446" t="e">
        <f ca="1"/>
        <v>#NAME?</v>
      </c>
    </row>
    <row r="925" spans="1:25">
      <c r="A925" s="1487"/>
      <c r="B925" s="1488"/>
      <c r="C925" s="1489"/>
      <c r="D925" s="1490"/>
      <c r="E925" s="1487"/>
      <c r="F925" s="1488"/>
      <c r="G925" s="1489"/>
      <c r="H925" s="1490"/>
      <c r="I925" s="1487"/>
      <c r="J925" s="1488"/>
      <c r="K925" s="1489"/>
      <c r="L925" s="1490"/>
      <c r="M925" s="1487"/>
      <c r="N925" s="1488"/>
      <c r="O925" s="1489"/>
      <c r="P925" s="1490"/>
      <c r="X925" s="1445" t="e">
        <f ca="1"/>
        <v>#NAME?</v>
      </c>
      <c r="Y925" s="1446" t="e">
        <f ca="1"/>
        <v>#NAME?</v>
      </c>
    </row>
    <row r="926" spans="1:25">
      <c r="A926" s="1487"/>
      <c r="B926" s="1488"/>
      <c r="C926" s="1489"/>
      <c r="D926" s="1490"/>
      <c r="E926" s="1487"/>
      <c r="F926" s="1488"/>
      <c r="G926" s="1489"/>
      <c r="H926" s="1490"/>
      <c r="I926" s="1487"/>
      <c r="J926" s="1488"/>
      <c r="K926" s="1489"/>
      <c r="L926" s="1490"/>
      <c r="M926" s="1487"/>
      <c r="N926" s="1488"/>
      <c r="O926" s="1489"/>
      <c r="P926" s="1490"/>
      <c r="X926" s="1445" t="e">
        <f ca="1"/>
        <v>#NAME?</v>
      </c>
      <c r="Y926" s="1446" t="e">
        <f ca="1"/>
        <v>#NAME?</v>
      </c>
    </row>
    <row r="927" spans="1:25">
      <c r="A927" s="1487"/>
      <c r="B927" s="1488"/>
      <c r="C927" s="1489"/>
      <c r="D927" s="1490"/>
      <c r="E927" s="1487"/>
      <c r="F927" s="1488"/>
      <c r="G927" s="1489"/>
      <c r="H927" s="1490"/>
      <c r="I927" s="1487"/>
      <c r="J927" s="1488"/>
      <c r="K927" s="1489"/>
      <c r="L927" s="1490"/>
      <c r="M927" s="1487"/>
      <c r="N927" s="1488"/>
      <c r="O927" s="1489"/>
      <c r="P927" s="1490"/>
      <c r="X927" s="1445" t="e">
        <f ca="1"/>
        <v>#NAME?</v>
      </c>
      <c r="Y927" s="1446" t="e">
        <f ca="1"/>
        <v>#NAME?</v>
      </c>
    </row>
    <row r="928" spans="1:25">
      <c r="A928" s="1487"/>
      <c r="B928" s="1488"/>
      <c r="C928" s="1489"/>
      <c r="D928" s="1490"/>
      <c r="E928" s="1487"/>
      <c r="F928" s="1488"/>
      <c r="G928" s="1489"/>
      <c r="H928" s="1490"/>
      <c r="I928" s="1487"/>
      <c r="J928" s="1488"/>
      <c r="K928" s="1489"/>
      <c r="L928" s="1490"/>
      <c r="M928" s="1487"/>
      <c r="N928" s="1488"/>
      <c r="O928" s="1489"/>
      <c r="P928" s="1490"/>
      <c r="X928" s="1445" t="e">
        <f ca="1"/>
        <v>#NAME?</v>
      </c>
      <c r="Y928" s="1446" t="e">
        <f ca="1"/>
        <v>#NAME?</v>
      </c>
    </row>
    <row r="929" spans="1:25">
      <c r="A929" s="1487"/>
      <c r="B929" s="1488"/>
      <c r="C929" s="1489"/>
      <c r="D929" s="1490"/>
      <c r="E929" s="1487"/>
      <c r="F929" s="1488"/>
      <c r="G929" s="1489"/>
      <c r="H929" s="1490"/>
      <c r="I929" s="1487"/>
      <c r="J929" s="1488"/>
      <c r="K929" s="1489"/>
      <c r="L929" s="1490"/>
      <c r="M929" s="1487"/>
      <c r="N929" s="1488"/>
      <c r="O929" s="1489"/>
      <c r="P929" s="1490"/>
      <c r="X929" s="1445" t="e">
        <f ca="1"/>
        <v>#NAME?</v>
      </c>
      <c r="Y929" s="1446" t="e">
        <f ca="1"/>
        <v>#NAME?</v>
      </c>
    </row>
    <row r="930" spans="1:25">
      <c r="A930" s="1487"/>
      <c r="B930" s="1488"/>
      <c r="C930" s="1489"/>
      <c r="D930" s="1490"/>
      <c r="E930" s="1487"/>
      <c r="F930" s="1488"/>
      <c r="G930" s="1489"/>
      <c r="H930" s="1490"/>
      <c r="I930" s="1487"/>
      <c r="J930" s="1488"/>
      <c r="K930" s="1489"/>
      <c r="L930" s="1490"/>
      <c r="M930" s="1487"/>
      <c r="N930" s="1488"/>
      <c r="O930" s="1489"/>
      <c r="P930" s="1490"/>
      <c r="X930" s="1445" t="e">
        <f ca="1"/>
        <v>#NAME?</v>
      </c>
      <c r="Y930" s="1446" t="e">
        <f ca="1"/>
        <v>#NAME?</v>
      </c>
    </row>
    <row r="931" spans="1:25">
      <c r="A931" s="1487"/>
      <c r="B931" s="1488"/>
      <c r="C931" s="1489"/>
      <c r="D931" s="1490"/>
      <c r="E931" s="1487"/>
      <c r="F931" s="1488"/>
      <c r="G931" s="1489"/>
      <c r="H931" s="1490"/>
      <c r="I931" s="1487"/>
      <c r="J931" s="1488"/>
      <c r="K931" s="1489"/>
      <c r="L931" s="1490"/>
      <c r="M931" s="1487"/>
      <c r="N931" s="1488"/>
      <c r="O931" s="1489"/>
      <c r="P931" s="1490"/>
      <c r="X931" s="1445" t="e">
        <f ca="1"/>
        <v>#NAME?</v>
      </c>
      <c r="Y931" s="1446" t="e">
        <f ca="1"/>
        <v>#NAME?</v>
      </c>
    </row>
    <row r="932" spans="1:25">
      <c r="A932" s="1487"/>
      <c r="B932" s="1488"/>
      <c r="C932" s="1489"/>
      <c r="D932" s="1490"/>
      <c r="E932" s="1487"/>
      <c r="F932" s="1488"/>
      <c r="G932" s="1489"/>
      <c r="H932" s="1490"/>
      <c r="I932" s="1487"/>
      <c r="J932" s="1488"/>
      <c r="K932" s="1489"/>
      <c r="L932" s="1490"/>
      <c r="M932" s="1487"/>
      <c r="N932" s="1488"/>
      <c r="O932" s="1489"/>
      <c r="P932" s="1490"/>
      <c r="X932" s="1445" t="e">
        <f ca="1"/>
        <v>#NAME?</v>
      </c>
      <c r="Y932" s="1446" t="e">
        <f ca="1"/>
        <v>#NAME?</v>
      </c>
    </row>
    <row r="933" spans="1:25">
      <c r="A933" s="1487"/>
      <c r="B933" s="1488"/>
      <c r="C933" s="1489"/>
      <c r="D933" s="1490"/>
      <c r="E933" s="1487"/>
      <c r="F933" s="1488"/>
      <c r="G933" s="1489"/>
      <c r="H933" s="1490"/>
      <c r="I933" s="1487"/>
      <c r="J933" s="1488"/>
      <c r="K933" s="1489"/>
      <c r="L933" s="1490"/>
      <c r="M933" s="1487"/>
      <c r="N933" s="1488"/>
      <c r="O933" s="1489"/>
      <c r="P933" s="1490"/>
      <c r="X933" s="1445" t="e">
        <f ca="1"/>
        <v>#NAME?</v>
      </c>
      <c r="Y933" s="1446" t="e">
        <f ca="1"/>
        <v>#NAME?</v>
      </c>
    </row>
    <row r="934" spans="1:25">
      <c r="A934" s="1487"/>
      <c r="B934" s="1488"/>
      <c r="C934" s="1489"/>
      <c r="D934" s="1490"/>
      <c r="E934" s="1487"/>
      <c r="F934" s="1488"/>
      <c r="G934" s="1489"/>
      <c r="H934" s="1490"/>
      <c r="I934" s="1487"/>
      <c r="J934" s="1488"/>
      <c r="K934" s="1489"/>
      <c r="L934" s="1490"/>
      <c r="M934" s="1487"/>
      <c r="N934" s="1488"/>
      <c r="O934" s="1489"/>
      <c r="P934" s="1490"/>
      <c r="X934" s="1445" t="e">
        <f ca="1"/>
        <v>#NAME?</v>
      </c>
      <c r="Y934" s="1446" t="e">
        <f ca="1"/>
        <v>#NAME?</v>
      </c>
    </row>
    <row r="935" spans="1:25">
      <c r="A935" s="1487"/>
      <c r="B935" s="1488"/>
      <c r="C935" s="1489"/>
      <c r="D935" s="1490"/>
      <c r="E935" s="1487"/>
      <c r="F935" s="1488"/>
      <c r="G935" s="1489"/>
      <c r="H935" s="1490"/>
      <c r="I935" s="1487"/>
      <c r="J935" s="1488"/>
      <c r="K935" s="1489"/>
      <c r="L935" s="1490"/>
      <c r="M935" s="1487"/>
      <c r="N935" s="1488"/>
      <c r="O935" s="1489"/>
      <c r="P935" s="1490"/>
      <c r="X935" s="1445" t="e">
        <f ca="1"/>
        <v>#NAME?</v>
      </c>
      <c r="Y935" s="1446" t="e">
        <f ca="1"/>
        <v>#NAME?</v>
      </c>
    </row>
    <row r="936" spans="1:25">
      <c r="A936" s="1487"/>
      <c r="B936" s="1488"/>
      <c r="C936" s="1489"/>
      <c r="D936" s="1490"/>
      <c r="E936" s="1487"/>
      <c r="F936" s="1488"/>
      <c r="G936" s="1489"/>
      <c r="H936" s="1490"/>
      <c r="I936" s="1487"/>
      <c r="J936" s="1488"/>
      <c r="K936" s="1489"/>
      <c r="L936" s="1490"/>
      <c r="M936" s="1487"/>
      <c r="N936" s="1488"/>
      <c r="O936" s="1489"/>
      <c r="P936" s="1490"/>
      <c r="X936" s="1445" t="e">
        <f ca="1"/>
        <v>#NAME?</v>
      </c>
      <c r="Y936" s="1446" t="e">
        <f ca="1"/>
        <v>#NAME?</v>
      </c>
    </row>
    <row r="937" spans="1:25">
      <c r="A937" s="1487"/>
      <c r="B937" s="1488"/>
      <c r="C937" s="1489"/>
      <c r="D937" s="1490"/>
      <c r="E937" s="1487"/>
      <c r="F937" s="1488"/>
      <c r="G937" s="1489"/>
      <c r="H937" s="1490"/>
      <c r="I937" s="1487"/>
      <c r="J937" s="1488"/>
      <c r="K937" s="1489"/>
      <c r="L937" s="1490"/>
      <c r="M937" s="1487"/>
      <c r="N937" s="1488"/>
      <c r="O937" s="1489"/>
      <c r="P937" s="1490"/>
      <c r="X937" s="1445" t="e">
        <f ca="1"/>
        <v>#NAME?</v>
      </c>
      <c r="Y937" s="1446" t="e">
        <f ca="1"/>
        <v>#NAME?</v>
      </c>
    </row>
    <row r="938" spans="1:25">
      <c r="A938" s="1487"/>
      <c r="B938" s="1488"/>
      <c r="C938" s="1489"/>
      <c r="D938" s="1490"/>
      <c r="E938" s="1487"/>
      <c r="F938" s="1488"/>
      <c r="G938" s="1489"/>
      <c r="H938" s="1490"/>
      <c r="I938" s="1487"/>
      <c r="J938" s="1488"/>
      <c r="K938" s="1489"/>
      <c r="L938" s="1490"/>
      <c r="M938" s="1487"/>
      <c r="N938" s="1488"/>
      <c r="O938" s="1489"/>
      <c r="P938" s="1490"/>
      <c r="X938" s="1445" t="e">
        <f ca="1"/>
        <v>#NAME?</v>
      </c>
      <c r="Y938" s="1446" t="e">
        <f ca="1"/>
        <v>#NAME?</v>
      </c>
    </row>
    <row r="939" spans="1:25">
      <c r="A939" s="1487"/>
      <c r="B939" s="1488"/>
      <c r="C939" s="1489"/>
      <c r="D939" s="1490"/>
      <c r="E939" s="1487"/>
      <c r="F939" s="1488"/>
      <c r="G939" s="1489"/>
      <c r="H939" s="1490"/>
      <c r="I939" s="1487"/>
      <c r="J939" s="1488"/>
      <c r="K939" s="1489"/>
      <c r="L939" s="1490"/>
      <c r="M939" s="1487"/>
      <c r="N939" s="1488"/>
      <c r="O939" s="1489"/>
      <c r="P939" s="1490"/>
      <c r="X939" s="1445" t="e">
        <f ca="1"/>
        <v>#NAME?</v>
      </c>
      <c r="Y939" s="1446" t="e">
        <f ca="1"/>
        <v>#NAME?</v>
      </c>
    </row>
    <row r="940" spans="1:25">
      <c r="A940" s="1487"/>
      <c r="B940" s="1488"/>
      <c r="C940" s="1489"/>
      <c r="D940" s="1490"/>
      <c r="E940" s="1487"/>
      <c r="F940" s="1488"/>
      <c r="G940" s="1489"/>
      <c r="H940" s="1490"/>
      <c r="I940" s="1487"/>
      <c r="J940" s="1488"/>
      <c r="K940" s="1489"/>
      <c r="L940" s="1490"/>
      <c r="M940" s="1487"/>
      <c r="N940" s="1488"/>
      <c r="O940" s="1489"/>
      <c r="P940" s="1490"/>
      <c r="X940" s="1445" t="e">
        <f ca="1"/>
        <v>#NAME?</v>
      </c>
      <c r="Y940" s="1446" t="e">
        <f ca="1"/>
        <v>#NAME?</v>
      </c>
    </row>
    <row r="941" spans="1:25">
      <c r="A941" s="1487"/>
      <c r="B941" s="1488"/>
      <c r="C941" s="1489"/>
      <c r="D941" s="1490"/>
      <c r="E941" s="1487"/>
      <c r="F941" s="1488"/>
      <c r="G941" s="1489"/>
      <c r="H941" s="1490"/>
      <c r="I941" s="1487"/>
      <c r="J941" s="1488"/>
      <c r="K941" s="1489"/>
      <c r="L941" s="1490"/>
      <c r="M941" s="1487"/>
      <c r="N941" s="1488"/>
      <c r="O941" s="1489"/>
      <c r="P941" s="1490"/>
      <c r="X941" s="1445" t="e">
        <f ca="1"/>
        <v>#NAME?</v>
      </c>
      <c r="Y941" s="1446" t="e">
        <f ca="1"/>
        <v>#NAME?</v>
      </c>
    </row>
    <row r="942" spans="1:25">
      <c r="A942" s="1487"/>
      <c r="B942" s="1488"/>
      <c r="C942" s="1489"/>
      <c r="D942" s="1490"/>
      <c r="E942" s="1487"/>
      <c r="F942" s="1488"/>
      <c r="G942" s="1489"/>
      <c r="H942" s="1490"/>
      <c r="I942" s="1487"/>
      <c r="J942" s="1488"/>
      <c r="K942" s="1489"/>
      <c r="L942" s="1490"/>
      <c r="M942" s="1487"/>
      <c r="N942" s="1488"/>
      <c r="O942" s="1489"/>
      <c r="P942" s="1490"/>
      <c r="X942" s="1445" t="e">
        <f ca="1"/>
        <v>#NAME?</v>
      </c>
      <c r="Y942" s="1446" t="e">
        <f ca="1"/>
        <v>#NAME?</v>
      </c>
    </row>
    <row r="943" spans="1:25">
      <c r="A943" s="1487"/>
      <c r="B943" s="1488"/>
      <c r="C943" s="1489"/>
      <c r="D943" s="1490"/>
      <c r="E943" s="1487"/>
      <c r="F943" s="1488"/>
      <c r="G943" s="1489"/>
      <c r="H943" s="1490"/>
      <c r="I943" s="1487"/>
      <c r="J943" s="1488"/>
      <c r="K943" s="1489"/>
      <c r="L943" s="1490"/>
      <c r="M943" s="1487"/>
      <c r="N943" s="1488"/>
      <c r="O943" s="1489"/>
      <c r="P943" s="1490"/>
      <c r="X943" s="1445" t="e">
        <f ca="1"/>
        <v>#NAME?</v>
      </c>
      <c r="Y943" s="1446" t="e">
        <f ca="1"/>
        <v>#NAME?</v>
      </c>
    </row>
    <row r="944" spans="1:25">
      <c r="A944" s="1487"/>
      <c r="B944" s="1488"/>
      <c r="C944" s="1489"/>
      <c r="D944" s="1490"/>
      <c r="E944" s="1487"/>
      <c r="F944" s="1488"/>
      <c r="G944" s="1489"/>
      <c r="H944" s="1490"/>
      <c r="I944" s="1487"/>
      <c r="J944" s="1488"/>
      <c r="K944" s="1489"/>
      <c r="L944" s="1490"/>
      <c r="M944" s="1487"/>
      <c r="N944" s="1488"/>
      <c r="O944" s="1489"/>
      <c r="P944" s="1490"/>
      <c r="X944" s="1445" t="e">
        <f ca="1"/>
        <v>#NAME?</v>
      </c>
      <c r="Y944" s="1446" t="e">
        <f ca="1"/>
        <v>#NAME?</v>
      </c>
    </row>
    <row r="945" spans="1:25">
      <c r="A945" s="1487"/>
      <c r="B945" s="1488"/>
      <c r="C945" s="1489"/>
      <c r="D945" s="1490"/>
      <c r="E945" s="1487"/>
      <c r="F945" s="1488"/>
      <c r="G945" s="1489"/>
      <c r="H945" s="1490"/>
      <c r="I945" s="1487"/>
      <c r="J945" s="1488"/>
      <c r="K945" s="1489"/>
      <c r="L945" s="1490"/>
      <c r="M945" s="1487"/>
      <c r="N945" s="1488"/>
      <c r="O945" s="1489"/>
      <c r="P945" s="1490"/>
      <c r="X945" s="1445" t="e">
        <f ca="1"/>
        <v>#NAME?</v>
      </c>
      <c r="Y945" s="1446" t="e">
        <f ca="1"/>
        <v>#NAME?</v>
      </c>
    </row>
    <row r="946" spans="1:25">
      <c r="A946" s="1487"/>
      <c r="B946" s="1488"/>
      <c r="C946" s="1489"/>
      <c r="D946" s="1490"/>
      <c r="E946" s="1487"/>
      <c r="F946" s="1488"/>
      <c r="G946" s="1489"/>
      <c r="H946" s="1490"/>
      <c r="I946" s="1487"/>
      <c r="J946" s="1488"/>
      <c r="K946" s="1489"/>
      <c r="L946" s="1490"/>
      <c r="M946" s="1487"/>
      <c r="N946" s="1488"/>
      <c r="O946" s="1489"/>
      <c r="P946" s="1490"/>
      <c r="X946" s="1445" t="e">
        <f ca="1"/>
        <v>#NAME?</v>
      </c>
      <c r="Y946" s="1446" t="e">
        <f ca="1"/>
        <v>#NAME?</v>
      </c>
    </row>
    <row r="947" spans="1:25">
      <c r="A947" s="1487"/>
      <c r="B947" s="1488"/>
      <c r="C947" s="1489"/>
      <c r="D947" s="1490"/>
      <c r="E947" s="1487"/>
      <c r="F947" s="1488"/>
      <c r="G947" s="1489"/>
      <c r="H947" s="1490"/>
      <c r="I947" s="1487"/>
      <c r="J947" s="1488"/>
      <c r="K947" s="1489"/>
      <c r="L947" s="1490"/>
      <c r="M947" s="1487"/>
      <c r="N947" s="1488"/>
      <c r="O947" s="1489"/>
      <c r="P947" s="1490"/>
      <c r="X947" s="1445" t="e">
        <f ca="1"/>
        <v>#NAME?</v>
      </c>
      <c r="Y947" s="1446" t="e">
        <f ca="1"/>
        <v>#NAME?</v>
      </c>
    </row>
    <row r="948" spans="1:25">
      <c r="A948" s="1487"/>
      <c r="B948" s="1488"/>
      <c r="C948" s="1489"/>
      <c r="D948" s="1490"/>
      <c r="E948" s="1487"/>
      <c r="F948" s="1488"/>
      <c r="G948" s="1489"/>
      <c r="H948" s="1490"/>
      <c r="I948" s="1487"/>
      <c r="J948" s="1488"/>
      <c r="K948" s="1489"/>
      <c r="L948" s="1490"/>
      <c r="M948" s="1487"/>
      <c r="N948" s="1488"/>
      <c r="O948" s="1489"/>
      <c r="P948" s="1490"/>
      <c r="X948" s="1445" t="e">
        <f ca="1"/>
        <v>#NAME?</v>
      </c>
      <c r="Y948" s="1446" t="e">
        <f ca="1"/>
        <v>#NAME?</v>
      </c>
    </row>
    <row r="949" spans="1:25">
      <c r="A949" s="1487"/>
      <c r="B949" s="1488"/>
      <c r="C949" s="1489"/>
      <c r="D949" s="1490"/>
      <c r="E949" s="1487"/>
      <c r="F949" s="1488"/>
      <c r="G949" s="1489"/>
      <c r="H949" s="1490"/>
      <c r="I949" s="1487"/>
      <c r="J949" s="1488"/>
      <c r="K949" s="1489"/>
      <c r="L949" s="1490"/>
      <c r="M949" s="1487"/>
      <c r="N949" s="1488"/>
      <c r="O949" s="1489"/>
      <c r="P949" s="1490"/>
      <c r="X949" s="1445" t="e">
        <f ca="1"/>
        <v>#NAME?</v>
      </c>
      <c r="Y949" s="1446" t="e">
        <f ca="1"/>
        <v>#NAME?</v>
      </c>
    </row>
    <row r="950" spans="1:25">
      <c r="A950" s="1487"/>
      <c r="B950" s="1488"/>
      <c r="C950" s="1489"/>
      <c r="D950" s="1490"/>
      <c r="E950" s="1487"/>
      <c r="F950" s="1488"/>
      <c r="G950" s="1489"/>
      <c r="H950" s="1490"/>
      <c r="I950" s="1487"/>
      <c r="J950" s="1488"/>
      <c r="K950" s="1489"/>
      <c r="L950" s="1490"/>
      <c r="M950" s="1487"/>
      <c r="N950" s="1488"/>
      <c r="O950" s="1489"/>
      <c r="P950" s="1490"/>
      <c r="X950" s="1445" t="e">
        <f ca="1"/>
        <v>#NAME?</v>
      </c>
      <c r="Y950" s="1446" t="e">
        <f ca="1"/>
        <v>#NAME?</v>
      </c>
    </row>
    <row r="951" spans="1:25">
      <c r="A951" s="1487"/>
      <c r="B951" s="1488"/>
      <c r="C951" s="1489"/>
      <c r="D951" s="1490"/>
      <c r="E951" s="1487"/>
      <c r="F951" s="1488"/>
      <c r="G951" s="1489"/>
      <c r="H951" s="1490"/>
      <c r="I951" s="1487"/>
      <c r="J951" s="1488"/>
      <c r="K951" s="1489"/>
      <c r="L951" s="1490"/>
      <c r="M951" s="1487"/>
      <c r="N951" s="1488"/>
      <c r="O951" s="1489"/>
      <c r="P951" s="1490"/>
      <c r="X951" s="1445" t="e">
        <f ca="1"/>
        <v>#NAME?</v>
      </c>
      <c r="Y951" s="1446" t="e">
        <f ca="1"/>
        <v>#NAME?</v>
      </c>
    </row>
    <row r="952" spans="1:25">
      <c r="A952" s="1487"/>
      <c r="B952" s="1488"/>
      <c r="C952" s="1489"/>
      <c r="D952" s="1490"/>
      <c r="E952" s="1487"/>
      <c r="F952" s="1488"/>
      <c r="G952" s="1489"/>
      <c r="H952" s="1490"/>
      <c r="I952" s="1487"/>
      <c r="J952" s="1488"/>
      <c r="K952" s="1489"/>
      <c r="L952" s="1490"/>
      <c r="M952" s="1487"/>
      <c r="N952" s="1488"/>
      <c r="O952" s="1489"/>
      <c r="P952" s="1490"/>
      <c r="X952" s="1445" t="e">
        <f ca="1"/>
        <v>#NAME?</v>
      </c>
      <c r="Y952" s="1446" t="e">
        <f ca="1"/>
        <v>#NAME?</v>
      </c>
    </row>
    <row r="953" spans="1:25">
      <c r="A953" s="1487"/>
      <c r="B953" s="1488"/>
      <c r="C953" s="1489"/>
      <c r="D953" s="1490"/>
      <c r="E953" s="1487"/>
      <c r="F953" s="1488"/>
      <c r="G953" s="1489"/>
      <c r="H953" s="1490"/>
      <c r="I953" s="1487"/>
      <c r="J953" s="1488"/>
      <c r="K953" s="1489"/>
      <c r="L953" s="1490"/>
      <c r="M953" s="1487"/>
      <c r="N953" s="1488"/>
      <c r="O953" s="1489"/>
      <c r="P953" s="1490"/>
      <c r="X953" s="1445" t="e">
        <f ca="1"/>
        <v>#NAME?</v>
      </c>
      <c r="Y953" s="1446" t="e">
        <f ca="1"/>
        <v>#NAME?</v>
      </c>
    </row>
    <row r="954" spans="1:25">
      <c r="A954" s="1487"/>
      <c r="B954" s="1488"/>
      <c r="C954" s="1489"/>
      <c r="D954" s="1490"/>
      <c r="E954" s="1487"/>
      <c r="F954" s="1488"/>
      <c r="G954" s="1489"/>
      <c r="H954" s="1490"/>
      <c r="I954" s="1487"/>
      <c r="J954" s="1488"/>
      <c r="K954" s="1489"/>
      <c r="L954" s="1490"/>
      <c r="M954" s="1487"/>
      <c r="N954" s="1488"/>
      <c r="O954" s="1489"/>
      <c r="P954" s="1490"/>
      <c r="X954" s="1445" t="e">
        <f ca="1"/>
        <v>#NAME?</v>
      </c>
      <c r="Y954" s="1446" t="e">
        <f ca="1"/>
        <v>#NAME?</v>
      </c>
    </row>
    <row r="955" spans="1:25">
      <c r="A955" s="1487"/>
      <c r="B955" s="1488"/>
      <c r="C955" s="1489"/>
      <c r="D955" s="1490"/>
      <c r="E955" s="1487"/>
      <c r="F955" s="1488"/>
      <c r="G955" s="1489"/>
      <c r="H955" s="1490"/>
      <c r="I955" s="1487"/>
      <c r="J955" s="1488"/>
      <c r="K955" s="1489"/>
      <c r="L955" s="1490"/>
      <c r="M955" s="1487"/>
      <c r="N955" s="1488"/>
      <c r="O955" s="1489"/>
      <c r="P955" s="1490"/>
      <c r="X955" s="1445" t="e">
        <f ca="1"/>
        <v>#NAME?</v>
      </c>
      <c r="Y955" s="1446" t="e">
        <f ca="1"/>
        <v>#NAME?</v>
      </c>
    </row>
    <row r="956" spans="1:25">
      <c r="A956" s="1487"/>
      <c r="B956" s="1488"/>
      <c r="C956" s="1489"/>
      <c r="D956" s="1490"/>
      <c r="E956" s="1487"/>
      <c r="F956" s="1488"/>
      <c r="G956" s="1489"/>
      <c r="H956" s="1490"/>
      <c r="I956" s="1487"/>
      <c r="J956" s="1488"/>
      <c r="K956" s="1489"/>
      <c r="L956" s="1490"/>
      <c r="M956" s="1487"/>
      <c r="N956" s="1488"/>
      <c r="O956" s="1489"/>
      <c r="P956" s="1490"/>
      <c r="X956" s="1445" t="e">
        <f ca="1"/>
        <v>#NAME?</v>
      </c>
      <c r="Y956" s="1446" t="e">
        <f ca="1"/>
        <v>#NAME?</v>
      </c>
    </row>
    <row r="957" spans="1:25">
      <c r="A957" s="1487"/>
      <c r="B957" s="1488"/>
      <c r="C957" s="1489"/>
      <c r="D957" s="1490"/>
      <c r="E957" s="1487"/>
      <c r="F957" s="1488"/>
      <c r="G957" s="1489"/>
      <c r="H957" s="1490"/>
      <c r="I957" s="1487"/>
      <c r="J957" s="1488"/>
      <c r="K957" s="1489"/>
      <c r="L957" s="1490"/>
      <c r="M957" s="1487"/>
      <c r="N957" s="1488"/>
      <c r="O957" s="1489"/>
      <c r="P957" s="1490"/>
      <c r="X957" s="1445" t="e">
        <f ca="1"/>
        <v>#NAME?</v>
      </c>
      <c r="Y957" s="1446" t="e">
        <f ca="1"/>
        <v>#NAME?</v>
      </c>
    </row>
    <row r="958" spans="1:25">
      <c r="A958" s="1487"/>
      <c r="B958" s="1488"/>
      <c r="C958" s="1489"/>
      <c r="D958" s="1490"/>
      <c r="E958" s="1487"/>
      <c r="F958" s="1488"/>
      <c r="G958" s="1489"/>
      <c r="H958" s="1490"/>
      <c r="I958" s="1487"/>
      <c r="J958" s="1488"/>
      <c r="K958" s="1489"/>
      <c r="L958" s="1490"/>
      <c r="M958" s="1487"/>
      <c r="N958" s="1488"/>
      <c r="O958" s="1489"/>
      <c r="P958" s="1490"/>
      <c r="X958" s="1445" t="e">
        <f ca="1"/>
        <v>#NAME?</v>
      </c>
      <c r="Y958" s="1446" t="e">
        <f ca="1"/>
        <v>#NAME?</v>
      </c>
    </row>
    <row r="959" spans="1:25">
      <c r="A959" s="1487"/>
      <c r="B959" s="1488"/>
      <c r="C959" s="1489"/>
      <c r="D959" s="1490"/>
      <c r="E959" s="1487"/>
      <c r="F959" s="1488"/>
      <c r="G959" s="1489"/>
      <c r="H959" s="1490"/>
      <c r="I959" s="1487"/>
      <c r="J959" s="1488"/>
      <c r="K959" s="1489"/>
      <c r="L959" s="1490"/>
      <c r="M959" s="1487"/>
      <c r="N959" s="1488"/>
      <c r="O959" s="1489"/>
      <c r="P959" s="1490"/>
      <c r="X959" s="1445" t="e">
        <f ca="1"/>
        <v>#NAME?</v>
      </c>
      <c r="Y959" s="1446" t="e">
        <f ca="1"/>
        <v>#NAME?</v>
      </c>
    </row>
    <row r="960" spans="1:25">
      <c r="A960" s="1487"/>
      <c r="B960" s="1488"/>
      <c r="C960" s="1489"/>
      <c r="D960" s="1490"/>
      <c r="E960" s="1487"/>
      <c r="F960" s="1488"/>
      <c r="G960" s="1489"/>
      <c r="H960" s="1490"/>
      <c r="I960" s="1487"/>
      <c r="J960" s="1488"/>
      <c r="K960" s="1489"/>
      <c r="L960" s="1490"/>
      <c r="M960" s="1487"/>
      <c r="N960" s="1488"/>
      <c r="O960" s="1489"/>
      <c r="P960" s="1490"/>
      <c r="X960" s="1445" t="e">
        <f ca="1"/>
        <v>#NAME?</v>
      </c>
      <c r="Y960" s="1446" t="e">
        <f ca="1"/>
        <v>#NAME?</v>
      </c>
    </row>
    <row r="961" spans="1:25">
      <c r="A961" s="1487"/>
      <c r="B961" s="1488"/>
      <c r="C961" s="1489"/>
      <c r="D961" s="1490"/>
      <c r="E961" s="1487"/>
      <c r="F961" s="1488"/>
      <c r="G961" s="1489"/>
      <c r="H961" s="1490"/>
      <c r="I961" s="1487"/>
      <c r="J961" s="1488"/>
      <c r="K961" s="1489"/>
      <c r="L961" s="1490"/>
      <c r="M961" s="1487"/>
      <c r="N961" s="1488"/>
      <c r="O961" s="1489"/>
      <c r="P961" s="1490"/>
      <c r="X961" s="1445" t="e">
        <f ca="1"/>
        <v>#NAME?</v>
      </c>
      <c r="Y961" s="1446" t="e">
        <f ca="1"/>
        <v>#NAME?</v>
      </c>
    </row>
    <row r="962" spans="1:25">
      <c r="A962" s="1487"/>
      <c r="B962" s="1488"/>
      <c r="C962" s="1489"/>
      <c r="D962" s="1490"/>
      <c r="E962" s="1487"/>
      <c r="F962" s="1488"/>
      <c r="G962" s="1489"/>
      <c r="H962" s="1490"/>
      <c r="I962" s="1487"/>
      <c r="J962" s="1488"/>
      <c r="K962" s="1489"/>
      <c r="L962" s="1490"/>
      <c r="M962" s="1487"/>
      <c r="N962" s="1488"/>
      <c r="O962" s="1489"/>
      <c r="P962" s="1490"/>
      <c r="X962" s="1445" t="e">
        <f ca="1"/>
        <v>#NAME?</v>
      </c>
      <c r="Y962" s="1446" t="e">
        <f ca="1"/>
        <v>#NAME?</v>
      </c>
    </row>
    <row r="963" spans="1:25">
      <c r="A963" s="1487"/>
      <c r="B963" s="1488"/>
      <c r="C963" s="1489"/>
      <c r="D963" s="1490"/>
      <c r="E963" s="1487"/>
      <c r="F963" s="1488"/>
      <c r="G963" s="1489"/>
      <c r="H963" s="1490"/>
      <c r="I963" s="1487"/>
      <c r="J963" s="1488"/>
      <c r="K963" s="1489"/>
      <c r="L963" s="1490"/>
      <c r="M963" s="1487"/>
      <c r="N963" s="1488"/>
      <c r="O963" s="1489"/>
      <c r="P963" s="1490"/>
      <c r="X963" s="1445" t="e">
        <f ca="1"/>
        <v>#NAME?</v>
      </c>
      <c r="Y963" s="1446" t="e">
        <f ca="1"/>
        <v>#NAME?</v>
      </c>
    </row>
    <row r="964" spans="1:25">
      <c r="A964" s="1487"/>
      <c r="B964" s="1488"/>
      <c r="C964" s="1489"/>
      <c r="D964" s="1490"/>
      <c r="E964" s="1487"/>
      <c r="F964" s="1488"/>
      <c r="G964" s="1489"/>
      <c r="H964" s="1490"/>
      <c r="I964" s="1487"/>
      <c r="J964" s="1488"/>
      <c r="K964" s="1489"/>
      <c r="L964" s="1490"/>
      <c r="M964" s="1487"/>
      <c r="N964" s="1488"/>
      <c r="O964" s="1489"/>
      <c r="P964" s="1490"/>
      <c r="X964" s="1445" t="e">
        <f ca="1"/>
        <v>#NAME?</v>
      </c>
      <c r="Y964" s="1446" t="e">
        <f ca="1"/>
        <v>#NAME?</v>
      </c>
    </row>
    <row r="965" spans="1:25">
      <c r="A965" s="1487"/>
      <c r="B965" s="1488"/>
      <c r="C965" s="1489"/>
      <c r="D965" s="1490"/>
      <c r="E965" s="1487"/>
      <c r="F965" s="1488"/>
      <c r="G965" s="1489"/>
      <c r="H965" s="1490"/>
      <c r="I965" s="1487"/>
      <c r="J965" s="1488"/>
      <c r="K965" s="1489"/>
      <c r="L965" s="1490"/>
      <c r="M965" s="1487"/>
      <c r="N965" s="1488"/>
      <c r="O965" s="1489"/>
      <c r="P965" s="1490"/>
      <c r="X965" s="1445" t="e">
        <f ca="1"/>
        <v>#NAME?</v>
      </c>
      <c r="Y965" s="1446" t="e">
        <f ca="1"/>
        <v>#NAME?</v>
      </c>
    </row>
    <row r="966" spans="1:25">
      <c r="A966" s="1487"/>
      <c r="B966" s="1488"/>
      <c r="C966" s="1489"/>
      <c r="D966" s="1490"/>
      <c r="E966" s="1487"/>
      <c r="F966" s="1488"/>
      <c r="G966" s="1489"/>
      <c r="H966" s="1490"/>
      <c r="I966" s="1487"/>
      <c r="J966" s="1488"/>
      <c r="K966" s="1489"/>
      <c r="L966" s="1490"/>
      <c r="M966" s="1487"/>
      <c r="N966" s="1488"/>
      <c r="O966" s="1489"/>
      <c r="P966" s="1490"/>
      <c r="X966" s="1445" t="e">
        <f ca="1"/>
        <v>#NAME?</v>
      </c>
      <c r="Y966" s="1446" t="e">
        <f ca="1"/>
        <v>#NAME?</v>
      </c>
    </row>
    <row r="967" spans="1:25">
      <c r="A967" s="1487"/>
      <c r="B967" s="1488"/>
      <c r="C967" s="1489"/>
      <c r="D967" s="1490"/>
      <c r="E967" s="1487"/>
      <c r="F967" s="1488"/>
      <c r="G967" s="1489"/>
      <c r="H967" s="1490"/>
      <c r="I967" s="1487"/>
      <c r="J967" s="1488"/>
      <c r="K967" s="1489"/>
      <c r="L967" s="1490"/>
      <c r="M967" s="1487"/>
      <c r="N967" s="1488"/>
      <c r="O967" s="1489"/>
      <c r="P967" s="1490"/>
      <c r="X967" s="1445" t="e">
        <f ca="1"/>
        <v>#NAME?</v>
      </c>
      <c r="Y967" s="1446" t="e">
        <f ca="1"/>
        <v>#NAME?</v>
      </c>
    </row>
    <row r="968" spans="1:25">
      <c r="A968" s="1487"/>
      <c r="B968" s="1488"/>
      <c r="C968" s="1489"/>
      <c r="D968" s="1490"/>
      <c r="E968" s="1487"/>
      <c r="F968" s="1488"/>
      <c r="G968" s="1489"/>
      <c r="H968" s="1490"/>
      <c r="I968" s="1487"/>
      <c r="J968" s="1488"/>
      <c r="K968" s="1489"/>
      <c r="L968" s="1490"/>
      <c r="M968" s="1487"/>
      <c r="N968" s="1488"/>
      <c r="O968" s="1489"/>
      <c r="P968" s="1490"/>
      <c r="X968" s="1445" t="e">
        <f ca="1"/>
        <v>#NAME?</v>
      </c>
      <c r="Y968" s="1446" t="e">
        <f ca="1"/>
        <v>#NAME?</v>
      </c>
    </row>
    <row r="969" spans="1:25">
      <c r="A969" s="1487"/>
      <c r="B969" s="1488"/>
      <c r="C969" s="1489"/>
      <c r="D969" s="1490"/>
      <c r="E969" s="1487"/>
      <c r="F969" s="1488"/>
      <c r="G969" s="1489"/>
      <c r="H969" s="1490"/>
      <c r="I969" s="1487"/>
      <c r="J969" s="1488"/>
      <c r="K969" s="1489"/>
      <c r="L969" s="1490"/>
      <c r="M969" s="1487"/>
      <c r="N969" s="1488"/>
      <c r="O969" s="1489"/>
      <c r="P969" s="1490"/>
      <c r="X969" s="1445" t="e">
        <f ca="1"/>
        <v>#NAME?</v>
      </c>
      <c r="Y969" s="1446" t="e">
        <f ca="1"/>
        <v>#NAME?</v>
      </c>
    </row>
    <row r="970" spans="1:25">
      <c r="A970" s="1487"/>
      <c r="B970" s="1488"/>
      <c r="C970" s="1489"/>
      <c r="D970" s="1490"/>
      <c r="E970" s="1487"/>
      <c r="F970" s="1488"/>
      <c r="G970" s="1489"/>
      <c r="H970" s="1490"/>
      <c r="I970" s="1487"/>
      <c r="J970" s="1488"/>
      <c r="K970" s="1489"/>
      <c r="L970" s="1490"/>
      <c r="M970" s="1487"/>
      <c r="N970" s="1488"/>
      <c r="O970" s="1489"/>
      <c r="P970" s="1490"/>
      <c r="X970" s="1445" t="e">
        <f ca="1"/>
        <v>#NAME?</v>
      </c>
      <c r="Y970" s="1446" t="e">
        <f ca="1"/>
        <v>#NAME?</v>
      </c>
    </row>
    <row r="971" spans="1:25">
      <c r="A971" s="1487"/>
      <c r="B971" s="1488"/>
      <c r="C971" s="1489"/>
      <c r="D971" s="1490"/>
      <c r="E971" s="1487"/>
      <c r="F971" s="1488"/>
      <c r="G971" s="1489"/>
      <c r="H971" s="1490"/>
      <c r="I971" s="1487"/>
      <c r="J971" s="1488"/>
      <c r="K971" s="1489"/>
      <c r="L971" s="1490"/>
      <c r="M971" s="1487"/>
      <c r="N971" s="1488"/>
      <c r="O971" s="1489"/>
      <c r="P971" s="1490"/>
      <c r="X971" s="1445" t="e">
        <f ca="1"/>
        <v>#NAME?</v>
      </c>
      <c r="Y971" s="1446" t="e">
        <f ca="1"/>
        <v>#NAME?</v>
      </c>
    </row>
    <row r="972" spans="1:25">
      <c r="A972" s="1487"/>
      <c r="B972" s="1488"/>
      <c r="C972" s="1489"/>
      <c r="D972" s="1490"/>
      <c r="E972" s="1487"/>
      <c r="F972" s="1488"/>
      <c r="G972" s="1489"/>
      <c r="H972" s="1490"/>
      <c r="I972" s="1487"/>
      <c r="J972" s="1488"/>
      <c r="K972" s="1489"/>
      <c r="L972" s="1490"/>
      <c r="M972" s="1487"/>
      <c r="N972" s="1488"/>
      <c r="O972" s="1489"/>
      <c r="P972" s="1490"/>
      <c r="X972" s="1445" t="e">
        <f ca="1"/>
        <v>#NAME?</v>
      </c>
      <c r="Y972" s="1446" t="e">
        <f ca="1"/>
        <v>#NAME?</v>
      </c>
    </row>
    <row r="973" spans="1:25">
      <c r="A973" s="1487"/>
      <c r="B973" s="1488"/>
      <c r="C973" s="1489"/>
      <c r="D973" s="1490"/>
      <c r="E973" s="1487"/>
      <c r="F973" s="1488"/>
      <c r="G973" s="1489"/>
      <c r="H973" s="1490"/>
      <c r="I973" s="1487"/>
      <c r="J973" s="1488"/>
      <c r="K973" s="1489"/>
      <c r="L973" s="1490"/>
      <c r="M973" s="1487"/>
      <c r="N973" s="1488"/>
      <c r="O973" s="1489"/>
      <c r="P973" s="1490"/>
      <c r="X973" s="1445" t="e">
        <f ca="1"/>
        <v>#NAME?</v>
      </c>
      <c r="Y973" s="1446" t="e">
        <f ca="1"/>
        <v>#NAME?</v>
      </c>
    </row>
    <row r="974" spans="1:25">
      <c r="A974" s="1487"/>
      <c r="B974" s="1488"/>
      <c r="C974" s="1489"/>
      <c r="D974" s="1490"/>
      <c r="E974" s="1487"/>
      <c r="F974" s="1488"/>
      <c r="G974" s="1489"/>
      <c r="H974" s="1490"/>
      <c r="I974" s="1487"/>
      <c r="J974" s="1488"/>
      <c r="K974" s="1489"/>
      <c r="L974" s="1490"/>
      <c r="M974" s="1487"/>
      <c r="N974" s="1488"/>
      <c r="O974" s="1489"/>
      <c r="P974" s="1490"/>
      <c r="X974" s="1445" t="e">
        <f ca="1"/>
        <v>#NAME?</v>
      </c>
      <c r="Y974" s="1446" t="e">
        <f ca="1"/>
        <v>#NAME?</v>
      </c>
    </row>
    <row r="975" spans="1:25">
      <c r="A975" s="1487"/>
      <c r="B975" s="1488"/>
      <c r="C975" s="1489"/>
      <c r="D975" s="1490"/>
      <c r="E975" s="1487"/>
      <c r="F975" s="1488"/>
      <c r="G975" s="1489"/>
      <c r="H975" s="1490"/>
      <c r="I975" s="1487"/>
      <c r="J975" s="1488"/>
      <c r="K975" s="1489"/>
      <c r="L975" s="1490"/>
      <c r="M975" s="1487"/>
      <c r="N975" s="1488"/>
      <c r="O975" s="1489"/>
      <c r="P975" s="1490"/>
      <c r="X975" s="1445" t="e">
        <f ca="1"/>
        <v>#NAME?</v>
      </c>
      <c r="Y975" s="1446" t="e">
        <f ca="1"/>
        <v>#NAME?</v>
      </c>
    </row>
    <row r="976" spans="1:25">
      <c r="A976" s="1487"/>
      <c r="B976" s="1488"/>
      <c r="C976" s="1489"/>
      <c r="D976" s="1490"/>
      <c r="E976" s="1487"/>
      <c r="F976" s="1488"/>
      <c r="G976" s="1489"/>
      <c r="H976" s="1490"/>
      <c r="I976" s="1487"/>
      <c r="J976" s="1488"/>
      <c r="K976" s="1489"/>
      <c r="L976" s="1490"/>
      <c r="M976" s="1487"/>
      <c r="N976" s="1488"/>
      <c r="O976" s="1489"/>
      <c r="P976" s="1490"/>
      <c r="X976" s="1445" t="e">
        <f ca="1"/>
        <v>#NAME?</v>
      </c>
      <c r="Y976" s="1446" t="e">
        <f ca="1"/>
        <v>#NAME?</v>
      </c>
    </row>
    <row r="977" spans="1:25">
      <c r="A977" s="1487"/>
      <c r="B977" s="1488"/>
      <c r="C977" s="1489"/>
      <c r="D977" s="1490"/>
      <c r="E977" s="1487"/>
      <c r="F977" s="1488"/>
      <c r="G977" s="1489"/>
      <c r="H977" s="1490"/>
      <c r="I977" s="1487"/>
      <c r="J977" s="1488"/>
      <c r="K977" s="1489"/>
      <c r="L977" s="1490"/>
      <c r="M977" s="1487"/>
      <c r="N977" s="1488"/>
      <c r="O977" s="1489"/>
      <c r="P977" s="1490"/>
      <c r="X977" s="1445" t="e">
        <f ca="1"/>
        <v>#NAME?</v>
      </c>
      <c r="Y977" s="1446" t="e">
        <f ca="1"/>
        <v>#NAME?</v>
      </c>
    </row>
    <row r="978" spans="1:25">
      <c r="A978" s="1487"/>
      <c r="B978" s="1488"/>
      <c r="C978" s="1489"/>
      <c r="D978" s="1490"/>
      <c r="E978" s="1487"/>
      <c r="F978" s="1488"/>
      <c r="G978" s="1489"/>
      <c r="H978" s="1490"/>
      <c r="I978" s="1487"/>
      <c r="J978" s="1488"/>
      <c r="K978" s="1489"/>
      <c r="L978" s="1490"/>
      <c r="M978" s="1487"/>
      <c r="N978" s="1488"/>
      <c r="O978" s="1489"/>
      <c r="P978" s="1490"/>
      <c r="X978" s="1445" t="e">
        <f ca="1"/>
        <v>#NAME?</v>
      </c>
      <c r="Y978" s="1446" t="e">
        <f ca="1"/>
        <v>#NAME?</v>
      </c>
    </row>
    <row r="979" spans="1:25">
      <c r="A979" s="1487"/>
      <c r="B979" s="1488"/>
      <c r="C979" s="1489"/>
      <c r="D979" s="1490"/>
      <c r="E979" s="1487"/>
      <c r="F979" s="1488"/>
      <c r="G979" s="1489"/>
      <c r="H979" s="1490"/>
      <c r="I979" s="1487"/>
      <c r="J979" s="1488"/>
      <c r="K979" s="1489"/>
      <c r="L979" s="1490"/>
      <c r="M979" s="1487"/>
      <c r="N979" s="1488"/>
      <c r="O979" s="1489"/>
      <c r="P979" s="1490"/>
      <c r="X979" s="1445" t="e">
        <f ca="1"/>
        <v>#NAME?</v>
      </c>
      <c r="Y979" s="1446" t="e">
        <f ca="1"/>
        <v>#NAME?</v>
      </c>
    </row>
    <row r="980" spans="1:25">
      <c r="A980" s="1487"/>
      <c r="B980" s="1488"/>
      <c r="C980" s="1489"/>
      <c r="D980" s="1490"/>
      <c r="E980" s="1487"/>
      <c r="F980" s="1488"/>
      <c r="G980" s="1489"/>
      <c r="H980" s="1490"/>
      <c r="I980" s="1487"/>
      <c r="J980" s="1488"/>
      <c r="K980" s="1489"/>
      <c r="L980" s="1490"/>
      <c r="M980" s="1487"/>
      <c r="N980" s="1488"/>
      <c r="O980" s="1489"/>
      <c r="P980" s="1490"/>
      <c r="X980" s="1445" t="e">
        <f ca="1"/>
        <v>#NAME?</v>
      </c>
      <c r="Y980" s="1446" t="e">
        <f ca="1"/>
        <v>#NAME?</v>
      </c>
    </row>
    <row r="981" spans="1:25">
      <c r="A981" s="1487"/>
      <c r="B981" s="1488"/>
      <c r="C981" s="1489"/>
      <c r="D981" s="1490"/>
      <c r="E981" s="1487"/>
      <c r="F981" s="1488"/>
      <c r="G981" s="1489"/>
      <c r="H981" s="1490"/>
      <c r="I981" s="1487"/>
      <c r="J981" s="1488"/>
      <c r="K981" s="1489"/>
      <c r="L981" s="1490"/>
      <c r="M981" s="1487"/>
      <c r="N981" s="1488"/>
      <c r="O981" s="1489"/>
      <c r="P981" s="1490"/>
      <c r="X981" s="1445" t="e">
        <f ca="1"/>
        <v>#NAME?</v>
      </c>
      <c r="Y981" s="1446" t="e">
        <f ca="1"/>
        <v>#NAME?</v>
      </c>
    </row>
    <row r="982" spans="1:25">
      <c r="A982" s="1487"/>
      <c r="B982" s="1488"/>
      <c r="C982" s="1489"/>
      <c r="D982" s="1490"/>
      <c r="E982" s="1487"/>
      <c r="F982" s="1488"/>
      <c r="G982" s="1489"/>
      <c r="H982" s="1490"/>
      <c r="I982" s="1487"/>
      <c r="J982" s="1488"/>
      <c r="K982" s="1489"/>
      <c r="L982" s="1490"/>
      <c r="M982" s="1487"/>
      <c r="N982" s="1488"/>
      <c r="O982" s="1489"/>
      <c r="P982" s="1490"/>
      <c r="X982" s="1445" t="e">
        <f ca="1"/>
        <v>#NAME?</v>
      </c>
      <c r="Y982" s="1446" t="e">
        <f ca="1"/>
        <v>#NAME?</v>
      </c>
    </row>
    <row r="983" spans="1:25">
      <c r="A983" s="1487"/>
      <c r="B983" s="1488"/>
      <c r="C983" s="1489"/>
      <c r="D983" s="1490"/>
      <c r="E983" s="1487"/>
      <c r="F983" s="1488"/>
      <c r="G983" s="1489"/>
      <c r="H983" s="1490"/>
      <c r="I983" s="1487"/>
      <c r="J983" s="1488"/>
      <c r="K983" s="1489"/>
      <c r="L983" s="1490"/>
      <c r="M983" s="1487"/>
      <c r="N983" s="1488"/>
      <c r="O983" s="1489"/>
      <c r="P983" s="1490"/>
      <c r="X983" s="1445" t="e">
        <f ca="1"/>
        <v>#NAME?</v>
      </c>
      <c r="Y983" s="1446" t="e">
        <f ca="1"/>
        <v>#NAME?</v>
      </c>
    </row>
    <row r="984" spans="1:25">
      <c r="A984" s="1487"/>
      <c r="B984" s="1488"/>
      <c r="C984" s="1489"/>
      <c r="D984" s="1490"/>
      <c r="E984" s="1487"/>
      <c r="F984" s="1488"/>
      <c r="G984" s="1489"/>
      <c r="H984" s="1490"/>
      <c r="I984" s="1487"/>
      <c r="J984" s="1488"/>
      <c r="K984" s="1489"/>
      <c r="L984" s="1490"/>
      <c r="M984" s="1487"/>
      <c r="N984" s="1488"/>
      <c r="O984" s="1489"/>
      <c r="P984" s="1490"/>
      <c r="X984" s="1445" t="e">
        <f ca="1"/>
        <v>#NAME?</v>
      </c>
      <c r="Y984" s="1446" t="e">
        <f ca="1"/>
        <v>#NAME?</v>
      </c>
    </row>
    <row r="985" spans="1:25">
      <c r="A985" s="1487"/>
      <c r="B985" s="1488"/>
      <c r="C985" s="1489"/>
      <c r="D985" s="1490"/>
      <c r="E985" s="1487"/>
      <c r="F985" s="1488"/>
      <c r="G985" s="1489"/>
      <c r="H985" s="1490"/>
      <c r="I985" s="1487"/>
      <c r="J985" s="1488"/>
      <c r="K985" s="1489"/>
      <c r="L985" s="1490"/>
      <c r="M985" s="1487"/>
      <c r="N985" s="1488"/>
      <c r="O985" s="1489"/>
      <c r="P985" s="1490"/>
      <c r="X985" s="1445" t="e">
        <f ca="1"/>
        <v>#NAME?</v>
      </c>
      <c r="Y985" s="1446" t="e">
        <f ca="1"/>
        <v>#NAME?</v>
      </c>
    </row>
    <row r="986" spans="1:25">
      <c r="A986" s="1487"/>
      <c r="B986" s="1488"/>
      <c r="C986" s="1489"/>
      <c r="D986" s="1490"/>
      <c r="E986" s="1487"/>
      <c r="F986" s="1488"/>
      <c r="G986" s="1489"/>
      <c r="H986" s="1490"/>
      <c r="I986" s="1487"/>
      <c r="J986" s="1488"/>
      <c r="K986" s="1489"/>
      <c r="L986" s="1490"/>
      <c r="M986" s="1487"/>
      <c r="N986" s="1488"/>
      <c r="O986" s="1489"/>
      <c r="P986" s="1490"/>
      <c r="X986" s="1445" t="e">
        <f ca="1"/>
        <v>#NAME?</v>
      </c>
      <c r="Y986" s="1446" t="e">
        <f ca="1"/>
        <v>#NAME?</v>
      </c>
    </row>
    <row r="987" spans="1:25">
      <c r="A987" s="1487"/>
      <c r="B987" s="1488"/>
      <c r="C987" s="1489"/>
      <c r="D987" s="1490"/>
      <c r="E987" s="1487"/>
      <c r="F987" s="1488"/>
      <c r="G987" s="1489"/>
      <c r="H987" s="1490"/>
      <c r="I987" s="1487"/>
      <c r="J987" s="1488"/>
      <c r="K987" s="1489"/>
      <c r="L987" s="1490"/>
      <c r="M987" s="1487"/>
      <c r="N987" s="1488"/>
      <c r="O987" s="1489"/>
      <c r="P987" s="1490"/>
      <c r="X987" s="1445" t="e">
        <f ca="1"/>
        <v>#NAME?</v>
      </c>
      <c r="Y987" s="1446" t="e">
        <f ca="1"/>
        <v>#NAME?</v>
      </c>
    </row>
    <row r="988" spans="1:25">
      <c r="A988" s="1487"/>
      <c r="B988" s="1488"/>
      <c r="C988" s="1489"/>
      <c r="D988" s="1490"/>
      <c r="E988" s="1487"/>
      <c r="F988" s="1488"/>
      <c r="G988" s="1489"/>
      <c r="H988" s="1490"/>
      <c r="I988" s="1487"/>
      <c r="J988" s="1488"/>
      <c r="K988" s="1489"/>
      <c r="L988" s="1490"/>
      <c r="M988" s="1487"/>
      <c r="N988" s="1488"/>
      <c r="O988" s="1489"/>
      <c r="P988" s="1490"/>
      <c r="X988" s="1445" t="e">
        <f ca="1"/>
        <v>#NAME?</v>
      </c>
      <c r="Y988" s="1446" t="e">
        <f ca="1"/>
        <v>#NAME?</v>
      </c>
    </row>
    <row r="989" spans="1:25">
      <c r="A989" s="1487"/>
      <c r="B989" s="1488"/>
      <c r="C989" s="1489"/>
      <c r="D989" s="1490"/>
      <c r="E989" s="1487"/>
      <c r="F989" s="1488"/>
      <c r="G989" s="1489"/>
      <c r="H989" s="1490"/>
      <c r="I989" s="1487"/>
      <c r="J989" s="1488"/>
      <c r="K989" s="1489"/>
      <c r="L989" s="1490"/>
      <c r="M989" s="1487"/>
      <c r="N989" s="1488"/>
      <c r="O989" s="1489"/>
      <c r="P989" s="1490"/>
      <c r="X989" s="1445" t="e">
        <f ca="1"/>
        <v>#NAME?</v>
      </c>
      <c r="Y989" s="1446" t="e">
        <f ca="1"/>
        <v>#NAME?</v>
      </c>
    </row>
    <row r="990" spans="1:25">
      <c r="A990" s="1487"/>
      <c r="B990" s="1488"/>
      <c r="C990" s="1489"/>
      <c r="D990" s="1490"/>
      <c r="E990" s="1487"/>
      <c r="F990" s="1488"/>
      <c r="G990" s="1489"/>
      <c r="H990" s="1490"/>
      <c r="I990" s="1487"/>
      <c r="J990" s="1488"/>
      <c r="K990" s="1489"/>
      <c r="L990" s="1490"/>
      <c r="M990" s="1487"/>
      <c r="N990" s="1488"/>
      <c r="O990" s="1489"/>
      <c r="P990" s="1490"/>
      <c r="X990" s="1445" t="e">
        <f ca="1"/>
        <v>#NAME?</v>
      </c>
      <c r="Y990" s="1446" t="e">
        <f ca="1"/>
        <v>#NAME?</v>
      </c>
    </row>
    <row r="991" spans="1:25">
      <c r="A991" s="1487"/>
      <c r="B991" s="1488"/>
      <c r="C991" s="1489"/>
      <c r="D991" s="1490"/>
      <c r="E991" s="1487"/>
      <c r="F991" s="1488"/>
      <c r="G991" s="1489"/>
      <c r="H991" s="1490"/>
      <c r="I991" s="1487"/>
      <c r="J991" s="1488"/>
      <c r="K991" s="1489"/>
      <c r="L991" s="1490"/>
      <c r="M991" s="1487"/>
      <c r="N991" s="1488"/>
      <c r="O991" s="1489"/>
      <c r="P991" s="1490"/>
      <c r="X991" s="1445" t="e">
        <f ca="1"/>
        <v>#NAME?</v>
      </c>
      <c r="Y991" s="1446" t="e">
        <f ca="1"/>
        <v>#NAME?</v>
      </c>
    </row>
    <row r="992" spans="1:25">
      <c r="A992" s="1487"/>
      <c r="B992" s="1488"/>
      <c r="C992" s="1489"/>
      <c r="D992" s="1490"/>
      <c r="E992" s="1487"/>
      <c r="F992" s="1488"/>
      <c r="G992" s="1489"/>
      <c r="H992" s="1490"/>
      <c r="I992" s="1487"/>
      <c r="J992" s="1488"/>
      <c r="K992" s="1489"/>
      <c r="L992" s="1490"/>
      <c r="M992" s="1487"/>
      <c r="N992" s="1488"/>
      <c r="O992" s="1489"/>
      <c r="P992" s="1490"/>
      <c r="X992" s="1445" t="e">
        <f ca="1"/>
        <v>#NAME?</v>
      </c>
      <c r="Y992" s="1446" t="e">
        <f ca="1"/>
        <v>#NAME?</v>
      </c>
    </row>
    <row r="993" spans="1:25">
      <c r="A993" s="1487"/>
      <c r="B993" s="1488"/>
      <c r="C993" s="1489"/>
      <c r="D993" s="1490"/>
      <c r="E993" s="1487"/>
      <c r="F993" s="1488"/>
      <c r="G993" s="1489"/>
      <c r="H993" s="1490"/>
      <c r="I993" s="1487"/>
      <c r="J993" s="1488"/>
      <c r="K993" s="1489"/>
      <c r="L993" s="1490"/>
      <c r="M993" s="1487"/>
      <c r="N993" s="1488"/>
      <c r="O993" s="1489"/>
      <c r="P993" s="1490"/>
      <c r="X993" s="1445" t="e">
        <f ca="1"/>
        <v>#NAME?</v>
      </c>
      <c r="Y993" s="1446" t="e">
        <f ca="1"/>
        <v>#NAME?</v>
      </c>
    </row>
    <row r="994" spans="1:25">
      <c r="A994" s="1487"/>
      <c r="B994" s="1488"/>
      <c r="C994" s="1489"/>
      <c r="D994" s="1490"/>
      <c r="E994" s="1487"/>
      <c r="F994" s="1488"/>
      <c r="G994" s="1489"/>
      <c r="H994" s="1490"/>
      <c r="I994" s="1487"/>
      <c r="J994" s="1488"/>
      <c r="K994" s="1489"/>
      <c r="L994" s="1490"/>
      <c r="M994" s="1487"/>
      <c r="N994" s="1488"/>
      <c r="O994" s="1489"/>
      <c r="P994" s="1490"/>
      <c r="X994" s="1445" t="e">
        <f ca="1"/>
        <v>#NAME?</v>
      </c>
      <c r="Y994" s="1446" t="e">
        <f ca="1"/>
        <v>#NAME?</v>
      </c>
    </row>
    <row r="995" spans="1:25">
      <c r="A995" s="1487"/>
      <c r="B995" s="1488"/>
      <c r="C995" s="1489"/>
      <c r="D995" s="1490"/>
      <c r="E995" s="1487"/>
      <c r="F995" s="1488"/>
      <c r="G995" s="1489"/>
      <c r="H995" s="1490"/>
      <c r="I995" s="1487"/>
      <c r="J995" s="1488"/>
      <c r="K995" s="1489"/>
      <c r="L995" s="1490"/>
      <c r="M995" s="1487"/>
      <c r="N995" s="1488"/>
      <c r="O995" s="1489"/>
      <c r="P995" s="1490"/>
      <c r="X995" s="1445" t="e">
        <f ca="1"/>
        <v>#NAME?</v>
      </c>
      <c r="Y995" s="1446" t="e">
        <f ca="1"/>
        <v>#NAME?</v>
      </c>
    </row>
    <row r="996" spans="1:25">
      <c r="A996" s="1487"/>
      <c r="B996" s="1488"/>
      <c r="C996" s="1489"/>
      <c r="D996" s="1490"/>
      <c r="E996" s="1487"/>
      <c r="F996" s="1488"/>
      <c r="G996" s="1489"/>
      <c r="H996" s="1490"/>
      <c r="I996" s="1487"/>
      <c r="J996" s="1488"/>
      <c r="K996" s="1489"/>
      <c r="L996" s="1490"/>
      <c r="M996" s="1487"/>
      <c r="N996" s="1488"/>
      <c r="O996" s="1489"/>
      <c r="P996" s="1490"/>
      <c r="X996" s="1445" t="e">
        <f ca="1"/>
        <v>#NAME?</v>
      </c>
      <c r="Y996" s="1446" t="e">
        <f ca="1"/>
        <v>#NAME?</v>
      </c>
    </row>
    <row r="997" spans="1:25">
      <c r="A997" s="1487"/>
      <c r="B997" s="1488"/>
      <c r="C997" s="1489"/>
      <c r="D997" s="1490"/>
      <c r="E997" s="1487"/>
      <c r="F997" s="1488"/>
      <c r="G997" s="1489"/>
      <c r="H997" s="1490"/>
      <c r="I997" s="1487"/>
      <c r="J997" s="1488"/>
      <c r="K997" s="1489"/>
      <c r="L997" s="1490"/>
      <c r="M997" s="1487"/>
      <c r="N997" s="1488"/>
      <c r="O997" s="1489"/>
      <c r="P997" s="1490"/>
      <c r="X997" s="1445" t="e">
        <f ca="1"/>
        <v>#NAME?</v>
      </c>
      <c r="Y997" s="1446" t="e">
        <f ca="1"/>
        <v>#NAME?</v>
      </c>
    </row>
    <row r="998" spans="1:25">
      <c r="A998" s="1487"/>
      <c r="B998" s="1488"/>
      <c r="C998" s="1489"/>
      <c r="D998" s="1490"/>
      <c r="E998" s="1487"/>
      <c r="F998" s="1488"/>
      <c r="G998" s="1489"/>
      <c r="H998" s="1490"/>
      <c r="I998" s="1487"/>
      <c r="J998" s="1488"/>
      <c r="K998" s="1489"/>
      <c r="L998" s="1490"/>
      <c r="M998" s="1487"/>
      <c r="N998" s="1488"/>
      <c r="O998" s="1489"/>
      <c r="P998" s="1490"/>
      <c r="X998" s="1445" t="e">
        <f ca="1"/>
        <v>#NAME?</v>
      </c>
      <c r="Y998" s="1446" t="e">
        <f ca="1"/>
        <v>#NAME?</v>
      </c>
    </row>
    <row r="999" spans="1:25">
      <c r="A999" s="1487"/>
      <c r="B999" s="1488"/>
      <c r="C999" s="1489"/>
      <c r="D999" s="1490"/>
      <c r="E999" s="1487"/>
      <c r="F999" s="1488"/>
      <c r="G999" s="1489"/>
      <c r="H999" s="1490"/>
      <c r="I999" s="1487"/>
      <c r="J999" s="1488"/>
      <c r="K999" s="1489"/>
      <c r="L999" s="1490"/>
      <c r="M999" s="1487"/>
      <c r="N999" s="1488"/>
      <c r="O999" s="1489"/>
      <c r="P999" s="1490"/>
      <c r="X999" s="1445" t="e">
        <f ca="1"/>
        <v>#NAME?</v>
      </c>
      <c r="Y999" s="1446" t="e">
        <f ca="1"/>
        <v>#NAME?</v>
      </c>
    </row>
    <row r="1000" spans="1:25">
      <c r="A1000" s="1487"/>
      <c r="B1000" s="1488"/>
      <c r="C1000" s="1489"/>
      <c r="D1000" s="1490"/>
      <c r="E1000" s="1487"/>
      <c r="F1000" s="1488"/>
      <c r="G1000" s="1489"/>
      <c r="H1000" s="1490"/>
      <c r="I1000" s="1487"/>
      <c r="J1000" s="1488"/>
      <c r="K1000" s="1489"/>
      <c r="L1000" s="1490"/>
      <c r="M1000" s="1487"/>
      <c r="N1000" s="1488"/>
      <c r="O1000" s="1489"/>
      <c r="P1000" s="1490"/>
      <c r="X1000" s="1445" t="e">
        <f ca="1"/>
        <v>#NAME?</v>
      </c>
      <c r="Y1000" s="1446" t="e">
        <f ca="1"/>
        <v>#NAME?</v>
      </c>
    </row>
    <row r="1001" spans="1:25">
      <c r="A1001" s="1487"/>
      <c r="B1001" s="1488"/>
      <c r="C1001" s="1489"/>
      <c r="D1001" s="1490"/>
      <c r="E1001" s="1487"/>
      <c r="F1001" s="1488"/>
      <c r="G1001" s="1489"/>
      <c r="H1001" s="1490"/>
      <c r="I1001" s="1487"/>
      <c r="J1001" s="1488"/>
      <c r="K1001" s="1489"/>
      <c r="L1001" s="1490"/>
      <c r="M1001" s="1487"/>
      <c r="N1001" s="1488"/>
      <c r="O1001" s="1489"/>
      <c r="P1001" s="1490"/>
      <c r="X1001" s="1445" t="e">
        <f ca="1"/>
        <v>#NAME?</v>
      </c>
      <c r="Y1001" s="1446" t="e">
        <f ca="1"/>
        <v>#NAME?</v>
      </c>
    </row>
    <row r="1002" spans="1:25">
      <c r="A1002" s="1487"/>
      <c r="B1002" s="1488"/>
      <c r="C1002" s="1489"/>
      <c r="D1002" s="1490"/>
      <c r="E1002" s="1487"/>
      <c r="F1002" s="1488"/>
      <c r="G1002" s="1489"/>
      <c r="H1002" s="1490"/>
      <c r="I1002" s="1487"/>
      <c r="J1002" s="1488"/>
      <c r="K1002" s="1489"/>
      <c r="L1002" s="1490"/>
      <c r="M1002" s="1487"/>
      <c r="N1002" s="1488"/>
      <c r="O1002" s="1489"/>
      <c r="P1002" s="1490"/>
      <c r="X1002" s="1445" t="e">
        <f ca="1"/>
        <v>#NAME?</v>
      </c>
      <c r="Y1002" s="1446" t="e">
        <f ca="1"/>
        <v>#NAME?</v>
      </c>
    </row>
    <row r="1003" spans="1:25">
      <c r="A1003" s="1487"/>
      <c r="B1003" s="1488"/>
      <c r="C1003" s="1489"/>
      <c r="D1003" s="1490"/>
      <c r="E1003" s="1487"/>
      <c r="F1003" s="1488"/>
      <c r="G1003" s="1489"/>
      <c r="H1003" s="1490"/>
      <c r="I1003" s="1487"/>
      <c r="J1003" s="1488"/>
      <c r="K1003" s="1489"/>
      <c r="L1003" s="1490"/>
      <c r="M1003" s="1487"/>
      <c r="N1003" s="1488"/>
      <c r="O1003" s="1489"/>
      <c r="P1003" s="1490"/>
      <c r="X1003" s="1445" t="e">
        <f ca="1"/>
        <v>#NAME?</v>
      </c>
      <c r="Y1003" s="1446" t="e">
        <f ca="1"/>
        <v>#NAME?</v>
      </c>
    </row>
    <row r="1004" spans="1:25">
      <c r="A1004" s="1487"/>
      <c r="B1004" s="1488"/>
      <c r="C1004" s="1489"/>
      <c r="D1004" s="1490"/>
      <c r="E1004" s="1487"/>
      <c r="F1004" s="1488"/>
      <c r="G1004" s="1489"/>
      <c r="H1004" s="1490"/>
      <c r="I1004" s="1487"/>
      <c r="J1004" s="1488"/>
      <c r="K1004" s="1489"/>
      <c r="L1004" s="1490"/>
      <c r="M1004" s="1487"/>
      <c r="N1004" s="1488"/>
      <c r="O1004" s="1489"/>
      <c r="P1004" s="1490"/>
      <c r="X1004" s="1445" t="e">
        <f ca="1"/>
        <v>#NAME?</v>
      </c>
      <c r="Y1004" s="1446" t="e">
        <f ca="1"/>
        <v>#NAME?</v>
      </c>
    </row>
    <row r="1005" spans="1:25">
      <c r="A1005" s="1487"/>
      <c r="B1005" s="1488"/>
      <c r="C1005" s="1489"/>
      <c r="D1005" s="1490"/>
      <c r="E1005" s="1487"/>
      <c r="F1005" s="1488"/>
      <c r="G1005" s="1489"/>
      <c r="H1005" s="1490"/>
      <c r="I1005" s="1487"/>
      <c r="J1005" s="1488"/>
      <c r="K1005" s="1489"/>
      <c r="L1005" s="1490"/>
      <c r="M1005" s="1487"/>
      <c r="N1005" s="1488"/>
      <c r="O1005" s="1489"/>
      <c r="P1005" s="1490"/>
      <c r="X1005" s="1445" t="e">
        <f ca="1"/>
        <v>#NAME?</v>
      </c>
      <c r="Y1005" s="1446" t="e">
        <f ca="1"/>
        <v>#NAME?</v>
      </c>
    </row>
    <row r="1006" spans="1:25">
      <c r="A1006" s="1487"/>
      <c r="B1006" s="1488"/>
      <c r="C1006" s="1489"/>
      <c r="D1006" s="1490"/>
      <c r="E1006" s="1487"/>
      <c r="F1006" s="1488"/>
      <c r="G1006" s="1489"/>
      <c r="H1006" s="1490"/>
      <c r="I1006" s="1487"/>
      <c r="J1006" s="1488"/>
      <c r="K1006" s="1489"/>
      <c r="L1006" s="1490"/>
      <c r="M1006" s="1487"/>
      <c r="N1006" s="1488"/>
      <c r="O1006" s="1489"/>
      <c r="P1006" s="1490"/>
      <c r="X1006" s="1445" t="e">
        <f ca="1"/>
        <v>#NAME?</v>
      </c>
      <c r="Y1006" s="1446" t="e">
        <f ca="1"/>
        <v>#NAME?</v>
      </c>
    </row>
    <row r="1007" spans="1:25">
      <c r="A1007" s="1487"/>
      <c r="B1007" s="1488"/>
      <c r="C1007" s="1489"/>
      <c r="D1007" s="1490"/>
      <c r="E1007" s="1487"/>
      <c r="F1007" s="1488"/>
      <c r="G1007" s="1489"/>
      <c r="H1007" s="1490"/>
      <c r="I1007" s="1487"/>
      <c r="J1007" s="1488"/>
      <c r="K1007" s="1489"/>
      <c r="L1007" s="1490"/>
      <c r="M1007" s="1487"/>
      <c r="N1007" s="1488"/>
      <c r="O1007" s="1489"/>
      <c r="P1007" s="1490"/>
      <c r="X1007" s="1445" t="e">
        <f ca="1"/>
        <v>#NAME?</v>
      </c>
      <c r="Y1007" s="1446" t="e">
        <f ca="1"/>
        <v>#NAME?</v>
      </c>
    </row>
    <row r="1008" spans="1:25">
      <c r="A1008" s="1487"/>
      <c r="B1008" s="1488"/>
      <c r="C1008" s="1489"/>
      <c r="D1008" s="1490"/>
      <c r="E1008" s="1487"/>
      <c r="F1008" s="1488"/>
      <c r="G1008" s="1489"/>
      <c r="H1008" s="1490"/>
      <c r="I1008" s="1487"/>
      <c r="J1008" s="1488"/>
      <c r="K1008" s="1489"/>
      <c r="L1008" s="1490"/>
      <c r="M1008" s="1487"/>
      <c r="N1008" s="1488"/>
      <c r="O1008" s="1489"/>
      <c r="P1008" s="1490"/>
      <c r="X1008" s="1445" t="e">
        <f ca="1"/>
        <v>#NAME?</v>
      </c>
      <c r="Y1008" s="1446" t="e">
        <f ca="1"/>
        <v>#NAME?</v>
      </c>
    </row>
    <row r="1009" spans="1:25">
      <c r="A1009" s="1487"/>
      <c r="B1009" s="1488"/>
      <c r="C1009" s="1489"/>
      <c r="D1009" s="1490"/>
      <c r="E1009" s="1487"/>
      <c r="F1009" s="1488"/>
      <c r="G1009" s="1489"/>
      <c r="H1009" s="1490"/>
      <c r="I1009" s="1487"/>
      <c r="J1009" s="1488"/>
      <c r="K1009" s="1489"/>
      <c r="L1009" s="1490"/>
      <c r="M1009" s="1487"/>
      <c r="N1009" s="1488"/>
      <c r="O1009" s="1489"/>
      <c r="P1009" s="1490"/>
      <c r="X1009" s="1445" t="e">
        <f ca="1"/>
        <v>#NAME?</v>
      </c>
      <c r="Y1009" s="1446" t="e">
        <f ca="1"/>
        <v>#NAME?</v>
      </c>
    </row>
    <row r="1010" spans="1:25">
      <c r="A1010" s="1487"/>
      <c r="B1010" s="1488"/>
      <c r="C1010" s="1489"/>
      <c r="D1010" s="1490"/>
      <c r="E1010" s="1487"/>
      <c r="F1010" s="1488"/>
      <c r="G1010" s="1489"/>
      <c r="H1010" s="1490"/>
      <c r="I1010" s="1487"/>
      <c r="J1010" s="1488"/>
      <c r="K1010" s="1489"/>
      <c r="L1010" s="1490"/>
      <c r="M1010" s="1487"/>
      <c r="N1010" s="1488"/>
      <c r="O1010" s="1489"/>
      <c r="P1010" s="1490"/>
      <c r="X1010" s="1445" t="e">
        <f ca="1"/>
        <v>#NAME?</v>
      </c>
      <c r="Y1010" s="1446" t="e">
        <f ca="1"/>
        <v>#NAME?</v>
      </c>
    </row>
    <row r="1011" spans="1:25">
      <c r="A1011" s="1487"/>
      <c r="B1011" s="1488"/>
      <c r="C1011" s="1489"/>
      <c r="D1011" s="1490"/>
      <c r="E1011" s="1487"/>
      <c r="F1011" s="1488"/>
      <c r="G1011" s="1489"/>
      <c r="H1011" s="1490"/>
      <c r="I1011" s="1487"/>
      <c r="J1011" s="1488"/>
      <c r="K1011" s="1489"/>
      <c r="L1011" s="1490"/>
      <c r="M1011" s="1487"/>
      <c r="N1011" s="1488"/>
      <c r="O1011" s="1489"/>
      <c r="P1011" s="1490"/>
      <c r="X1011" s="1445" t="e">
        <f ca="1"/>
        <v>#NAME?</v>
      </c>
      <c r="Y1011" s="1446" t="e">
        <f ca="1"/>
        <v>#NAME?</v>
      </c>
    </row>
    <row r="1012" spans="1:25">
      <c r="A1012" s="1487"/>
      <c r="B1012" s="1488"/>
      <c r="C1012" s="1489"/>
      <c r="D1012" s="1490"/>
      <c r="E1012" s="1487"/>
      <c r="F1012" s="1488"/>
      <c r="G1012" s="1489"/>
      <c r="H1012" s="1490"/>
      <c r="I1012" s="1487"/>
      <c r="J1012" s="1488"/>
      <c r="K1012" s="1489"/>
      <c r="L1012" s="1490"/>
      <c r="M1012" s="1487"/>
      <c r="N1012" s="1488"/>
      <c r="O1012" s="1489"/>
      <c r="P1012" s="1490"/>
      <c r="X1012" s="1445" t="e">
        <f ca="1"/>
        <v>#NAME?</v>
      </c>
      <c r="Y1012" s="1446" t="e">
        <f ca="1"/>
        <v>#NAME?</v>
      </c>
    </row>
    <row r="1013" spans="1:25">
      <c r="A1013" s="1487"/>
      <c r="B1013" s="1488"/>
      <c r="C1013" s="1489"/>
      <c r="D1013" s="1490"/>
      <c r="E1013" s="1487"/>
      <c r="F1013" s="1488"/>
      <c r="G1013" s="1489"/>
      <c r="H1013" s="1490"/>
      <c r="I1013" s="1487"/>
      <c r="J1013" s="1488"/>
      <c r="K1013" s="1489"/>
      <c r="L1013" s="1490"/>
      <c r="M1013" s="1487"/>
      <c r="N1013" s="1488"/>
      <c r="O1013" s="1489"/>
      <c r="P1013" s="1490"/>
      <c r="X1013" s="1445" t="e">
        <f ca="1"/>
        <v>#NAME?</v>
      </c>
      <c r="Y1013" s="1446" t="e">
        <f ca="1"/>
        <v>#NAME?</v>
      </c>
    </row>
    <row r="1014" spans="1:25">
      <c r="A1014" s="1487"/>
      <c r="B1014" s="1488"/>
      <c r="C1014" s="1489"/>
      <c r="D1014" s="1490"/>
      <c r="E1014" s="1487"/>
      <c r="F1014" s="1488"/>
      <c r="G1014" s="1489"/>
      <c r="H1014" s="1490"/>
      <c r="I1014" s="1487"/>
      <c r="J1014" s="1488"/>
      <c r="K1014" s="1489"/>
      <c r="L1014" s="1490"/>
      <c r="M1014" s="1487"/>
      <c r="N1014" s="1488"/>
      <c r="O1014" s="1489"/>
      <c r="P1014" s="1490"/>
      <c r="X1014" s="1445" t="e">
        <f ca="1"/>
        <v>#NAME?</v>
      </c>
      <c r="Y1014" s="1446" t="e">
        <f ca="1"/>
        <v>#NAME?</v>
      </c>
    </row>
    <row r="1015" spans="1:25">
      <c r="A1015" s="1487"/>
      <c r="B1015" s="1488"/>
      <c r="C1015" s="1489"/>
      <c r="D1015" s="1490"/>
      <c r="E1015" s="1487"/>
      <c r="F1015" s="1488"/>
      <c r="G1015" s="1489"/>
      <c r="H1015" s="1490"/>
      <c r="I1015" s="1487"/>
      <c r="J1015" s="1488"/>
      <c r="K1015" s="1489"/>
      <c r="L1015" s="1490"/>
      <c r="M1015" s="1487"/>
      <c r="N1015" s="1488"/>
      <c r="O1015" s="1489"/>
      <c r="P1015" s="1490"/>
      <c r="X1015" s="1445" t="e">
        <f ca="1"/>
        <v>#NAME?</v>
      </c>
      <c r="Y1015" s="1446" t="e">
        <f ca="1"/>
        <v>#NAME?</v>
      </c>
    </row>
    <row r="1016" spans="1:25">
      <c r="A1016" s="1487"/>
      <c r="B1016" s="1488"/>
      <c r="C1016" s="1489"/>
      <c r="D1016" s="1490"/>
      <c r="E1016" s="1487"/>
      <c r="F1016" s="1488"/>
      <c r="G1016" s="1489"/>
      <c r="H1016" s="1490"/>
      <c r="I1016" s="1487"/>
      <c r="J1016" s="1488"/>
      <c r="K1016" s="1489"/>
      <c r="L1016" s="1490"/>
      <c r="M1016" s="1487"/>
      <c r="N1016" s="1488"/>
      <c r="O1016" s="1489"/>
      <c r="P1016" s="1490"/>
      <c r="X1016" s="1445" t="e">
        <f ca="1"/>
        <v>#NAME?</v>
      </c>
      <c r="Y1016" s="1446" t="e">
        <f ca="1"/>
        <v>#NAME?</v>
      </c>
    </row>
    <row r="1017" spans="1:25">
      <c r="A1017" s="1487"/>
      <c r="B1017" s="1488"/>
      <c r="C1017" s="1489"/>
      <c r="D1017" s="1490"/>
      <c r="E1017" s="1487"/>
      <c r="F1017" s="1488"/>
      <c r="G1017" s="1489"/>
      <c r="H1017" s="1490"/>
      <c r="I1017" s="1487"/>
      <c r="J1017" s="1488"/>
      <c r="K1017" s="1489"/>
      <c r="L1017" s="1490"/>
      <c r="M1017" s="1487"/>
      <c r="N1017" s="1488"/>
      <c r="O1017" s="1489"/>
      <c r="P1017" s="1490"/>
      <c r="X1017" s="1445" t="e">
        <f ca="1"/>
        <v>#NAME?</v>
      </c>
      <c r="Y1017" s="1446" t="e">
        <f ca="1"/>
        <v>#NAME?</v>
      </c>
    </row>
    <row r="1018" spans="1:25">
      <c r="A1018" s="1487"/>
      <c r="B1018" s="1488"/>
      <c r="C1018" s="1489"/>
      <c r="D1018" s="1490"/>
      <c r="E1018" s="1487"/>
      <c r="F1018" s="1488"/>
      <c r="G1018" s="1489"/>
      <c r="H1018" s="1490"/>
      <c r="I1018" s="1487"/>
      <c r="J1018" s="1488"/>
      <c r="K1018" s="1489"/>
      <c r="L1018" s="1490"/>
      <c r="M1018" s="1487"/>
      <c r="N1018" s="1488"/>
      <c r="O1018" s="1489"/>
      <c r="P1018" s="1490"/>
      <c r="X1018" s="1445" t="e">
        <f ca="1"/>
        <v>#NAME?</v>
      </c>
      <c r="Y1018" s="1446" t="e">
        <f ca="1"/>
        <v>#NAME?</v>
      </c>
    </row>
    <row r="1019" spans="1:25">
      <c r="A1019" s="1487"/>
      <c r="B1019" s="1488"/>
      <c r="C1019" s="1489"/>
      <c r="D1019" s="1490"/>
      <c r="E1019" s="1487"/>
      <c r="F1019" s="1488"/>
      <c r="G1019" s="1489"/>
      <c r="H1019" s="1490"/>
      <c r="I1019" s="1487"/>
      <c r="J1019" s="1488"/>
      <c r="K1019" s="1489"/>
      <c r="L1019" s="1490"/>
      <c r="M1019" s="1487"/>
      <c r="N1019" s="1488"/>
      <c r="O1019" s="1489"/>
      <c r="P1019" s="1490"/>
      <c r="X1019" s="1445" t="e">
        <f ca="1"/>
        <v>#NAME?</v>
      </c>
      <c r="Y1019" s="1446" t="e">
        <f ca="1"/>
        <v>#NAME?</v>
      </c>
    </row>
    <row r="1020" spans="1:25">
      <c r="A1020" s="1487"/>
      <c r="B1020" s="1488"/>
      <c r="C1020" s="1489"/>
      <c r="D1020" s="1490"/>
      <c r="E1020" s="1487"/>
      <c r="F1020" s="1488"/>
      <c r="G1020" s="1489"/>
      <c r="H1020" s="1490"/>
      <c r="I1020" s="1487"/>
      <c r="J1020" s="1488"/>
      <c r="K1020" s="1489"/>
      <c r="L1020" s="1490"/>
      <c r="M1020" s="1487"/>
      <c r="N1020" s="1488"/>
      <c r="O1020" s="1489"/>
      <c r="P1020" s="1490"/>
      <c r="X1020" s="1445" t="e">
        <f ca="1"/>
        <v>#NAME?</v>
      </c>
      <c r="Y1020" s="1446" t="e">
        <f ca="1"/>
        <v>#NAME?</v>
      </c>
    </row>
    <row r="1021" spans="1:25">
      <c r="A1021" s="1487"/>
      <c r="B1021" s="1488"/>
      <c r="C1021" s="1489"/>
      <c r="D1021" s="1490"/>
      <c r="E1021" s="1487"/>
      <c r="F1021" s="1488"/>
      <c r="G1021" s="1489"/>
      <c r="H1021" s="1490"/>
      <c r="I1021" s="1487"/>
      <c r="J1021" s="1488"/>
      <c r="K1021" s="1489"/>
      <c r="L1021" s="1490"/>
      <c r="M1021" s="1487"/>
      <c r="N1021" s="1488"/>
      <c r="O1021" s="1489"/>
      <c r="P1021" s="1490"/>
      <c r="X1021" s="1445" t="e">
        <f ca="1"/>
        <v>#NAME?</v>
      </c>
      <c r="Y1021" s="1446" t="e">
        <f ca="1"/>
        <v>#NAME?</v>
      </c>
    </row>
    <row r="1022" spans="1:25">
      <c r="A1022" s="1487"/>
      <c r="B1022" s="1488"/>
      <c r="C1022" s="1489"/>
      <c r="D1022" s="1490"/>
      <c r="E1022" s="1487"/>
      <c r="F1022" s="1488"/>
      <c r="G1022" s="1489"/>
      <c r="H1022" s="1490"/>
      <c r="I1022" s="1487"/>
      <c r="J1022" s="1488"/>
      <c r="K1022" s="1489"/>
      <c r="L1022" s="1490"/>
      <c r="M1022" s="1487"/>
      <c r="N1022" s="1488"/>
      <c r="O1022" s="1489"/>
      <c r="P1022" s="1490"/>
      <c r="X1022" s="1445" t="e">
        <f ca="1"/>
        <v>#NAME?</v>
      </c>
      <c r="Y1022" s="1446" t="e">
        <f ca="1"/>
        <v>#NAME?</v>
      </c>
    </row>
    <row r="1023" spans="1:25">
      <c r="A1023" s="1487"/>
      <c r="B1023" s="1488"/>
      <c r="C1023" s="1489"/>
      <c r="D1023" s="1490"/>
      <c r="E1023" s="1487"/>
      <c r="F1023" s="1488"/>
      <c r="G1023" s="1489"/>
      <c r="H1023" s="1490"/>
      <c r="I1023" s="1487"/>
      <c r="J1023" s="1488"/>
      <c r="K1023" s="1489"/>
      <c r="L1023" s="1490"/>
      <c r="M1023" s="1487"/>
      <c r="N1023" s="1488"/>
      <c r="O1023" s="1489"/>
      <c r="P1023" s="1490"/>
      <c r="X1023" s="1445" t="e">
        <f ca="1"/>
        <v>#NAME?</v>
      </c>
      <c r="Y1023" s="1446" t="e">
        <f ca="1"/>
        <v>#NAME?</v>
      </c>
    </row>
    <row r="1024" spans="1:25">
      <c r="A1024" s="1487"/>
      <c r="B1024" s="1488"/>
      <c r="C1024" s="1489"/>
      <c r="D1024" s="1490"/>
      <c r="E1024" s="1487"/>
      <c r="F1024" s="1488"/>
      <c r="G1024" s="1489"/>
      <c r="H1024" s="1490"/>
      <c r="I1024" s="1487"/>
      <c r="J1024" s="1488"/>
      <c r="K1024" s="1489"/>
      <c r="L1024" s="1490"/>
      <c r="M1024" s="1487"/>
      <c r="N1024" s="1488"/>
      <c r="O1024" s="1489"/>
      <c r="P1024" s="1490"/>
      <c r="X1024" s="1445" t="e">
        <f ca="1"/>
        <v>#NAME?</v>
      </c>
      <c r="Y1024" s="1446" t="e">
        <f ca="1"/>
        <v>#NAME?</v>
      </c>
    </row>
    <row r="1025" spans="1:25">
      <c r="A1025" s="1487"/>
      <c r="B1025" s="1488"/>
      <c r="C1025" s="1489"/>
      <c r="D1025" s="1490"/>
      <c r="E1025" s="1487"/>
      <c r="F1025" s="1488"/>
      <c r="G1025" s="1489"/>
      <c r="H1025" s="1490"/>
      <c r="I1025" s="1487"/>
      <c r="J1025" s="1488"/>
      <c r="K1025" s="1489"/>
      <c r="L1025" s="1490"/>
      <c r="M1025" s="1487"/>
      <c r="N1025" s="1488"/>
      <c r="O1025" s="1489"/>
      <c r="P1025" s="1490"/>
      <c r="X1025" s="1445" t="e">
        <f ca="1"/>
        <v>#NAME?</v>
      </c>
      <c r="Y1025" s="1446" t="e">
        <f ca="1"/>
        <v>#NAME?</v>
      </c>
    </row>
    <row r="1026" spans="1:25">
      <c r="A1026" s="1487"/>
      <c r="B1026" s="1488"/>
      <c r="C1026" s="1489"/>
      <c r="D1026" s="1490"/>
      <c r="E1026" s="1487"/>
      <c r="F1026" s="1488"/>
      <c r="G1026" s="1489"/>
      <c r="H1026" s="1490"/>
      <c r="I1026" s="1487"/>
      <c r="J1026" s="1488"/>
      <c r="K1026" s="1489"/>
      <c r="L1026" s="1490"/>
      <c r="M1026" s="1487"/>
      <c r="N1026" s="1488"/>
      <c r="O1026" s="1489"/>
      <c r="P1026" s="1490"/>
      <c r="X1026" s="1445" t="e">
        <f ca="1"/>
        <v>#NAME?</v>
      </c>
      <c r="Y1026" s="1446" t="e">
        <f ca="1"/>
        <v>#NAME?</v>
      </c>
    </row>
    <row r="1027" spans="1:25">
      <c r="A1027" s="1487"/>
      <c r="B1027" s="1488"/>
      <c r="C1027" s="1489"/>
      <c r="D1027" s="1490"/>
      <c r="E1027" s="1487"/>
      <c r="F1027" s="1488"/>
      <c r="G1027" s="1489"/>
      <c r="H1027" s="1490"/>
      <c r="I1027" s="1487"/>
      <c r="J1027" s="1488"/>
      <c r="K1027" s="1489"/>
      <c r="L1027" s="1490"/>
      <c r="M1027" s="1487"/>
      <c r="N1027" s="1488"/>
      <c r="O1027" s="1489"/>
      <c r="P1027" s="1490"/>
      <c r="X1027" s="1445" t="e">
        <f ca="1"/>
        <v>#NAME?</v>
      </c>
      <c r="Y1027" s="1446" t="e">
        <f ca="1"/>
        <v>#NAME?</v>
      </c>
    </row>
    <row r="1028" spans="1:25">
      <c r="A1028" s="1487"/>
      <c r="B1028" s="1488"/>
      <c r="C1028" s="1489"/>
      <c r="D1028" s="1490"/>
      <c r="E1028" s="1487"/>
      <c r="F1028" s="1488"/>
      <c r="G1028" s="1489"/>
      <c r="H1028" s="1490"/>
      <c r="I1028" s="1487"/>
      <c r="J1028" s="1488"/>
      <c r="K1028" s="1489"/>
      <c r="L1028" s="1490"/>
      <c r="M1028" s="1487"/>
      <c r="N1028" s="1488"/>
      <c r="O1028" s="1489"/>
      <c r="P1028" s="1490"/>
      <c r="X1028" s="1445" t="e">
        <f ca="1"/>
        <v>#NAME?</v>
      </c>
      <c r="Y1028" s="1446" t="e">
        <f ca="1"/>
        <v>#NAME?</v>
      </c>
    </row>
    <row r="1029" spans="1:25">
      <c r="A1029" s="1487"/>
      <c r="B1029" s="1488"/>
      <c r="C1029" s="1489"/>
      <c r="D1029" s="1490"/>
      <c r="E1029" s="1487"/>
      <c r="F1029" s="1488"/>
      <c r="G1029" s="1489"/>
      <c r="H1029" s="1490"/>
      <c r="I1029" s="1487"/>
      <c r="J1029" s="1488"/>
      <c r="K1029" s="1489"/>
      <c r="L1029" s="1490"/>
      <c r="M1029" s="1487"/>
      <c r="N1029" s="1488"/>
      <c r="O1029" s="1489"/>
      <c r="P1029" s="1490"/>
      <c r="X1029" s="1445" t="e">
        <f ca="1"/>
        <v>#NAME?</v>
      </c>
      <c r="Y1029" s="1446" t="e">
        <f ca="1"/>
        <v>#NAME?</v>
      </c>
    </row>
    <row r="1030" spans="1:25">
      <c r="A1030" s="1487"/>
      <c r="B1030" s="1488"/>
      <c r="C1030" s="1489"/>
      <c r="D1030" s="1490"/>
      <c r="E1030" s="1487"/>
      <c r="F1030" s="1488"/>
      <c r="G1030" s="1489"/>
      <c r="H1030" s="1490"/>
      <c r="I1030" s="1487"/>
      <c r="J1030" s="1488"/>
      <c r="K1030" s="1489"/>
      <c r="L1030" s="1490"/>
      <c r="M1030" s="1487"/>
      <c r="N1030" s="1488"/>
      <c r="O1030" s="1489"/>
      <c r="P1030" s="1490"/>
      <c r="X1030" s="1445" t="e">
        <f ca="1"/>
        <v>#NAME?</v>
      </c>
      <c r="Y1030" s="1446" t="e">
        <f ca="1"/>
        <v>#NAME?</v>
      </c>
    </row>
    <row r="1031" spans="1:25" ht="13.5" thickBot="1">
      <c r="A1031" s="1494"/>
      <c r="B1031" s="1495"/>
      <c r="C1031" s="1496"/>
      <c r="D1031" s="1497"/>
      <c r="E1031" s="1494"/>
      <c r="F1031" s="1495"/>
      <c r="G1031" s="1496"/>
      <c r="H1031" s="1497"/>
      <c r="I1031" s="1494"/>
      <c r="J1031" s="1495"/>
      <c r="K1031" s="1496"/>
      <c r="L1031" s="1497"/>
      <c r="M1031" s="1494"/>
      <c r="N1031" s="1495"/>
      <c r="O1031" s="1496"/>
      <c r="P1031" s="1497"/>
      <c r="X1031" s="1447" t="e">
        <f ca="1"/>
        <v>#NAME?</v>
      </c>
      <c r="Y1031" s="1448" t="e">
        <f ca="1"/>
        <v>#NAME?</v>
      </c>
    </row>
  </sheetData>
  <sheetProtection algorithmName="SHA-512" hashValue="uKfj3p30EIO3SU/6MBzwU+Lr2bBaPZVx1fxNPTBV/t7d2r6V5Gz0+wGN0NZvrzN1YOMSa8eG8KiQMAYG5Bt5HA==" saltValue="COQe66GDxh4sg71RFc6Qtw==" spinCount="100000" sheet="1" objects="1" scenarios="1"/>
  <mergeCells count="11">
    <mergeCell ref="O28:P28"/>
    <mergeCell ref="D1:N1"/>
    <mergeCell ref="B4:P4"/>
    <mergeCell ref="A27:P27"/>
    <mergeCell ref="A28:B28"/>
    <mergeCell ref="C28:D28"/>
    <mergeCell ref="E28:F28"/>
    <mergeCell ref="G28:H28"/>
    <mergeCell ref="I28:J28"/>
    <mergeCell ref="K28:L28"/>
    <mergeCell ref="M28:N28"/>
  </mergeCells>
  <dataValidations count="1">
    <dataValidation type="list" allowBlank="1" showInputMessage="1" showErrorMessage="1" sqref="R18" xr:uid="{00000000-0002-0000-1400-000000000000}">
      <formula1>$R$8:$R$14</formula1>
    </dataValidation>
  </dataValidations>
  <printOptions horizontalCentered="1"/>
  <pageMargins left="0.25" right="0.25" top="0.25" bottom="0.25" header="0.5" footer="0.5"/>
  <pageSetup scale="67" orientation="landscape" verticalDpi="599" r:id="rId1"/>
  <headerFooter alignWithMargins="0"/>
  <drawing r:id="rId2"/>
  <legacyDrawing r:id="rId3"/>
  <controls>
    <mc:AlternateContent xmlns:mc="http://schemas.openxmlformats.org/markup-compatibility/2006">
      <mc:Choice Requires="x14">
        <control shapeId="66561" r:id="rId4" name="Label1">
          <controlPr defaultSize="0" autoFill="0" autoLine="0" r:id="rId5">
            <anchor moveWithCells="1">
              <from>
                <xdr:col>8</xdr:col>
                <xdr:colOff>180975</xdr:colOff>
                <xdr:row>1</xdr:row>
                <xdr:rowOff>247650</xdr:rowOff>
              </from>
              <to>
                <xdr:col>15</xdr:col>
                <xdr:colOff>104775</xdr:colOff>
                <xdr:row>1</xdr:row>
                <xdr:rowOff>676275</xdr:rowOff>
              </to>
            </anchor>
          </controlPr>
        </control>
      </mc:Choice>
      <mc:Fallback>
        <control shapeId="66561" r:id="rId4" name="Label1"/>
      </mc:Fallback>
    </mc:AlternateContent>
    <mc:AlternateContent xmlns:mc="http://schemas.openxmlformats.org/markup-compatibility/2006">
      <mc:Choice Requires="x14">
        <control shapeId="66562" r:id="rId6" name="cbLoadData">
          <controlPr autoLine="0" r:id="rId7">
            <anchor moveWithCells="1">
              <from>
                <xdr:col>3</xdr:col>
                <xdr:colOff>0</xdr:colOff>
                <xdr:row>1</xdr:row>
                <xdr:rowOff>371475</xdr:rowOff>
              </from>
              <to>
                <xdr:col>5</xdr:col>
                <xdr:colOff>0</xdr:colOff>
                <xdr:row>1</xdr:row>
                <xdr:rowOff>752475</xdr:rowOff>
              </to>
            </anchor>
          </controlPr>
        </control>
      </mc:Choice>
      <mc:Fallback>
        <control shapeId="66562" r:id="rId6" name="cbLoadDat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6"/>
  <dimension ref="A1:AE1031"/>
  <sheetViews>
    <sheetView zoomScaleNormal="100" workbookViewId="0">
      <pane ySplit="30" topLeftCell="A31" activePane="bottomLeft" state="frozen"/>
      <selection pane="bottomLeft"/>
    </sheetView>
  </sheetViews>
  <sheetFormatPr defaultRowHeight="12.75"/>
  <cols>
    <col min="1" max="16" width="12.5703125" style="1400" customWidth="1"/>
    <col min="17" max="17" width="9.140625" style="1400"/>
    <col min="18" max="21" width="9.140625" style="1408" hidden="1" customWidth="1"/>
    <col min="22" max="23" width="9.140625" style="1408" customWidth="1"/>
    <col min="24" max="25" width="19.5703125" style="1408" hidden="1" customWidth="1"/>
    <col min="26" max="26" width="9.140625" style="1399" customWidth="1"/>
    <col min="27" max="27" width="9.140625" style="1408"/>
    <col min="28" max="16384" width="9.140625" style="1400"/>
  </cols>
  <sheetData>
    <row r="1" spans="1:31" ht="26.25" customHeight="1" thickBot="1">
      <c r="A1" s="1395" t="s">
        <v>2754</v>
      </c>
      <c r="B1" s="1396" t="s">
        <v>2755</v>
      </c>
      <c r="C1" s="1397"/>
      <c r="D1" s="1687" t="s">
        <v>1628</v>
      </c>
      <c r="E1" s="1687"/>
      <c r="F1" s="1687"/>
      <c r="G1" s="1687"/>
      <c r="H1" s="1687"/>
      <c r="I1" s="1687"/>
      <c r="J1" s="1687"/>
      <c r="K1" s="1687"/>
      <c r="L1" s="1687"/>
      <c r="M1" s="1687"/>
      <c r="N1" s="1687"/>
      <c r="O1" s="1397"/>
      <c r="P1" s="1398" t="str">
        <f>'KYCT Data Sublot # 1'!P1</f>
        <v>February 2020</v>
      </c>
      <c r="Q1" s="1399"/>
      <c r="R1" s="1399"/>
      <c r="S1" s="1399"/>
      <c r="T1" s="1399"/>
      <c r="U1" s="1399"/>
      <c r="V1" s="1399"/>
      <c r="W1" s="1399"/>
      <c r="X1" s="1399"/>
      <c r="Y1" s="1399"/>
      <c r="AA1" s="1399"/>
      <c r="AB1" s="1399"/>
      <c r="AC1" s="1399"/>
      <c r="AD1" s="1399"/>
      <c r="AE1" s="1399"/>
    </row>
    <row r="2" spans="1:31" ht="69" customHeight="1">
      <c r="A2" s="1401"/>
      <c r="B2" s="1402"/>
      <c r="C2" s="1403"/>
      <c r="D2" s="1403"/>
      <c r="E2" s="1403"/>
      <c r="F2" s="1403"/>
      <c r="G2" s="1403"/>
      <c r="H2" s="1403"/>
      <c r="I2" s="1403"/>
      <c r="J2" s="1403"/>
      <c r="K2" s="1403"/>
      <c r="L2" s="1403"/>
      <c r="M2" s="1403"/>
      <c r="N2" s="1403"/>
      <c r="O2" s="1403"/>
      <c r="P2" s="1404"/>
      <c r="Q2" s="1399"/>
      <c r="R2" s="1399"/>
      <c r="S2" s="1399"/>
      <c r="T2" s="1399"/>
      <c r="U2" s="1399"/>
      <c r="V2" s="1399"/>
      <c r="W2" s="1399"/>
      <c r="X2" s="1399"/>
      <c r="Y2" s="1399"/>
      <c r="AA2" s="1399"/>
      <c r="AB2" s="1399"/>
      <c r="AC2" s="1399"/>
      <c r="AD2" s="1399"/>
      <c r="AE2" s="1399"/>
    </row>
    <row r="3" spans="1:31" ht="18" customHeight="1" thickBot="1">
      <c r="A3" s="1405"/>
      <c r="B3" s="1406"/>
      <c r="C3" s="1406"/>
      <c r="D3" s="1406"/>
      <c r="E3" s="1406"/>
      <c r="F3" s="1406"/>
      <c r="G3" s="1406"/>
      <c r="H3" s="1406"/>
      <c r="I3" s="1406"/>
      <c r="J3" s="1406"/>
      <c r="K3" s="1406"/>
      <c r="L3" s="1406"/>
      <c r="M3" s="1406"/>
      <c r="N3" s="1406"/>
      <c r="O3" s="1406"/>
      <c r="P3" s="1407" t="s">
        <v>2756</v>
      </c>
      <c r="Q3" s="1399"/>
      <c r="R3" s="1399"/>
      <c r="S3" s="1399"/>
      <c r="T3" s="1399"/>
      <c r="U3" s="1399"/>
      <c r="V3" s="1399"/>
      <c r="X3" s="1409" t="s">
        <v>1152</v>
      </c>
      <c r="Y3" s="1409">
        <v>1</v>
      </c>
      <c r="AB3" s="1399"/>
      <c r="AC3" s="1399"/>
      <c r="AD3" s="1399"/>
      <c r="AE3" s="1399"/>
    </row>
    <row r="4" spans="1:31" ht="22.5" customHeight="1" thickBot="1">
      <c r="A4" s="1410" t="s">
        <v>2757</v>
      </c>
      <c r="B4" s="1688"/>
      <c r="C4" s="1689"/>
      <c r="D4" s="1689"/>
      <c r="E4" s="1689"/>
      <c r="F4" s="1689"/>
      <c r="G4" s="1689"/>
      <c r="H4" s="1689"/>
      <c r="I4" s="1689"/>
      <c r="J4" s="1689"/>
      <c r="K4" s="1689"/>
      <c r="L4" s="1689"/>
      <c r="M4" s="1689"/>
      <c r="N4" s="1689"/>
      <c r="O4" s="1689"/>
      <c r="P4" s="1690"/>
      <c r="Q4" s="1399"/>
      <c r="R4" s="1399"/>
      <c r="S4" s="1399"/>
      <c r="T4" s="1399"/>
      <c r="U4" s="1399"/>
      <c r="V4" s="1399"/>
      <c r="W4" s="1399"/>
      <c r="X4" s="1411">
        <f>B4</f>
        <v>0</v>
      </c>
      <c r="Y4" s="1412"/>
      <c r="AA4" s="1399"/>
      <c r="AB4" s="1399"/>
      <c r="AC4" s="1399"/>
      <c r="AD4" s="1399"/>
      <c r="AE4" s="1399"/>
    </row>
    <row r="5" spans="1:31" ht="12.75" hidden="1" customHeight="1">
      <c r="A5" s="1413" t="s">
        <v>2758</v>
      </c>
      <c r="B5" s="1414">
        <f ca="1">COUNTA(INDIRECT("A"&amp;FirstRow&amp;":A"&amp;FirstRow+1000))</f>
        <v>0</v>
      </c>
      <c r="C5" s="1415" t="s">
        <v>2758</v>
      </c>
      <c r="D5" s="1416">
        <f ca="1">COUNTA(INDIRECT("C"&amp;FirstRow&amp;":C"&amp;FirstRow+1000))</f>
        <v>0</v>
      </c>
      <c r="E5" s="1413" t="s">
        <v>2758</v>
      </c>
      <c r="F5" s="1414">
        <f ca="1">COUNTA(INDIRECT("E"&amp;FirstRow&amp;":E"&amp;FirstRow+1000))</f>
        <v>0</v>
      </c>
      <c r="G5" s="1415" t="s">
        <v>2758</v>
      </c>
      <c r="H5" s="1416">
        <f ca="1">COUNTA(INDIRECT("G"&amp;FirstRow&amp;":G"&amp;FirstRow+1000))</f>
        <v>0</v>
      </c>
      <c r="I5" s="1413" t="s">
        <v>2758</v>
      </c>
      <c r="J5" s="1414">
        <f ca="1">COUNTA(INDIRECT("I"&amp;FirstRow&amp;":I"&amp;FirstRow+1000))</f>
        <v>0</v>
      </c>
      <c r="K5" s="1415" t="s">
        <v>2758</v>
      </c>
      <c r="L5" s="1416">
        <f ca="1">COUNTA(INDIRECT("K"&amp;FirstRow&amp;":K"&amp;FirstRow+1000))</f>
        <v>0</v>
      </c>
      <c r="M5" s="1413" t="s">
        <v>2758</v>
      </c>
      <c r="N5" s="1414">
        <f ca="1">COUNTA(INDIRECT("M"&amp;FirstRow&amp;":M"&amp;FirstRow+1000))</f>
        <v>0</v>
      </c>
      <c r="O5" s="1415" t="s">
        <v>2758</v>
      </c>
      <c r="P5" s="1416">
        <f ca="1">COUNTA(INDIRECT("O"&amp;FirstRow&amp;":O"&amp;FirstRow+1000))</f>
        <v>0</v>
      </c>
      <c r="Q5" s="1399"/>
      <c r="R5" s="1399"/>
      <c r="S5" s="1399"/>
      <c r="T5" s="1399"/>
      <c r="U5" s="1399"/>
      <c r="V5" s="1399"/>
      <c r="W5" s="1399"/>
      <c r="X5" s="1417" t="e">
        <f t="array" aca="1" ref="X5:Y1031" ca="1">IF(OFFSET(A5:P1031,0,(TestNum-1)*2)="",NA(),OFFSET(A5:P1031,0,(TestNum-1)*2))</f>
        <v>#NAME?</v>
      </c>
      <c r="Y5" s="1418" t="e">
        <f ca="1"/>
        <v>#NAME?</v>
      </c>
      <c r="AA5" s="1399"/>
      <c r="AB5" s="1399"/>
      <c r="AC5" s="1399"/>
      <c r="AD5" s="1399"/>
      <c r="AE5" s="1399"/>
    </row>
    <row r="6" spans="1:31" ht="12.75" hidden="1" customHeight="1">
      <c r="A6" s="1417" t="s">
        <v>2759</v>
      </c>
      <c r="B6" s="1419">
        <f ca="1">MAX(INDIRECT("B"&amp;FirstRow&amp;":B"&amp;FirstRow+B5))</f>
        <v>0</v>
      </c>
      <c r="C6" s="1449" t="s">
        <v>2759</v>
      </c>
      <c r="D6" s="1450">
        <f ca="1">MAX(INDIRECT("D"&amp;FirstRow&amp;":D"&amp;FirstRow+D5))</f>
        <v>0</v>
      </c>
      <c r="E6" s="1417" t="s">
        <v>2759</v>
      </c>
      <c r="F6" s="1419">
        <f ca="1">MAX(INDIRECT("F"&amp;FirstRow&amp;":F"&amp;FirstRow+F5))</f>
        <v>0</v>
      </c>
      <c r="G6" s="1449" t="s">
        <v>2759</v>
      </c>
      <c r="H6" s="1450">
        <f ca="1">MAX(INDIRECT("H"&amp;FirstRow&amp;":H"&amp;FirstRow+H5))</f>
        <v>0</v>
      </c>
      <c r="I6" s="1417" t="s">
        <v>2759</v>
      </c>
      <c r="J6" s="1419">
        <f ca="1">MAX(INDIRECT("J"&amp;FirstRow&amp;":J"&amp;FirstRow+J5))</f>
        <v>0</v>
      </c>
      <c r="K6" s="1449" t="s">
        <v>2759</v>
      </c>
      <c r="L6" s="1450">
        <f ca="1">MAX(INDIRECT("L"&amp;FirstRow&amp;":L"&amp;FirstRow+L5))</f>
        <v>0</v>
      </c>
      <c r="M6" s="1417" t="s">
        <v>2759</v>
      </c>
      <c r="N6" s="1419">
        <f ca="1">MAX(INDIRECT("N"&amp;FirstRow&amp;":N"&amp;FirstRow+N5))</f>
        <v>0</v>
      </c>
      <c r="O6" s="1449" t="s">
        <v>2759</v>
      </c>
      <c r="P6" s="1450">
        <f ca="1">MAX(INDIRECT("P"&amp;FirstRow&amp;":P"&amp;FirstRow+P5))</f>
        <v>0</v>
      </c>
      <c r="Q6" s="1399"/>
      <c r="R6" s="1451" t="s">
        <v>2760</v>
      </c>
      <c r="S6" s="1399">
        <v>31</v>
      </c>
      <c r="T6" s="1399"/>
      <c r="U6" s="1399"/>
      <c r="V6" s="1399"/>
      <c r="W6" s="1399"/>
      <c r="X6" s="1417" t="e">
        <f ca="1"/>
        <v>#NAME?</v>
      </c>
      <c r="Y6" s="1419" t="e">
        <f ca="1"/>
        <v>#NAME?</v>
      </c>
      <c r="AA6" s="1399"/>
      <c r="AB6" s="1399"/>
      <c r="AC6" s="1399"/>
      <c r="AD6" s="1399"/>
      <c r="AE6" s="1399"/>
    </row>
    <row r="7" spans="1:31" ht="12.75" hidden="1" customHeight="1">
      <c r="A7" s="1417" t="s">
        <v>2761</v>
      </c>
      <c r="B7" s="1419">
        <f ca="1">0.85*B6</f>
        <v>0</v>
      </c>
      <c r="C7" s="1449" t="s">
        <v>2761</v>
      </c>
      <c r="D7" s="1450">
        <f ca="1">0.85*D6</f>
        <v>0</v>
      </c>
      <c r="E7" s="1417" t="s">
        <v>2761</v>
      </c>
      <c r="F7" s="1419">
        <f ca="1">0.85*F6</f>
        <v>0</v>
      </c>
      <c r="G7" s="1449" t="s">
        <v>2761</v>
      </c>
      <c r="H7" s="1450">
        <f ca="1">0.85*H6</f>
        <v>0</v>
      </c>
      <c r="I7" s="1417" t="s">
        <v>2761</v>
      </c>
      <c r="J7" s="1419">
        <f ca="1">0.85*J6</f>
        <v>0</v>
      </c>
      <c r="K7" s="1449" t="s">
        <v>2761</v>
      </c>
      <c r="L7" s="1450">
        <f ca="1">0.85*L6</f>
        <v>0</v>
      </c>
      <c r="M7" s="1417" t="s">
        <v>2761</v>
      </c>
      <c r="N7" s="1419">
        <f ca="1">0.85*N6</f>
        <v>0</v>
      </c>
      <c r="O7" s="1449" t="s">
        <v>2761</v>
      </c>
      <c r="P7" s="1450">
        <f ca="1">0.85*P6</f>
        <v>0</v>
      </c>
      <c r="Q7" s="1399"/>
      <c r="R7" s="1399"/>
      <c r="S7" s="1399"/>
      <c r="T7" s="1399"/>
      <c r="U7" s="1399"/>
      <c r="V7" s="1399"/>
      <c r="W7" s="1399"/>
      <c r="X7" s="1417" t="e">
        <f ca="1"/>
        <v>#NAME?</v>
      </c>
      <c r="Y7" s="1419" t="e">
        <f ca="1"/>
        <v>#NAME?</v>
      </c>
      <c r="AA7" s="1399"/>
      <c r="AB7" s="1399"/>
      <c r="AC7" s="1399"/>
      <c r="AD7" s="1399"/>
      <c r="AE7" s="1399"/>
    </row>
    <row r="8" spans="1:31" ht="12.75" hidden="1" customHeight="1">
      <c r="A8" s="1417" t="s">
        <v>2762</v>
      </c>
      <c r="B8" s="1419">
        <f ca="1">0.75*B6</f>
        <v>0</v>
      </c>
      <c r="C8" s="1449" t="s">
        <v>2762</v>
      </c>
      <c r="D8" s="1450">
        <f ca="1">0.75*D6</f>
        <v>0</v>
      </c>
      <c r="E8" s="1417" t="s">
        <v>2762</v>
      </c>
      <c r="F8" s="1419">
        <f ca="1">0.75*F6</f>
        <v>0</v>
      </c>
      <c r="G8" s="1449" t="s">
        <v>2762</v>
      </c>
      <c r="H8" s="1450">
        <f ca="1">0.75*H6</f>
        <v>0</v>
      </c>
      <c r="I8" s="1417" t="s">
        <v>2762</v>
      </c>
      <c r="J8" s="1419">
        <f ca="1">0.75*J6</f>
        <v>0</v>
      </c>
      <c r="K8" s="1449" t="s">
        <v>2762</v>
      </c>
      <c r="L8" s="1450">
        <f ca="1">0.75*L6</f>
        <v>0</v>
      </c>
      <c r="M8" s="1417" t="s">
        <v>2762</v>
      </c>
      <c r="N8" s="1419">
        <f ca="1">0.75*N6</f>
        <v>0</v>
      </c>
      <c r="O8" s="1449" t="s">
        <v>2762</v>
      </c>
      <c r="P8" s="1450">
        <f ca="1">0.75*P6</f>
        <v>0</v>
      </c>
      <c r="Q8" s="1399"/>
      <c r="R8" s="1399"/>
      <c r="S8" s="1399"/>
      <c r="T8" s="1399"/>
      <c r="U8" s="1399"/>
      <c r="V8" s="1399"/>
      <c r="W8" s="1399"/>
      <c r="X8" s="1417" t="e">
        <f ca="1"/>
        <v>#NAME?</v>
      </c>
      <c r="Y8" s="1419" t="e">
        <f ca="1"/>
        <v>#NAME?</v>
      </c>
      <c r="AA8" s="1399"/>
      <c r="AB8" s="1399"/>
      <c r="AC8" s="1399"/>
      <c r="AD8" s="1399"/>
      <c r="AE8" s="1399"/>
    </row>
    <row r="9" spans="1:31" ht="12.75" hidden="1" customHeight="1">
      <c r="A9" s="1417" t="s">
        <v>2763</v>
      </c>
      <c r="B9" s="1419">
        <f ca="1">0.65*B6</f>
        <v>0</v>
      </c>
      <c r="C9" s="1449" t="s">
        <v>2763</v>
      </c>
      <c r="D9" s="1450">
        <f ca="1">0.65*D6</f>
        <v>0</v>
      </c>
      <c r="E9" s="1417" t="s">
        <v>2763</v>
      </c>
      <c r="F9" s="1419">
        <f ca="1">0.65*F6</f>
        <v>0</v>
      </c>
      <c r="G9" s="1449" t="s">
        <v>2763</v>
      </c>
      <c r="H9" s="1450">
        <f ca="1">0.65*H6</f>
        <v>0</v>
      </c>
      <c r="I9" s="1417" t="s">
        <v>2763</v>
      </c>
      <c r="J9" s="1419">
        <f ca="1">0.65*J6</f>
        <v>0</v>
      </c>
      <c r="K9" s="1449" t="s">
        <v>2763</v>
      </c>
      <c r="L9" s="1450">
        <f ca="1">0.65*L6</f>
        <v>0</v>
      </c>
      <c r="M9" s="1417" t="s">
        <v>2763</v>
      </c>
      <c r="N9" s="1419">
        <f ca="1">0.65*N6</f>
        <v>0</v>
      </c>
      <c r="O9" s="1449" t="s">
        <v>2763</v>
      </c>
      <c r="P9" s="1450">
        <f ca="1">0.65*P6</f>
        <v>0</v>
      </c>
      <c r="Q9" s="1399"/>
      <c r="R9" s="1399"/>
      <c r="S9" s="1399"/>
      <c r="T9" s="1399"/>
      <c r="U9" s="1399"/>
      <c r="V9" s="1399"/>
      <c r="W9" s="1399"/>
      <c r="X9" s="1417" t="e">
        <f ca="1"/>
        <v>#NAME?</v>
      </c>
      <c r="Y9" s="1419" t="e">
        <f ca="1"/>
        <v>#NAME?</v>
      </c>
      <c r="AA9" s="1399"/>
      <c r="AB9" s="1399"/>
      <c r="AC9" s="1399"/>
      <c r="AD9" s="1399"/>
      <c r="AE9" s="1399"/>
    </row>
    <row r="10" spans="1:31" ht="12.75" hidden="1" customHeight="1">
      <c r="A10" s="1417" t="s">
        <v>2764</v>
      </c>
      <c r="B10" s="1420" t="e">
        <f ca="1">MATCH(B6,INDIRECT("B"&amp;FirstRow&amp;":B"&amp;FirstRow+B5),0)+FirstRow-1</f>
        <v>#N/A</v>
      </c>
      <c r="C10" s="1449" t="s">
        <v>2764</v>
      </c>
      <c r="D10" s="1452" t="e">
        <f ca="1">MATCH(D6,INDIRECT("D"&amp;FirstRow&amp;":D"&amp;FirstRow+D5),0)+FirstRow-1</f>
        <v>#N/A</v>
      </c>
      <c r="E10" s="1417" t="s">
        <v>2764</v>
      </c>
      <c r="F10" s="1420" t="e">
        <f ca="1">MATCH(F6,INDIRECT("F"&amp;FirstRow&amp;":F"&amp;FirstRow+F5),0)+FirstRow-1</f>
        <v>#N/A</v>
      </c>
      <c r="G10" s="1449" t="s">
        <v>2764</v>
      </c>
      <c r="H10" s="1452" t="e">
        <f ca="1">MATCH(H6,INDIRECT("H"&amp;FirstRow&amp;":H"&amp;FirstRow+H5),0)+FirstRow-1</f>
        <v>#N/A</v>
      </c>
      <c r="I10" s="1417" t="s">
        <v>2764</v>
      </c>
      <c r="J10" s="1420" t="e">
        <f ca="1">MATCH(J6,INDIRECT("J"&amp;FirstRow&amp;":J"&amp;FirstRow+J5),0)+FirstRow-1</f>
        <v>#N/A</v>
      </c>
      <c r="K10" s="1449" t="s">
        <v>2764</v>
      </c>
      <c r="L10" s="1452" t="e">
        <f ca="1">MATCH(L6,INDIRECT("L"&amp;FirstRow&amp;":L"&amp;FirstRow+L5),0)+FirstRow-1</f>
        <v>#N/A</v>
      </c>
      <c r="M10" s="1417" t="s">
        <v>2764</v>
      </c>
      <c r="N10" s="1420" t="e">
        <f ca="1">MATCH(N6,INDIRECT("N"&amp;FirstRow&amp;":N"&amp;FirstRow+N5),0)+FirstRow-1</f>
        <v>#N/A</v>
      </c>
      <c r="O10" s="1449" t="s">
        <v>2764</v>
      </c>
      <c r="P10" s="1452" t="e">
        <f ca="1">MATCH(P6,INDIRECT("P"&amp;FirstRow&amp;":P"&amp;FirstRow+P5),0)+FirstRow-1</f>
        <v>#N/A</v>
      </c>
      <c r="Q10" s="1399"/>
      <c r="R10" s="1399"/>
      <c r="S10" s="1399"/>
      <c r="T10" s="1399"/>
      <c r="U10" s="1399"/>
      <c r="V10" s="1399"/>
      <c r="W10" s="1399"/>
      <c r="X10" s="1417" t="e">
        <f ca="1"/>
        <v>#NAME?</v>
      </c>
      <c r="Y10" s="1420" t="e">
        <f ca="1"/>
        <v>#NAME?</v>
      </c>
      <c r="AA10" s="1399"/>
      <c r="AB10" s="1399"/>
      <c r="AC10" s="1399"/>
      <c r="AD10" s="1399"/>
      <c r="AE10" s="1399"/>
    </row>
    <row r="11" spans="1:31" ht="12.75" hidden="1" customHeight="1">
      <c r="A11" s="1417" t="s">
        <v>2765</v>
      </c>
      <c r="B11" s="1420" t="e">
        <f ca="1">MATCH(B7,INDIRECT("B"&amp;B10&amp;":B"&amp;FirstRow+B5),-1)+B10</f>
        <v>#N/A</v>
      </c>
      <c r="C11" s="1449" t="s">
        <v>2765</v>
      </c>
      <c r="D11" s="1452" t="e">
        <f ca="1">MATCH(D7,INDIRECT("D"&amp;D10&amp;":D"&amp;FirstRow+D5),-1)+D10</f>
        <v>#N/A</v>
      </c>
      <c r="E11" s="1417" t="s">
        <v>2765</v>
      </c>
      <c r="F11" s="1420" t="e">
        <f ca="1">MATCH(F7,INDIRECT("F"&amp;F10&amp;":F"&amp;FirstRow+F5),-1)+F10</f>
        <v>#N/A</v>
      </c>
      <c r="G11" s="1449" t="s">
        <v>2765</v>
      </c>
      <c r="H11" s="1452" t="e">
        <f ca="1">MATCH(H7,INDIRECT("H"&amp;H10&amp;":H"&amp;FirstRow+H5),-1)+H10</f>
        <v>#N/A</v>
      </c>
      <c r="I11" s="1417" t="s">
        <v>2765</v>
      </c>
      <c r="J11" s="1420" t="e">
        <f ca="1">MATCH(J7,INDIRECT("J"&amp;J10&amp;":J"&amp;FirstRow+J5),-1)+J10</f>
        <v>#N/A</v>
      </c>
      <c r="K11" s="1449" t="s">
        <v>2765</v>
      </c>
      <c r="L11" s="1452" t="e">
        <f ca="1">MATCH(L7,INDIRECT("L"&amp;L10&amp;":L"&amp;FirstRow+L5),-1)+L10</f>
        <v>#N/A</v>
      </c>
      <c r="M11" s="1417" t="s">
        <v>2765</v>
      </c>
      <c r="N11" s="1420" t="e">
        <f ca="1">MATCH(N7,INDIRECT("N"&amp;N10&amp;":N"&amp;FirstRow+N5),-1)+N10</f>
        <v>#N/A</v>
      </c>
      <c r="O11" s="1449" t="s">
        <v>2765</v>
      </c>
      <c r="P11" s="1452" t="e">
        <f ca="1">MATCH(P7,INDIRECT("P"&amp;P10&amp;":P"&amp;FirstRow+P5),-1)+P10</f>
        <v>#N/A</v>
      </c>
      <c r="Q11" s="1399"/>
      <c r="R11" s="1399"/>
      <c r="S11" s="1399"/>
      <c r="T11" s="1399"/>
      <c r="U11" s="1399"/>
      <c r="V11" s="1399"/>
      <c r="W11" s="1399"/>
      <c r="X11" s="1417" t="e">
        <f ca="1"/>
        <v>#NAME?</v>
      </c>
      <c r="Y11" s="1420" t="e">
        <f ca="1"/>
        <v>#NAME?</v>
      </c>
      <c r="AA11" s="1399"/>
      <c r="AB11" s="1399"/>
      <c r="AC11" s="1399"/>
      <c r="AD11" s="1399"/>
      <c r="AE11" s="1399"/>
    </row>
    <row r="12" spans="1:31" ht="12.75" hidden="1" customHeight="1">
      <c r="A12" s="1417" t="s">
        <v>2766</v>
      </c>
      <c r="B12" s="1420" t="e">
        <f ca="1">MATCH(B8,INDIRECT("B"&amp;B10&amp;":B"&amp;FirstRow+B5),-1)+B10</f>
        <v>#N/A</v>
      </c>
      <c r="C12" s="1449" t="s">
        <v>2766</v>
      </c>
      <c r="D12" s="1452" t="e">
        <f ca="1">MATCH(D8,INDIRECT("D"&amp;D10&amp;":D"&amp;FirstRow+D5),-1)+D10</f>
        <v>#N/A</v>
      </c>
      <c r="E12" s="1417" t="s">
        <v>2766</v>
      </c>
      <c r="F12" s="1420" t="e">
        <f ca="1">MATCH(F8,INDIRECT("F"&amp;F10&amp;":F"&amp;FirstRow+F5),-1)+F10</f>
        <v>#N/A</v>
      </c>
      <c r="G12" s="1449" t="s">
        <v>2766</v>
      </c>
      <c r="H12" s="1452" t="e">
        <f ca="1">MATCH(H8,INDIRECT("H"&amp;H10&amp;":H"&amp;FirstRow+H5),-1)+H10</f>
        <v>#N/A</v>
      </c>
      <c r="I12" s="1417" t="s">
        <v>2766</v>
      </c>
      <c r="J12" s="1420" t="e">
        <f ca="1">MATCH(J8,INDIRECT("J"&amp;J10&amp;":J"&amp;FirstRow+J5),-1)+J10</f>
        <v>#N/A</v>
      </c>
      <c r="K12" s="1449" t="s">
        <v>2766</v>
      </c>
      <c r="L12" s="1452" t="e">
        <f ca="1">MATCH(L8,INDIRECT("L"&amp;L10&amp;":L"&amp;FirstRow+L5),-1)+L10</f>
        <v>#N/A</v>
      </c>
      <c r="M12" s="1417" t="s">
        <v>2766</v>
      </c>
      <c r="N12" s="1420" t="e">
        <f ca="1">MATCH(N8,INDIRECT("N"&amp;N10&amp;":N"&amp;FirstRow+N5),-1)+N10</f>
        <v>#N/A</v>
      </c>
      <c r="O12" s="1449" t="s">
        <v>2766</v>
      </c>
      <c r="P12" s="1452" t="e">
        <f ca="1">MATCH(P8,INDIRECT("P"&amp;P10&amp;":P"&amp;FirstRow+P5),-1)+P10</f>
        <v>#N/A</v>
      </c>
      <c r="Q12" s="1399"/>
      <c r="R12" s="1399"/>
      <c r="S12" s="1399"/>
      <c r="T12" s="1399"/>
      <c r="U12" s="1399"/>
      <c r="V12" s="1399"/>
      <c r="W12" s="1399"/>
      <c r="X12" s="1417" t="e">
        <f ca="1"/>
        <v>#NAME?</v>
      </c>
      <c r="Y12" s="1420" t="e">
        <f ca="1"/>
        <v>#NAME?</v>
      </c>
      <c r="AA12" s="1399"/>
      <c r="AB12" s="1399"/>
      <c r="AC12" s="1399"/>
      <c r="AD12" s="1399"/>
      <c r="AE12" s="1399"/>
    </row>
    <row r="13" spans="1:31" ht="12.75" hidden="1" customHeight="1" thickBot="1">
      <c r="A13" s="1417" t="s">
        <v>2767</v>
      </c>
      <c r="B13" s="1420" t="e">
        <f ca="1">MATCH(B9,INDIRECT("B"&amp;B10&amp;":B"&amp;FirstRow+B5),-1)+B10</f>
        <v>#N/A</v>
      </c>
      <c r="C13" s="1449" t="s">
        <v>2767</v>
      </c>
      <c r="D13" s="1452" t="e">
        <f ca="1">MATCH(D9,INDIRECT("D"&amp;D10&amp;":D"&amp;FirstRow+D5),-1)+D10</f>
        <v>#N/A</v>
      </c>
      <c r="E13" s="1417" t="s">
        <v>2767</v>
      </c>
      <c r="F13" s="1420" t="e">
        <f ca="1">MATCH(F9,INDIRECT("F"&amp;F10&amp;":F"&amp;FirstRow+F5),-1)+F10</f>
        <v>#N/A</v>
      </c>
      <c r="G13" s="1449" t="s">
        <v>2767</v>
      </c>
      <c r="H13" s="1452" t="e">
        <f ca="1">MATCH(H9,INDIRECT("H"&amp;H10&amp;":H"&amp;FirstRow+H5),-1)+H10</f>
        <v>#N/A</v>
      </c>
      <c r="I13" s="1417" t="s">
        <v>2767</v>
      </c>
      <c r="J13" s="1420" t="e">
        <f ca="1">MATCH(J9,INDIRECT("J"&amp;J10&amp;":J"&amp;FirstRow+J5),-1)+J10</f>
        <v>#N/A</v>
      </c>
      <c r="K13" s="1449" t="s">
        <v>2767</v>
      </c>
      <c r="L13" s="1452" t="e">
        <f ca="1">MATCH(L9,INDIRECT("L"&amp;L10&amp;":L"&amp;FirstRow+L5),-1)+L10</f>
        <v>#N/A</v>
      </c>
      <c r="M13" s="1417" t="s">
        <v>2767</v>
      </c>
      <c r="N13" s="1420" t="e">
        <f ca="1">MATCH(N9,INDIRECT("N"&amp;N10&amp;":N"&amp;FirstRow+N5),-1)+N10</f>
        <v>#N/A</v>
      </c>
      <c r="O13" s="1449" t="s">
        <v>2767</v>
      </c>
      <c r="P13" s="1452" t="e">
        <f ca="1">MATCH(P9,INDIRECT("P"&amp;P10&amp;":P"&amp;FirstRow+P5),-1)+P10</f>
        <v>#N/A</v>
      </c>
      <c r="Q13" s="1399"/>
      <c r="R13" s="1399"/>
      <c r="S13" s="1399"/>
      <c r="T13" s="1399"/>
      <c r="U13" s="1399"/>
      <c r="V13" s="1399"/>
      <c r="W13" s="1399"/>
      <c r="X13" s="1417" t="e">
        <f ca="1"/>
        <v>#NAME?</v>
      </c>
      <c r="Y13" s="1420" t="e">
        <f ca="1"/>
        <v>#NAME?</v>
      </c>
      <c r="AA13" s="1399"/>
      <c r="AB13" s="1399"/>
      <c r="AC13" s="1399"/>
      <c r="AD13" s="1399"/>
      <c r="AE13" s="1399"/>
    </row>
    <row r="14" spans="1:31" ht="15.75" customHeight="1">
      <c r="A14" s="1453" t="s">
        <v>2768</v>
      </c>
      <c r="B14" s="1454" t="str">
        <f ca="1">IF(ISNA(B12),"",INDIRECT("A"&amp;B12))</f>
        <v/>
      </c>
      <c r="C14" s="1453" t="s">
        <v>2768</v>
      </c>
      <c r="D14" s="1454" t="str">
        <f ca="1">IF(ISNA(D12),"",INDIRECT("C"&amp;D12))</f>
        <v/>
      </c>
      <c r="E14" s="1453" t="s">
        <v>2768</v>
      </c>
      <c r="F14" s="1454" t="str">
        <f ca="1">IF(ISNA(F12),"",INDIRECT("E"&amp;F12))</f>
        <v/>
      </c>
      <c r="G14" s="1453" t="s">
        <v>2768</v>
      </c>
      <c r="H14" s="1454" t="str">
        <f ca="1">IF(ISNA(H12),"",INDIRECT("G"&amp;H12))</f>
        <v/>
      </c>
      <c r="I14" s="1453" t="s">
        <v>2768</v>
      </c>
      <c r="J14" s="1454" t="str">
        <f ca="1">IF(ISNA(J12),"",INDIRECT("I"&amp;J12))</f>
        <v/>
      </c>
      <c r="K14" s="1453" t="s">
        <v>2768</v>
      </c>
      <c r="L14" s="1454" t="str">
        <f ca="1">IF(ISNA(L12),"",INDIRECT("K"&amp;L12))</f>
        <v/>
      </c>
      <c r="M14" s="1453" t="s">
        <v>2768</v>
      </c>
      <c r="N14" s="1454" t="str">
        <f ca="1">IF(ISNA(N12),"",INDIRECT("M"&amp;N12))</f>
        <v/>
      </c>
      <c r="O14" s="1453" t="s">
        <v>2768</v>
      </c>
      <c r="P14" s="1454" t="str">
        <f ca="1">IF(ISNA(P12),"",INDIRECT("O"&amp;P12))</f>
        <v/>
      </c>
      <c r="Q14" s="1399"/>
      <c r="R14" s="1399"/>
      <c r="S14" s="1399"/>
      <c r="T14" s="1399"/>
      <c r="U14" s="1399"/>
      <c r="V14" s="1399"/>
      <c r="W14" s="1399"/>
      <c r="X14" s="1421" t="e">
        <f ca="1"/>
        <v>#NAME?</v>
      </c>
      <c r="Y14" s="1422" t="e">
        <f ca="1"/>
        <v>#NAME?</v>
      </c>
      <c r="AA14" s="1399"/>
      <c r="AB14" s="1399"/>
      <c r="AC14" s="1399"/>
      <c r="AD14" s="1399"/>
      <c r="AE14" s="1399"/>
    </row>
    <row r="15" spans="1:31" ht="12.75" hidden="1" customHeight="1">
      <c r="A15" s="1455" t="s">
        <v>2131</v>
      </c>
      <c r="B15" s="1456" t="e">
        <f ca="1">ABS(SLOPE((INDEX(B:B,B11):INDEX(B:B,B13)),(INDEX(A:A,B11):INDEX(A:A,B13))))</f>
        <v>#N/A</v>
      </c>
      <c r="C15" s="1457" t="s">
        <v>2131</v>
      </c>
      <c r="D15" s="1456" t="e">
        <f ca="1">ABS(SLOPE((INDEX(D:D,D11):INDEX(D:D,D13)),(INDEX(C:C,D11):INDEX(C:C,D13))))</f>
        <v>#N/A</v>
      </c>
      <c r="E15" s="1457" t="s">
        <v>2131</v>
      </c>
      <c r="F15" s="1456" t="e">
        <f ca="1">ABS(SLOPE((INDEX(F:F,F11):INDEX(F:F,F13)),(INDEX(E:E,F11):INDEX(E:E,F13))))</f>
        <v>#N/A</v>
      </c>
      <c r="G15" s="1458" t="s">
        <v>2131</v>
      </c>
      <c r="H15" s="1456" t="e">
        <f ca="1">ABS(SLOPE((INDEX(H:H,H11):INDEX(H:H,H13)),(INDEX(G:G,H11):INDEX(G:G,H13))))</f>
        <v>#N/A</v>
      </c>
      <c r="I15" s="1457" t="s">
        <v>2131</v>
      </c>
      <c r="J15" s="1456" t="e">
        <f ca="1">ABS(SLOPE((INDEX(J:J,J11):INDEX(J:J,J13)),(INDEX(I:I,J11):INDEX(I:I,J13))))</f>
        <v>#N/A</v>
      </c>
      <c r="K15" s="1458" t="s">
        <v>2131</v>
      </c>
      <c r="L15" s="1456" t="e">
        <f ca="1">ABS(SLOPE((INDEX(L:L,L11):INDEX(L:L,L13)),(INDEX(K:K,L11):INDEX(K:K,L13))))</f>
        <v>#N/A</v>
      </c>
      <c r="M15" s="1457" t="s">
        <v>2131</v>
      </c>
      <c r="N15" s="1456" t="e">
        <f ca="1">ABS(SLOPE((INDEX(N:N,N11):INDEX(N:N,N13)),(INDEX(M:M,N11):INDEX(M:M,N13))))</f>
        <v>#N/A</v>
      </c>
      <c r="O15" s="1458" t="s">
        <v>2131</v>
      </c>
      <c r="P15" s="1456" t="e">
        <f ca="1">ABS(SLOPE((INDEX(P:P,P11):INDEX(P:P,P13)),(INDEX(O:O,P11):INDEX(O:O,P13))))</f>
        <v>#N/A</v>
      </c>
      <c r="Q15" s="1399"/>
      <c r="R15" s="1399"/>
      <c r="S15" s="1399"/>
      <c r="T15" s="1399"/>
      <c r="U15" s="1399"/>
      <c r="V15" s="1399"/>
      <c r="W15" s="1399"/>
      <c r="X15" s="1417" t="e">
        <f ca="1"/>
        <v>#NAME?</v>
      </c>
      <c r="Y15" s="1419" t="e">
        <f ca="1"/>
        <v>#NAME?</v>
      </c>
      <c r="AA15" s="1399"/>
      <c r="AB15" s="1399"/>
      <c r="AC15" s="1399"/>
      <c r="AD15" s="1399"/>
      <c r="AE15" s="1399"/>
    </row>
    <row r="16" spans="1:31" ht="12.75" hidden="1" customHeight="1">
      <c r="A16" s="1455" t="s">
        <v>2769</v>
      </c>
      <c r="B16" s="1459" t="str">
        <f>IF(ISBLANK(B22),IF(ISBLANK(A28),"",A28),B22)</f>
        <v/>
      </c>
      <c r="C16" s="1455" t="s">
        <v>2769</v>
      </c>
      <c r="D16" s="1459" t="str">
        <f>IF(ISBLANK(D22),IF(ISBLANK(C28),"",C28),D22)</f>
        <v/>
      </c>
      <c r="E16" s="1455" t="s">
        <v>2769</v>
      </c>
      <c r="F16" s="1459" t="str">
        <f>IF(ISBLANK(F22),IF(ISBLANK(E28),"",E28),F22)</f>
        <v/>
      </c>
      <c r="G16" s="1455" t="s">
        <v>2769</v>
      </c>
      <c r="H16" s="1459" t="str">
        <f>IF(ISBLANK(H22),IF(ISBLANK(G28),"",G28),H22)</f>
        <v/>
      </c>
      <c r="I16" s="1455" t="s">
        <v>2769</v>
      </c>
      <c r="J16" s="1459" t="str">
        <f>IF(ISBLANK(J22),IF(ISBLANK(I28),"",I28),J22)</f>
        <v/>
      </c>
      <c r="K16" s="1455" t="s">
        <v>2769</v>
      </c>
      <c r="L16" s="1459" t="str">
        <f>IF(ISBLANK(L22),IF(ISBLANK(K28),"",K28),L22)</f>
        <v/>
      </c>
      <c r="M16" s="1455" t="s">
        <v>2769</v>
      </c>
      <c r="N16" s="1459" t="str">
        <f>IF(ISBLANK(N22),IF(ISBLANK(M28),"",M28),N22)</f>
        <v/>
      </c>
      <c r="O16" s="1455" t="s">
        <v>2769</v>
      </c>
      <c r="P16" s="1459" t="str">
        <f>IF(ISBLANK(P22),IF(ISBLANK(O28),"",O28),P22)</f>
        <v/>
      </c>
      <c r="Q16" s="1399"/>
      <c r="R16" s="1399"/>
      <c r="S16" s="1399"/>
      <c r="T16" s="1399"/>
      <c r="U16" s="1399"/>
      <c r="V16" s="1399"/>
      <c r="W16" s="1399"/>
      <c r="X16" s="1423" t="e">
        <f ca="1"/>
        <v>#NAME?</v>
      </c>
      <c r="Y16" s="1418" t="e">
        <f ca="1"/>
        <v>#NAME?</v>
      </c>
      <c r="AA16" s="1399"/>
      <c r="AB16" s="1399"/>
      <c r="AC16" s="1399"/>
      <c r="AD16" s="1399"/>
      <c r="AE16" s="1399"/>
    </row>
    <row r="17" spans="1:31" ht="12.75" hidden="1" customHeight="1">
      <c r="A17" s="1460" t="s">
        <v>2770</v>
      </c>
      <c r="B17" s="1461" t="e">
        <f ca="1">MATCH(0.1,INDIRECT("B"&amp;B10&amp;":B"&amp;FirstRow+B5),-1)+B10</f>
        <v>#N/A</v>
      </c>
      <c r="C17" s="1460" t="s">
        <v>2770</v>
      </c>
      <c r="D17" s="1461" t="e">
        <f ca="1">MATCH(0.1,INDIRECT("D"&amp;D10&amp;":D"&amp;FirstRow+D5),-1)+D10</f>
        <v>#N/A</v>
      </c>
      <c r="E17" s="1460" t="s">
        <v>2770</v>
      </c>
      <c r="F17" s="1461" t="e">
        <f ca="1">MATCH(0.1,INDIRECT("F"&amp;F10&amp;":F"&amp;FirstRow+F5),-1)+F10</f>
        <v>#N/A</v>
      </c>
      <c r="G17" s="1460" t="s">
        <v>2770</v>
      </c>
      <c r="H17" s="1461" t="e">
        <f ca="1">MATCH(0.1,INDIRECT("H"&amp;H10&amp;":H"&amp;FirstRow+H5),-1)+H10</f>
        <v>#N/A</v>
      </c>
      <c r="I17" s="1460" t="s">
        <v>2770</v>
      </c>
      <c r="J17" s="1461" t="e">
        <f ca="1">MATCH(0.1,INDIRECT("J"&amp;J10&amp;":J"&amp;FirstRow+J5),-1)+J10</f>
        <v>#N/A</v>
      </c>
      <c r="K17" s="1460" t="s">
        <v>2770</v>
      </c>
      <c r="L17" s="1461" t="e">
        <f ca="1">MATCH(0.1,INDIRECT("L"&amp;L10&amp;":L"&amp;FirstRow+L5),-1)+L10</f>
        <v>#N/A</v>
      </c>
      <c r="M17" s="1460" t="s">
        <v>2770</v>
      </c>
      <c r="N17" s="1461" t="e">
        <f ca="1">MATCH(0.1,INDIRECT("N"&amp;N10&amp;":N"&amp;FirstRow+N5),-1)+N10</f>
        <v>#N/A</v>
      </c>
      <c r="O17" s="1460" t="s">
        <v>2770</v>
      </c>
      <c r="P17" s="1461" t="e">
        <f ca="1">MATCH(0.1,INDIRECT("P"&amp;P10&amp;":P"&amp;FirstRow+P5),-1)+P10</f>
        <v>#N/A</v>
      </c>
      <c r="Q17" s="1399"/>
      <c r="R17" s="1399"/>
      <c r="S17" s="1399"/>
      <c r="T17" s="1399"/>
      <c r="U17" s="1399"/>
      <c r="V17" s="1399"/>
      <c r="W17" s="1399"/>
      <c r="X17" s="1417" t="e">
        <f ca="1"/>
        <v>#NAME?</v>
      </c>
      <c r="Y17" s="1420" t="e">
        <f ca="1"/>
        <v>#NAME?</v>
      </c>
      <c r="AA17" s="1399"/>
      <c r="AB17" s="1399"/>
      <c r="AC17" s="1399"/>
      <c r="AD17" s="1399"/>
      <c r="AE17" s="1399"/>
    </row>
    <row r="18" spans="1:31" ht="15.75" customHeight="1">
      <c r="A18" s="1462" t="s">
        <v>2771</v>
      </c>
      <c r="B18" s="1463" t="str">
        <f ca="1">IF(ISERROR(B15),"",ABS(B15))</f>
        <v/>
      </c>
      <c r="C18" s="1462" t="s">
        <v>2771</v>
      </c>
      <c r="D18" s="1463" t="str">
        <f ca="1">IF(ISERROR(D15),"",ABS(D15))</f>
        <v/>
      </c>
      <c r="E18" s="1462" t="s">
        <v>2771</v>
      </c>
      <c r="F18" s="1463" t="str">
        <f ca="1">IF(ISERROR(F15),"",ABS(F15))</f>
        <v/>
      </c>
      <c r="G18" s="1462" t="s">
        <v>2771</v>
      </c>
      <c r="H18" s="1463" t="str">
        <f ca="1">IF(ISERROR(H15),"",ABS(H15))</f>
        <v/>
      </c>
      <c r="I18" s="1462" t="s">
        <v>2771</v>
      </c>
      <c r="J18" s="1463" t="str">
        <f ca="1">IF(ISERROR(J15),"",ABS(J15))</f>
        <v/>
      </c>
      <c r="K18" s="1462" t="s">
        <v>2771</v>
      </c>
      <c r="L18" s="1463" t="str">
        <f ca="1">IF(ISERROR(L15),"",ABS(L15))</f>
        <v/>
      </c>
      <c r="M18" s="1462" t="s">
        <v>2771</v>
      </c>
      <c r="N18" s="1463" t="str">
        <f ca="1">IF(ISERROR(N15),"",ABS(N15))</f>
        <v/>
      </c>
      <c r="O18" s="1462" t="s">
        <v>2771</v>
      </c>
      <c r="P18" s="1463" t="str">
        <f ca="1">IF(ISERROR(P15),"",ABS(P15))</f>
        <v/>
      </c>
      <c r="Q18" s="1399"/>
      <c r="R18" s="1399"/>
      <c r="S18" s="1399"/>
      <c r="T18" s="1399"/>
      <c r="U18" s="1399"/>
      <c r="V18" s="1399"/>
      <c r="W18" s="1399"/>
      <c r="X18" s="1424" t="e">
        <f ca="1"/>
        <v>#NAME?</v>
      </c>
      <c r="Y18" s="1425" t="e">
        <f ca="1"/>
        <v>#NAME?</v>
      </c>
      <c r="AA18" s="1399"/>
      <c r="AB18" s="1399"/>
      <c r="AC18" s="1399"/>
      <c r="AD18" s="1399"/>
      <c r="AE18" s="1399"/>
    </row>
    <row r="19" spans="1:31" ht="15.75" customHeight="1">
      <c r="A19" s="1462" t="s">
        <v>2772</v>
      </c>
      <c r="B19" s="1464" t="str">
        <f ca="1">IF(ISNA(B17),"",SUMPRODUCT((INDIRECT("A"&amp;FirstRow+1&amp;":A"&amp;B17))-(INDIRECT("A"&amp;FirstRow&amp;":A"&amp;B17-1)),(((INDIRECT("B"&amp;FirstRow+1&amp;":B"&amp;B17))+(INDIRECT("B"&amp;FirstRow&amp;":B"&amp;B17-1)))/2)))</f>
        <v/>
      </c>
      <c r="C19" s="1462" t="s">
        <v>2772</v>
      </c>
      <c r="D19" s="1464" t="str">
        <f ca="1">IF(ISNA(D17),"",SUMPRODUCT((INDIRECT("C"&amp;FirstRow+1&amp;":C"&amp;D17))-(INDIRECT("C"&amp;FirstRow&amp;":C"&amp;D17-1)),(((INDIRECT("D"&amp;FirstRow+1&amp;":D"&amp;D17))+(INDIRECT("D"&amp;FirstRow&amp;":D"&amp;D17-1)))/2)))</f>
        <v/>
      </c>
      <c r="E19" s="1462" t="s">
        <v>2772</v>
      </c>
      <c r="F19" s="1464" t="str">
        <f ca="1">IF(ISNA(F17),"",SUMPRODUCT((INDIRECT("E"&amp;FirstRow+1&amp;":E"&amp;F17))-(INDIRECT("E"&amp;FirstRow&amp;":E"&amp;F17-1)),(((INDIRECT("F"&amp;FirstRow+1&amp;":F"&amp;F17))+(INDIRECT("F"&amp;FirstRow&amp;":F"&amp;F17-1)))/2)))</f>
        <v/>
      </c>
      <c r="G19" s="1462" t="s">
        <v>2772</v>
      </c>
      <c r="H19" s="1464" t="str">
        <f ca="1">IF(ISNA(H17),"",SUMPRODUCT((INDIRECT("G"&amp;FirstRow+1&amp;":G"&amp;H17))-(INDIRECT("G"&amp;FirstRow&amp;":G"&amp;H17-1)),(((INDIRECT("H"&amp;FirstRow+1&amp;":H"&amp;H17))+(INDIRECT("H"&amp;FirstRow&amp;":H"&amp;H17-1)))/2)))</f>
        <v/>
      </c>
      <c r="I19" s="1462" t="s">
        <v>2772</v>
      </c>
      <c r="J19" s="1464" t="str">
        <f ca="1">IF(ISNA(J17),"",SUMPRODUCT((INDIRECT("I"&amp;FirstRow+1&amp;":I"&amp;J17))-(INDIRECT("I"&amp;FirstRow&amp;":I"&amp;J17-1)),(((INDIRECT("J"&amp;FirstRow+1&amp;":J"&amp;J17))+(INDIRECT("J"&amp;FirstRow&amp;":J"&amp;J17-1)))/2)))</f>
        <v/>
      </c>
      <c r="K19" s="1462" t="s">
        <v>2772</v>
      </c>
      <c r="L19" s="1464" t="str">
        <f ca="1">IF(ISNA(L17),"",SUMPRODUCT((INDIRECT("K"&amp;FirstRow+1&amp;":K"&amp;L17))-(INDIRECT("K"&amp;FirstRow&amp;":K"&amp;L17-1)),(((INDIRECT("L"&amp;FirstRow+1&amp;":L"&amp;L17))+(INDIRECT("L"&amp;FirstRow&amp;":L"&amp;L17-1)))/2)))</f>
        <v/>
      </c>
      <c r="M19" s="1462" t="s">
        <v>2772</v>
      </c>
      <c r="N19" s="1464" t="str">
        <f ca="1">IF(ISNA(N17),"",SUMPRODUCT((INDIRECT("M"&amp;FirstRow+1&amp;":M"&amp;N17))-(INDIRECT("M"&amp;FirstRow&amp;":M"&amp;N17-1)),(((INDIRECT("N"&amp;FirstRow+1&amp;":N"&amp;N17))+(INDIRECT("N"&amp;FirstRow&amp;":N"&amp;N17-1)))/2)))</f>
        <v/>
      </c>
      <c r="O19" s="1462" t="s">
        <v>2772</v>
      </c>
      <c r="P19" s="1464" t="str">
        <f ca="1">IF(ISNA(P17),"",SUMPRODUCT((INDIRECT("O"&amp;FirstRow+1&amp;":O"&amp;P17))-(INDIRECT("O"&amp;FirstRow&amp;":O"&amp;P17-1)),(((INDIRECT("P"&amp;FirstRow+1&amp;":P"&amp;P17))+(INDIRECT("P"&amp;FirstRow&amp;":P"&amp;P17-1)))/2)))</f>
        <v/>
      </c>
      <c r="Q19" s="1399"/>
      <c r="R19" s="1399"/>
      <c r="S19" s="1399"/>
      <c r="T19" s="1399"/>
      <c r="U19" s="1399"/>
      <c r="V19" s="1399"/>
      <c r="W19" s="1399"/>
      <c r="X19" s="1424" t="e">
        <f ca="1"/>
        <v>#NAME?</v>
      </c>
      <c r="Y19" s="1426" t="e">
        <f ca="1"/>
        <v>#NAME?</v>
      </c>
      <c r="AA19" s="1399"/>
      <c r="AB19" s="1399"/>
      <c r="AC19" s="1399"/>
      <c r="AD19" s="1399"/>
      <c r="AE19" s="1399"/>
    </row>
    <row r="20" spans="1:31" ht="15.75" customHeight="1" thickBot="1">
      <c r="A20" s="1465" t="s">
        <v>2773</v>
      </c>
      <c r="B20" s="1466" t="str">
        <f ca="1">IF(B19="","",(B19/(B25*B26))*1000000)</f>
        <v/>
      </c>
      <c r="C20" s="1465" t="s">
        <v>2773</v>
      </c>
      <c r="D20" s="1466" t="str">
        <f ca="1">IF(D19="","",(D19/(D25*D26))*1000000)</f>
        <v/>
      </c>
      <c r="E20" s="1465" t="s">
        <v>2773</v>
      </c>
      <c r="F20" s="1466" t="str">
        <f ca="1">IF(F19="","",(F19/(F25*F26))*1000000)</f>
        <v/>
      </c>
      <c r="G20" s="1465" t="s">
        <v>2773</v>
      </c>
      <c r="H20" s="1466" t="str">
        <f ca="1">IF(H19="","",(H19/(H25*H26))*1000000)</f>
        <v/>
      </c>
      <c r="I20" s="1465" t="s">
        <v>2773</v>
      </c>
      <c r="J20" s="1466" t="str">
        <f ca="1">IF(J19="","",(J19/(J25*J26))*1000000)</f>
        <v/>
      </c>
      <c r="K20" s="1465" t="s">
        <v>2773</v>
      </c>
      <c r="L20" s="1466" t="str">
        <f ca="1">IF(L19="","",(L19/(L25*L26))*1000000)</f>
        <v/>
      </c>
      <c r="M20" s="1465" t="s">
        <v>2773</v>
      </c>
      <c r="N20" s="1466" t="str">
        <f ca="1">IF(N19="","",(N19/(N25*N26))*1000000)</f>
        <v/>
      </c>
      <c r="O20" s="1465" t="s">
        <v>2773</v>
      </c>
      <c r="P20" s="1466" t="str">
        <f ca="1">IF(P19="","",(P19/(P25*P26))*1000000)</f>
        <v/>
      </c>
      <c r="Q20" s="1399"/>
      <c r="R20" s="1399"/>
      <c r="S20" s="1399"/>
      <c r="T20" s="1399"/>
      <c r="U20" s="1399"/>
      <c r="V20" s="1399"/>
      <c r="W20" s="1399"/>
      <c r="X20" s="1424" t="e">
        <f ca="1"/>
        <v>#NAME?</v>
      </c>
      <c r="Y20" s="1427" t="e">
        <f ca="1"/>
        <v>#NAME?</v>
      </c>
      <c r="AA20" s="1399"/>
      <c r="AB20" s="1399"/>
      <c r="AC20" s="1399"/>
      <c r="AD20" s="1399"/>
      <c r="AE20" s="1399"/>
    </row>
    <row r="21" spans="1:31" ht="21.75" customHeight="1" thickBot="1">
      <c r="A21" s="1467" t="s">
        <v>2774</v>
      </c>
      <c r="B21" s="1468" t="str">
        <f ca="1">IF(B20="","",(B26/62)*(B14/B25)*(B20/B18))</f>
        <v/>
      </c>
      <c r="C21" s="1467" t="s">
        <v>2774</v>
      </c>
      <c r="D21" s="1468" t="str">
        <f ca="1">IF(D20="","",(D26/62)*(D14/D25)*(D20/D18))</f>
        <v/>
      </c>
      <c r="E21" s="1467" t="s">
        <v>2774</v>
      </c>
      <c r="F21" s="1468" t="str">
        <f ca="1">IF(F20="","",(F26/62)*(F14/F25)*(F20/F18))</f>
        <v/>
      </c>
      <c r="G21" s="1467" t="s">
        <v>2774</v>
      </c>
      <c r="H21" s="1468" t="str">
        <f ca="1">IF(H20="","",(H26/62)*(H14/H25)*(H20/H18))</f>
        <v/>
      </c>
      <c r="I21" s="1467" t="s">
        <v>2774</v>
      </c>
      <c r="J21" s="1468" t="str">
        <f ca="1">IF(J20="","",(J26/62)*(J14/J25)*(J20/J18))</f>
        <v/>
      </c>
      <c r="K21" s="1467" t="s">
        <v>2774</v>
      </c>
      <c r="L21" s="1468" t="str">
        <f ca="1">IF(L20="","",(L26/62)*(L14/L25)*(L20/L18))</f>
        <v/>
      </c>
      <c r="M21" s="1467" t="s">
        <v>2774</v>
      </c>
      <c r="N21" s="1468" t="str">
        <f ca="1">IF(N20="","",(N26/62)*(N14/N25)*(N20/N18))</f>
        <v/>
      </c>
      <c r="O21" s="1467" t="s">
        <v>2774</v>
      </c>
      <c r="P21" s="1468" t="str">
        <f ca="1">IF(P20="","",(P26/62)*(P14/P25)*(P20/P18))</f>
        <v/>
      </c>
      <c r="Q21" s="1399"/>
      <c r="R21" s="1399"/>
      <c r="S21" s="1399"/>
      <c r="T21" s="1399"/>
      <c r="U21" s="1399"/>
      <c r="V21" s="1399"/>
      <c r="W21" s="1399"/>
      <c r="X21" s="1428" t="e">
        <f ca="1"/>
        <v>#NAME?</v>
      </c>
      <c r="Y21" s="1429" t="e">
        <f ca="1"/>
        <v>#NAME?</v>
      </c>
      <c r="AA21" s="1399"/>
      <c r="AB21" s="1399"/>
      <c r="AC21" s="1399"/>
      <c r="AD21" s="1399"/>
      <c r="AE21" s="1399"/>
    </row>
    <row r="22" spans="1:31" ht="21.75" customHeight="1">
      <c r="A22" s="1430" t="s">
        <v>2775</v>
      </c>
      <c r="B22" s="1469"/>
      <c r="C22" s="1470" t="s">
        <v>2776</v>
      </c>
      <c r="D22" s="1469"/>
      <c r="E22" s="1470" t="s">
        <v>2777</v>
      </c>
      <c r="F22" s="1469"/>
      <c r="G22" s="1470" t="s">
        <v>2778</v>
      </c>
      <c r="H22" s="1469"/>
      <c r="I22" s="1470" t="s">
        <v>2779</v>
      </c>
      <c r="J22" s="1469"/>
      <c r="K22" s="1470" t="s">
        <v>2780</v>
      </c>
      <c r="L22" s="1469"/>
      <c r="M22" s="1470" t="s">
        <v>2781</v>
      </c>
      <c r="N22" s="1469"/>
      <c r="O22" s="1470" t="s">
        <v>2782</v>
      </c>
      <c r="P22" s="1471"/>
      <c r="Q22" s="1399"/>
      <c r="R22" s="1399"/>
      <c r="S22" s="1399"/>
      <c r="T22" s="1399"/>
      <c r="U22" s="1399"/>
      <c r="V22" s="1399"/>
      <c r="W22" s="1399"/>
      <c r="X22" s="1430" t="e">
        <f ca="1"/>
        <v>#NAME?</v>
      </c>
      <c r="Y22" s="1431" t="e">
        <f ca="1"/>
        <v>#NAME?</v>
      </c>
      <c r="AA22" s="1399"/>
      <c r="AB22" s="1399"/>
      <c r="AC22" s="1399"/>
      <c r="AD22" s="1399"/>
      <c r="AE22" s="1399"/>
    </row>
    <row r="23" spans="1:31" ht="12.75" customHeight="1">
      <c r="A23" s="1432" t="s">
        <v>2783</v>
      </c>
      <c r="B23" s="1472"/>
      <c r="C23" s="1473" t="s">
        <v>2783</v>
      </c>
      <c r="D23" s="1472"/>
      <c r="E23" s="1473" t="s">
        <v>2783</v>
      </c>
      <c r="F23" s="1472"/>
      <c r="G23" s="1473" t="s">
        <v>2783</v>
      </c>
      <c r="H23" s="1472"/>
      <c r="I23" s="1473" t="s">
        <v>2783</v>
      </c>
      <c r="J23" s="1472"/>
      <c r="K23" s="1473" t="s">
        <v>2783</v>
      </c>
      <c r="L23" s="1472"/>
      <c r="M23" s="1473" t="s">
        <v>2783</v>
      </c>
      <c r="N23" s="1472"/>
      <c r="O23" s="1473" t="s">
        <v>2783</v>
      </c>
      <c r="P23" s="1474"/>
      <c r="Q23" s="1399"/>
      <c r="R23" s="1399"/>
      <c r="S23" s="1399"/>
      <c r="T23" s="1399"/>
      <c r="U23" s="1399"/>
      <c r="V23" s="1399"/>
      <c r="W23" s="1399"/>
      <c r="X23" s="1432" t="e">
        <f ca="1"/>
        <v>#NAME?</v>
      </c>
      <c r="Y23" s="1433" t="e">
        <f ca="1"/>
        <v>#NAME?</v>
      </c>
      <c r="AA23" s="1399"/>
      <c r="AB23" s="1399"/>
      <c r="AC23" s="1399"/>
      <c r="AD23" s="1399"/>
      <c r="AE23" s="1399"/>
    </row>
    <row r="24" spans="1:31" ht="12.75" customHeight="1">
      <c r="A24" s="1432" t="s">
        <v>1642</v>
      </c>
      <c r="B24" s="1475"/>
      <c r="C24" s="1473" t="s">
        <v>1642</v>
      </c>
      <c r="D24" s="1475"/>
      <c r="E24" s="1473" t="s">
        <v>1642</v>
      </c>
      <c r="F24" s="1475"/>
      <c r="G24" s="1473" t="s">
        <v>1642</v>
      </c>
      <c r="H24" s="1475"/>
      <c r="I24" s="1473" t="s">
        <v>1642</v>
      </c>
      <c r="J24" s="1475"/>
      <c r="K24" s="1473" t="s">
        <v>1642</v>
      </c>
      <c r="L24" s="1475"/>
      <c r="M24" s="1473" t="s">
        <v>1642</v>
      </c>
      <c r="N24" s="1475"/>
      <c r="O24" s="1473" t="s">
        <v>1642</v>
      </c>
      <c r="P24" s="1476"/>
      <c r="Q24" s="1399"/>
      <c r="R24" s="1399"/>
      <c r="S24" s="1399"/>
      <c r="T24" s="1399"/>
      <c r="U24" s="1399"/>
      <c r="V24" s="1399"/>
      <c r="W24" s="1399"/>
      <c r="X24" s="1432" t="e">
        <f ca="1"/>
        <v>#NAME?</v>
      </c>
      <c r="Y24" s="1434" t="e">
        <f ca="1"/>
        <v>#NAME?</v>
      </c>
      <c r="AA24" s="1399"/>
      <c r="AB24" s="1399"/>
      <c r="AC24" s="1399"/>
      <c r="AD24" s="1399"/>
      <c r="AE24" s="1399"/>
    </row>
    <row r="25" spans="1:31" ht="12.75" customHeight="1">
      <c r="A25" s="1432" t="s">
        <v>2784</v>
      </c>
      <c r="B25" s="1472"/>
      <c r="C25" s="1473" t="s">
        <v>2784</v>
      </c>
      <c r="D25" s="1472"/>
      <c r="E25" s="1473" t="s">
        <v>2784</v>
      </c>
      <c r="F25" s="1472"/>
      <c r="G25" s="1473" t="s">
        <v>2784</v>
      </c>
      <c r="H25" s="1472"/>
      <c r="I25" s="1473" t="s">
        <v>2784</v>
      </c>
      <c r="J25" s="1472"/>
      <c r="K25" s="1473" t="s">
        <v>2784</v>
      </c>
      <c r="L25" s="1472"/>
      <c r="M25" s="1473" t="s">
        <v>2784</v>
      </c>
      <c r="N25" s="1477"/>
      <c r="O25" s="1473" t="s">
        <v>2784</v>
      </c>
      <c r="P25" s="1474"/>
      <c r="Q25" s="1399"/>
      <c r="R25" s="1399"/>
      <c r="S25" s="1399"/>
      <c r="T25" s="1399"/>
      <c r="U25" s="1399"/>
      <c r="V25" s="1399"/>
      <c r="W25" s="1399"/>
      <c r="X25" s="1432" t="e">
        <f ca="1"/>
        <v>#NAME?</v>
      </c>
      <c r="Y25" s="1433" t="e">
        <f ca="1"/>
        <v>#NAME?</v>
      </c>
      <c r="AA25" s="1399"/>
      <c r="AB25" s="1399"/>
      <c r="AC25" s="1399"/>
      <c r="AD25" s="1399"/>
      <c r="AE25" s="1399"/>
    </row>
    <row r="26" spans="1:31" ht="12.75" customHeight="1" thickBot="1">
      <c r="A26" s="1435" t="s">
        <v>2785</v>
      </c>
      <c r="B26" s="1478"/>
      <c r="C26" s="1479" t="s">
        <v>2785</v>
      </c>
      <c r="D26" s="1478"/>
      <c r="E26" s="1479" t="s">
        <v>2785</v>
      </c>
      <c r="F26" s="1478"/>
      <c r="G26" s="1479" t="s">
        <v>2785</v>
      </c>
      <c r="H26" s="1478"/>
      <c r="I26" s="1479" t="s">
        <v>2785</v>
      </c>
      <c r="J26" s="1478"/>
      <c r="K26" s="1479" t="s">
        <v>2785</v>
      </c>
      <c r="L26" s="1478"/>
      <c r="M26" s="1479" t="s">
        <v>2785</v>
      </c>
      <c r="N26" s="1480"/>
      <c r="O26" s="1479" t="s">
        <v>2785</v>
      </c>
      <c r="P26" s="1481"/>
      <c r="Q26" s="1399"/>
      <c r="R26" s="1399"/>
      <c r="S26" s="1399"/>
      <c r="T26" s="1399"/>
      <c r="U26" s="1399"/>
      <c r="V26" s="1399"/>
      <c r="W26" s="1399"/>
      <c r="X26" s="1435" t="e">
        <f ca="1"/>
        <v>#NAME?</v>
      </c>
      <c r="Y26" s="1436" t="e">
        <f ca="1"/>
        <v>#NAME?</v>
      </c>
      <c r="AA26" s="1399"/>
      <c r="AB26" s="1399"/>
      <c r="AC26" s="1399"/>
      <c r="AD26" s="1399"/>
      <c r="AE26" s="1399"/>
    </row>
    <row r="27" spans="1:31" ht="20.25" customHeight="1" thickBot="1">
      <c r="A27" s="1691" t="s">
        <v>2786</v>
      </c>
      <c r="B27" s="1692"/>
      <c r="C27" s="1693"/>
      <c r="D27" s="1693"/>
      <c r="E27" s="1693"/>
      <c r="F27" s="1693"/>
      <c r="G27" s="1693"/>
      <c r="H27" s="1693"/>
      <c r="I27" s="1693"/>
      <c r="J27" s="1693"/>
      <c r="K27" s="1693"/>
      <c r="L27" s="1693"/>
      <c r="M27" s="1693"/>
      <c r="N27" s="1693"/>
      <c r="O27" s="1693"/>
      <c r="P27" s="1694"/>
      <c r="Q27" s="1399"/>
      <c r="R27" s="1399"/>
      <c r="S27" s="1399"/>
      <c r="T27" s="1399"/>
      <c r="U27" s="1399"/>
      <c r="V27" s="1399"/>
      <c r="W27" s="1399"/>
      <c r="X27" s="1437" t="e">
        <f ca="1"/>
        <v>#NAME?</v>
      </c>
      <c r="Y27" s="1438" t="e">
        <f ca="1"/>
        <v>#NAME?</v>
      </c>
      <c r="AA27" s="1399"/>
      <c r="AB27" s="1399"/>
      <c r="AC27" s="1399"/>
      <c r="AD27" s="1399"/>
      <c r="AE27" s="1399"/>
    </row>
    <row r="28" spans="1:31" ht="18" customHeight="1" thickBot="1">
      <c r="A28" s="1695"/>
      <c r="B28" s="1696"/>
      <c r="C28" s="1695"/>
      <c r="D28" s="1696"/>
      <c r="E28" s="1695"/>
      <c r="F28" s="1696"/>
      <c r="G28" s="1695"/>
      <c r="H28" s="1696"/>
      <c r="I28" s="1695"/>
      <c r="J28" s="1696"/>
      <c r="K28" s="1695"/>
      <c r="L28" s="1696"/>
      <c r="M28" s="1695"/>
      <c r="N28" s="1696"/>
      <c r="O28" s="1695"/>
      <c r="P28" s="1696"/>
      <c r="Q28" s="1399"/>
      <c r="R28" s="1399"/>
      <c r="S28" s="1399"/>
      <c r="T28" s="1399"/>
      <c r="U28" s="1399"/>
      <c r="V28" s="1399"/>
      <c r="W28" s="1399"/>
      <c r="X28" s="1439" t="e">
        <f ca="1"/>
        <v>#NAME?</v>
      </c>
      <c r="Y28" s="1440" t="e">
        <f ca="1"/>
        <v>#NAME?</v>
      </c>
      <c r="AA28" s="1399"/>
      <c r="AB28" s="1399"/>
      <c r="AC28" s="1399"/>
      <c r="AD28" s="1399"/>
      <c r="AE28" s="1399"/>
    </row>
    <row r="29" spans="1:31" ht="18" customHeight="1">
      <c r="A29" s="1482" t="str">
        <f ca="1">IF(ISBLANK(A31),"",INDIRECT("A$"&amp;MATCH(MAX(B31:B1031),B31:B1031,0)+FirstRow-1))</f>
        <v/>
      </c>
      <c r="B29" s="1483" t="str">
        <f>IF(ISBLANK(B31),"",MAX(B31:B1031))</f>
        <v/>
      </c>
      <c r="C29" s="1482" t="str">
        <f ca="1">IF(ISBLANK(C31),"",INDIRECT("C$"&amp;MATCH(MAX(D31:D1031),D31:D1031,0)+FirstRow-1))</f>
        <v/>
      </c>
      <c r="D29" s="1483" t="str">
        <f>IF(ISBLANK(D31),"",MAX(D31:D1031))</f>
        <v/>
      </c>
      <c r="E29" s="1482" t="str">
        <f ca="1">IF(ISBLANK(E31),"",INDIRECT("E$"&amp;MATCH(MAX(F31:F1031),F31:F1031,0)+FirstRow-1))</f>
        <v/>
      </c>
      <c r="F29" s="1483" t="str">
        <f>IF(ISBLANK(F31),"",MAX(F31:F1031))</f>
        <v/>
      </c>
      <c r="G29" s="1482" t="str">
        <f ca="1">IF(ISBLANK(G31),"",INDIRECT("g$"&amp;MATCH(MAX(H31:H1031),H31:H1031,0)+FirstRow-1))</f>
        <v/>
      </c>
      <c r="H29" s="1483" t="str">
        <f>IF(ISBLANK(H31),"",MAX(H31:H1031))</f>
        <v/>
      </c>
      <c r="I29" s="1482" t="str">
        <f ca="1">IF(ISBLANK(I31),"",INDIRECT("I$"&amp;MATCH(MAX(J31:J1031),J31:J1031,0)+FirstRow-1))</f>
        <v/>
      </c>
      <c r="J29" s="1483" t="str">
        <f>IF(ISBLANK(J31),"",MAX(J31:J1031))</f>
        <v/>
      </c>
      <c r="K29" s="1482" t="str">
        <f ca="1">IF(ISBLANK(K31),"",INDIRECT("K$"&amp;MATCH(MAX(L31:L1031),L31:L1031,0)+FirstRow-1))</f>
        <v/>
      </c>
      <c r="L29" s="1483" t="str">
        <f>IF(ISBLANK(L31),"",MAX(L31:L1031))</f>
        <v/>
      </c>
      <c r="M29" s="1482" t="str">
        <f ca="1">IF(ISBLANK(M31),"",INDIRECT("M$"&amp;MATCH(MAX(N31:N1031),N31:N1031,0)+FirstRow-1))</f>
        <v/>
      </c>
      <c r="N29" s="1483" t="str">
        <f>IF(ISBLANK(N31),"",MAX(N31:N1031))</f>
        <v/>
      </c>
      <c r="O29" s="1482" t="str">
        <f ca="1">IF(ISBLANK(O31),"",INDIRECT("O$"&amp;MATCH(MAX(P31:P1031),P31:P1031,0)+FirstRow-1))</f>
        <v/>
      </c>
      <c r="P29" s="1483" t="str">
        <f>IF(ISBLANK(P31),"",MAX(P31:P1031))</f>
        <v/>
      </c>
      <c r="Q29" s="1399"/>
      <c r="R29" s="1399"/>
      <c r="S29" s="1399"/>
      <c r="T29" s="1399"/>
      <c r="U29" s="1399"/>
      <c r="V29" s="1399"/>
      <c r="W29" s="1399"/>
      <c r="X29" s="1441" t="e">
        <f ca="1"/>
        <v>#NAME?</v>
      </c>
      <c r="Y29" s="1442" t="e">
        <f ca="1"/>
        <v>#NAME?</v>
      </c>
      <c r="AA29" s="1399"/>
      <c r="AB29" s="1399"/>
      <c r="AC29" s="1399"/>
      <c r="AD29" s="1399"/>
      <c r="AE29" s="1399"/>
    </row>
    <row r="30" spans="1:31">
      <c r="A30" s="1443" t="s">
        <v>2787</v>
      </c>
      <c r="B30" s="1444" t="s">
        <v>2788</v>
      </c>
      <c r="C30" s="1484" t="s">
        <v>2789</v>
      </c>
      <c r="D30" s="1485" t="s">
        <v>2790</v>
      </c>
      <c r="E30" s="1443" t="s">
        <v>2789</v>
      </c>
      <c r="F30" s="1444" t="s">
        <v>2790</v>
      </c>
      <c r="G30" s="1484" t="s">
        <v>2789</v>
      </c>
      <c r="H30" s="1485" t="s">
        <v>2790</v>
      </c>
      <c r="I30" s="1443" t="s">
        <v>2789</v>
      </c>
      <c r="J30" s="1444" t="s">
        <v>2790</v>
      </c>
      <c r="K30" s="1484" t="s">
        <v>2789</v>
      </c>
      <c r="L30" s="1485" t="s">
        <v>2790</v>
      </c>
      <c r="M30" s="1443" t="s">
        <v>2789</v>
      </c>
      <c r="N30" s="1444" t="s">
        <v>2790</v>
      </c>
      <c r="O30" s="1484" t="s">
        <v>2789</v>
      </c>
      <c r="P30" s="1485" t="s">
        <v>2790</v>
      </c>
      <c r="Q30" s="1399"/>
      <c r="R30" s="1399"/>
      <c r="S30" s="1399"/>
      <c r="T30" s="1399"/>
      <c r="U30" s="1399"/>
      <c r="V30" s="1399"/>
      <c r="W30" s="1486"/>
      <c r="X30" s="1443" t="e">
        <f ca="1"/>
        <v>#NAME?</v>
      </c>
      <c r="Y30" s="1444" t="e">
        <f ca="1"/>
        <v>#NAME?</v>
      </c>
      <c r="Z30" s="1486"/>
      <c r="AA30" s="1486"/>
      <c r="AB30" s="1399"/>
      <c r="AC30" s="1399"/>
      <c r="AD30" s="1399"/>
      <c r="AE30" s="1399"/>
    </row>
    <row r="31" spans="1:31">
      <c r="A31" s="1487"/>
      <c r="B31" s="1488"/>
      <c r="C31" s="1489"/>
      <c r="D31" s="1490"/>
      <c r="E31" s="1487"/>
      <c r="F31" s="1488"/>
      <c r="G31" s="1489"/>
      <c r="H31" s="1490"/>
      <c r="I31" s="1487"/>
      <c r="J31" s="1488"/>
      <c r="K31" s="1489"/>
      <c r="L31" s="1490"/>
      <c r="M31" s="1487"/>
      <c r="N31" s="1488"/>
      <c r="O31" s="1489"/>
      <c r="P31" s="1490"/>
      <c r="Q31" s="1491"/>
      <c r="R31" s="1399" t="s">
        <v>2791</v>
      </c>
      <c r="S31" s="1492">
        <f>MAX(B31:B706,D31:D706,F31:F706,H31:H706,J31:J706,L31:L706,N31:N706,P31:P706)</f>
        <v>0</v>
      </c>
      <c r="T31" s="1399"/>
      <c r="U31" s="1399"/>
      <c r="V31" s="1399"/>
      <c r="W31" s="1399"/>
      <c r="X31" s="1445" t="e">
        <f ca="1"/>
        <v>#NAME?</v>
      </c>
      <c r="Y31" s="1446" t="e">
        <f ca="1"/>
        <v>#NAME?</v>
      </c>
      <c r="AA31" s="1399"/>
      <c r="AB31" s="1399"/>
      <c r="AC31" s="1399"/>
      <c r="AD31" s="1399"/>
      <c r="AE31" s="1399"/>
    </row>
    <row r="32" spans="1:31">
      <c r="A32" s="1487"/>
      <c r="B32" s="1488"/>
      <c r="C32" s="1489"/>
      <c r="D32" s="1490"/>
      <c r="E32" s="1487"/>
      <c r="F32" s="1488"/>
      <c r="G32" s="1489"/>
      <c r="H32" s="1490"/>
      <c r="I32" s="1487"/>
      <c r="J32" s="1488"/>
      <c r="K32" s="1489"/>
      <c r="L32" s="1490"/>
      <c r="M32" s="1487"/>
      <c r="N32" s="1488"/>
      <c r="O32" s="1489"/>
      <c r="P32" s="1490"/>
      <c r="Q32" s="1399"/>
      <c r="R32" s="1399" t="s">
        <v>2792</v>
      </c>
      <c r="S32" s="1399" t="s">
        <v>2793</v>
      </c>
      <c r="T32" s="1399"/>
      <c r="U32" s="1399"/>
      <c r="V32" s="1399"/>
      <c r="W32" s="1399"/>
      <c r="X32" s="1445" t="e">
        <f ca="1"/>
        <v>#NAME?</v>
      </c>
      <c r="Y32" s="1446" t="e">
        <f ca="1"/>
        <v>#NAME?</v>
      </c>
      <c r="AA32" s="1399"/>
      <c r="AB32" s="1399"/>
      <c r="AC32" s="1399"/>
      <c r="AD32" s="1399"/>
      <c r="AE32" s="1399"/>
    </row>
    <row r="33" spans="1:31">
      <c r="A33" s="1487"/>
      <c r="B33" s="1488"/>
      <c r="C33" s="1489"/>
      <c r="D33" s="1490"/>
      <c r="E33" s="1487"/>
      <c r="F33" s="1488"/>
      <c r="G33" s="1489"/>
      <c r="H33" s="1490"/>
      <c r="I33" s="1487"/>
      <c r="J33" s="1488"/>
      <c r="K33" s="1489"/>
      <c r="L33" s="1490"/>
      <c r="M33" s="1487"/>
      <c r="N33" s="1488"/>
      <c r="O33" s="1489"/>
      <c r="P33" s="1490"/>
      <c r="Q33" s="1399"/>
      <c r="R33" s="1399" t="s">
        <v>2794</v>
      </c>
      <c r="S33" s="1399" t="s">
        <v>2795</v>
      </c>
      <c r="T33" s="1399"/>
      <c r="U33" s="1399"/>
      <c r="V33" s="1399"/>
      <c r="W33" s="1399"/>
      <c r="X33" s="1445" t="e">
        <f ca="1"/>
        <v>#NAME?</v>
      </c>
      <c r="Y33" s="1446" t="e">
        <f ca="1"/>
        <v>#NAME?</v>
      </c>
      <c r="AA33" s="1399"/>
      <c r="AB33" s="1399"/>
      <c r="AC33" s="1399"/>
      <c r="AD33" s="1399"/>
      <c r="AE33" s="1399"/>
    </row>
    <row r="34" spans="1:31">
      <c r="A34" s="1487"/>
      <c r="B34" s="1488"/>
      <c r="C34" s="1489"/>
      <c r="D34" s="1490"/>
      <c r="E34" s="1487"/>
      <c r="F34" s="1488"/>
      <c r="G34" s="1489"/>
      <c r="H34" s="1490"/>
      <c r="I34" s="1487"/>
      <c r="J34" s="1488"/>
      <c r="K34" s="1489"/>
      <c r="L34" s="1490"/>
      <c r="M34" s="1487"/>
      <c r="N34" s="1488"/>
      <c r="O34" s="1489"/>
      <c r="P34" s="1490"/>
      <c r="Q34" s="1399"/>
      <c r="R34" s="1399"/>
      <c r="S34" s="1399"/>
      <c r="T34" s="1399"/>
      <c r="U34" s="1399"/>
      <c r="V34" s="1399"/>
      <c r="W34" s="1399"/>
      <c r="X34" s="1445" t="e">
        <f ca="1"/>
        <v>#NAME?</v>
      </c>
      <c r="Y34" s="1446" t="e">
        <f ca="1"/>
        <v>#NAME?</v>
      </c>
      <c r="AA34" s="1399"/>
      <c r="AB34" s="1399"/>
      <c r="AC34" s="1399"/>
      <c r="AD34" s="1399"/>
      <c r="AE34" s="1399"/>
    </row>
    <row r="35" spans="1:31">
      <c r="A35" s="1487"/>
      <c r="B35" s="1488"/>
      <c r="C35" s="1489"/>
      <c r="D35" s="1490"/>
      <c r="E35" s="1487"/>
      <c r="F35" s="1488"/>
      <c r="G35" s="1489"/>
      <c r="H35" s="1490"/>
      <c r="I35" s="1487"/>
      <c r="J35" s="1488"/>
      <c r="K35" s="1489"/>
      <c r="L35" s="1490"/>
      <c r="M35" s="1487"/>
      <c r="N35" s="1488"/>
      <c r="O35" s="1489"/>
      <c r="P35" s="1490"/>
      <c r="Q35" s="1493"/>
      <c r="R35" s="1399"/>
      <c r="S35" s="1399"/>
      <c r="T35" s="1399"/>
      <c r="U35" s="1399"/>
      <c r="V35" s="1399"/>
      <c r="W35" s="1399"/>
      <c r="X35" s="1445" t="e">
        <f ca="1"/>
        <v>#NAME?</v>
      </c>
      <c r="Y35" s="1446" t="e">
        <f ca="1"/>
        <v>#NAME?</v>
      </c>
      <c r="AA35" s="1399"/>
      <c r="AB35" s="1399"/>
      <c r="AC35" s="1399"/>
      <c r="AD35" s="1399"/>
      <c r="AE35" s="1399"/>
    </row>
    <row r="36" spans="1:31">
      <c r="A36" s="1487"/>
      <c r="B36" s="1488"/>
      <c r="C36" s="1489"/>
      <c r="D36" s="1490"/>
      <c r="E36" s="1487"/>
      <c r="F36" s="1488"/>
      <c r="G36" s="1489"/>
      <c r="H36" s="1490"/>
      <c r="I36" s="1487"/>
      <c r="J36" s="1488"/>
      <c r="K36" s="1489"/>
      <c r="L36" s="1490"/>
      <c r="M36" s="1487"/>
      <c r="N36" s="1488"/>
      <c r="O36" s="1489"/>
      <c r="P36" s="1490"/>
      <c r="Q36" s="1399"/>
      <c r="R36" s="1399"/>
      <c r="S36" s="1486"/>
      <c r="T36" s="1399"/>
      <c r="U36" s="1399"/>
      <c r="V36" s="1399"/>
      <c r="W36" s="1399"/>
      <c r="X36" s="1445" t="e">
        <f ca="1"/>
        <v>#NAME?</v>
      </c>
      <c r="Y36" s="1446" t="e">
        <f ca="1"/>
        <v>#NAME?</v>
      </c>
      <c r="AA36" s="1399"/>
      <c r="AB36" s="1399"/>
      <c r="AC36" s="1399"/>
      <c r="AD36" s="1399"/>
      <c r="AE36" s="1399"/>
    </row>
    <row r="37" spans="1:31">
      <c r="A37" s="1487"/>
      <c r="B37" s="1488"/>
      <c r="C37" s="1489"/>
      <c r="D37" s="1490"/>
      <c r="E37" s="1487"/>
      <c r="F37" s="1488"/>
      <c r="G37" s="1489"/>
      <c r="H37" s="1490"/>
      <c r="I37" s="1487"/>
      <c r="J37" s="1488"/>
      <c r="K37" s="1489"/>
      <c r="L37" s="1490"/>
      <c r="M37" s="1487"/>
      <c r="N37" s="1488"/>
      <c r="O37" s="1489"/>
      <c r="P37" s="1490"/>
      <c r="Q37" s="1493"/>
      <c r="R37" s="1399"/>
      <c r="S37" s="1399"/>
      <c r="T37" s="1399"/>
      <c r="U37" s="1399"/>
      <c r="V37" s="1399"/>
      <c r="W37" s="1399"/>
      <c r="X37" s="1445" t="e">
        <f ca="1"/>
        <v>#NAME?</v>
      </c>
      <c r="Y37" s="1446" t="e">
        <f ca="1"/>
        <v>#NAME?</v>
      </c>
      <c r="AA37" s="1399"/>
      <c r="AB37" s="1399"/>
      <c r="AC37" s="1399"/>
      <c r="AD37" s="1399"/>
      <c r="AE37" s="1399"/>
    </row>
    <row r="38" spans="1:31">
      <c r="A38" s="1487"/>
      <c r="B38" s="1488"/>
      <c r="C38" s="1489"/>
      <c r="D38" s="1490"/>
      <c r="E38" s="1487"/>
      <c r="F38" s="1488"/>
      <c r="G38" s="1489"/>
      <c r="H38" s="1490"/>
      <c r="I38" s="1487"/>
      <c r="J38" s="1488"/>
      <c r="K38" s="1489"/>
      <c r="L38" s="1490"/>
      <c r="M38" s="1487"/>
      <c r="N38" s="1488"/>
      <c r="O38" s="1489"/>
      <c r="P38" s="1490"/>
      <c r="Q38" s="1399"/>
      <c r="R38" s="1399"/>
      <c r="S38" s="1399"/>
      <c r="T38" s="1399"/>
      <c r="U38" s="1399"/>
      <c r="V38" s="1399"/>
      <c r="W38" s="1399"/>
      <c r="X38" s="1445" t="e">
        <f ca="1"/>
        <v>#NAME?</v>
      </c>
      <c r="Y38" s="1446" t="e">
        <f ca="1"/>
        <v>#NAME?</v>
      </c>
      <c r="AA38" s="1399"/>
      <c r="AB38" s="1399"/>
      <c r="AC38" s="1399"/>
      <c r="AD38" s="1399"/>
      <c r="AE38" s="1399"/>
    </row>
    <row r="39" spans="1:31">
      <c r="A39" s="1487"/>
      <c r="B39" s="1488"/>
      <c r="C39" s="1489"/>
      <c r="D39" s="1490"/>
      <c r="E39" s="1487"/>
      <c r="F39" s="1488"/>
      <c r="G39" s="1489"/>
      <c r="H39" s="1490"/>
      <c r="I39" s="1487"/>
      <c r="J39" s="1488"/>
      <c r="K39" s="1489"/>
      <c r="L39" s="1490"/>
      <c r="M39" s="1487"/>
      <c r="N39" s="1488"/>
      <c r="O39" s="1489"/>
      <c r="P39" s="1490"/>
      <c r="Q39" s="1399"/>
      <c r="R39" s="1399"/>
      <c r="S39" s="1399"/>
      <c r="T39" s="1399"/>
      <c r="U39" s="1399"/>
      <c r="V39" s="1399"/>
      <c r="W39" s="1399"/>
      <c r="X39" s="1445" t="e">
        <f ca="1"/>
        <v>#NAME?</v>
      </c>
      <c r="Y39" s="1446" t="e">
        <f ca="1"/>
        <v>#NAME?</v>
      </c>
      <c r="AA39" s="1399"/>
      <c r="AB39" s="1399"/>
      <c r="AC39" s="1399"/>
      <c r="AD39" s="1399"/>
      <c r="AE39" s="1399"/>
    </row>
    <row r="40" spans="1:31">
      <c r="A40" s="1487"/>
      <c r="B40" s="1488"/>
      <c r="C40" s="1489"/>
      <c r="D40" s="1490"/>
      <c r="E40" s="1487"/>
      <c r="F40" s="1488"/>
      <c r="G40" s="1489"/>
      <c r="H40" s="1490"/>
      <c r="I40" s="1487"/>
      <c r="J40" s="1488"/>
      <c r="K40" s="1489"/>
      <c r="L40" s="1490"/>
      <c r="M40" s="1487"/>
      <c r="N40" s="1488"/>
      <c r="O40" s="1489"/>
      <c r="P40" s="1490"/>
      <c r="Q40" s="1399"/>
      <c r="R40" s="1399"/>
      <c r="S40" s="1399"/>
      <c r="T40" s="1399"/>
      <c r="U40" s="1399"/>
      <c r="V40" s="1399"/>
      <c r="W40" s="1399"/>
      <c r="X40" s="1445" t="e">
        <f ca="1"/>
        <v>#NAME?</v>
      </c>
      <c r="Y40" s="1446" t="e">
        <f ca="1"/>
        <v>#NAME?</v>
      </c>
      <c r="AA40" s="1399"/>
      <c r="AB40" s="1399"/>
      <c r="AC40" s="1399"/>
      <c r="AD40" s="1399"/>
      <c r="AE40" s="1399"/>
    </row>
    <row r="41" spans="1:31">
      <c r="A41" s="1487"/>
      <c r="B41" s="1488"/>
      <c r="C41" s="1489"/>
      <c r="D41" s="1490"/>
      <c r="E41" s="1487"/>
      <c r="F41" s="1488"/>
      <c r="G41" s="1489"/>
      <c r="H41" s="1490"/>
      <c r="I41" s="1487"/>
      <c r="J41" s="1488"/>
      <c r="K41" s="1489"/>
      <c r="L41" s="1490"/>
      <c r="M41" s="1487"/>
      <c r="N41" s="1488"/>
      <c r="O41" s="1489"/>
      <c r="P41" s="1490"/>
      <c r="Q41" s="1399"/>
      <c r="R41" s="1399"/>
      <c r="S41" s="1399"/>
      <c r="T41" s="1399"/>
      <c r="U41" s="1399"/>
      <c r="V41" s="1399"/>
      <c r="W41" s="1399"/>
      <c r="X41" s="1445" t="e">
        <f ca="1"/>
        <v>#NAME?</v>
      </c>
      <c r="Y41" s="1446" t="e">
        <f ca="1"/>
        <v>#NAME?</v>
      </c>
      <c r="AA41" s="1399"/>
      <c r="AB41" s="1399"/>
      <c r="AC41" s="1399"/>
      <c r="AD41" s="1399"/>
      <c r="AE41" s="1399"/>
    </row>
    <row r="42" spans="1:31">
      <c r="A42" s="1487"/>
      <c r="B42" s="1488"/>
      <c r="C42" s="1489"/>
      <c r="D42" s="1490"/>
      <c r="E42" s="1487"/>
      <c r="F42" s="1488"/>
      <c r="G42" s="1489"/>
      <c r="H42" s="1490"/>
      <c r="I42" s="1487"/>
      <c r="J42" s="1488"/>
      <c r="K42" s="1489"/>
      <c r="L42" s="1490"/>
      <c r="M42" s="1487"/>
      <c r="N42" s="1488"/>
      <c r="O42" s="1489"/>
      <c r="P42" s="1490"/>
      <c r="Q42" s="1399"/>
      <c r="R42" s="1399"/>
      <c r="S42" s="1399"/>
      <c r="T42" s="1399"/>
      <c r="U42" s="1399"/>
      <c r="V42" s="1399"/>
      <c r="W42" s="1399"/>
      <c r="X42" s="1445" t="e">
        <f ca="1"/>
        <v>#NAME?</v>
      </c>
      <c r="Y42" s="1446" t="e">
        <f ca="1"/>
        <v>#NAME?</v>
      </c>
      <c r="AA42" s="1399"/>
      <c r="AB42" s="1399"/>
      <c r="AC42" s="1399"/>
      <c r="AD42" s="1399"/>
      <c r="AE42" s="1399"/>
    </row>
    <row r="43" spans="1:31">
      <c r="A43" s="1487"/>
      <c r="B43" s="1488"/>
      <c r="C43" s="1489"/>
      <c r="D43" s="1490"/>
      <c r="E43" s="1487"/>
      <c r="F43" s="1488"/>
      <c r="G43" s="1489"/>
      <c r="H43" s="1490"/>
      <c r="I43" s="1487"/>
      <c r="J43" s="1488"/>
      <c r="K43" s="1489"/>
      <c r="L43" s="1490"/>
      <c r="M43" s="1487"/>
      <c r="N43" s="1488"/>
      <c r="O43" s="1489"/>
      <c r="P43" s="1490"/>
      <c r="Q43" s="1399"/>
      <c r="R43" s="1399"/>
      <c r="S43" s="1399"/>
      <c r="T43" s="1399"/>
      <c r="U43" s="1399"/>
      <c r="V43" s="1399"/>
      <c r="W43" s="1399"/>
      <c r="X43" s="1445" t="e">
        <f ca="1"/>
        <v>#NAME?</v>
      </c>
      <c r="Y43" s="1446" t="e">
        <f ca="1"/>
        <v>#NAME?</v>
      </c>
      <c r="AA43" s="1399"/>
      <c r="AB43" s="1399"/>
      <c r="AC43" s="1399"/>
      <c r="AD43" s="1399"/>
      <c r="AE43" s="1399"/>
    </row>
    <row r="44" spans="1:31">
      <c r="A44" s="1487"/>
      <c r="B44" s="1488"/>
      <c r="C44" s="1489"/>
      <c r="D44" s="1490"/>
      <c r="E44" s="1487"/>
      <c r="F44" s="1488"/>
      <c r="G44" s="1489"/>
      <c r="H44" s="1490"/>
      <c r="I44" s="1487"/>
      <c r="J44" s="1488"/>
      <c r="K44" s="1489"/>
      <c r="L44" s="1490"/>
      <c r="M44" s="1487"/>
      <c r="N44" s="1488"/>
      <c r="O44" s="1489"/>
      <c r="P44" s="1490"/>
      <c r="Q44" s="1399"/>
      <c r="R44" s="1399"/>
      <c r="S44" s="1399"/>
      <c r="T44" s="1399"/>
      <c r="U44" s="1399"/>
      <c r="V44" s="1399"/>
      <c r="W44" s="1399"/>
      <c r="X44" s="1445" t="e">
        <f ca="1"/>
        <v>#NAME?</v>
      </c>
      <c r="Y44" s="1446" t="e">
        <f ca="1"/>
        <v>#NAME?</v>
      </c>
      <c r="AA44" s="1399"/>
      <c r="AB44" s="1399"/>
      <c r="AC44" s="1399"/>
      <c r="AD44" s="1399"/>
      <c r="AE44" s="1399"/>
    </row>
    <row r="45" spans="1:31">
      <c r="A45" s="1487"/>
      <c r="B45" s="1488"/>
      <c r="C45" s="1489"/>
      <c r="D45" s="1490"/>
      <c r="E45" s="1487"/>
      <c r="F45" s="1488"/>
      <c r="G45" s="1489"/>
      <c r="H45" s="1490"/>
      <c r="I45" s="1487"/>
      <c r="J45" s="1488"/>
      <c r="K45" s="1489"/>
      <c r="L45" s="1490"/>
      <c r="M45" s="1487"/>
      <c r="N45" s="1488"/>
      <c r="O45" s="1489"/>
      <c r="P45" s="1490"/>
      <c r="Q45" s="1399"/>
      <c r="R45" s="1399"/>
      <c r="S45" s="1399"/>
      <c r="T45" s="1399"/>
      <c r="U45" s="1399"/>
      <c r="V45" s="1399"/>
      <c r="W45" s="1399"/>
      <c r="X45" s="1445" t="e">
        <f ca="1"/>
        <v>#NAME?</v>
      </c>
      <c r="Y45" s="1446" t="e">
        <f ca="1"/>
        <v>#NAME?</v>
      </c>
      <c r="AA45" s="1399"/>
      <c r="AB45" s="1399"/>
      <c r="AC45" s="1399"/>
      <c r="AD45" s="1399"/>
      <c r="AE45" s="1399"/>
    </row>
    <row r="46" spans="1:31">
      <c r="A46" s="1487"/>
      <c r="B46" s="1488"/>
      <c r="C46" s="1489"/>
      <c r="D46" s="1490"/>
      <c r="E46" s="1487"/>
      <c r="F46" s="1488"/>
      <c r="G46" s="1489"/>
      <c r="H46" s="1490"/>
      <c r="I46" s="1487"/>
      <c r="J46" s="1488"/>
      <c r="K46" s="1489"/>
      <c r="L46" s="1490"/>
      <c r="M46" s="1487"/>
      <c r="N46" s="1488"/>
      <c r="O46" s="1489"/>
      <c r="P46" s="1490"/>
      <c r="Q46" s="1399"/>
      <c r="R46" s="1399"/>
      <c r="S46" s="1399"/>
      <c r="T46" s="1399"/>
      <c r="U46" s="1399"/>
      <c r="V46" s="1399"/>
      <c r="W46" s="1399"/>
      <c r="X46" s="1445" t="e">
        <f ca="1"/>
        <v>#NAME?</v>
      </c>
      <c r="Y46" s="1446" t="e">
        <f ca="1"/>
        <v>#NAME?</v>
      </c>
      <c r="AA46" s="1399"/>
      <c r="AB46" s="1399"/>
      <c r="AC46" s="1399"/>
      <c r="AD46" s="1399"/>
      <c r="AE46" s="1399"/>
    </row>
    <row r="47" spans="1:31">
      <c r="A47" s="1487"/>
      <c r="B47" s="1488"/>
      <c r="C47" s="1489"/>
      <c r="D47" s="1490"/>
      <c r="E47" s="1487"/>
      <c r="F47" s="1488"/>
      <c r="G47" s="1489"/>
      <c r="H47" s="1490"/>
      <c r="I47" s="1487"/>
      <c r="J47" s="1488"/>
      <c r="K47" s="1489"/>
      <c r="L47" s="1490"/>
      <c r="M47" s="1487"/>
      <c r="N47" s="1488"/>
      <c r="O47" s="1489"/>
      <c r="P47" s="1490"/>
      <c r="Q47" s="1399"/>
      <c r="R47" s="1399"/>
      <c r="S47" s="1399"/>
      <c r="T47" s="1399"/>
      <c r="U47" s="1399"/>
      <c r="V47" s="1399"/>
      <c r="W47" s="1399"/>
      <c r="X47" s="1445" t="e">
        <f ca="1"/>
        <v>#NAME?</v>
      </c>
      <c r="Y47" s="1446" t="e">
        <f ca="1"/>
        <v>#NAME?</v>
      </c>
      <c r="AA47" s="1399"/>
      <c r="AB47" s="1399"/>
      <c r="AC47" s="1399"/>
      <c r="AD47" s="1399"/>
      <c r="AE47" s="1399"/>
    </row>
    <row r="48" spans="1:31">
      <c r="A48" s="1487"/>
      <c r="B48" s="1488"/>
      <c r="C48" s="1489"/>
      <c r="D48" s="1490"/>
      <c r="E48" s="1487"/>
      <c r="F48" s="1488"/>
      <c r="G48" s="1489"/>
      <c r="H48" s="1490"/>
      <c r="I48" s="1487"/>
      <c r="J48" s="1488"/>
      <c r="K48" s="1489"/>
      <c r="L48" s="1490"/>
      <c r="M48" s="1487"/>
      <c r="N48" s="1488"/>
      <c r="O48" s="1489"/>
      <c r="P48" s="1490"/>
      <c r="Q48" s="1399"/>
      <c r="R48" s="1399"/>
      <c r="S48" s="1399"/>
      <c r="T48" s="1399"/>
      <c r="U48" s="1399"/>
      <c r="V48" s="1399"/>
      <c r="W48" s="1399"/>
      <c r="X48" s="1445" t="e">
        <f ca="1"/>
        <v>#NAME?</v>
      </c>
      <c r="Y48" s="1446" t="e">
        <f ca="1"/>
        <v>#NAME?</v>
      </c>
      <c r="AA48" s="1399"/>
      <c r="AB48" s="1399"/>
      <c r="AC48" s="1399"/>
      <c r="AD48" s="1399"/>
      <c r="AE48" s="1399"/>
    </row>
    <row r="49" spans="1:31">
      <c r="A49" s="1487"/>
      <c r="B49" s="1488"/>
      <c r="C49" s="1489"/>
      <c r="D49" s="1490"/>
      <c r="E49" s="1487"/>
      <c r="F49" s="1488"/>
      <c r="G49" s="1489"/>
      <c r="H49" s="1490"/>
      <c r="I49" s="1487"/>
      <c r="J49" s="1488"/>
      <c r="K49" s="1489"/>
      <c r="L49" s="1490"/>
      <c r="M49" s="1487"/>
      <c r="N49" s="1488"/>
      <c r="O49" s="1489"/>
      <c r="P49" s="1490"/>
      <c r="Q49" s="1399"/>
      <c r="R49" s="1399"/>
      <c r="S49" s="1399"/>
      <c r="T49" s="1399"/>
      <c r="U49" s="1399"/>
      <c r="V49" s="1399"/>
      <c r="W49" s="1399"/>
      <c r="X49" s="1445" t="e">
        <f ca="1"/>
        <v>#NAME?</v>
      </c>
      <c r="Y49" s="1446" t="e">
        <f ca="1"/>
        <v>#NAME?</v>
      </c>
      <c r="AA49" s="1399"/>
      <c r="AB49" s="1399"/>
      <c r="AC49" s="1399"/>
      <c r="AD49" s="1399"/>
      <c r="AE49" s="1399"/>
    </row>
    <row r="50" spans="1:31">
      <c r="A50" s="1487"/>
      <c r="B50" s="1488"/>
      <c r="C50" s="1489"/>
      <c r="D50" s="1490"/>
      <c r="E50" s="1487"/>
      <c r="F50" s="1488"/>
      <c r="G50" s="1489"/>
      <c r="H50" s="1490"/>
      <c r="I50" s="1487"/>
      <c r="J50" s="1488"/>
      <c r="K50" s="1489"/>
      <c r="L50" s="1490"/>
      <c r="M50" s="1487"/>
      <c r="N50" s="1488"/>
      <c r="O50" s="1489"/>
      <c r="P50" s="1490"/>
      <c r="Q50" s="1399"/>
      <c r="R50" s="1399"/>
      <c r="S50" s="1399"/>
      <c r="T50" s="1399"/>
      <c r="U50" s="1399"/>
      <c r="V50" s="1399"/>
      <c r="W50" s="1399"/>
      <c r="X50" s="1445" t="e">
        <f ca="1"/>
        <v>#NAME?</v>
      </c>
      <c r="Y50" s="1446" t="e">
        <f ca="1"/>
        <v>#NAME?</v>
      </c>
      <c r="AA50" s="1399"/>
      <c r="AB50" s="1399"/>
      <c r="AC50" s="1399"/>
      <c r="AD50" s="1399"/>
      <c r="AE50" s="1399"/>
    </row>
    <row r="51" spans="1:31">
      <c r="A51" s="1487"/>
      <c r="B51" s="1488"/>
      <c r="C51" s="1489"/>
      <c r="D51" s="1490"/>
      <c r="E51" s="1487"/>
      <c r="F51" s="1488"/>
      <c r="G51" s="1489"/>
      <c r="H51" s="1490"/>
      <c r="I51" s="1487"/>
      <c r="J51" s="1488"/>
      <c r="K51" s="1489"/>
      <c r="L51" s="1490"/>
      <c r="M51" s="1487"/>
      <c r="N51" s="1488"/>
      <c r="O51" s="1489"/>
      <c r="P51" s="1490"/>
      <c r="Q51" s="1399"/>
      <c r="R51" s="1399"/>
      <c r="S51" s="1399"/>
      <c r="T51" s="1399"/>
      <c r="U51" s="1399"/>
      <c r="V51" s="1399"/>
      <c r="W51" s="1399"/>
      <c r="X51" s="1445" t="e">
        <f ca="1"/>
        <v>#NAME?</v>
      </c>
      <c r="Y51" s="1446" t="e">
        <f ca="1"/>
        <v>#NAME?</v>
      </c>
      <c r="AA51" s="1399"/>
      <c r="AB51" s="1399"/>
      <c r="AC51" s="1399"/>
      <c r="AD51" s="1399"/>
      <c r="AE51" s="1399"/>
    </row>
    <row r="52" spans="1:31">
      <c r="A52" s="1487"/>
      <c r="B52" s="1488"/>
      <c r="C52" s="1489"/>
      <c r="D52" s="1490"/>
      <c r="E52" s="1487"/>
      <c r="F52" s="1488"/>
      <c r="G52" s="1489"/>
      <c r="H52" s="1490"/>
      <c r="I52" s="1487"/>
      <c r="J52" s="1488"/>
      <c r="K52" s="1489"/>
      <c r="L52" s="1490"/>
      <c r="M52" s="1487"/>
      <c r="N52" s="1488"/>
      <c r="O52" s="1489"/>
      <c r="P52" s="1490"/>
      <c r="Q52" s="1399"/>
      <c r="R52" s="1399"/>
      <c r="S52" s="1399"/>
      <c r="T52" s="1399"/>
      <c r="U52" s="1399"/>
      <c r="V52" s="1399"/>
      <c r="W52" s="1399"/>
      <c r="X52" s="1445" t="e">
        <f ca="1"/>
        <v>#NAME?</v>
      </c>
      <c r="Y52" s="1446" t="e">
        <f ca="1"/>
        <v>#NAME?</v>
      </c>
      <c r="AA52" s="1399"/>
      <c r="AB52" s="1399"/>
      <c r="AC52" s="1399"/>
      <c r="AD52" s="1399"/>
      <c r="AE52" s="1399"/>
    </row>
    <row r="53" spans="1:31">
      <c r="A53" s="1487"/>
      <c r="B53" s="1488"/>
      <c r="C53" s="1489"/>
      <c r="D53" s="1490"/>
      <c r="E53" s="1487"/>
      <c r="F53" s="1488"/>
      <c r="G53" s="1489"/>
      <c r="H53" s="1490"/>
      <c r="I53" s="1487"/>
      <c r="J53" s="1488"/>
      <c r="K53" s="1489"/>
      <c r="L53" s="1490"/>
      <c r="M53" s="1487"/>
      <c r="N53" s="1488"/>
      <c r="O53" s="1489"/>
      <c r="P53" s="1490"/>
      <c r="Q53" s="1399"/>
      <c r="R53" s="1399"/>
      <c r="S53" s="1399"/>
      <c r="T53" s="1399"/>
      <c r="U53" s="1399"/>
      <c r="V53" s="1399"/>
      <c r="W53" s="1399"/>
      <c r="X53" s="1445" t="e">
        <f ca="1"/>
        <v>#NAME?</v>
      </c>
      <c r="Y53" s="1446" t="e">
        <f ca="1"/>
        <v>#NAME?</v>
      </c>
      <c r="AA53" s="1399"/>
      <c r="AB53" s="1399"/>
      <c r="AC53" s="1399"/>
      <c r="AD53" s="1399"/>
      <c r="AE53" s="1399"/>
    </row>
    <row r="54" spans="1:31">
      <c r="A54" s="1487"/>
      <c r="B54" s="1488"/>
      <c r="C54" s="1489"/>
      <c r="D54" s="1490"/>
      <c r="E54" s="1487"/>
      <c r="F54" s="1488"/>
      <c r="G54" s="1489"/>
      <c r="H54" s="1490"/>
      <c r="I54" s="1487"/>
      <c r="J54" s="1488"/>
      <c r="K54" s="1489"/>
      <c r="L54" s="1490"/>
      <c r="M54" s="1487"/>
      <c r="N54" s="1488"/>
      <c r="O54" s="1489"/>
      <c r="P54" s="1490"/>
      <c r="Q54" s="1399"/>
      <c r="R54" s="1399"/>
      <c r="S54" s="1399"/>
      <c r="T54" s="1399"/>
      <c r="U54" s="1399"/>
      <c r="V54" s="1399"/>
      <c r="W54" s="1399"/>
      <c r="X54" s="1445" t="e">
        <f ca="1"/>
        <v>#NAME?</v>
      </c>
      <c r="Y54" s="1446" t="e">
        <f ca="1"/>
        <v>#NAME?</v>
      </c>
      <c r="AA54" s="1399"/>
      <c r="AB54" s="1399"/>
      <c r="AC54" s="1399"/>
      <c r="AD54" s="1399"/>
      <c r="AE54" s="1399"/>
    </row>
    <row r="55" spans="1:31">
      <c r="A55" s="1487"/>
      <c r="B55" s="1488"/>
      <c r="C55" s="1489"/>
      <c r="D55" s="1490"/>
      <c r="E55" s="1487"/>
      <c r="F55" s="1488"/>
      <c r="G55" s="1489"/>
      <c r="H55" s="1490"/>
      <c r="I55" s="1487"/>
      <c r="J55" s="1488"/>
      <c r="K55" s="1489"/>
      <c r="L55" s="1490"/>
      <c r="M55" s="1487"/>
      <c r="N55" s="1488"/>
      <c r="O55" s="1489"/>
      <c r="P55" s="1490"/>
      <c r="Q55" s="1399"/>
      <c r="R55" s="1399"/>
      <c r="S55" s="1399"/>
      <c r="T55" s="1399"/>
      <c r="U55" s="1399"/>
      <c r="V55" s="1399"/>
      <c r="W55" s="1399"/>
      <c r="X55" s="1445" t="e">
        <f ca="1"/>
        <v>#NAME?</v>
      </c>
      <c r="Y55" s="1446" t="e">
        <f ca="1"/>
        <v>#NAME?</v>
      </c>
      <c r="AA55" s="1399"/>
      <c r="AB55" s="1399"/>
      <c r="AC55" s="1399"/>
      <c r="AD55" s="1399"/>
      <c r="AE55" s="1399"/>
    </row>
    <row r="56" spans="1:31">
      <c r="A56" s="1487"/>
      <c r="B56" s="1488"/>
      <c r="C56" s="1489"/>
      <c r="D56" s="1490"/>
      <c r="E56" s="1487"/>
      <c r="F56" s="1488"/>
      <c r="G56" s="1489"/>
      <c r="H56" s="1490"/>
      <c r="I56" s="1487"/>
      <c r="J56" s="1488"/>
      <c r="K56" s="1489"/>
      <c r="L56" s="1490"/>
      <c r="M56" s="1487"/>
      <c r="N56" s="1488"/>
      <c r="O56" s="1489"/>
      <c r="P56" s="1490"/>
      <c r="Q56" s="1399"/>
      <c r="R56" s="1399"/>
      <c r="S56" s="1399"/>
      <c r="T56" s="1399"/>
      <c r="U56" s="1399"/>
      <c r="V56" s="1399"/>
      <c r="W56" s="1399"/>
      <c r="X56" s="1445" t="e">
        <f ca="1"/>
        <v>#NAME?</v>
      </c>
      <c r="Y56" s="1446" t="e">
        <f ca="1"/>
        <v>#NAME?</v>
      </c>
      <c r="AA56" s="1399"/>
      <c r="AB56" s="1399"/>
      <c r="AC56" s="1399"/>
      <c r="AD56" s="1399"/>
      <c r="AE56" s="1399"/>
    </row>
    <row r="57" spans="1:31">
      <c r="A57" s="1487"/>
      <c r="B57" s="1488"/>
      <c r="C57" s="1489"/>
      <c r="D57" s="1490"/>
      <c r="E57" s="1487"/>
      <c r="F57" s="1488"/>
      <c r="G57" s="1489"/>
      <c r="H57" s="1490"/>
      <c r="I57" s="1487"/>
      <c r="J57" s="1488"/>
      <c r="K57" s="1489"/>
      <c r="L57" s="1490"/>
      <c r="M57" s="1487"/>
      <c r="N57" s="1488"/>
      <c r="O57" s="1489"/>
      <c r="P57" s="1490"/>
      <c r="Q57" s="1399"/>
      <c r="R57" s="1399"/>
      <c r="S57" s="1399"/>
      <c r="T57" s="1399"/>
      <c r="U57" s="1399"/>
      <c r="V57" s="1399"/>
      <c r="W57" s="1399"/>
      <c r="X57" s="1445" t="e">
        <f ca="1"/>
        <v>#NAME?</v>
      </c>
      <c r="Y57" s="1446" t="e">
        <f ca="1"/>
        <v>#NAME?</v>
      </c>
      <c r="AA57" s="1399"/>
      <c r="AB57" s="1399"/>
      <c r="AC57" s="1399"/>
      <c r="AD57" s="1399"/>
      <c r="AE57" s="1399"/>
    </row>
    <row r="58" spans="1:31">
      <c r="A58" s="1487"/>
      <c r="B58" s="1488"/>
      <c r="C58" s="1489"/>
      <c r="D58" s="1490"/>
      <c r="E58" s="1487"/>
      <c r="F58" s="1488"/>
      <c r="G58" s="1489"/>
      <c r="H58" s="1490"/>
      <c r="I58" s="1487"/>
      <c r="J58" s="1488"/>
      <c r="K58" s="1489"/>
      <c r="L58" s="1490"/>
      <c r="M58" s="1487"/>
      <c r="N58" s="1488"/>
      <c r="O58" s="1489"/>
      <c r="P58" s="1490"/>
      <c r="Q58" s="1399"/>
      <c r="R58" s="1399"/>
      <c r="S58" s="1399"/>
      <c r="T58" s="1399"/>
      <c r="U58" s="1399"/>
      <c r="V58" s="1399"/>
      <c r="W58" s="1399"/>
      <c r="X58" s="1445" t="e">
        <f ca="1"/>
        <v>#NAME?</v>
      </c>
      <c r="Y58" s="1446" t="e">
        <f ca="1"/>
        <v>#NAME?</v>
      </c>
      <c r="AA58" s="1399"/>
      <c r="AB58" s="1399"/>
      <c r="AC58" s="1399"/>
      <c r="AD58" s="1399"/>
      <c r="AE58" s="1399"/>
    </row>
    <row r="59" spans="1:31">
      <c r="A59" s="1487"/>
      <c r="B59" s="1488"/>
      <c r="C59" s="1489"/>
      <c r="D59" s="1490"/>
      <c r="E59" s="1487"/>
      <c r="F59" s="1488"/>
      <c r="G59" s="1489"/>
      <c r="H59" s="1490"/>
      <c r="I59" s="1487"/>
      <c r="J59" s="1488"/>
      <c r="K59" s="1489"/>
      <c r="L59" s="1490"/>
      <c r="M59" s="1487"/>
      <c r="N59" s="1488"/>
      <c r="O59" s="1489"/>
      <c r="P59" s="1490"/>
      <c r="Q59" s="1399"/>
      <c r="R59" s="1399"/>
      <c r="S59" s="1399"/>
      <c r="T59" s="1399"/>
      <c r="U59" s="1399"/>
      <c r="V59" s="1399"/>
      <c r="W59" s="1399"/>
      <c r="X59" s="1445" t="e">
        <f ca="1"/>
        <v>#NAME?</v>
      </c>
      <c r="Y59" s="1446" t="e">
        <f ca="1"/>
        <v>#NAME?</v>
      </c>
      <c r="AA59" s="1399"/>
      <c r="AB59" s="1399"/>
      <c r="AC59" s="1399"/>
      <c r="AD59" s="1399"/>
      <c r="AE59" s="1399"/>
    </row>
    <row r="60" spans="1:31">
      <c r="A60" s="1487"/>
      <c r="B60" s="1488"/>
      <c r="C60" s="1489"/>
      <c r="D60" s="1490"/>
      <c r="E60" s="1487"/>
      <c r="F60" s="1488"/>
      <c r="G60" s="1489"/>
      <c r="H60" s="1490"/>
      <c r="I60" s="1487"/>
      <c r="J60" s="1488"/>
      <c r="K60" s="1489"/>
      <c r="L60" s="1490"/>
      <c r="M60" s="1487"/>
      <c r="N60" s="1488"/>
      <c r="O60" s="1489"/>
      <c r="P60" s="1490"/>
      <c r="Q60" s="1399"/>
      <c r="X60" s="1445" t="e">
        <f ca="1"/>
        <v>#NAME?</v>
      </c>
      <c r="Y60" s="1446" t="e">
        <f ca="1"/>
        <v>#NAME?</v>
      </c>
      <c r="Z60" s="1408"/>
      <c r="AB60" s="1399"/>
      <c r="AC60" s="1399"/>
      <c r="AD60" s="1399"/>
      <c r="AE60" s="1399"/>
    </row>
    <row r="61" spans="1:31">
      <c r="A61" s="1487"/>
      <c r="B61" s="1488"/>
      <c r="C61" s="1489"/>
      <c r="D61" s="1490"/>
      <c r="E61" s="1487"/>
      <c r="F61" s="1488"/>
      <c r="G61" s="1489"/>
      <c r="H61" s="1490"/>
      <c r="I61" s="1487"/>
      <c r="J61" s="1488"/>
      <c r="K61" s="1489"/>
      <c r="L61" s="1490"/>
      <c r="M61" s="1487"/>
      <c r="N61" s="1488"/>
      <c r="O61" s="1489"/>
      <c r="P61" s="1490"/>
      <c r="Q61" s="1399"/>
      <c r="X61" s="1445" t="e">
        <f ca="1"/>
        <v>#NAME?</v>
      </c>
      <c r="Y61" s="1446" t="e">
        <f ca="1"/>
        <v>#NAME?</v>
      </c>
      <c r="Z61" s="1408"/>
      <c r="AB61" s="1399"/>
      <c r="AC61" s="1399"/>
      <c r="AD61" s="1399"/>
      <c r="AE61" s="1399"/>
    </row>
    <row r="62" spans="1:31">
      <c r="A62" s="1487"/>
      <c r="B62" s="1488"/>
      <c r="C62" s="1489"/>
      <c r="D62" s="1490"/>
      <c r="E62" s="1487"/>
      <c r="F62" s="1488"/>
      <c r="G62" s="1489"/>
      <c r="H62" s="1490"/>
      <c r="I62" s="1487"/>
      <c r="J62" s="1488"/>
      <c r="K62" s="1489"/>
      <c r="L62" s="1490"/>
      <c r="M62" s="1487"/>
      <c r="N62" s="1488"/>
      <c r="O62" s="1489"/>
      <c r="P62" s="1490"/>
      <c r="Q62" s="1399"/>
      <c r="X62" s="1445" t="e">
        <f ca="1"/>
        <v>#NAME?</v>
      </c>
      <c r="Y62" s="1446" t="e">
        <f ca="1"/>
        <v>#NAME?</v>
      </c>
      <c r="Z62" s="1408"/>
      <c r="AB62" s="1399"/>
      <c r="AC62" s="1399"/>
      <c r="AD62" s="1399"/>
      <c r="AE62" s="1399"/>
    </row>
    <row r="63" spans="1:31">
      <c r="A63" s="1487"/>
      <c r="B63" s="1488"/>
      <c r="C63" s="1489"/>
      <c r="D63" s="1490"/>
      <c r="E63" s="1487"/>
      <c r="F63" s="1488"/>
      <c r="G63" s="1489"/>
      <c r="H63" s="1490"/>
      <c r="I63" s="1487"/>
      <c r="J63" s="1488"/>
      <c r="K63" s="1489"/>
      <c r="L63" s="1490"/>
      <c r="M63" s="1487"/>
      <c r="N63" s="1488"/>
      <c r="O63" s="1489"/>
      <c r="P63" s="1490"/>
      <c r="Q63" s="1399"/>
      <c r="X63" s="1445" t="e">
        <f ca="1"/>
        <v>#NAME?</v>
      </c>
      <c r="Y63" s="1446" t="e">
        <f ca="1"/>
        <v>#NAME?</v>
      </c>
      <c r="Z63" s="1408"/>
      <c r="AB63" s="1399"/>
      <c r="AC63" s="1399"/>
      <c r="AD63" s="1399"/>
      <c r="AE63" s="1399"/>
    </row>
    <row r="64" spans="1:31">
      <c r="A64" s="1487"/>
      <c r="B64" s="1488"/>
      <c r="C64" s="1489"/>
      <c r="D64" s="1490"/>
      <c r="E64" s="1487"/>
      <c r="F64" s="1488"/>
      <c r="G64" s="1489"/>
      <c r="H64" s="1490"/>
      <c r="I64" s="1487"/>
      <c r="J64" s="1488"/>
      <c r="K64" s="1489"/>
      <c r="L64" s="1490"/>
      <c r="M64" s="1487"/>
      <c r="N64" s="1488"/>
      <c r="O64" s="1489"/>
      <c r="P64" s="1490"/>
      <c r="Q64" s="1399"/>
      <c r="X64" s="1445" t="e">
        <f ca="1"/>
        <v>#NAME?</v>
      </c>
      <c r="Y64" s="1446" t="e">
        <f ca="1"/>
        <v>#NAME?</v>
      </c>
      <c r="Z64" s="1408"/>
      <c r="AB64" s="1399"/>
      <c r="AC64" s="1399"/>
      <c r="AD64" s="1399"/>
      <c r="AE64" s="1399"/>
    </row>
    <row r="65" spans="1:31">
      <c r="A65" s="1487"/>
      <c r="B65" s="1488"/>
      <c r="C65" s="1489"/>
      <c r="D65" s="1490"/>
      <c r="E65" s="1487"/>
      <c r="F65" s="1488"/>
      <c r="G65" s="1489"/>
      <c r="H65" s="1490"/>
      <c r="I65" s="1487"/>
      <c r="J65" s="1488"/>
      <c r="K65" s="1489"/>
      <c r="L65" s="1490"/>
      <c r="M65" s="1487"/>
      <c r="N65" s="1488"/>
      <c r="O65" s="1489"/>
      <c r="P65" s="1490"/>
      <c r="Q65" s="1399"/>
      <c r="X65" s="1445" t="e">
        <f ca="1"/>
        <v>#NAME?</v>
      </c>
      <c r="Y65" s="1446" t="e">
        <f ca="1"/>
        <v>#NAME?</v>
      </c>
      <c r="Z65" s="1408"/>
      <c r="AB65" s="1399"/>
      <c r="AC65" s="1399"/>
      <c r="AD65" s="1399"/>
      <c r="AE65" s="1399"/>
    </row>
    <row r="66" spans="1:31">
      <c r="A66" s="1487"/>
      <c r="B66" s="1488"/>
      <c r="C66" s="1489"/>
      <c r="D66" s="1490"/>
      <c r="E66" s="1487"/>
      <c r="F66" s="1488"/>
      <c r="G66" s="1489"/>
      <c r="H66" s="1490"/>
      <c r="I66" s="1487"/>
      <c r="J66" s="1488"/>
      <c r="K66" s="1489"/>
      <c r="L66" s="1490"/>
      <c r="M66" s="1487"/>
      <c r="N66" s="1488"/>
      <c r="O66" s="1489"/>
      <c r="P66" s="1490"/>
      <c r="Q66" s="1399"/>
      <c r="X66" s="1445" t="e">
        <f ca="1"/>
        <v>#NAME?</v>
      </c>
      <c r="Y66" s="1446" t="e">
        <f ca="1"/>
        <v>#NAME?</v>
      </c>
      <c r="Z66" s="1408"/>
      <c r="AB66" s="1399"/>
      <c r="AC66" s="1399"/>
      <c r="AD66" s="1399"/>
      <c r="AE66" s="1399"/>
    </row>
    <row r="67" spans="1:31">
      <c r="A67" s="1487"/>
      <c r="B67" s="1488"/>
      <c r="C67" s="1489"/>
      <c r="D67" s="1490"/>
      <c r="E67" s="1487"/>
      <c r="F67" s="1488"/>
      <c r="G67" s="1489"/>
      <c r="H67" s="1490"/>
      <c r="I67" s="1487"/>
      <c r="J67" s="1488"/>
      <c r="K67" s="1489"/>
      <c r="L67" s="1490"/>
      <c r="M67" s="1487"/>
      <c r="N67" s="1488"/>
      <c r="O67" s="1489"/>
      <c r="P67" s="1490"/>
      <c r="Q67" s="1399"/>
      <c r="X67" s="1445" t="e">
        <f ca="1"/>
        <v>#NAME?</v>
      </c>
      <c r="Y67" s="1446" t="e">
        <f ca="1"/>
        <v>#NAME?</v>
      </c>
      <c r="Z67" s="1408"/>
      <c r="AB67" s="1399"/>
      <c r="AC67" s="1399"/>
      <c r="AD67" s="1399"/>
      <c r="AE67" s="1399"/>
    </row>
    <row r="68" spans="1:31">
      <c r="A68" s="1487"/>
      <c r="B68" s="1488"/>
      <c r="C68" s="1489"/>
      <c r="D68" s="1490"/>
      <c r="E68" s="1487"/>
      <c r="F68" s="1488"/>
      <c r="G68" s="1489"/>
      <c r="H68" s="1490"/>
      <c r="I68" s="1487"/>
      <c r="J68" s="1488"/>
      <c r="K68" s="1489"/>
      <c r="L68" s="1490"/>
      <c r="M68" s="1487"/>
      <c r="N68" s="1488"/>
      <c r="O68" s="1489"/>
      <c r="P68" s="1490"/>
      <c r="Q68" s="1399"/>
      <c r="X68" s="1445" t="e">
        <f ca="1"/>
        <v>#NAME?</v>
      </c>
      <c r="Y68" s="1446" t="e">
        <f ca="1"/>
        <v>#NAME?</v>
      </c>
      <c r="Z68" s="1408"/>
      <c r="AB68" s="1399"/>
      <c r="AC68" s="1399"/>
      <c r="AD68" s="1399"/>
      <c r="AE68" s="1399"/>
    </row>
    <row r="69" spans="1:31">
      <c r="A69" s="1487"/>
      <c r="B69" s="1488"/>
      <c r="C69" s="1489"/>
      <c r="D69" s="1490"/>
      <c r="E69" s="1487"/>
      <c r="F69" s="1488"/>
      <c r="G69" s="1489"/>
      <c r="H69" s="1490"/>
      <c r="I69" s="1487"/>
      <c r="J69" s="1488"/>
      <c r="K69" s="1489"/>
      <c r="L69" s="1490"/>
      <c r="M69" s="1487"/>
      <c r="N69" s="1488"/>
      <c r="O69" s="1489"/>
      <c r="P69" s="1490"/>
      <c r="Q69" s="1399"/>
      <c r="X69" s="1445" t="e">
        <f ca="1"/>
        <v>#NAME?</v>
      </c>
      <c r="Y69" s="1446" t="e">
        <f ca="1"/>
        <v>#NAME?</v>
      </c>
      <c r="Z69" s="1408"/>
      <c r="AB69" s="1399"/>
      <c r="AC69" s="1399"/>
      <c r="AD69" s="1399"/>
      <c r="AE69" s="1399"/>
    </row>
    <row r="70" spans="1:31">
      <c r="A70" s="1487"/>
      <c r="B70" s="1488"/>
      <c r="C70" s="1489"/>
      <c r="D70" s="1490"/>
      <c r="E70" s="1487"/>
      <c r="F70" s="1488"/>
      <c r="G70" s="1489"/>
      <c r="H70" s="1490"/>
      <c r="I70" s="1487"/>
      <c r="J70" s="1488"/>
      <c r="K70" s="1489"/>
      <c r="L70" s="1490"/>
      <c r="M70" s="1487"/>
      <c r="N70" s="1488"/>
      <c r="O70" s="1489"/>
      <c r="P70" s="1490"/>
      <c r="Q70" s="1399"/>
      <c r="X70" s="1445" t="e">
        <f ca="1"/>
        <v>#NAME?</v>
      </c>
      <c r="Y70" s="1446" t="e">
        <f ca="1"/>
        <v>#NAME?</v>
      </c>
      <c r="Z70" s="1408"/>
      <c r="AB70" s="1399"/>
      <c r="AC70" s="1399"/>
      <c r="AD70" s="1399"/>
      <c r="AE70" s="1399"/>
    </row>
    <row r="71" spans="1:31">
      <c r="A71" s="1487"/>
      <c r="B71" s="1488"/>
      <c r="C71" s="1489"/>
      <c r="D71" s="1490"/>
      <c r="E71" s="1487"/>
      <c r="F71" s="1488"/>
      <c r="G71" s="1489"/>
      <c r="H71" s="1490"/>
      <c r="I71" s="1487"/>
      <c r="J71" s="1488"/>
      <c r="K71" s="1489"/>
      <c r="L71" s="1490"/>
      <c r="M71" s="1487"/>
      <c r="N71" s="1488"/>
      <c r="O71" s="1489"/>
      <c r="P71" s="1490"/>
      <c r="Q71" s="1399"/>
      <c r="X71" s="1445" t="e">
        <f ca="1"/>
        <v>#NAME?</v>
      </c>
      <c r="Y71" s="1446" t="e">
        <f ca="1"/>
        <v>#NAME?</v>
      </c>
      <c r="Z71" s="1408"/>
      <c r="AB71" s="1399"/>
      <c r="AC71" s="1399"/>
      <c r="AD71" s="1399"/>
      <c r="AE71" s="1399"/>
    </row>
    <row r="72" spans="1:31">
      <c r="A72" s="1487"/>
      <c r="B72" s="1488"/>
      <c r="C72" s="1489"/>
      <c r="D72" s="1490"/>
      <c r="E72" s="1487"/>
      <c r="F72" s="1488"/>
      <c r="G72" s="1489"/>
      <c r="H72" s="1490"/>
      <c r="I72" s="1487"/>
      <c r="J72" s="1488"/>
      <c r="K72" s="1489"/>
      <c r="L72" s="1490"/>
      <c r="M72" s="1487"/>
      <c r="N72" s="1488"/>
      <c r="O72" s="1489"/>
      <c r="P72" s="1490"/>
      <c r="Q72" s="1399"/>
      <c r="X72" s="1445" t="e">
        <f ca="1"/>
        <v>#NAME?</v>
      </c>
      <c r="Y72" s="1446" t="e">
        <f ca="1"/>
        <v>#NAME?</v>
      </c>
      <c r="Z72" s="1408"/>
      <c r="AB72" s="1399"/>
      <c r="AC72" s="1399"/>
      <c r="AD72" s="1399"/>
      <c r="AE72" s="1399"/>
    </row>
    <row r="73" spans="1:31">
      <c r="A73" s="1487"/>
      <c r="B73" s="1488"/>
      <c r="C73" s="1489"/>
      <c r="D73" s="1490"/>
      <c r="E73" s="1487"/>
      <c r="F73" s="1488"/>
      <c r="G73" s="1489"/>
      <c r="H73" s="1490"/>
      <c r="I73" s="1487"/>
      <c r="J73" s="1488"/>
      <c r="K73" s="1489"/>
      <c r="L73" s="1490"/>
      <c r="M73" s="1487"/>
      <c r="N73" s="1488"/>
      <c r="O73" s="1489"/>
      <c r="P73" s="1490"/>
      <c r="Q73" s="1399"/>
      <c r="X73" s="1445" t="e">
        <f ca="1"/>
        <v>#NAME?</v>
      </c>
      <c r="Y73" s="1446" t="e">
        <f ca="1"/>
        <v>#NAME?</v>
      </c>
      <c r="Z73" s="1408"/>
      <c r="AB73" s="1399"/>
      <c r="AC73" s="1399"/>
      <c r="AD73" s="1399"/>
      <c r="AE73" s="1399"/>
    </row>
    <row r="74" spans="1:31">
      <c r="A74" s="1487"/>
      <c r="B74" s="1488"/>
      <c r="C74" s="1489"/>
      <c r="D74" s="1490"/>
      <c r="E74" s="1487"/>
      <c r="F74" s="1488"/>
      <c r="G74" s="1489"/>
      <c r="H74" s="1490"/>
      <c r="I74" s="1487"/>
      <c r="J74" s="1488"/>
      <c r="K74" s="1489"/>
      <c r="L74" s="1490"/>
      <c r="M74" s="1487"/>
      <c r="N74" s="1488"/>
      <c r="O74" s="1489"/>
      <c r="P74" s="1490"/>
      <c r="Q74" s="1399"/>
      <c r="X74" s="1445" t="e">
        <f ca="1"/>
        <v>#NAME?</v>
      </c>
      <c r="Y74" s="1446" t="e">
        <f ca="1"/>
        <v>#NAME?</v>
      </c>
      <c r="Z74" s="1408"/>
      <c r="AB74" s="1399"/>
      <c r="AC74" s="1399"/>
      <c r="AD74" s="1399"/>
      <c r="AE74" s="1399"/>
    </row>
    <row r="75" spans="1:31">
      <c r="A75" s="1487"/>
      <c r="B75" s="1488"/>
      <c r="C75" s="1489"/>
      <c r="D75" s="1490"/>
      <c r="E75" s="1487"/>
      <c r="F75" s="1488"/>
      <c r="G75" s="1489"/>
      <c r="H75" s="1490"/>
      <c r="I75" s="1487"/>
      <c r="J75" s="1488"/>
      <c r="K75" s="1489"/>
      <c r="L75" s="1490"/>
      <c r="M75" s="1487"/>
      <c r="N75" s="1488"/>
      <c r="O75" s="1489"/>
      <c r="P75" s="1490"/>
      <c r="Q75" s="1399"/>
      <c r="X75" s="1445" t="e">
        <f ca="1"/>
        <v>#NAME?</v>
      </c>
      <c r="Y75" s="1446" t="e">
        <f ca="1"/>
        <v>#NAME?</v>
      </c>
      <c r="Z75" s="1408"/>
      <c r="AB75" s="1399"/>
      <c r="AC75" s="1399"/>
      <c r="AD75" s="1399"/>
      <c r="AE75" s="1399"/>
    </row>
    <row r="76" spans="1:31">
      <c r="A76" s="1487"/>
      <c r="B76" s="1488"/>
      <c r="C76" s="1489"/>
      <c r="D76" s="1490"/>
      <c r="E76" s="1487"/>
      <c r="F76" s="1488"/>
      <c r="G76" s="1489"/>
      <c r="H76" s="1490"/>
      <c r="I76" s="1487"/>
      <c r="J76" s="1488"/>
      <c r="K76" s="1489"/>
      <c r="L76" s="1490"/>
      <c r="M76" s="1487"/>
      <c r="N76" s="1488"/>
      <c r="O76" s="1489"/>
      <c r="P76" s="1490"/>
      <c r="Q76" s="1399"/>
      <c r="X76" s="1445" t="e">
        <f ca="1"/>
        <v>#NAME?</v>
      </c>
      <c r="Y76" s="1446" t="e">
        <f ca="1"/>
        <v>#NAME?</v>
      </c>
      <c r="Z76" s="1408"/>
      <c r="AB76" s="1399"/>
      <c r="AC76" s="1399"/>
      <c r="AD76" s="1399"/>
      <c r="AE76" s="1399"/>
    </row>
    <row r="77" spans="1:31">
      <c r="A77" s="1487"/>
      <c r="B77" s="1488"/>
      <c r="C77" s="1489"/>
      <c r="D77" s="1490"/>
      <c r="E77" s="1487"/>
      <c r="F77" s="1488"/>
      <c r="G77" s="1489"/>
      <c r="H77" s="1490"/>
      <c r="I77" s="1487"/>
      <c r="J77" s="1488"/>
      <c r="K77" s="1489"/>
      <c r="L77" s="1490"/>
      <c r="M77" s="1487"/>
      <c r="N77" s="1488"/>
      <c r="O77" s="1489"/>
      <c r="P77" s="1490"/>
      <c r="Q77" s="1399"/>
      <c r="X77" s="1445" t="e">
        <f ca="1"/>
        <v>#NAME?</v>
      </c>
      <c r="Y77" s="1446" t="e">
        <f ca="1"/>
        <v>#NAME?</v>
      </c>
      <c r="Z77" s="1408"/>
      <c r="AB77" s="1399"/>
      <c r="AC77" s="1399"/>
      <c r="AD77" s="1399"/>
      <c r="AE77" s="1399"/>
    </row>
    <row r="78" spans="1:31">
      <c r="A78" s="1487"/>
      <c r="B78" s="1488"/>
      <c r="C78" s="1489"/>
      <c r="D78" s="1490"/>
      <c r="E78" s="1487"/>
      <c r="F78" s="1488"/>
      <c r="G78" s="1489"/>
      <c r="H78" s="1490"/>
      <c r="I78" s="1487"/>
      <c r="J78" s="1488"/>
      <c r="K78" s="1489"/>
      <c r="L78" s="1490"/>
      <c r="M78" s="1487"/>
      <c r="N78" s="1488"/>
      <c r="O78" s="1489"/>
      <c r="P78" s="1490"/>
      <c r="Q78" s="1399"/>
      <c r="X78" s="1445" t="e">
        <f ca="1"/>
        <v>#NAME?</v>
      </c>
      <c r="Y78" s="1446" t="e">
        <f ca="1"/>
        <v>#NAME?</v>
      </c>
      <c r="Z78" s="1408"/>
      <c r="AB78" s="1399"/>
      <c r="AC78" s="1399"/>
      <c r="AD78" s="1399"/>
      <c r="AE78" s="1399"/>
    </row>
    <row r="79" spans="1:31">
      <c r="A79" s="1487"/>
      <c r="B79" s="1488"/>
      <c r="C79" s="1489"/>
      <c r="D79" s="1490"/>
      <c r="E79" s="1487"/>
      <c r="F79" s="1488"/>
      <c r="G79" s="1489"/>
      <c r="H79" s="1490"/>
      <c r="I79" s="1487"/>
      <c r="J79" s="1488"/>
      <c r="K79" s="1489"/>
      <c r="L79" s="1490"/>
      <c r="M79" s="1487"/>
      <c r="N79" s="1488"/>
      <c r="O79" s="1489"/>
      <c r="P79" s="1490"/>
      <c r="Q79" s="1399"/>
      <c r="X79" s="1445" t="e">
        <f ca="1"/>
        <v>#NAME?</v>
      </c>
      <c r="Y79" s="1446" t="e">
        <f ca="1"/>
        <v>#NAME?</v>
      </c>
      <c r="Z79" s="1408"/>
      <c r="AB79" s="1399"/>
      <c r="AC79" s="1399"/>
      <c r="AD79" s="1399"/>
      <c r="AE79" s="1399"/>
    </row>
    <row r="80" spans="1:31">
      <c r="A80" s="1487"/>
      <c r="B80" s="1488"/>
      <c r="C80" s="1489"/>
      <c r="D80" s="1490"/>
      <c r="E80" s="1487"/>
      <c r="F80" s="1488"/>
      <c r="G80" s="1489"/>
      <c r="H80" s="1490"/>
      <c r="I80" s="1487"/>
      <c r="J80" s="1488"/>
      <c r="K80" s="1489"/>
      <c r="L80" s="1490"/>
      <c r="M80" s="1487"/>
      <c r="N80" s="1488"/>
      <c r="O80" s="1489"/>
      <c r="P80" s="1490"/>
      <c r="Q80" s="1399"/>
      <c r="X80" s="1445" t="e">
        <f ca="1"/>
        <v>#NAME?</v>
      </c>
      <c r="Y80" s="1446" t="e">
        <f ca="1"/>
        <v>#NAME?</v>
      </c>
      <c r="Z80" s="1408"/>
      <c r="AB80" s="1399"/>
      <c r="AC80" s="1399"/>
      <c r="AD80" s="1399"/>
      <c r="AE80" s="1399"/>
    </row>
    <row r="81" spans="1:31">
      <c r="A81" s="1487"/>
      <c r="B81" s="1488"/>
      <c r="C81" s="1489"/>
      <c r="D81" s="1490"/>
      <c r="E81" s="1487"/>
      <c r="F81" s="1488"/>
      <c r="G81" s="1489"/>
      <c r="H81" s="1490"/>
      <c r="I81" s="1487"/>
      <c r="J81" s="1488"/>
      <c r="K81" s="1489"/>
      <c r="L81" s="1490"/>
      <c r="M81" s="1487"/>
      <c r="N81" s="1488"/>
      <c r="O81" s="1489"/>
      <c r="P81" s="1490"/>
      <c r="Q81" s="1399"/>
      <c r="X81" s="1445" t="e">
        <f ca="1"/>
        <v>#NAME?</v>
      </c>
      <c r="Y81" s="1446" t="e">
        <f ca="1"/>
        <v>#NAME?</v>
      </c>
      <c r="Z81" s="1408"/>
      <c r="AB81" s="1399"/>
      <c r="AC81" s="1399"/>
      <c r="AD81" s="1399"/>
      <c r="AE81" s="1399"/>
    </row>
    <row r="82" spans="1:31">
      <c r="A82" s="1487"/>
      <c r="B82" s="1488"/>
      <c r="C82" s="1489"/>
      <c r="D82" s="1490"/>
      <c r="E82" s="1487"/>
      <c r="F82" s="1488"/>
      <c r="G82" s="1489"/>
      <c r="H82" s="1490"/>
      <c r="I82" s="1487"/>
      <c r="J82" s="1488"/>
      <c r="K82" s="1489"/>
      <c r="L82" s="1490"/>
      <c r="M82" s="1487"/>
      <c r="N82" s="1488"/>
      <c r="O82" s="1489"/>
      <c r="P82" s="1490"/>
      <c r="Q82" s="1399"/>
      <c r="X82" s="1445" t="e">
        <f ca="1"/>
        <v>#NAME?</v>
      </c>
      <c r="Y82" s="1446" t="e">
        <f ca="1"/>
        <v>#NAME?</v>
      </c>
      <c r="Z82" s="1408"/>
      <c r="AB82" s="1399"/>
      <c r="AC82" s="1399"/>
      <c r="AD82" s="1399"/>
      <c r="AE82" s="1399"/>
    </row>
    <row r="83" spans="1:31">
      <c r="A83" s="1487"/>
      <c r="B83" s="1488"/>
      <c r="C83" s="1489"/>
      <c r="D83" s="1490"/>
      <c r="E83" s="1487"/>
      <c r="F83" s="1488"/>
      <c r="G83" s="1489"/>
      <c r="H83" s="1490"/>
      <c r="I83" s="1487"/>
      <c r="J83" s="1488"/>
      <c r="K83" s="1489"/>
      <c r="L83" s="1490"/>
      <c r="M83" s="1487"/>
      <c r="N83" s="1488"/>
      <c r="O83" s="1489"/>
      <c r="P83" s="1490"/>
      <c r="Q83" s="1399"/>
      <c r="X83" s="1445" t="e">
        <f ca="1"/>
        <v>#NAME?</v>
      </c>
      <c r="Y83" s="1446" t="e">
        <f ca="1"/>
        <v>#NAME?</v>
      </c>
      <c r="Z83" s="1408"/>
      <c r="AB83" s="1399"/>
      <c r="AC83" s="1399"/>
      <c r="AD83" s="1399"/>
      <c r="AE83" s="1399"/>
    </row>
    <row r="84" spans="1:31">
      <c r="A84" s="1487"/>
      <c r="B84" s="1488"/>
      <c r="C84" s="1489"/>
      <c r="D84" s="1490"/>
      <c r="E84" s="1487"/>
      <c r="F84" s="1488"/>
      <c r="G84" s="1489"/>
      <c r="H84" s="1490"/>
      <c r="I84" s="1487"/>
      <c r="J84" s="1488"/>
      <c r="K84" s="1489"/>
      <c r="L84" s="1490"/>
      <c r="M84" s="1487"/>
      <c r="N84" s="1488"/>
      <c r="O84" s="1489"/>
      <c r="P84" s="1490"/>
      <c r="Q84" s="1399"/>
      <c r="X84" s="1445" t="e">
        <f ca="1"/>
        <v>#NAME?</v>
      </c>
      <c r="Y84" s="1446" t="e">
        <f ca="1"/>
        <v>#NAME?</v>
      </c>
      <c r="Z84" s="1408"/>
      <c r="AB84" s="1399"/>
      <c r="AC84" s="1399"/>
      <c r="AD84" s="1399"/>
      <c r="AE84" s="1399"/>
    </row>
    <row r="85" spans="1:31">
      <c r="A85" s="1487"/>
      <c r="B85" s="1488"/>
      <c r="C85" s="1489"/>
      <c r="D85" s="1490"/>
      <c r="E85" s="1487"/>
      <c r="F85" s="1488"/>
      <c r="G85" s="1489"/>
      <c r="H85" s="1490"/>
      <c r="I85" s="1487"/>
      <c r="J85" s="1488"/>
      <c r="K85" s="1489"/>
      <c r="L85" s="1490"/>
      <c r="M85" s="1487"/>
      <c r="N85" s="1488"/>
      <c r="O85" s="1489"/>
      <c r="P85" s="1490"/>
      <c r="Q85" s="1399"/>
      <c r="X85" s="1445" t="e">
        <f ca="1"/>
        <v>#NAME?</v>
      </c>
      <c r="Y85" s="1446" t="e">
        <f ca="1"/>
        <v>#NAME?</v>
      </c>
      <c r="Z85" s="1408"/>
      <c r="AB85" s="1399"/>
      <c r="AC85" s="1399"/>
      <c r="AD85" s="1399"/>
      <c r="AE85" s="1399"/>
    </row>
    <row r="86" spans="1:31">
      <c r="A86" s="1487"/>
      <c r="B86" s="1488"/>
      <c r="C86" s="1489"/>
      <c r="D86" s="1490"/>
      <c r="E86" s="1487"/>
      <c r="F86" s="1488"/>
      <c r="G86" s="1489"/>
      <c r="H86" s="1490"/>
      <c r="I86" s="1487"/>
      <c r="J86" s="1488"/>
      <c r="K86" s="1489"/>
      <c r="L86" s="1490"/>
      <c r="M86" s="1487"/>
      <c r="N86" s="1488"/>
      <c r="O86" s="1489"/>
      <c r="P86" s="1490"/>
      <c r="Q86" s="1399"/>
      <c r="X86" s="1445" t="e">
        <f ca="1"/>
        <v>#NAME?</v>
      </c>
      <c r="Y86" s="1446" t="e">
        <f ca="1"/>
        <v>#NAME?</v>
      </c>
      <c r="Z86" s="1408"/>
      <c r="AB86" s="1399"/>
      <c r="AC86" s="1399"/>
      <c r="AD86" s="1399"/>
      <c r="AE86" s="1399"/>
    </row>
    <row r="87" spans="1:31">
      <c r="A87" s="1487"/>
      <c r="B87" s="1488"/>
      <c r="C87" s="1489"/>
      <c r="D87" s="1490"/>
      <c r="E87" s="1487"/>
      <c r="F87" s="1488"/>
      <c r="G87" s="1489"/>
      <c r="H87" s="1490"/>
      <c r="I87" s="1487"/>
      <c r="J87" s="1488"/>
      <c r="K87" s="1489"/>
      <c r="L87" s="1490"/>
      <c r="M87" s="1487"/>
      <c r="N87" s="1488"/>
      <c r="O87" s="1489"/>
      <c r="P87" s="1490"/>
      <c r="Q87" s="1399"/>
      <c r="X87" s="1445" t="e">
        <f ca="1"/>
        <v>#NAME?</v>
      </c>
      <c r="Y87" s="1446" t="e">
        <f ca="1"/>
        <v>#NAME?</v>
      </c>
      <c r="Z87" s="1408"/>
      <c r="AB87" s="1399"/>
      <c r="AC87" s="1399"/>
      <c r="AD87" s="1399"/>
      <c r="AE87" s="1399"/>
    </row>
    <row r="88" spans="1:31">
      <c r="A88" s="1487"/>
      <c r="B88" s="1488"/>
      <c r="C88" s="1489"/>
      <c r="D88" s="1490"/>
      <c r="E88" s="1487"/>
      <c r="F88" s="1488"/>
      <c r="G88" s="1489"/>
      <c r="H88" s="1490"/>
      <c r="I88" s="1487"/>
      <c r="J88" s="1488"/>
      <c r="K88" s="1489"/>
      <c r="L88" s="1490"/>
      <c r="M88" s="1487"/>
      <c r="N88" s="1488"/>
      <c r="O88" s="1489"/>
      <c r="P88" s="1490"/>
      <c r="Q88" s="1399"/>
      <c r="X88" s="1445" t="e">
        <f ca="1"/>
        <v>#NAME?</v>
      </c>
      <c r="Y88" s="1446" t="e">
        <f ca="1"/>
        <v>#NAME?</v>
      </c>
      <c r="Z88" s="1408"/>
      <c r="AB88" s="1399"/>
      <c r="AC88" s="1399"/>
      <c r="AD88" s="1399"/>
      <c r="AE88" s="1399"/>
    </row>
    <row r="89" spans="1:31">
      <c r="A89" s="1487"/>
      <c r="B89" s="1488"/>
      <c r="C89" s="1489"/>
      <c r="D89" s="1490"/>
      <c r="E89" s="1487"/>
      <c r="F89" s="1488"/>
      <c r="G89" s="1489"/>
      <c r="H89" s="1490"/>
      <c r="I89" s="1487"/>
      <c r="J89" s="1488"/>
      <c r="K89" s="1489"/>
      <c r="L89" s="1490"/>
      <c r="M89" s="1487"/>
      <c r="N89" s="1488"/>
      <c r="O89" s="1489"/>
      <c r="P89" s="1490"/>
      <c r="Q89" s="1399"/>
      <c r="X89" s="1445" t="e">
        <f ca="1"/>
        <v>#NAME?</v>
      </c>
      <c r="Y89" s="1446" t="e">
        <f ca="1"/>
        <v>#NAME?</v>
      </c>
      <c r="Z89" s="1408"/>
      <c r="AB89" s="1399"/>
      <c r="AC89" s="1399"/>
      <c r="AD89" s="1399"/>
      <c r="AE89" s="1399"/>
    </row>
    <row r="90" spans="1:31">
      <c r="A90" s="1487"/>
      <c r="B90" s="1488"/>
      <c r="C90" s="1489"/>
      <c r="D90" s="1490"/>
      <c r="E90" s="1487"/>
      <c r="F90" s="1488"/>
      <c r="G90" s="1489"/>
      <c r="H90" s="1490"/>
      <c r="I90" s="1487"/>
      <c r="J90" s="1488"/>
      <c r="K90" s="1489"/>
      <c r="L90" s="1490"/>
      <c r="M90" s="1487"/>
      <c r="N90" s="1488"/>
      <c r="O90" s="1489"/>
      <c r="P90" s="1490"/>
      <c r="Q90" s="1399"/>
      <c r="X90" s="1445" t="e">
        <f ca="1"/>
        <v>#NAME?</v>
      </c>
      <c r="Y90" s="1446" t="e">
        <f ca="1"/>
        <v>#NAME?</v>
      </c>
      <c r="Z90" s="1408"/>
      <c r="AB90" s="1399"/>
      <c r="AC90" s="1399"/>
      <c r="AD90" s="1399"/>
      <c r="AE90" s="1399"/>
    </row>
    <row r="91" spans="1:31">
      <c r="A91" s="1487"/>
      <c r="B91" s="1488"/>
      <c r="C91" s="1489"/>
      <c r="D91" s="1490"/>
      <c r="E91" s="1487"/>
      <c r="F91" s="1488"/>
      <c r="G91" s="1489"/>
      <c r="H91" s="1490"/>
      <c r="I91" s="1487"/>
      <c r="J91" s="1488"/>
      <c r="K91" s="1489"/>
      <c r="L91" s="1490"/>
      <c r="M91" s="1487"/>
      <c r="N91" s="1488"/>
      <c r="O91" s="1489"/>
      <c r="P91" s="1490"/>
      <c r="Q91" s="1399"/>
      <c r="X91" s="1445" t="e">
        <f ca="1"/>
        <v>#NAME?</v>
      </c>
      <c r="Y91" s="1446" t="e">
        <f ca="1"/>
        <v>#NAME?</v>
      </c>
      <c r="Z91" s="1408"/>
      <c r="AB91" s="1399"/>
      <c r="AC91" s="1399"/>
      <c r="AD91" s="1399"/>
      <c r="AE91" s="1399"/>
    </row>
    <row r="92" spans="1:31">
      <c r="A92" s="1487"/>
      <c r="B92" s="1488"/>
      <c r="C92" s="1489"/>
      <c r="D92" s="1490"/>
      <c r="E92" s="1487"/>
      <c r="F92" s="1488"/>
      <c r="G92" s="1489"/>
      <c r="H92" s="1490"/>
      <c r="I92" s="1487"/>
      <c r="J92" s="1488"/>
      <c r="K92" s="1489"/>
      <c r="L92" s="1490"/>
      <c r="M92" s="1487"/>
      <c r="N92" s="1488"/>
      <c r="O92" s="1489"/>
      <c r="P92" s="1490"/>
      <c r="Q92" s="1399"/>
      <c r="X92" s="1445" t="e">
        <f ca="1"/>
        <v>#NAME?</v>
      </c>
      <c r="Y92" s="1446" t="e">
        <f ca="1"/>
        <v>#NAME?</v>
      </c>
      <c r="Z92" s="1408"/>
      <c r="AB92" s="1399"/>
      <c r="AC92" s="1399"/>
      <c r="AD92" s="1399"/>
      <c r="AE92" s="1399"/>
    </row>
    <row r="93" spans="1:31">
      <c r="A93" s="1487"/>
      <c r="B93" s="1488"/>
      <c r="C93" s="1489"/>
      <c r="D93" s="1490"/>
      <c r="E93" s="1487"/>
      <c r="F93" s="1488"/>
      <c r="G93" s="1489"/>
      <c r="H93" s="1490"/>
      <c r="I93" s="1487"/>
      <c r="J93" s="1488"/>
      <c r="K93" s="1489"/>
      <c r="L93" s="1490"/>
      <c r="M93" s="1487"/>
      <c r="N93" s="1488"/>
      <c r="O93" s="1489"/>
      <c r="P93" s="1490"/>
      <c r="Q93" s="1399"/>
      <c r="X93" s="1445" t="e">
        <f ca="1"/>
        <v>#NAME?</v>
      </c>
      <c r="Y93" s="1446" t="e">
        <f ca="1"/>
        <v>#NAME?</v>
      </c>
      <c r="Z93" s="1408"/>
      <c r="AB93" s="1399"/>
      <c r="AC93" s="1399"/>
      <c r="AD93" s="1399"/>
      <c r="AE93" s="1399"/>
    </row>
    <row r="94" spans="1:31">
      <c r="A94" s="1487"/>
      <c r="B94" s="1488"/>
      <c r="C94" s="1489"/>
      <c r="D94" s="1490"/>
      <c r="E94" s="1487"/>
      <c r="F94" s="1488"/>
      <c r="G94" s="1489"/>
      <c r="H94" s="1490"/>
      <c r="I94" s="1487"/>
      <c r="J94" s="1488"/>
      <c r="K94" s="1489"/>
      <c r="L94" s="1490"/>
      <c r="M94" s="1487"/>
      <c r="N94" s="1488"/>
      <c r="O94" s="1489"/>
      <c r="P94" s="1490"/>
      <c r="Q94" s="1399"/>
      <c r="X94" s="1445" t="e">
        <f ca="1"/>
        <v>#NAME?</v>
      </c>
      <c r="Y94" s="1446" t="e">
        <f ca="1"/>
        <v>#NAME?</v>
      </c>
      <c r="Z94" s="1408"/>
      <c r="AB94" s="1399"/>
      <c r="AC94" s="1399"/>
      <c r="AD94" s="1399"/>
      <c r="AE94" s="1399"/>
    </row>
    <row r="95" spans="1:31">
      <c r="A95" s="1487"/>
      <c r="B95" s="1488"/>
      <c r="C95" s="1489"/>
      <c r="D95" s="1490"/>
      <c r="E95" s="1487"/>
      <c r="F95" s="1488"/>
      <c r="G95" s="1489"/>
      <c r="H95" s="1490"/>
      <c r="I95" s="1487"/>
      <c r="J95" s="1488"/>
      <c r="K95" s="1489"/>
      <c r="L95" s="1490"/>
      <c r="M95" s="1487"/>
      <c r="N95" s="1488"/>
      <c r="O95" s="1489"/>
      <c r="P95" s="1490"/>
      <c r="Q95" s="1399"/>
      <c r="X95" s="1445" t="e">
        <f ca="1"/>
        <v>#NAME?</v>
      </c>
      <c r="Y95" s="1446" t="e">
        <f ca="1"/>
        <v>#NAME?</v>
      </c>
      <c r="Z95" s="1408"/>
      <c r="AB95" s="1399"/>
      <c r="AC95" s="1399"/>
      <c r="AD95" s="1399"/>
      <c r="AE95" s="1399"/>
    </row>
    <row r="96" spans="1:31">
      <c r="A96" s="1487"/>
      <c r="B96" s="1488"/>
      <c r="C96" s="1489"/>
      <c r="D96" s="1490"/>
      <c r="E96" s="1487"/>
      <c r="F96" s="1488"/>
      <c r="G96" s="1489"/>
      <c r="H96" s="1490"/>
      <c r="I96" s="1487"/>
      <c r="J96" s="1488"/>
      <c r="K96" s="1489"/>
      <c r="L96" s="1490"/>
      <c r="M96" s="1487"/>
      <c r="N96" s="1488"/>
      <c r="O96" s="1489"/>
      <c r="P96" s="1490"/>
      <c r="Q96" s="1399"/>
      <c r="X96" s="1445" t="e">
        <f ca="1"/>
        <v>#NAME?</v>
      </c>
      <c r="Y96" s="1446" t="e">
        <f ca="1"/>
        <v>#NAME?</v>
      </c>
      <c r="Z96" s="1408"/>
      <c r="AB96" s="1399"/>
      <c r="AC96" s="1399"/>
      <c r="AD96" s="1399"/>
      <c r="AE96" s="1399"/>
    </row>
    <row r="97" spans="1:31">
      <c r="A97" s="1487"/>
      <c r="B97" s="1488"/>
      <c r="C97" s="1489"/>
      <c r="D97" s="1490"/>
      <c r="E97" s="1487"/>
      <c r="F97" s="1488"/>
      <c r="G97" s="1489"/>
      <c r="H97" s="1490"/>
      <c r="I97" s="1487"/>
      <c r="J97" s="1488"/>
      <c r="K97" s="1489"/>
      <c r="L97" s="1490"/>
      <c r="M97" s="1487"/>
      <c r="N97" s="1488"/>
      <c r="O97" s="1489"/>
      <c r="P97" s="1490"/>
      <c r="Q97" s="1399"/>
      <c r="X97" s="1445" t="e">
        <f ca="1"/>
        <v>#NAME?</v>
      </c>
      <c r="Y97" s="1446" t="e">
        <f ca="1"/>
        <v>#NAME?</v>
      </c>
      <c r="Z97" s="1408"/>
      <c r="AB97" s="1399"/>
      <c r="AC97" s="1399"/>
      <c r="AD97" s="1399"/>
      <c r="AE97" s="1399"/>
    </row>
    <row r="98" spans="1:31">
      <c r="A98" s="1487"/>
      <c r="B98" s="1488"/>
      <c r="C98" s="1489"/>
      <c r="D98" s="1490"/>
      <c r="E98" s="1487"/>
      <c r="F98" s="1488"/>
      <c r="G98" s="1489"/>
      <c r="H98" s="1490"/>
      <c r="I98" s="1487"/>
      <c r="J98" s="1488"/>
      <c r="K98" s="1489"/>
      <c r="L98" s="1490"/>
      <c r="M98" s="1487"/>
      <c r="N98" s="1488"/>
      <c r="O98" s="1489"/>
      <c r="P98" s="1490"/>
      <c r="Q98" s="1399"/>
      <c r="X98" s="1445" t="e">
        <f ca="1"/>
        <v>#NAME?</v>
      </c>
      <c r="Y98" s="1446" t="e">
        <f ca="1"/>
        <v>#NAME?</v>
      </c>
      <c r="Z98" s="1408"/>
      <c r="AB98" s="1399"/>
      <c r="AC98" s="1399"/>
      <c r="AD98" s="1399"/>
      <c r="AE98" s="1399"/>
    </row>
    <row r="99" spans="1:31">
      <c r="A99" s="1487"/>
      <c r="B99" s="1488"/>
      <c r="C99" s="1489"/>
      <c r="D99" s="1490"/>
      <c r="E99" s="1487"/>
      <c r="F99" s="1488"/>
      <c r="G99" s="1489"/>
      <c r="H99" s="1490"/>
      <c r="I99" s="1487"/>
      <c r="J99" s="1488"/>
      <c r="K99" s="1489"/>
      <c r="L99" s="1490"/>
      <c r="M99" s="1487"/>
      <c r="N99" s="1488"/>
      <c r="O99" s="1489"/>
      <c r="P99" s="1490"/>
      <c r="Q99" s="1399"/>
      <c r="X99" s="1445" t="e">
        <f ca="1"/>
        <v>#NAME?</v>
      </c>
      <c r="Y99" s="1446" t="e">
        <f ca="1"/>
        <v>#NAME?</v>
      </c>
      <c r="Z99" s="1408"/>
      <c r="AB99" s="1399"/>
      <c r="AC99" s="1399"/>
      <c r="AD99" s="1399"/>
      <c r="AE99" s="1399"/>
    </row>
    <row r="100" spans="1:31">
      <c r="A100" s="1487"/>
      <c r="B100" s="1488"/>
      <c r="C100" s="1489"/>
      <c r="D100" s="1490"/>
      <c r="E100" s="1487"/>
      <c r="F100" s="1488"/>
      <c r="G100" s="1489"/>
      <c r="H100" s="1490"/>
      <c r="I100" s="1487"/>
      <c r="J100" s="1488"/>
      <c r="K100" s="1489"/>
      <c r="L100" s="1490"/>
      <c r="M100" s="1487"/>
      <c r="N100" s="1488"/>
      <c r="O100" s="1489"/>
      <c r="P100" s="1490"/>
      <c r="Q100" s="1399"/>
      <c r="X100" s="1445" t="e">
        <f ca="1"/>
        <v>#NAME?</v>
      </c>
      <c r="Y100" s="1446" t="e">
        <f ca="1"/>
        <v>#NAME?</v>
      </c>
      <c r="Z100" s="1408"/>
      <c r="AB100" s="1399"/>
      <c r="AC100" s="1399"/>
      <c r="AD100" s="1399"/>
      <c r="AE100" s="1399"/>
    </row>
    <row r="101" spans="1:31">
      <c r="A101" s="1487"/>
      <c r="B101" s="1488"/>
      <c r="C101" s="1489"/>
      <c r="D101" s="1490"/>
      <c r="E101" s="1487"/>
      <c r="F101" s="1488"/>
      <c r="G101" s="1489"/>
      <c r="H101" s="1490"/>
      <c r="I101" s="1487"/>
      <c r="J101" s="1488"/>
      <c r="K101" s="1489"/>
      <c r="L101" s="1490"/>
      <c r="M101" s="1487"/>
      <c r="N101" s="1488"/>
      <c r="O101" s="1489"/>
      <c r="P101" s="1490"/>
      <c r="Q101" s="1399"/>
      <c r="X101" s="1445" t="e">
        <f ca="1"/>
        <v>#NAME?</v>
      </c>
      <c r="Y101" s="1446" t="e">
        <f ca="1"/>
        <v>#NAME?</v>
      </c>
      <c r="Z101" s="1408"/>
      <c r="AB101" s="1399"/>
      <c r="AC101" s="1399"/>
      <c r="AD101" s="1399"/>
      <c r="AE101" s="1399"/>
    </row>
    <row r="102" spans="1:31">
      <c r="A102" s="1487"/>
      <c r="B102" s="1488"/>
      <c r="C102" s="1489"/>
      <c r="D102" s="1490"/>
      <c r="E102" s="1487"/>
      <c r="F102" s="1488"/>
      <c r="G102" s="1489"/>
      <c r="H102" s="1490"/>
      <c r="I102" s="1487"/>
      <c r="J102" s="1488"/>
      <c r="K102" s="1489"/>
      <c r="L102" s="1490"/>
      <c r="M102" s="1487"/>
      <c r="N102" s="1488"/>
      <c r="O102" s="1489"/>
      <c r="P102" s="1490"/>
      <c r="Q102" s="1399"/>
      <c r="X102" s="1445" t="e">
        <f ca="1"/>
        <v>#NAME?</v>
      </c>
      <c r="Y102" s="1446" t="e">
        <f ca="1"/>
        <v>#NAME?</v>
      </c>
      <c r="Z102" s="1408"/>
      <c r="AB102" s="1399"/>
      <c r="AC102" s="1399"/>
      <c r="AD102" s="1399"/>
      <c r="AE102" s="1399"/>
    </row>
    <row r="103" spans="1:31">
      <c r="A103" s="1487"/>
      <c r="B103" s="1488"/>
      <c r="C103" s="1489"/>
      <c r="D103" s="1490"/>
      <c r="E103" s="1487"/>
      <c r="F103" s="1488"/>
      <c r="G103" s="1489"/>
      <c r="H103" s="1490"/>
      <c r="I103" s="1487"/>
      <c r="J103" s="1488"/>
      <c r="K103" s="1489"/>
      <c r="L103" s="1490"/>
      <c r="M103" s="1487"/>
      <c r="N103" s="1488"/>
      <c r="O103" s="1489"/>
      <c r="P103" s="1490"/>
      <c r="Q103" s="1399"/>
      <c r="X103" s="1445" t="e">
        <f ca="1"/>
        <v>#NAME?</v>
      </c>
      <c r="Y103" s="1446" t="e">
        <f ca="1"/>
        <v>#NAME?</v>
      </c>
      <c r="Z103" s="1408"/>
      <c r="AB103" s="1399"/>
      <c r="AC103" s="1399"/>
      <c r="AD103" s="1399"/>
      <c r="AE103" s="1399"/>
    </row>
    <row r="104" spans="1:31">
      <c r="A104" s="1487"/>
      <c r="B104" s="1488"/>
      <c r="C104" s="1489"/>
      <c r="D104" s="1490"/>
      <c r="E104" s="1487"/>
      <c r="F104" s="1488"/>
      <c r="G104" s="1489"/>
      <c r="H104" s="1490"/>
      <c r="I104" s="1487"/>
      <c r="J104" s="1488"/>
      <c r="K104" s="1489"/>
      <c r="L104" s="1490"/>
      <c r="M104" s="1487"/>
      <c r="N104" s="1488"/>
      <c r="O104" s="1489"/>
      <c r="P104" s="1490"/>
      <c r="Q104" s="1399"/>
      <c r="X104" s="1445" t="e">
        <f ca="1"/>
        <v>#NAME?</v>
      </c>
      <c r="Y104" s="1446" t="e">
        <f ca="1"/>
        <v>#NAME?</v>
      </c>
      <c r="Z104" s="1408"/>
      <c r="AB104" s="1399"/>
      <c r="AC104" s="1399"/>
      <c r="AD104" s="1399"/>
      <c r="AE104" s="1399"/>
    </row>
    <row r="105" spans="1:31">
      <c r="A105" s="1487"/>
      <c r="B105" s="1488"/>
      <c r="C105" s="1489"/>
      <c r="D105" s="1490"/>
      <c r="E105" s="1487"/>
      <c r="F105" s="1488"/>
      <c r="G105" s="1489"/>
      <c r="H105" s="1490"/>
      <c r="I105" s="1487"/>
      <c r="J105" s="1488"/>
      <c r="K105" s="1489"/>
      <c r="L105" s="1490"/>
      <c r="M105" s="1487"/>
      <c r="N105" s="1488"/>
      <c r="O105" s="1489"/>
      <c r="P105" s="1490"/>
      <c r="Q105" s="1399"/>
      <c r="X105" s="1445" t="e">
        <f ca="1"/>
        <v>#NAME?</v>
      </c>
      <c r="Y105" s="1446" t="e">
        <f ca="1"/>
        <v>#NAME?</v>
      </c>
      <c r="Z105" s="1408"/>
      <c r="AB105" s="1399"/>
      <c r="AC105" s="1399"/>
      <c r="AD105" s="1399"/>
      <c r="AE105" s="1399"/>
    </row>
    <row r="106" spans="1:31">
      <c r="A106" s="1487"/>
      <c r="B106" s="1488"/>
      <c r="C106" s="1489"/>
      <c r="D106" s="1490"/>
      <c r="E106" s="1487"/>
      <c r="F106" s="1488"/>
      <c r="G106" s="1489"/>
      <c r="H106" s="1490"/>
      <c r="I106" s="1487"/>
      <c r="J106" s="1488"/>
      <c r="K106" s="1489"/>
      <c r="L106" s="1490"/>
      <c r="M106" s="1487"/>
      <c r="N106" s="1488"/>
      <c r="O106" s="1489"/>
      <c r="P106" s="1490"/>
      <c r="Q106" s="1399"/>
      <c r="X106" s="1445" t="e">
        <f ca="1"/>
        <v>#NAME?</v>
      </c>
      <c r="Y106" s="1446" t="e">
        <f ca="1"/>
        <v>#NAME?</v>
      </c>
      <c r="Z106" s="1408"/>
      <c r="AB106" s="1399"/>
      <c r="AC106" s="1399"/>
      <c r="AD106" s="1399"/>
      <c r="AE106" s="1399"/>
    </row>
    <row r="107" spans="1:31">
      <c r="A107" s="1487"/>
      <c r="B107" s="1488"/>
      <c r="C107" s="1489"/>
      <c r="D107" s="1490"/>
      <c r="E107" s="1487"/>
      <c r="F107" s="1488"/>
      <c r="G107" s="1489"/>
      <c r="H107" s="1490"/>
      <c r="I107" s="1487"/>
      <c r="J107" s="1488"/>
      <c r="K107" s="1489"/>
      <c r="L107" s="1490"/>
      <c r="M107" s="1487"/>
      <c r="N107" s="1488"/>
      <c r="O107" s="1489"/>
      <c r="P107" s="1490"/>
      <c r="Q107" s="1399"/>
      <c r="X107" s="1445" t="e">
        <f ca="1"/>
        <v>#NAME?</v>
      </c>
      <c r="Y107" s="1446" t="e">
        <f ca="1"/>
        <v>#NAME?</v>
      </c>
      <c r="Z107" s="1408"/>
      <c r="AB107" s="1399"/>
      <c r="AC107" s="1399"/>
      <c r="AD107" s="1399"/>
      <c r="AE107" s="1399"/>
    </row>
    <row r="108" spans="1:31">
      <c r="A108" s="1487"/>
      <c r="B108" s="1488"/>
      <c r="C108" s="1489"/>
      <c r="D108" s="1490"/>
      <c r="E108" s="1487"/>
      <c r="F108" s="1488"/>
      <c r="G108" s="1489"/>
      <c r="H108" s="1490"/>
      <c r="I108" s="1487"/>
      <c r="J108" s="1488"/>
      <c r="K108" s="1489"/>
      <c r="L108" s="1490"/>
      <c r="M108" s="1487"/>
      <c r="N108" s="1488"/>
      <c r="O108" s="1489"/>
      <c r="P108" s="1490"/>
      <c r="Q108" s="1399"/>
      <c r="X108" s="1445" t="e">
        <f ca="1"/>
        <v>#NAME?</v>
      </c>
      <c r="Y108" s="1446" t="e">
        <f ca="1"/>
        <v>#NAME?</v>
      </c>
      <c r="Z108" s="1408"/>
      <c r="AB108" s="1399"/>
      <c r="AC108" s="1399"/>
      <c r="AD108" s="1399"/>
      <c r="AE108" s="1399"/>
    </row>
    <row r="109" spans="1:31">
      <c r="A109" s="1487"/>
      <c r="B109" s="1488"/>
      <c r="C109" s="1489"/>
      <c r="D109" s="1490"/>
      <c r="E109" s="1487"/>
      <c r="F109" s="1488"/>
      <c r="G109" s="1489"/>
      <c r="H109" s="1490"/>
      <c r="I109" s="1487"/>
      <c r="J109" s="1488"/>
      <c r="K109" s="1489"/>
      <c r="L109" s="1490"/>
      <c r="M109" s="1487"/>
      <c r="N109" s="1488"/>
      <c r="O109" s="1489"/>
      <c r="P109" s="1490"/>
      <c r="Q109" s="1399"/>
      <c r="X109" s="1445" t="e">
        <f ca="1"/>
        <v>#NAME?</v>
      </c>
      <c r="Y109" s="1446" t="e">
        <f ca="1"/>
        <v>#NAME?</v>
      </c>
      <c r="Z109" s="1408"/>
      <c r="AB109" s="1399"/>
      <c r="AC109" s="1399"/>
      <c r="AD109" s="1399"/>
      <c r="AE109" s="1399"/>
    </row>
    <row r="110" spans="1:31">
      <c r="A110" s="1487"/>
      <c r="B110" s="1488"/>
      <c r="C110" s="1489"/>
      <c r="D110" s="1490"/>
      <c r="E110" s="1487"/>
      <c r="F110" s="1488"/>
      <c r="G110" s="1489"/>
      <c r="H110" s="1490"/>
      <c r="I110" s="1487"/>
      <c r="J110" s="1488"/>
      <c r="K110" s="1489"/>
      <c r="L110" s="1490"/>
      <c r="M110" s="1487"/>
      <c r="N110" s="1488"/>
      <c r="O110" s="1489"/>
      <c r="P110" s="1490"/>
      <c r="Q110" s="1399"/>
      <c r="X110" s="1445" t="e">
        <f ca="1"/>
        <v>#NAME?</v>
      </c>
      <c r="Y110" s="1446" t="e">
        <f ca="1"/>
        <v>#NAME?</v>
      </c>
      <c r="Z110" s="1408"/>
      <c r="AB110" s="1399"/>
      <c r="AC110" s="1399"/>
      <c r="AD110" s="1399"/>
      <c r="AE110" s="1399"/>
    </row>
    <row r="111" spans="1:31">
      <c r="A111" s="1487"/>
      <c r="B111" s="1488"/>
      <c r="C111" s="1489"/>
      <c r="D111" s="1490"/>
      <c r="E111" s="1487"/>
      <c r="F111" s="1488"/>
      <c r="G111" s="1489"/>
      <c r="H111" s="1490"/>
      <c r="I111" s="1487"/>
      <c r="J111" s="1488"/>
      <c r="K111" s="1489"/>
      <c r="L111" s="1490"/>
      <c r="M111" s="1487"/>
      <c r="N111" s="1488"/>
      <c r="O111" s="1489"/>
      <c r="P111" s="1490"/>
      <c r="Q111" s="1399"/>
      <c r="X111" s="1445" t="e">
        <f ca="1"/>
        <v>#NAME?</v>
      </c>
      <c r="Y111" s="1446" t="e">
        <f ca="1"/>
        <v>#NAME?</v>
      </c>
      <c r="Z111" s="1408"/>
      <c r="AB111" s="1399"/>
      <c r="AC111" s="1399"/>
      <c r="AD111" s="1399"/>
      <c r="AE111" s="1399"/>
    </row>
    <row r="112" spans="1:31">
      <c r="A112" s="1487"/>
      <c r="B112" s="1488"/>
      <c r="C112" s="1489"/>
      <c r="D112" s="1490"/>
      <c r="E112" s="1487"/>
      <c r="F112" s="1488"/>
      <c r="G112" s="1489"/>
      <c r="H112" s="1490"/>
      <c r="I112" s="1487"/>
      <c r="J112" s="1488"/>
      <c r="K112" s="1489"/>
      <c r="L112" s="1490"/>
      <c r="M112" s="1487"/>
      <c r="N112" s="1488"/>
      <c r="O112" s="1489"/>
      <c r="P112" s="1490"/>
      <c r="Q112" s="1399"/>
      <c r="X112" s="1445" t="e">
        <f ca="1"/>
        <v>#NAME?</v>
      </c>
      <c r="Y112" s="1446" t="e">
        <f ca="1"/>
        <v>#NAME?</v>
      </c>
      <c r="Z112" s="1408"/>
      <c r="AB112" s="1399"/>
      <c r="AC112" s="1399"/>
      <c r="AD112" s="1399"/>
      <c r="AE112" s="1399"/>
    </row>
    <row r="113" spans="1:31">
      <c r="A113" s="1487"/>
      <c r="B113" s="1488"/>
      <c r="C113" s="1489"/>
      <c r="D113" s="1490"/>
      <c r="E113" s="1487"/>
      <c r="F113" s="1488"/>
      <c r="G113" s="1489"/>
      <c r="H113" s="1490"/>
      <c r="I113" s="1487"/>
      <c r="J113" s="1488"/>
      <c r="K113" s="1489"/>
      <c r="L113" s="1490"/>
      <c r="M113" s="1487"/>
      <c r="N113" s="1488"/>
      <c r="O113" s="1489"/>
      <c r="P113" s="1490"/>
      <c r="Q113" s="1399"/>
      <c r="X113" s="1445" t="e">
        <f ca="1"/>
        <v>#NAME?</v>
      </c>
      <c r="Y113" s="1446" t="e">
        <f ca="1"/>
        <v>#NAME?</v>
      </c>
      <c r="Z113" s="1408"/>
      <c r="AB113" s="1399"/>
      <c r="AC113" s="1399"/>
      <c r="AD113" s="1399"/>
      <c r="AE113" s="1399"/>
    </row>
    <row r="114" spans="1:31">
      <c r="A114" s="1487"/>
      <c r="B114" s="1488"/>
      <c r="C114" s="1489"/>
      <c r="D114" s="1490"/>
      <c r="E114" s="1487"/>
      <c r="F114" s="1488"/>
      <c r="G114" s="1489"/>
      <c r="H114" s="1490"/>
      <c r="I114" s="1487"/>
      <c r="J114" s="1488"/>
      <c r="K114" s="1489"/>
      <c r="L114" s="1490"/>
      <c r="M114" s="1487"/>
      <c r="N114" s="1488"/>
      <c r="O114" s="1489"/>
      <c r="P114" s="1490"/>
      <c r="Q114" s="1399"/>
      <c r="X114" s="1445" t="e">
        <f ca="1"/>
        <v>#NAME?</v>
      </c>
      <c r="Y114" s="1446" t="e">
        <f ca="1"/>
        <v>#NAME?</v>
      </c>
      <c r="Z114" s="1408"/>
      <c r="AB114" s="1399"/>
      <c r="AC114" s="1399"/>
      <c r="AD114" s="1399"/>
      <c r="AE114" s="1399"/>
    </row>
    <row r="115" spans="1:31">
      <c r="A115" s="1487"/>
      <c r="B115" s="1488"/>
      <c r="C115" s="1489"/>
      <c r="D115" s="1490"/>
      <c r="E115" s="1487"/>
      <c r="F115" s="1488"/>
      <c r="G115" s="1489"/>
      <c r="H115" s="1490"/>
      <c r="I115" s="1487"/>
      <c r="J115" s="1488"/>
      <c r="K115" s="1489"/>
      <c r="L115" s="1490"/>
      <c r="M115" s="1487"/>
      <c r="N115" s="1488"/>
      <c r="O115" s="1489"/>
      <c r="P115" s="1490"/>
      <c r="Q115" s="1399"/>
      <c r="X115" s="1445" t="e">
        <f ca="1"/>
        <v>#NAME?</v>
      </c>
      <c r="Y115" s="1446" t="e">
        <f ca="1"/>
        <v>#NAME?</v>
      </c>
      <c r="Z115" s="1408"/>
      <c r="AB115" s="1399"/>
      <c r="AC115" s="1399"/>
      <c r="AD115" s="1399"/>
      <c r="AE115" s="1399"/>
    </row>
    <row r="116" spans="1:31">
      <c r="A116" s="1487"/>
      <c r="B116" s="1488"/>
      <c r="C116" s="1489"/>
      <c r="D116" s="1490"/>
      <c r="E116" s="1487"/>
      <c r="F116" s="1488"/>
      <c r="G116" s="1489"/>
      <c r="H116" s="1490"/>
      <c r="I116" s="1487"/>
      <c r="J116" s="1488"/>
      <c r="K116" s="1489"/>
      <c r="L116" s="1490"/>
      <c r="M116" s="1487"/>
      <c r="N116" s="1488"/>
      <c r="O116" s="1489"/>
      <c r="P116" s="1490"/>
      <c r="Q116" s="1399"/>
      <c r="X116" s="1445" t="e">
        <f ca="1"/>
        <v>#NAME?</v>
      </c>
      <c r="Y116" s="1446" t="e">
        <f ca="1"/>
        <v>#NAME?</v>
      </c>
      <c r="Z116" s="1408"/>
      <c r="AB116" s="1399"/>
      <c r="AC116" s="1399"/>
      <c r="AD116" s="1399"/>
      <c r="AE116" s="1399"/>
    </row>
    <row r="117" spans="1:31">
      <c r="A117" s="1487"/>
      <c r="B117" s="1488"/>
      <c r="C117" s="1489"/>
      <c r="D117" s="1490"/>
      <c r="E117" s="1487"/>
      <c r="F117" s="1488"/>
      <c r="G117" s="1489"/>
      <c r="H117" s="1490"/>
      <c r="I117" s="1487"/>
      <c r="J117" s="1488"/>
      <c r="K117" s="1489"/>
      <c r="L117" s="1490"/>
      <c r="M117" s="1487"/>
      <c r="N117" s="1488"/>
      <c r="O117" s="1489"/>
      <c r="P117" s="1490"/>
      <c r="Q117" s="1399"/>
      <c r="X117" s="1445" t="e">
        <f ca="1"/>
        <v>#NAME?</v>
      </c>
      <c r="Y117" s="1446" t="e">
        <f ca="1"/>
        <v>#NAME?</v>
      </c>
      <c r="Z117" s="1408"/>
      <c r="AB117" s="1399"/>
      <c r="AC117" s="1399"/>
      <c r="AD117" s="1399"/>
      <c r="AE117" s="1399"/>
    </row>
    <row r="118" spans="1:31">
      <c r="A118" s="1487"/>
      <c r="B118" s="1488"/>
      <c r="C118" s="1489"/>
      <c r="D118" s="1490"/>
      <c r="E118" s="1487"/>
      <c r="F118" s="1488"/>
      <c r="G118" s="1489"/>
      <c r="H118" s="1490"/>
      <c r="I118" s="1487"/>
      <c r="J118" s="1488"/>
      <c r="K118" s="1489"/>
      <c r="L118" s="1490"/>
      <c r="M118" s="1487"/>
      <c r="N118" s="1488"/>
      <c r="O118" s="1489"/>
      <c r="P118" s="1490"/>
      <c r="Q118" s="1399"/>
      <c r="X118" s="1445" t="e">
        <f ca="1"/>
        <v>#NAME?</v>
      </c>
      <c r="Y118" s="1446" t="e">
        <f ca="1"/>
        <v>#NAME?</v>
      </c>
      <c r="Z118" s="1408"/>
      <c r="AB118" s="1399"/>
      <c r="AC118" s="1399"/>
      <c r="AD118" s="1399"/>
      <c r="AE118" s="1399"/>
    </row>
    <row r="119" spans="1:31">
      <c r="A119" s="1487"/>
      <c r="B119" s="1488"/>
      <c r="C119" s="1489"/>
      <c r="D119" s="1490"/>
      <c r="E119" s="1487"/>
      <c r="F119" s="1488"/>
      <c r="G119" s="1489"/>
      <c r="H119" s="1490"/>
      <c r="I119" s="1487"/>
      <c r="J119" s="1488"/>
      <c r="K119" s="1489"/>
      <c r="L119" s="1490"/>
      <c r="M119" s="1487"/>
      <c r="N119" s="1488"/>
      <c r="O119" s="1489"/>
      <c r="P119" s="1490"/>
      <c r="Q119" s="1399"/>
      <c r="X119" s="1445" t="e">
        <f ca="1"/>
        <v>#NAME?</v>
      </c>
      <c r="Y119" s="1446" t="e">
        <f ca="1"/>
        <v>#NAME?</v>
      </c>
      <c r="Z119" s="1408"/>
      <c r="AB119" s="1399"/>
      <c r="AC119" s="1399"/>
      <c r="AD119" s="1399"/>
      <c r="AE119" s="1399"/>
    </row>
    <row r="120" spans="1:31">
      <c r="A120" s="1487"/>
      <c r="B120" s="1488"/>
      <c r="C120" s="1489"/>
      <c r="D120" s="1490"/>
      <c r="E120" s="1487"/>
      <c r="F120" s="1488"/>
      <c r="G120" s="1489"/>
      <c r="H120" s="1490"/>
      <c r="I120" s="1487"/>
      <c r="J120" s="1488"/>
      <c r="K120" s="1489"/>
      <c r="L120" s="1490"/>
      <c r="M120" s="1487"/>
      <c r="N120" s="1488"/>
      <c r="O120" s="1489"/>
      <c r="P120" s="1490"/>
      <c r="Q120" s="1399"/>
      <c r="X120" s="1445" t="e">
        <f ca="1"/>
        <v>#NAME?</v>
      </c>
      <c r="Y120" s="1446" t="e">
        <f ca="1"/>
        <v>#NAME?</v>
      </c>
      <c r="Z120" s="1408"/>
      <c r="AB120" s="1399"/>
      <c r="AC120" s="1399"/>
      <c r="AD120" s="1399"/>
      <c r="AE120" s="1399"/>
    </row>
    <row r="121" spans="1:31">
      <c r="A121" s="1487"/>
      <c r="B121" s="1488"/>
      <c r="C121" s="1489"/>
      <c r="D121" s="1490"/>
      <c r="E121" s="1487"/>
      <c r="F121" s="1488"/>
      <c r="G121" s="1489"/>
      <c r="H121" s="1490"/>
      <c r="I121" s="1487"/>
      <c r="J121" s="1488"/>
      <c r="K121" s="1489"/>
      <c r="L121" s="1490"/>
      <c r="M121" s="1487"/>
      <c r="N121" s="1488"/>
      <c r="O121" s="1489"/>
      <c r="P121" s="1490"/>
      <c r="Q121" s="1399"/>
      <c r="X121" s="1445" t="e">
        <f ca="1"/>
        <v>#NAME?</v>
      </c>
      <c r="Y121" s="1446" t="e">
        <f ca="1"/>
        <v>#NAME?</v>
      </c>
      <c r="Z121" s="1408"/>
      <c r="AB121" s="1399"/>
      <c r="AC121" s="1399"/>
      <c r="AD121" s="1399"/>
      <c r="AE121" s="1399"/>
    </row>
    <row r="122" spans="1:31">
      <c r="A122" s="1487"/>
      <c r="B122" s="1488"/>
      <c r="C122" s="1489"/>
      <c r="D122" s="1490"/>
      <c r="E122" s="1487"/>
      <c r="F122" s="1488"/>
      <c r="G122" s="1489"/>
      <c r="H122" s="1490"/>
      <c r="I122" s="1487"/>
      <c r="J122" s="1488"/>
      <c r="K122" s="1489"/>
      <c r="L122" s="1490"/>
      <c r="M122" s="1487"/>
      <c r="N122" s="1488"/>
      <c r="O122" s="1489"/>
      <c r="P122" s="1490"/>
      <c r="Q122" s="1399"/>
      <c r="X122" s="1445" t="e">
        <f ca="1"/>
        <v>#NAME?</v>
      </c>
      <c r="Y122" s="1446" t="e">
        <f ca="1"/>
        <v>#NAME?</v>
      </c>
      <c r="Z122" s="1408"/>
      <c r="AB122" s="1399"/>
      <c r="AC122" s="1399"/>
      <c r="AD122" s="1399"/>
      <c r="AE122" s="1399"/>
    </row>
    <row r="123" spans="1:31">
      <c r="A123" s="1487"/>
      <c r="B123" s="1488"/>
      <c r="C123" s="1489"/>
      <c r="D123" s="1490"/>
      <c r="E123" s="1487"/>
      <c r="F123" s="1488"/>
      <c r="G123" s="1489"/>
      <c r="H123" s="1490"/>
      <c r="I123" s="1487"/>
      <c r="J123" s="1488"/>
      <c r="K123" s="1489"/>
      <c r="L123" s="1490"/>
      <c r="M123" s="1487"/>
      <c r="N123" s="1488"/>
      <c r="O123" s="1489"/>
      <c r="P123" s="1490"/>
      <c r="Q123" s="1399"/>
      <c r="X123" s="1445" t="e">
        <f ca="1"/>
        <v>#NAME?</v>
      </c>
      <c r="Y123" s="1446" t="e">
        <f ca="1"/>
        <v>#NAME?</v>
      </c>
      <c r="Z123" s="1408"/>
      <c r="AB123" s="1399"/>
      <c r="AC123" s="1399"/>
      <c r="AD123" s="1399"/>
      <c r="AE123" s="1399"/>
    </row>
    <row r="124" spans="1:31">
      <c r="A124" s="1487"/>
      <c r="B124" s="1488"/>
      <c r="C124" s="1489"/>
      <c r="D124" s="1490"/>
      <c r="E124" s="1487"/>
      <c r="F124" s="1488"/>
      <c r="G124" s="1489"/>
      <c r="H124" s="1490"/>
      <c r="I124" s="1487"/>
      <c r="J124" s="1488"/>
      <c r="K124" s="1489"/>
      <c r="L124" s="1490"/>
      <c r="M124" s="1487"/>
      <c r="N124" s="1488"/>
      <c r="O124" s="1489"/>
      <c r="P124" s="1490"/>
      <c r="Q124" s="1399"/>
      <c r="X124" s="1445" t="e">
        <f ca="1"/>
        <v>#NAME?</v>
      </c>
      <c r="Y124" s="1446" t="e">
        <f ca="1"/>
        <v>#NAME?</v>
      </c>
      <c r="Z124" s="1408"/>
      <c r="AB124" s="1399"/>
      <c r="AC124" s="1399"/>
      <c r="AD124" s="1399"/>
      <c r="AE124" s="1399"/>
    </row>
    <row r="125" spans="1:31">
      <c r="A125" s="1487"/>
      <c r="B125" s="1488"/>
      <c r="C125" s="1489"/>
      <c r="D125" s="1490"/>
      <c r="E125" s="1487"/>
      <c r="F125" s="1488"/>
      <c r="G125" s="1489"/>
      <c r="H125" s="1490"/>
      <c r="I125" s="1487"/>
      <c r="J125" s="1488"/>
      <c r="K125" s="1489"/>
      <c r="L125" s="1490"/>
      <c r="M125" s="1487"/>
      <c r="N125" s="1488"/>
      <c r="O125" s="1489"/>
      <c r="P125" s="1490"/>
      <c r="Q125" s="1399"/>
      <c r="X125" s="1445" t="e">
        <f ca="1"/>
        <v>#NAME?</v>
      </c>
      <c r="Y125" s="1446" t="e">
        <f ca="1"/>
        <v>#NAME?</v>
      </c>
      <c r="Z125" s="1408"/>
      <c r="AB125" s="1399"/>
      <c r="AC125" s="1399"/>
      <c r="AD125" s="1399"/>
      <c r="AE125" s="1399"/>
    </row>
    <row r="126" spans="1:31">
      <c r="A126" s="1487"/>
      <c r="B126" s="1488"/>
      <c r="C126" s="1489"/>
      <c r="D126" s="1490"/>
      <c r="E126" s="1487"/>
      <c r="F126" s="1488"/>
      <c r="G126" s="1489"/>
      <c r="H126" s="1490"/>
      <c r="I126" s="1487"/>
      <c r="J126" s="1488"/>
      <c r="K126" s="1489"/>
      <c r="L126" s="1490"/>
      <c r="M126" s="1487"/>
      <c r="N126" s="1488"/>
      <c r="O126" s="1489"/>
      <c r="P126" s="1490"/>
      <c r="Q126" s="1399"/>
      <c r="X126" s="1445" t="e">
        <f ca="1"/>
        <v>#NAME?</v>
      </c>
      <c r="Y126" s="1446" t="e">
        <f ca="1"/>
        <v>#NAME?</v>
      </c>
      <c r="Z126" s="1408"/>
      <c r="AB126" s="1399"/>
      <c r="AC126" s="1399"/>
      <c r="AD126" s="1399"/>
      <c r="AE126" s="1399"/>
    </row>
    <row r="127" spans="1:31">
      <c r="A127" s="1487"/>
      <c r="B127" s="1488"/>
      <c r="C127" s="1489"/>
      <c r="D127" s="1490"/>
      <c r="E127" s="1487"/>
      <c r="F127" s="1488"/>
      <c r="G127" s="1489"/>
      <c r="H127" s="1490"/>
      <c r="I127" s="1487"/>
      <c r="J127" s="1488"/>
      <c r="K127" s="1489"/>
      <c r="L127" s="1490"/>
      <c r="M127" s="1487"/>
      <c r="N127" s="1488"/>
      <c r="O127" s="1489"/>
      <c r="P127" s="1490"/>
      <c r="Q127" s="1399"/>
      <c r="X127" s="1445" t="e">
        <f ca="1"/>
        <v>#NAME?</v>
      </c>
      <c r="Y127" s="1446" t="e">
        <f ca="1"/>
        <v>#NAME?</v>
      </c>
      <c r="Z127" s="1408"/>
      <c r="AB127" s="1399"/>
      <c r="AC127" s="1399"/>
      <c r="AD127" s="1399"/>
      <c r="AE127" s="1399"/>
    </row>
    <row r="128" spans="1:31">
      <c r="A128" s="1487"/>
      <c r="B128" s="1488"/>
      <c r="C128" s="1489"/>
      <c r="D128" s="1490"/>
      <c r="E128" s="1487"/>
      <c r="F128" s="1488"/>
      <c r="G128" s="1489"/>
      <c r="H128" s="1490"/>
      <c r="I128" s="1487"/>
      <c r="J128" s="1488"/>
      <c r="K128" s="1489"/>
      <c r="L128" s="1490"/>
      <c r="M128" s="1487"/>
      <c r="N128" s="1488"/>
      <c r="O128" s="1489"/>
      <c r="P128" s="1490"/>
      <c r="Q128" s="1399"/>
      <c r="X128" s="1445" t="e">
        <f ca="1"/>
        <v>#NAME?</v>
      </c>
      <c r="Y128" s="1446" t="e">
        <f ca="1"/>
        <v>#NAME?</v>
      </c>
      <c r="Z128" s="1408"/>
      <c r="AB128" s="1399"/>
      <c r="AC128" s="1399"/>
      <c r="AD128" s="1399"/>
      <c r="AE128" s="1399"/>
    </row>
    <row r="129" spans="1:31">
      <c r="A129" s="1487"/>
      <c r="B129" s="1488"/>
      <c r="C129" s="1489"/>
      <c r="D129" s="1490"/>
      <c r="E129" s="1487"/>
      <c r="F129" s="1488"/>
      <c r="G129" s="1489"/>
      <c r="H129" s="1490"/>
      <c r="I129" s="1487"/>
      <c r="J129" s="1488"/>
      <c r="K129" s="1489"/>
      <c r="L129" s="1490"/>
      <c r="M129" s="1487"/>
      <c r="N129" s="1488"/>
      <c r="O129" s="1489"/>
      <c r="P129" s="1490"/>
      <c r="Q129" s="1399"/>
      <c r="X129" s="1445" t="e">
        <f ca="1"/>
        <v>#NAME?</v>
      </c>
      <c r="Y129" s="1446" t="e">
        <f ca="1"/>
        <v>#NAME?</v>
      </c>
      <c r="Z129" s="1408"/>
      <c r="AB129" s="1399"/>
      <c r="AC129" s="1399"/>
      <c r="AD129" s="1399"/>
      <c r="AE129" s="1399"/>
    </row>
    <row r="130" spans="1:31">
      <c r="A130" s="1487"/>
      <c r="B130" s="1488"/>
      <c r="C130" s="1489"/>
      <c r="D130" s="1490"/>
      <c r="E130" s="1487"/>
      <c r="F130" s="1488"/>
      <c r="G130" s="1489"/>
      <c r="H130" s="1490"/>
      <c r="I130" s="1487"/>
      <c r="J130" s="1488"/>
      <c r="K130" s="1489"/>
      <c r="L130" s="1490"/>
      <c r="M130" s="1487"/>
      <c r="N130" s="1488"/>
      <c r="O130" s="1489"/>
      <c r="P130" s="1490"/>
      <c r="Q130" s="1399"/>
      <c r="X130" s="1445" t="e">
        <f ca="1"/>
        <v>#NAME?</v>
      </c>
      <c r="Y130" s="1446" t="e">
        <f ca="1"/>
        <v>#NAME?</v>
      </c>
      <c r="Z130" s="1408"/>
      <c r="AB130" s="1399"/>
      <c r="AC130" s="1399"/>
      <c r="AD130" s="1399"/>
      <c r="AE130" s="1399"/>
    </row>
    <row r="131" spans="1:31">
      <c r="A131" s="1487"/>
      <c r="B131" s="1488"/>
      <c r="C131" s="1489"/>
      <c r="D131" s="1490"/>
      <c r="E131" s="1487"/>
      <c r="F131" s="1488"/>
      <c r="G131" s="1489"/>
      <c r="H131" s="1490"/>
      <c r="I131" s="1487"/>
      <c r="J131" s="1488"/>
      <c r="K131" s="1489"/>
      <c r="L131" s="1490"/>
      <c r="M131" s="1487"/>
      <c r="N131" s="1488"/>
      <c r="O131" s="1489"/>
      <c r="P131" s="1490"/>
      <c r="Q131" s="1399"/>
      <c r="X131" s="1445" t="e">
        <f ca="1"/>
        <v>#NAME?</v>
      </c>
      <c r="Y131" s="1446" t="e">
        <f ca="1"/>
        <v>#NAME?</v>
      </c>
      <c r="Z131" s="1408"/>
      <c r="AB131" s="1399"/>
      <c r="AC131" s="1399"/>
      <c r="AD131" s="1399"/>
      <c r="AE131" s="1399"/>
    </row>
    <row r="132" spans="1:31">
      <c r="A132" s="1487"/>
      <c r="B132" s="1488"/>
      <c r="C132" s="1489"/>
      <c r="D132" s="1490"/>
      <c r="E132" s="1487"/>
      <c r="F132" s="1488"/>
      <c r="G132" s="1489"/>
      <c r="H132" s="1490"/>
      <c r="I132" s="1487"/>
      <c r="J132" s="1488"/>
      <c r="K132" s="1489"/>
      <c r="L132" s="1490"/>
      <c r="M132" s="1487"/>
      <c r="N132" s="1488"/>
      <c r="O132" s="1489"/>
      <c r="P132" s="1490"/>
      <c r="Q132" s="1399"/>
      <c r="X132" s="1445" t="e">
        <f ca="1"/>
        <v>#NAME?</v>
      </c>
      <c r="Y132" s="1446" t="e">
        <f ca="1"/>
        <v>#NAME?</v>
      </c>
      <c r="Z132" s="1408"/>
      <c r="AB132" s="1399"/>
      <c r="AC132" s="1399"/>
      <c r="AD132" s="1399"/>
      <c r="AE132" s="1399"/>
    </row>
    <row r="133" spans="1:31">
      <c r="A133" s="1487"/>
      <c r="B133" s="1488"/>
      <c r="C133" s="1489"/>
      <c r="D133" s="1490"/>
      <c r="E133" s="1487"/>
      <c r="F133" s="1488"/>
      <c r="G133" s="1489"/>
      <c r="H133" s="1490"/>
      <c r="I133" s="1487"/>
      <c r="J133" s="1488"/>
      <c r="K133" s="1489"/>
      <c r="L133" s="1490"/>
      <c r="M133" s="1487"/>
      <c r="N133" s="1488"/>
      <c r="O133" s="1489"/>
      <c r="P133" s="1490"/>
      <c r="Q133" s="1399"/>
      <c r="X133" s="1445" t="e">
        <f ca="1"/>
        <v>#NAME?</v>
      </c>
      <c r="Y133" s="1446" t="e">
        <f ca="1"/>
        <v>#NAME?</v>
      </c>
      <c r="Z133" s="1408"/>
      <c r="AB133" s="1399"/>
      <c r="AC133" s="1399"/>
      <c r="AD133" s="1399"/>
      <c r="AE133" s="1399"/>
    </row>
    <row r="134" spans="1:31">
      <c r="A134" s="1487"/>
      <c r="B134" s="1488"/>
      <c r="C134" s="1489"/>
      <c r="D134" s="1490"/>
      <c r="E134" s="1487"/>
      <c r="F134" s="1488"/>
      <c r="G134" s="1489"/>
      <c r="H134" s="1490"/>
      <c r="I134" s="1487"/>
      <c r="J134" s="1488"/>
      <c r="K134" s="1489"/>
      <c r="L134" s="1490"/>
      <c r="M134" s="1487"/>
      <c r="N134" s="1488"/>
      <c r="O134" s="1489"/>
      <c r="P134" s="1490"/>
      <c r="Q134" s="1399"/>
      <c r="X134" s="1445" t="e">
        <f ca="1"/>
        <v>#NAME?</v>
      </c>
      <c r="Y134" s="1446" t="e">
        <f ca="1"/>
        <v>#NAME?</v>
      </c>
      <c r="Z134" s="1408"/>
      <c r="AB134" s="1399"/>
      <c r="AC134" s="1399"/>
      <c r="AD134" s="1399"/>
      <c r="AE134" s="1399"/>
    </row>
    <row r="135" spans="1:31">
      <c r="A135" s="1487"/>
      <c r="B135" s="1488"/>
      <c r="C135" s="1489"/>
      <c r="D135" s="1490"/>
      <c r="E135" s="1487"/>
      <c r="F135" s="1488"/>
      <c r="G135" s="1489"/>
      <c r="H135" s="1490"/>
      <c r="I135" s="1487"/>
      <c r="J135" s="1488"/>
      <c r="K135" s="1489"/>
      <c r="L135" s="1490"/>
      <c r="M135" s="1487"/>
      <c r="N135" s="1488"/>
      <c r="O135" s="1489"/>
      <c r="P135" s="1490"/>
      <c r="Q135" s="1399"/>
      <c r="X135" s="1445" t="e">
        <f ca="1"/>
        <v>#NAME?</v>
      </c>
      <c r="Y135" s="1446" t="e">
        <f ca="1"/>
        <v>#NAME?</v>
      </c>
      <c r="Z135" s="1408"/>
      <c r="AB135" s="1399"/>
      <c r="AC135" s="1399"/>
      <c r="AD135" s="1399"/>
      <c r="AE135" s="1399"/>
    </row>
    <row r="136" spans="1:31">
      <c r="A136" s="1487"/>
      <c r="B136" s="1488"/>
      <c r="C136" s="1489"/>
      <c r="D136" s="1490"/>
      <c r="E136" s="1487"/>
      <c r="F136" s="1488"/>
      <c r="G136" s="1489"/>
      <c r="H136" s="1490"/>
      <c r="I136" s="1487"/>
      <c r="J136" s="1488"/>
      <c r="K136" s="1489"/>
      <c r="L136" s="1490"/>
      <c r="M136" s="1487"/>
      <c r="N136" s="1488"/>
      <c r="O136" s="1489"/>
      <c r="P136" s="1490"/>
      <c r="Q136" s="1399"/>
      <c r="X136" s="1445" t="e">
        <f ca="1"/>
        <v>#NAME?</v>
      </c>
      <c r="Y136" s="1446" t="e">
        <f ca="1"/>
        <v>#NAME?</v>
      </c>
      <c r="Z136" s="1408"/>
      <c r="AB136" s="1399"/>
      <c r="AC136" s="1399"/>
      <c r="AD136" s="1399"/>
      <c r="AE136" s="1399"/>
    </row>
    <row r="137" spans="1:31">
      <c r="A137" s="1487"/>
      <c r="B137" s="1488"/>
      <c r="C137" s="1489"/>
      <c r="D137" s="1490"/>
      <c r="E137" s="1487"/>
      <c r="F137" s="1488"/>
      <c r="G137" s="1489"/>
      <c r="H137" s="1490"/>
      <c r="I137" s="1487"/>
      <c r="J137" s="1488"/>
      <c r="K137" s="1489"/>
      <c r="L137" s="1490"/>
      <c r="M137" s="1487"/>
      <c r="N137" s="1488"/>
      <c r="O137" s="1489"/>
      <c r="P137" s="1490"/>
      <c r="Q137" s="1399"/>
      <c r="X137" s="1445" t="e">
        <f ca="1"/>
        <v>#NAME?</v>
      </c>
      <c r="Y137" s="1446" t="e">
        <f ca="1"/>
        <v>#NAME?</v>
      </c>
      <c r="Z137" s="1408"/>
      <c r="AB137" s="1399"/>
      <c r="AC137" s="1399"/>
      <c r="AD137" s="1399"/>
      <c r="AE137" s="1399"/>
    </row>
    <row r="138" spans="1:31">
      <c r="A138" s="1487"/>
      <c r="B138" s="1488"/>
      <c r="C138" s="1489"/>
      <c r="D138" s="1490"/>
      <c r="E138" s="1487"/>
      <c r="F138" s="1488"/>
      <c r="G138" s="1489"/>
      <c r="H138" s="1490"/>
      <c r="I138" s="1487"/>
      <c r="J138" s="1488"/>
      <c r="K138" s="1489"/>
      <c r="L138" s="1490"/>
      <c r="M138" s="1487"/>
      <c r="N138" s="1488"/>
      <c r="O138" s="1489"/>
      <c r="P138" s="1490"/>
      <c r="Q138" s="1399"/>
      <c r="X138" s="1445" t="e">
        <f ca="1"/>
        <v>#NAME?</v>
      </c>
      <c r="Y138" s="1446" t="e">
        <f ca="1"/>
        <v>#NAME?</v>
      </c>
      <c r="Z138" s="1408"/>
      <c r="AB138" s="1399"/>
      <c r="AC138" s="1399"/>
      <c r="AD138" s="1399"/>
      <c r="AE138" s="1399"/>
    </row>
    <row r="139" spans="1:31">
      <c r="A139" s="1487"/>
      <c r="B139" s="1488"/>
      <c r="C139" s="1489"/>
      <c r="D139" s="1490"/>
      <c r="E139" s="1487"/>
      <c r="F139" s="1488"/>
      <c r="G139" s="1489"/>
      <c r="H139" s="1490"/>
      <c r="I139" s="1487"/>
      <c r="J139" s="1488"/>
      <c r="K139" s="1489"/>
      <c r="L139" s="1490"/>
      <c r="M139" s="1487"/>
      <c r="N139" s="1488"/>
      <c r="O139" s="1489"/>
      <c r="P139" s="1490"/>
      <c r="Q139" s="1399"/>
      <c r="X139" s="1445" t="e">
        <f ca="1"/>
        <v>#NAME?</v>
      </c>
      <c r="Y139" s="1446" t="e">
        <f ca="1"/>
        <v>#NAME?</v>
      </c>
      <c r="Z139" s="1408"/>
      <c r="AB139" s="1399"/>
      <c r="AC139" s="1399"/>
      <c r="AD139" s="1399"/>
      <c r="AE139" s="1399"/>
    </row>
    <row r="140" spans="1:31">
      <c r="A140" s="1487"/>
      <c r="B140" s="1488"/>
      <c r="C140" s="1489"/>
      <c r="D140" s="1490"/>
      <c r="E140" s="1487"/>
      <c r="F140" s="1488"/>
      <c r="G140" s="1489"/>
      <c r="H140" s="1490"/>
      <c r="I140" s="1487"/>
      <c r="J140" s="1488"/>
      <c r="K140" s="1489"/>
      <c r="L140" s="1490"/>
      <c r="M140" s="1487"/>
      <c r="N140" s="1488"/>
      <c r="O140" s="1489"/>
      <c r="P140" s="1490"/>
      <c r="Q140" s="1399"/>
      <c r="X140" s="1445" t="e">
        <f ca="1"/>
        <v>#NAME?</v>
      </c>
      <c r="Y140" s="1446" t="e">
        <f ca="1"/>
        <v>#NAME?</v>
      </c>
      <c r="Z140" s="1408"/>
      <c r="AB140" s="1399"/>
      <c r="AC140" s="1399"/>
      <c r="AD140" s="1399"/>
      <c r="AE140" s="1399"/>
    </row>
    <row r="141" spans="1:31">
      <c r="A141" s="1487"/>
      <c r="B141" s="1488"/>
      <c r="C141" s="1489"/>
      <c r="D141" s="1490"/>
      <c r="E141" s="1487"/>
      <c r="F141" s="1488"/>
      <c r="G141" s="1489"/>
      <c r="H141" s="1490"/>
      <c r="I141" s="1487"/>
      <c r="J141" s="1488"/>
      <c r="K141" s="1489"/>
      <c r="L141" s="1490"/>
      <c r="M141" s="1487"/>
      <c r="N141" s="1488"/>
      <c r="O141" s="1489"/>
      <c r="P141" s="1490"/>
      <c r="Q141" s="1399"/>
      <c r="X141" s="1445" t="e">
        <f ca="1"/>
        <v>#NAME?</v>
      </c>
      <c r="Y141" s="1446" t="e">
        <f ca="1"/>
        <v>#NAME?</v>
      </c>
      <c r="Z141" s="1408"/>
      <c r="AB141" s="1399"/>
      <c r="AC141" s="1399"/>
      <c r="AD141" s="1399"/>
      <c r="AE141" s="1399"/>
    </row>
    <row r="142" spans="1:31">
      <c r="A142" s="1487"/>
      <c r="B142" s="1488"/>
      <c r="C142" s="1489"/>
      <c r="D142" s="1490"/>
      <c r="E142" s="1487"/>
      <c r="F142" s="1488"/>
      <c r="G142" s="1489"/>
      <c r="H142" s="1490"/>
      <c r="I142" s="1487"/>
      <c r="J142" s="1488"/>
      <c r="K142" s="1489"/>
      <c r="L142" s="1490"/>
      <c r="M142" s="1487"/>
      <c r="N142" s="1488"/>
      <c r="O142" s="1489"/>
      <c r="P142" s="1490"/>
      <c r="Q142" s="1399"/>
      <c r="X142" s="1445" t="e">
        <f ca="1"/>
        <v>#NAME?</v>
      </c>
      <c r="Y142" s="1446" t="e">
        <f ca="1"/>
        <v>#NAME?</v>
      </c>
      <c r="Z142" s="1408"/>
      <c r="AB142" s="1399"/>
      <c r="AC142" s="1399"/>
      <c r="AD142" s="1399"/>
      <c r="AE142" s="1399"/>
    </row>
    <row r="143" spans="1:31">
      <c r="A143" s="1487"/>
      <c r="B143" s="1488"/>
      <c r="C143" s="1489"/>
      <c r="D143" s="1490"/>
      <c r="E143" s="1487"/>
      <c r="F143" s="1488"/>
      <c r="G143" s="1489"/>
      <c r="H143" s="1490"/>
      <c r="I143" s="1487"/>
      <c r="J143" s="1488"/>
      <c r="K143" s="1489"/>
      <c r="L143" s="1490"/>
      <c r="M143" s="1487"/>
      <c r="N143" s="1488"/>
      <c r="O143" s="1489"/>
      <c r="P143" s="1490"/>
      <c r="Q143" s="1399"/>
      <c r="X143" s="1445" t="e">
        <f ca="1"/>
        <v>#NAME?</v>
      </c>
      <c r="Y143" s="1446" t="e">
        <f ca="1"/>
        <v>#NAME?</v>
      </c>
      <c r="Z143" s="1408"/>
      <c r="AB143" s="1399"/>
      <c r="AC143" s="1399"/>
      <c r="AD143" s="1399"/>
      <c r="AE143" s="1399"/>
    </row>
    <row r="144" spans="1:31">
      <c r="A144" s="1487"/>
      <c r="B144" s="1488"/>
      <c r="C144" s="1489"/>
      <c r="D144" s="1490"/>
      <c r="E144" s="1487"/>
      <c r="F144" s="1488"/>
      <c r="G144" s="1489"/>
      <c r="H144" s="1490"/>
      <c r="I144" s="1487"/>
      <c r="J144" s="1488"/>
      <c r="K144" s="1489"/>
      <c r="L144" s="1490"/>
      <c r="M144" s="1487"/>
      <c r="N144" s="1488"/>
      <c r="O144" s="1489"/>
      <c r="P144" s="1490"/>
      <c r="Q144" s="1399"/>
      <c r="X144" s="1445" t="e">
        <f ca="1"/>
        <v>#NAME?</v>
      </c>
      <c r="Y144" s="1446" t="e">
        <f ca="1"/>
        <v>#NAME?</v>
      </c>
      <c r="Z144" s="1408"/>
      <c r="AB144" s="1399"/>
      <c r="AC144" s="1399"/>
      <c r="AD144" s="1399"/>
      <c r="AE144" s="1399"/>
    </row>
    <row r="145" spans="1:31">
      <c r="A145" s="1487"/>
      <c r="B145" s="1488"/>
      <c r="C145" s="1489"/>
      <c r="D145" s="1490"/>
      <c r="E145" s="1487"/>
      <c r="F145" s="1488"/>
      <c r="G145" s="1489"/>
      <c r="H145" s="1490"/>
      <c r="I145" s="1487"/>
      <c r="J145" s="1488"/>
      <c r="K145" s="1489"/>
      <c r="L145" s="1490"/>
      <c r="M145" s="1487"/>
      <c r="N145" s="1488"/>
      <c r="O145" s="1489"/>
      <c r="P145" s="1490"/>
      <c r="Q145" s="1399"/>
      <c r="X145" s="1445" t="e">
        <f ca="1"/>
        <v>#NAME?</v>
      </c>
      <c r="Y145" s="1446" t="e">
        <f ca="1"/>
        <v>#NAME?</v>
      </c>
      <c r="Z145" s="1408"/>
      <c r="AB145" s="1399"/>
      <c r="AC145" s="1399"/>
      <c r="AD145" s="1399"/>
      <c r="AE145" s="1399"/>
    </row>
    <row r="146" spans="1:31">
      <c r="A146" s="1487"/>
      <c r="B146" s="1488"/>
      <c r="C146" s="1489"/>
      <c r="D146" s="1490"/>
      <c r="E146" s="1487"/>
      <c r="F146" s="1488"/>
      <c r="G146" s="1489"/>
      <c r="H146" s="1490"/>
      <c r="I146" s="1487"/>
      <c r="J146" s="1488"/>
      <c r="K146" s="1489"/>
      <c r="L146" s="1490"/>
      <c r="M146" s="1487"/>
      <c r="N146" s="1488"/>
      <c r="O146" s="1489"/>
      <c r="P146" s="1490"/>
      <c r="Q146" s="1399"/>
      <c r="X146" s="1445" t="e">
        <f ca="1"/>
        <v>#NAME?</v>
      </c>
      <c r="Y146" s="1446" t="e">
        <f ca="1"/>
        <v>#NAME?</v>
      </c>
      <c r="Z146" s="1408"/>
      <c r="AB146" s="1399"/>
      <c r="AC146" s="1399"/>
      <c r="AD146" s="1399"/>
      <c r="AE146" s="1399"/>
    </row>
    <row r="147" spans="1:31">
      <c r="A147" s="1487"/>
      <c r="B147" s="1488"/>
      <c r="C147" s="1489"/>
      <c r="D147" s="1490"/>
      <c r="E147" s="1487"/>
      <c r="F147" s="1488"/>
      <c r="G147" s="1489"/>
      <c r="H147" s="1490"/>
      <c r="I147" s="1487"/>
      <c r="J147" s="1488"/>
      <c r="K147" s="1489"/>
      <c r="L147" s="1490"/>
      <c r="M147" s="1487"/>
      <c r="N147" s="1488"/>
      <c r="O147" s="1489"/>
      <c r="P147" s="1490"/>
      <c r="Q147" s="1399"/>
      <c r="X147" s="1445" t="e">
        <f ca="1"/>
        <v>#NAME?</v>
      </c>
      <c r="Y147" s="1446" t="e">
        <f ca="1"/>
        <v>#NAME?</v>
      </c>
      <c r="Z147" s="1408"/>
      <c r="AB147" s="1399"/>
      <c r="AC147" s="1399"/>
      <c r="AD147" s="1399"/>
      <c r="AE147" s="1399"/>
    </row>
    <row r="148" spans="1:31">
      <c r="A148" s="1487"/>
      <c r="B148" s="1488"/>
      <c r="C148" s="1489"/>
      <c r="D148" s="1490"/>
      <c r="E148" s="1487"/>
      <c r="F148" s="1488"/>
      <c r="G148" s="1489"/>
      <c r="H148" s="1490"/>
      <c r="I148" s="1487"/>
      <c r="J148" s="1488"/>
      <c r="K148" s="1489"/>
      <c r="L148" s="1490"/>
      <c r="M148" s="1487"/>
      <c r="N148" s="1488"/>
      <c r="O148" s="1489"/>
      <c r="P148" s="1490"/>
      <c r="Q148" s="1399"/>
      <c r="X148" s="1445" t="e">
        <f ca="1"/>
        <v>#NAME?</v>
      </c>
      <c r="Y148" s="1446" t="e">
        <f ca="1"/>
        <v>#NAME?</v>
      </c>
      <c r="Z148" s="1408"/>
      <c r="AB148" s="1399"/>
      <c r="AC148" s="1399"/>
      <c r="AD148" s="1399"/>
      <c r="AE148" s="1399"/>
    </row>
    <row r="149" spans="1:31">
      <c r="A149" s="1487"/>
      <c r="B149" s="1488"/>
      <c r="C149" s="1489"/>
      <c r="D149" s="1490"/>
      <c r="E149" s="1487"/>
      <c r="F149" s="1488"/>
      <c r="G149" s="1489"/>
      <c r="H149" s="1490"/>
      <c r="I149" s="1487"/>
      <c r="J149" s="1488"/>
      <c r="K149" s="1489"/>
      <c r="L149" s="1490"/>
      <c r="M149" s="1487"/>
      <c r="N149" s="1488"/>
      <c r="O149" s="1489"/>
      <c r="P149" s="1490"/>
      <c r="Q149" s="1399"/>
      <c r="X149" s="1445" t="e">
        <f ca="1"/>
        <v>#NAME?</v>
      </c>
      <c r="Y149" s="1446" t="e">
        <f ca="1"/>
        <v>#NAME?</v>
      </c>
      <c r="Z149" s="1408"/>
      <c r="AB149" s="1399"/>
      <c r="AC149" s="1399"/>
      <c r="AD149" s="1399"/>
      <c r="AE149" s="1399"/>
    </row>
    <row r="150" spans="1:31">
      <c r="A150" s="1487"/>
      <c r="B150" s="1488"/>
      <c r="C150" s="1489"/>
      <c r="D150" s="1490"/>
      <c r="E150" s="1487"/>
      <c r="F150" s="1488"/>
      <c r="G150" s="1489"/>
      <c r="H150" s="1490"/>
      <c r="I150" s="1487"/>
      <c r="J150" s="1488"/>
      <c r="K150" s="1489"/>
      <c r="L150" s="1490"/>
      <c r="M150" s="1487"/>
      <c r="N150" s="1488"/>
      <c r="O150" s="1489"/>
      <c r="P150" s="1490"/>
      <c r="Q150" s="1399"/>
      <c r="X150" s="1445" t="e">
        <f ca="1"/>
        <v>#NAME?</v>
      </c>
      <c r="Y150" s="1446" t="e">
        <f ca="1"/>
        <v>#NAME?</v>
      </c>
      <c r="Z150" s="1408"/>
      <c r="AB150" s="1399"/>
      <c r="AC150" s="1399"/>
      <c r="AD150" s="1399"/>
      <c r="AE150" s="1399"/>
    </row>
    <row r="151" spans="1:31">
      <c r="A151" s="1487"/>
      <c r="B151" s="1488"/>
      <c r="C151" s="1489"/>
      <c r="D151" s="1490"/>
      <c r="E151" s="1487"/>
      <c r="F151" s="1488"/>
      <c r="G151" s="1489"/>
      <c r="H151" s="1490"/>
      <c r="I151" s="1487"/>
      <c r="J151" s="1488"/>
      <c r="K151" s="1489"/>
      <c r="L151" s="1490"/>
      <c r="M151" s="1487"/>
      <c r="N151" s="1488"/>
      <c r="O151" s="1489"/>
      <c r="P151" s="1490"/>
      <c r="Q151" s="1399"/>
      <c r="X151" s="1445" t="e">
        <f ca="1"/>
        <v>#NAME?</v>
      </c>
      <c r="Y151" s="1446" t="e">
        <f ca="1"/>
        <v>#NAME?</v>
      </c>
      <c r="Z151" s="1408"/>
      <c r="AB151" s="1399"/>
      <c r="AC151" s="1399"/>
      <c r="AD151" s="1399"/>
      <c r="AE151" s="1399"/>
    </row>
    <row r="152" spans="1:31">
      <c r="A152" s="1487"/>
      <c r="B152" s="1488"/>
      <c r="C152" s="1489"/>
      <c r="D152" s="1490"/>
      <c r="E152" s="1487"/>
      <c r="F152" s="1488"/>
      <c r="G152" s="1489"/>
      <c r="H152" s="1490"/>
      <c r="I152" s="1487"/>
      <c r="J152" s="1488"/>
      <c r="K152" s="1489"/>
      <c r="L152" s="1490"/>
      <c r="M152" s="1487"/>
      <c r="N152" s="1488"/>
      <c r="O152" s="1489"/>
      <c r="P152" s="1490"/>
      <c r="Q152" s="1399"/>
      <c r="X152" s="1445" t="e">
        <f ca="1"/>
        <v>#NAME?</v>
      </c>
      <c r="Y152" s="1446" t="e">
        <f ca="1"/>
        <v>#NAME?</v>
      </c>
      <c r="Z152" s="1408"/>
      <c r="AB152" s="1399"/>
      <c r="AC152" s="1399"/>
      <c r="AD152" s="1399"/>
      <c r="AE152" s="1399"/>
    </row>
    <row r="153" spans="1:31">
      <c r="A153" s="1487"/>
      <c r="B153" s="1488"/>
      <c r="C153" s="1489"/>
      <c r="D153" s="1490"/>
      <c r="E153" s="1487"/>
      <c r="F153" s="1488"/>
      <c r="G153" s="1489"/>
      <c r="H153" s="1490"/>
      <c r="I153" s="1487"/>
      <c r="J153" s="1488"/>
      <c r="K153" s="1489"/>
      <c r="L153" s="1490"/>
      <c r="M153" s="1487"/>
      <c r="N153" s="1488"/>
      <c r="O153" s="1489"/>
      <c r="P153" s="1490"/>
      <c r="Q153" s="1399"/>
      <c r="X153" s="1445" t="e">
        <f ca="1"/>
        <v>#NAME?</v>
      </c>
      <c r="Y153" s="1446" t="e">
        <f ca="1"/>
        <v>#NAME?</v>
      </c>
      <c r="Z153" s="1408"/>
      <c r="AB153" s="1399"/>
      <c r="AC153" s="1399"/>
      <c r="AD153" s="1399"/>
      <c r="AE153" s="1399"/>
    </row>
    <row r="154" spans="1:31">
      <c r="A154" s="1487"/>
      <c r="B154" s="1488"/>
      <c r="C154" s="1489"/>
      <c r="D154" s="1490"/>
      <c r="E154" s="1487"/>
      <c r="F154" s="1488"/>
      <c r="G154" s="1489"/>
      <c r="H154" s="1490"/>
      <c r="I154" s="1487"/>
      <c r="J154" s="1488"/>
      <c r="K154" s="1489"/>
      <c r="L154" s="1490"/>
      <c r="M154" s="1487"/>
      <c r="N154" s="1488"/>
      <c r="O154" s="1489"/>
      <c r="P154" s="1490"/>
      <c r="Q154" s="1399"/>
      <c r="X154" s="1445" t="e">
        <f ca="1"/>
        <v>#NAME?</v>
      </c>
      <c r="Y154" s="1446" t="e">
        <f ca="1"/>
        <v>#NAME?</v>
      </c>
      <c r="Z154" s="1408"/>
      <c r="AB154" s="1399"/>
      <c r="AC154" s="1399"/>
      <c r="AD154" s="1399"/>
      <c r="AE154" s="1399"/>
    </row>
    <row r="155" spans="1:31">
      <c r="A155" s="1487"/>
      <c r="B155" s="1488"/>
      <c r="C155" s="1489"/>
      <c r="D155" s="1490"/>
      <c r="E155" s="1487"/>
      <c r="F155" s="1488"/>
      <c r="G155" s="1489"/>
      <c r="H155" s="1490"/>
      <c r="I155" s="1487"/>
      <c r="J155" s="1488"/>
      <c r="K155" s="1489"/>
      <c r="L155" s="1490"/>
      <c r="M155" s="1487"/>
      <c r="N155" s="1488"/>
      <c r="O155" s="1489"/>
      <c r="P155" s="1490"/>
      <c r="Q155" s="1399"/>
      <c r="X155" s="1445" t="e">
        <f ca="1"/>
        <v>#NAME?</v>
      </c>
      <c r="Y155" s="1446" t="e">
        <f ca="1"/>
        <v>#NAME?</v>
      </c>
      <c r="Z155" s="1408"/>
      <c r="AB155" s="1399"/>
      <c r="AC155" s="1399"/>
      <c r="AD155" s="1399"/>
      <c r="AE155" s="1399"/>
    </row>
    <row r="156" spans="1:31">
      <c r="A156" s="1487"/>
      <c r="B156" s="1488"/>
      <c r="C156" s="1489"/>
      <c r="D156" s="1490"/>
      <c r="E156" s="1487"/>
      <c r="F156" s="1488"/>
      <c r="G156" s="1489"/>
      <c r="H156" s="1490"/>
      <c r="I156" s="1487"/>
      <c r="J156" s="1488"/>
      <c r="K156" s="1489"/>
      <c r="L156" s="1490"/>
      <c r="M156" s="1487"/>
      <c r="N156" s="1488"/>
      <c r="O156" s="1489"/>
      <c r="P156" s="1490"/>
      <c r="Q156" s="1399"/>
      <c r="X156" s="1445" t="e">
        <f ca="1"/>
        <v>#NAME?</v>
      </c>
      <c r="Y156" s="1446" t="e">
        <f ca="1"/>
        <v>#NAME?</v>
      </c>
      <c r="Z156" s="1408"/>
      <c r="AB156" s="1399"/>
      <c r="AC156" s="1399"/>
      <c r="AD156" s="1399"/>
      <c r="AE156" s="1399"/>
    </row>
    <row r="157" spans="1:31">
      <c r="A157" s="1487"/>
      <c r="B157" s="1488"/>
      <c r="C157" s="1489"/>
      <c r="D157" s="1490"/>
      <c r="E157" s="1487"/>
      <c r="F157" s="1488"/>
      <c r="G157" s="1489"/>
      <c r="H157" s="1490"/>
      <c r="I157" s="1487"/>
      <c r="J157" s="1488"/>
      <c r="K157" s="1489"/>
      <c r="L157" s="1490"/>
      <c r="M157" s="1487"/>
      <c r="N157" s="1488"/>
      <c r="O157" s="1489"/>
      <c r="P157" s="1490"/>
      <c r="Q157" s="1399"/>
      <c r="X157" s="1445" t="e">
        <f ca="1"/>
        <v>#NAME?</v>
      </c>
      <c r="Y157" s="1446" t="e">
        <f ca="1"/>
        <v>#NAME?</v>
      </c>
      <c r="Z157" s="1408"/>
      <c r="AB157" s="1399"/>
      <c r="AC157" s="1399"/>
      <c r="AD157" s="1399"/>
      <c r="AE157" s="1399"/>
    </row>
    <row r="158" spans="1:31">
      <c r="A158" s="1487"/>
      <c r="B158" s="1488"/>
      <c r="C158" s="1489"/>
      <c r="D158" s="1490"/>
      <c r="E158" s="1487"/>
      <c r="F158" s="1488"/>
      <c r="G158" s="1489"/>
      <c r="H158" s="1490"/>
      <c r="I158" s="1487"/>
      <c r="J158" s="1488"/>
      <c r="K158" s="1489"/>
      <c r="L158" s="1490"/>
      <c r="M158" s="1487"/>
      <c r="N158" s="1488"/>
      <c r="O158" s="1489"/>
      <c r="P158" s="1490"/>
      <c r="Q158" s="1399"/>
      <c r="X158" s="1445" t="e">
        <f ca="1"/>
        <v>#NAME?</v>
      </c>
      <c r="Y158" s="1446" t="e">
        <f ca="1"/>
        <v>#NAME?</v>
      </c>
      <c r="Z158" s="1408"/>
      <c r="AB158" s="1399"/>
      <c r="AC158" s="1399"/>
      <c r="AD158" s="1399"/>
      <c r="AE158" s="1399"/>
    </row>
    <row r="159" spans="1:31">
      <c r="A159" s="1487"/>
      <c r="B159" s="1488"/>
      <c r="C159" s="1489"/>
      <c r="D159" s="1490"/>
      <c r="E159" s="1487"/>
      <c r="F159" s="1488"/>
      <c r="G159" s="1489"/>
      <c r="H159" s="1490"/>
      <c r="I159" s="1487"/>
      <c r="J159" s="1488"/>
      <c r="K159" s="1489"/>
      <c r="L159" s="1490"/>
      <c r="M159" s="1487"/>
      <c r="N159" s="1488"/>
      <c r="O159" s="1489"/>
      <c r="P159" s="1490"/>
      <c r="Q159" s="1399"/>
      <c r="X159" s="1445" t="e">
        <f ca="1"/>
        <v>#NAME?</v>
      </c>
      <c r="Y159" s="1446" t="e">
        <f ca="1"/>
        <v>#NAME?</v>
      </c>
      <c r="Z159" s="1408"/>
      <c r="AB159" s="1399"/>
      <c r="AC159" s="1399"/>
      <c r="AD159" s="1399"/>
      <c r="AE159" s="1399"/>
    </row>
    <row r="160" spans="1:31">
      <c r="A160" s="1487"/>
      <c r="B160" s="1488"/>
      <c r="C160" s="1489"/>
      <c r="D160" s="1490"/>
      <c r="E160" s="1487"/>
      <c r="F160" s="1488"/>
      <c r="G160" s="1489"/>
      <c r="H160" s="1490"/>
      <c r="I160" s="1487"/>
      <c r="J160" s="1488"/>
      <c r="K160" s="1489"/>
      <c r="L160" s="1490"/>
      <c r="M160" s="1487"/>
      <c r="N160" s="1488"/>
      <c r="O160" s="1489"/>
      <c r="P160" s="1490"/>
      <c r="Q160" s="1399"/>
      <c r="X160" s="1445" t="e">
        <f ca="1"/>
        <v>#NAME?</v>
      </c>
      <c r="Y160" s="1446" t="e">
        <f ca="1"/>
        <v>#NAME?</v>
      </c>
      <c r="Z160" s="1408"/>
      <c r="AB160" s="1399"/>
      <c r="AC160" s="1399"/>
      <c r="AD160" s="1399"/>
      <c r="AE160" s="1399"/>
    </row>
    <row r="161" spans="1:31">
      <c r="A161" s="1487"/>
      <c r="B161" s="1488"/>
      <c r="C161" s="1489"/>
      <c r="D161" s="1490"/>
      <c r="E161" s="1487"/>
      <c r="F161" s="1488"/>
      <c r="G161" s="1489"/>
      <c r="H161" s="1490"/>
      <c r="I161" s="1487"/>
      <c r="J161" s="1488"/>
      <c r="K161" s="1489"/>
      <c r="L161" s="1490"/>
      <c r="M161" s="1487"/>
      <c r="N161" s="1488"/>
      <c r="O161" s="1489"/>
      <c r="P161" s="1490"/>
      <c r="Q161" s="1399"/>
      <c r="X161" s="1445" t="e">
        <f ca="1"/>
        <v>#NAME?</v>
      </c>
      <c r="Y161" s="1446" t="e">
        <f ca="1"/>
        <v>#NAME?</v>
      </c>
      <c r="Z161" s="1408"/>
      <c r="AB161" s="1399"/>
      <c r="AC161" s="1399"/>
      <c r="AD161" s="1399"/>
      <c r="AE161" s="1399"/>
    </row>
    <row r="162" spans="1:31">
      <c r="A162" s="1487"/>
      <c r="B162" s="1488"/>
      <c r="C162" s="1489"/>
      <c r="D162" s="1490"/>
      <c r="E162" s="1487"/>
      <c r="F162" s="1488"/>
      <c r="G162" s="1489"/>
      <c r="H162" s="1490"/>
      <c r="I162" s="1487"/>
      <c r="J162" s="1488"/>
      <c r="K162" s="1489"/>
      <c r="L162" s="1490"/>
      <c r="M162" s="1487"/>
      <c r="N162" s="1488"/>
      <c r="O162" s="1489"/>
      <c r="P162" s="1490"/>
      <c r="Q162" s="1399"/>
      <c r="X162" s="1445" t="e">
        <f ca="1"/>
        <v>#NAME?</v>
      </c>
      <c r="Y162" s="1446" t="e">
        <f ca="1"/>
        <v>#NAME?</v>
      </c>
      <c r="Z162" s="1408"/>
      <c r="AB162" s="1399"/>
      <c r="AC162" s="1399"/>
      <c r="AD162" s="1399"/>
      <c r="AE162" s="1399"/>
    </row>
    <row r="163" spans="1:31">
      <c r="A163" s="1487"/>
      <c r="B163" s="1488"/>
      <c r="C163" s="1489"/>
      <c r="D163" s="1490"/>
      <c r="E163" s="1487"/>
      <c r="F163" s="1488"/>
      <c r="G163" s="1489"/>
      <c r="H163" s="1490"/>
      <c r="I163" s="1487"/>
      <c r="J163" s="1488"/>
      <c r="K163" s="1489"/>
      <c r="L163" s="1490"/>
      <c r="M163" s="1487"/>
      <c r="N163" s="1488"/>
      <c r="O163" s="1489"/>
      <c r="P163" s="1490"/>
      <c r="Q163" s="1399"/>
      <c r="X163" s="1445" t="e">
        <f ca="1"/>
        <v>#NAME?</v>
      </c>
      <c r="Y163" s="1446" t="e">
        <f ca="1"/>
        <v>#NAME?</v>
      </c>
      <c r="Z163" s="1408"/>
      <c r="AB163" s="1399"/>
      <c r="AC163" s="1399"/>
      <c r="AD163" s="1399"/>
      <c r="AE163" s="1399"/>
    </row>
    <row r="164" spans="1:31">
      <c r="A164" s="1487"/>
      <c r="B164" s="1488"/>
      <c r="C164" s="1489"/>
      <c r="D164" s="1490"/>
      <c r="E164" s="1487"/>
      <c r="F164" s="1488"/>
      <c r="G164" s="1489"/>
      <c r="H164" s="1490"/>
      <c r="I164" s="1487"/>
      <c r="J164" s="1488"/>
      <c r="K164" s="1489"/>
      <c r="L164" s="1490"/>
      <c r="M164" s="1487"/>
      <c r="N164" s="1488"/>
      <c r="O164" s="1489"/>
      <c r="P164" s="1490"/>
      <c r="Q164" s="1399"/>
      <c r="X164" s="1445" t="e">
        <f ca="1"/>
        <v>#NAME?</v>
      </c>
      <c r="Y164" s="1446" t="e">
        <f ca="1"/>
        <v>#NAME?</v>
      </c>
      <c r="Z164" s="1408"/>
      <c r="AB164" s="1399"/>
      <c r="AC164" s="1399"/>
      <c r="AD164" s="1399"/>
      <c r="AE164" s="1399"/>
    </row>
    <row r="165" spans="1:31">
      <c r="A165" s="1487"/>
      <c r="B165" s="1488"/>
      <c r="C165" s="1489"/>
      <c r="D165" s="1490"/>
      <c r="E165" s="1487"/>
      <c r="F165" s="1488"/>
      <c r="G165" s="1489"/>
      <c r="H165" s="1490"/>
      <c r="I165" s="1487"/>
      <c r="J165" s="1488"/>
      <c r="K165" s="1489"/>
      <c r="L165" s="1490"/>
      <c r="M165" s="1487"/>
      <c r="N165" s="1488"/>
      <c r="O165" s="1489"/>
      <c r="P165" s="1490"/>
      <c r="Q165" s="1399"/>
      <c r="X165" s="1445" t="e">
        <f ca="1"/>
        <v>#NAME?</v>
      </c>
      <c r="Y165" s="1446" t="e">
        <f ca="1"/>
        <v>#NAME?</v>
      </c>
      <c r="Z165" s="1408"/>
      <c r="AB165" s="1399"/>
      <c r="AC165" s="1399"/>
      <c r="AD165" s="1399"/>
      <c r="AE165" s="1399"/>
    </row>
    <row r="166" spans="1:31">
      <c r="A166" s="1487"/>
      <c r="B166" s="1488"/>
      <c r="C166" s="1489"/>
      <c r="D166" s="1490"/>
      <c r="E166" s="1487"/>
      <c r="F166" s="1488"/>
      <c r="G166" s="1489"/>
      <c r="H166" s="1490"/>
      <c r="I166" s="1487"/>
      <c r="J166" s="1488"/>
      <c r="K166" s="1489"/>
      <c r="L166" s="1490"/>
      <c r="M166" s="1487"/>
      <c r="N166" s="1488"/>
      <c r="O166" s="1489"/>
      <c r="P166" s="1490"/>
      <c r="Q166" s="1399"/>
      <c r="X166" s="1445" t="e">
        <f ca="1"/>
        <v>#NAME?</v>
      </c>
      <c r="Y166" s="1446" t="e">
        <f ca="1"/>
        <v>#NAME?</v>
      </c>
      <c r="Z166" s="1408"/>
      <c r="AB166" s="1399"/>
      <c r="AC166" s="1399"/>
      <c r="AD166" s="1399"/>
      <c r="AE166" s="1399"/>
    </row>
    <row r="167" spans="1:31">
      <c r="A167" s="1487"/>
      <c r="B167" s="1488"/>
      <c r="C167" s="1489"/>
      <c r="D167" s="1490"/>
      <c r="E167" s="1487"/>
      <c r="F167" s="1488"/>
      <c r="G167" s="1489"/>
      <c r="H167" s="1490"/>
      <c r="I167" s="1487"/>
      <c r="J167" s="1488"/>
      <c r="K167" s="1489"/>
      <c r="L167" s="1490"/>
      <c r="M167" s="1487"/>
      <c r="N167" s="1488"/>
      <c r="O167" s="1489"/>
      <c r="P167" s="1490"/>
      <c r="Q167" s="1399"/>
      <c r="X167" s="1445" t="e">
        <f ca="1"/>
        <v>#NAME?</v>
      </c>
      <c r="Y167" s="1446" t="e">
        <f ca="1"/>
        <v>#NAME?</v>
      </c>
      <c r="Z167" s="1408"/>
      <c r="AB167" s="1399"/>
      <c r="AC167" s="1399"/>
      <c r="AD167" s="1399"/>
      <c r="AE167" s="1399"/>
    </row>
    <row r="168" spans="1:31">
      <c r="A168" s="1487"/>
      <c r="B168" s="1488"/>
      <c r="C168" s="1489"/>
      <c r="D168" s="1490"/>
      <c r="E168" s="1487"/>
      <c r="F168" s="1488"/>
      <c r="G168" s="1489"/>
      <c r="H168" s="1490"/>
      <c r="I168" s="1487"/>
      <c r="J168" s="1488"/>
      <c r="K168" s="1489"/>
      <c r="L168" s="1490"/>
      <c r="M168" s="1487"/>
      <c r="N168" s="1488"/>
      <c r="O168" s="1489"/>
      <c r="P168" s="1490"/>
      <c r="Q168" s="1399"/>
      <c r="X168" s="1445" t="e">
        <f ca="1"/>
        <v>#NAME?</v>
      </c>
      <c r="Y168" s="1446" t="e">
        <f ca="1"/>
        <v>#NAME?</v>
      </c>
      <c r="Z168" s="1408"/>
      <c r="AB168" s="1399"/>
      <c r="AC168" s="1399"/>
      <c r="AD168" s="1399"/>
      <c r="AE168" s="1399"/>
    </row>
    <row r="169" spans="1:31">
      <c r="A169" s="1487"/>
      <c r="B169" s="1488"/>
      <c r="C169" s="1489"/>
      <c r="D169" s="1490"/>
      <c r="E169" s="1487"/>
      <c r="F169" s="1488"/>
      <c r="G169" s="1489"/>
      <c r="H169" s="1490"/>
      <c r="I169" s="1487"/>
      <c r="J169" s="1488"/>
      <c r="K169" s="1489"/>
      <c r="L169" s="1490"/>
      <c r="M169" s="1487"/>
      <c r="N169" s="1488"/>
      <c r="O169" s="1489"/>
      <c r="P169" s="1490"/>
      <c r="Q169" s="1399"/>
      <c r="X169" s="1445" t="e">
        <f ca="1"/>
        <v>#NAME?</v>
      </c>
      <c r="Y169" s="1446" t="e">
        <f ca="1"/>
        <v>#NAME?</v>
      </c>
      <c r="Z169" s="1408"/>
      <c r="AB169" s="1399"/>
      <c r="AC169" s="1399"/>
      <c r="AD169" s="1399"/>
      <c r="AE169" s="1399"/>
    </row>
    <row r="170" spans="1:31">
      <c r="A170" s="1487"/>
      <c r="B170" s="1488"/>
      <c r="C170" s="1489"/>
      <c r="D170" s="1490"/>
      <c r="E170" s="1487"/>
      <c r="F170" s="1488"/>
      <c r="G170" s="1489"/>
      <c r="H170" s="1490"/>
      <c r="I170" s="1487"/>
      <c r="J170" s="1488"/>
      <c r="K170" s="1489"/>
      <c r="L170" s="1490"/>
      <c r="M170" s="1487"/>
      <c r="N170" s="1488"/>
      <c r="O170" s="1489"/>
      <c r="P170" s="1490"/>
      <c r="Q170" s="1399"/>
      <c r="X170" s="1445" t="e">
        <f ca="1"/>
        <v>#NAME?</v>
      </c>
      <c r="Y170" s="1446" t="e">
        <f ca="1"/>
        <v>#NAME?</v>
      </c>
      <c r="Z170" s="1408"/>
      <c r="AB170" s="1399"/>
      <c r="AC170" s="1399"/>
      <c r="AD170" s="1399"/>
      <c r="AE170" s="1399"/>
    </row>
    <row r="171" spans="1:31">
      <c r="A171" s="1487"/>
      <c r="B171" s="1488"/>
      <c r="C171" s="1489"/>
      <c r="D171" s="1490"/>
      <c r="E171" s="1487"/>
      <c r="F171" s="1488"/>
      <c r="G171" s="1489"/>
      <c r="H171" s="1490"/>
      <c r="I171" s="1487"/>
      <c r="J171" s="1488"/>
      <c r="K171" s="1489"/>
      <c r="L171" s="1490"/>
      <c r="M171" s="1487"/>
      <c r="N171" s="1488"/>
      <c r="O171" s="1489"/>
      <c r="P171" s="1490"/>
      <c r="Q171" s="1399"/>
      <c r="X171" s="1445" t="e">
        <f ca="1"/>
        <v>#NAME?</v>
      </c>
      <c r="Y171" s="1446" t="e">
        <f ca="1"/>
        <v>#NAME?</v>
      </c>
      <c r="Z171" s="1408"/>
      <c r="AB171" s="1399"/>
      <c r="AC171" s="1399"/>
      <c r="AD171" s="1399"/>
      <c r="AE171" s="1399"/>
    </row>
    <row r="172" spans="1:31">
      <c r="A172" s="1487"/>
      <c r="B172" s="1488"/>
      <c r="C172" s="1489"/>
      <c r="D172" s="1490"/>
      <c r="E172" s="1487"/>
      <c r="F172" s="1488"/>
      <c r="G172" s="1489"/>
      <c r="H172" s="1490"/>
      <c r="I172" s="1487"/>
      <c r="J172" s="1488"/>
      <c r="K172" s="1489"/>
      <c r="L172" s="1490"/>
      <c r="M172" s="1487"/>
      <c r="N172" s="1488"/>
      <c r="O172" s="1489"/>
      <c r="P172" s="1490"/>
      <c r="Q172" s="1399"/>
      <c r="X172" s="1445" t="e">
        <f ca="1"/>
        <v>#NAME?</v>
      </c>
      <c r="Y172" s="1446" t="e">
        <f ca="1"/>
        <v>#NAME?</v>
      </c>
      <c r="Z172" s="1408"/>
      <c r="AB172" s="1399"/>
      <c r="AC172" s="1399"/>
      <c r="AD172" s="1399"/>
      <c r="AE172" s="1399"/>
    </row>
    <row r="173" spans="1:31">
      <c r="A173" s="1487"/>
      <c r="B173" s="1488"/>
      <c r="C173" s="1489"/>
      <c r="D173" s="1490"/>
      <c r="E173" s="1487"/>
      <c r="F173" s="1488"/>
      <c r="G173" s="1489"/>
      <c r="H173" s="1490"/>
      <c r="I173" s="1487"/>
      <c r="J173" s="1488"/>
      <c r="K173" s="1489"/>
      <c r="L173" s="1490"/>
      <c r="M173" s="1487"/>
      <c r="N173" s="1488"/>
      <c r="O173" s="1489"/>
      <c r="P173" s="1490"/>
      <c r="Q173" s="1399"/>
      <c r="X173" s="1445" t="e">
        <f ca="1"/>
        <v>#NAME?</v>
      </c>
      <c r="Y173" s="1446" t="e">
        <f ca="1"/>
        <v>#NAME?</v>
      </c>
      <c r="Z173" s="1408"/>
      <c r="AB173" s="1399"/>
      <c r="AC173" s="1399"/>
      <c r="AD173" s="1399"/>
      <c r="AE173" s="1399"/>
    </row>
    <row r="174" spans="1:31">
      <c r="A174" s="1487"/>
      <c r="B174" s="1488"/>
      <c r="C174" s="1489"/>
      <c r="D174" s="1490"/>
      <c r="E174" s="1487"/>
      <c r="F174" s="1488"/>
      <c r="G174" s="1489"/>
      <c r="H174" s="1490"/>
      <c r="I174" s="1487"/>
      <c r="J174" s="1488"/>
      <c r="K174" s="1489"/>
      <c r="L174" s="1490"/>
      <c r="M174" s="1487"/>
      <c r="N174" s="1488"/>
      <c r="O174" s="1489"/>
      <c r="P174" s="1490"/>
      <c r="Q174" s="1399"/>
      <c r="X174" s="1445" t="e">
        <f ca="1"/>
        <v>#NAME?</v>
      </c>
      <c r="Y174" s="1446" t="e">
        <f ca="1"/>
        <v>#NAME?</v>
      </c>
      <c r="Z174" s="1408"/>
      <c r="AB174" s="1399"/>
      <c r="AC174" s="1399"/>
      <c r="AD174" s="1399"/>
      <c r="AE174" s="1399"/>
    </row>
    <row r="175" spans="1:31">
      <c r="A175" s="1487"/>
      <c r="B175" s="1488"/>
      <c r="C175" s="1489"/>
      <c r="D175" s="1490"/>
      <c r="E175" s="1487"/>
      <c r="F175" s="1488"/>
      <c r="G175" s="1489"/>
      <c r="H175" s="1490"/>
      <c r="I175" s="1487"/>
      <c r="J175" s="1488"/>
      <c r="K175" s="1489"/>
      <c r="L175" s="1490"/>
      <c r="M175" s="1487"/>
      <c r="N175" s="1488"/>
      <c r="O175" s="1489"/>
      <c r="P175" s="1490"/>
      <c r="Q175" s="1399"/>
      <c r="X175" s="1445" t="e">
        <f ca="1"/>
        <v>#NAME?</v>
      </c>
      <c r="Y175" s="1446" t="e">
        <f ca="1"/>
        <v>#NAME?</v>
      </c>
      <c r="Z175" s="1408"/>
      <c r="AB175" s="1399"/>
      <c r="AC175" s="1399"/>
      <c r="AD175" s="1399"/>
      <c r="AE175" s="1399"/>
    </row>
    <row r="176" spans="1:31">
      <c r="A176" s="1487"/>
      <c r="B176" s="1488"/>
      <c r="C176" s="1489"/>
      <c r="D176" s="1490"/>
      <c r="E176" s="1487"/>
      <c r="F176" s="1488"/>
      <c r="G176" s="1489"/>
      <c r="H176" s="1490"/>
      <c r="I176" s="1487"/>
      <c r="J176" s="1488"/>
      <c r="K176" s="1489"/>
      <c r="L176" s="1490"/>
      <c r="M176" s="1487"/>
      <c r="N176" s="1488"/>
      <c r="O176" s="1489"/>
      <c r="P176" s="1490"/>
      <c r="Q176" s="1399"/>
      <c r="X176" s="1445" t="e">
        <f ca="1"/>
        <v>#NAME?</v>
      </c>
      <c r="Y176" s="1446" t="e">
        <f ca="1"/>
        <v>#NAME?</v>
      </c>
      <c r="Z176" s="1408"/>
      <c r="AB176" s="1399"/>
      <c r="AC176" s="1399"/>
      <c r="AD176" s="1399"/>
      <c r="AE176" s="1399"/>
    </row>
    <row r="177" spans="1:31">
      <c r="A177" s="1487"/>
      <c r="B177" s="1488"/>
      <c r="C177" s="1489"/>
      <c r="D177" s="1490"/>
      <c r="E177" s="1487"/>
      <c r="F177" s="1488"/>
      <c r="G177" s="1489"/>
      <c r="H177" s="1490"/>
      <c r="I177" s="1487"/>
      <c r="J177" s="1488"/>
      <c r="K177" s="1489"/>
      <c r="L177" s="1490"/>
      <c r="M177" s="1487"/>
      <c r="N177" s="1488"/>
      <c r="O177" s="1489"/>
      <c r="P177" s="1490"/>
      <c r="Q177" s="1399"/>
      <c r="X177" s="1445" t="e">
        <f ca="1"/>
        <v>#NAME?</v>
      </c>
      <c r="Y177" s="1446" t="e">
        <f ca="1"/>
        <v>#NAME?</v>
      </c>
      <c r="Z177" s="1408"/>
      <c r="AB177" s="1399"/>
      <c r="AC177" s="1399"/>
      <c r="AD177" s="1399"/>
      <c r="AE177" s="1399"/>
    </row>
    <row r="178" spans="1:31">
      <c r="A178" s="1487"/>
      <c r="B178" s="1488"/>
      <c r="C178" s="1489"/>
      <c r="D178" s="1490"/>
      <c r="E178" s="1487"/>
      <c r="F178" s="1488"/>
      <c r="G178" s="1489"/>
      <c r="H178" s="1490"/>
      <c r="I178" s="1487"/>
      <c r="J178" s="1488"/>
      <c r="K178" s="1489"/>
      <c r="L178" s="1490"/>
      <c r="M178" s="1487"/>
      <c r="N178" s="1488"/>
      <c r="O178" s="1489"/>
      <c r="P178" s="1490"/>
      <c r="Q178" s="1399"/>
      <c r="X178" s="1445" t="e">
        <f ca="1"/>
        <v>#NAME?</v>
      </c>
      <c r="Y178" s="1446" t="e">
        <f ca="1"/>
        <v>#NAME?</v>
      </c>
      <c r="Z178" s="1408"/>
      <c r="AB178" s="1399"/>
      <c r="AC178" s="1399"/>
      <c r="AD178" s="1399"/>
      <c r="AE178" s="1399"/>
    </row>
    <row r="179" spans="1:31">
      <c r="A179" s="1487"/>
      <c r="B179" s="1488"/>
      <c r="C179" s="1489"/>
      <c r="D179" s="1490"/>
      <c r="E179" s="1487"/>
      <c r="F179" s="1488"/>
      <c r="G179" s="1489"/>
      <c r="H179" s="1490"/>
      <c r="I179" s="1487"/>
      <c r="J179" s="1488"/>
      <c r="K179" s="1489"/>
      <c r="L179" s="1490"/>
      <c r="M179" s="1487"/>
      <c r="N179" s="1488"/>
      <c r="O179" s="1489"/>
      <c r="P179" s="1490"/>
      <c r="Q179" s="1399"/>
      <c r="X179" s="1445" t="e">
        <f ca="1"/>
        <v>#NAME?</v>
      </c>
      <c r="Y179" s="1446" t="e">
        <f ca="1"/>
        <v>#NAME?</v>
      </c>
      <c r="Z179" s="1408"/>
      <c r="AB179" s="1399"/>
      <c r="AC179" s="1399"/>
      <c r="AD179" s="1399"/>
      <c r="AE179" s="1399"/>
    </row>
    <row r="180" spans="1:31">
      <c r="A180" s="1487"/>
      <c r="B180" s="1488"/>
      <c r="C180" s="1489"/>
      <c r="D180" s="1490"/>
      <c r="E180" s="1487"/>
      <c r="F180" s="1488"/>
      <c r="G180" s="1489"/>
      <c r="H180" s="1490"/>
      <c r="I180" s="1487"/>
      <c r="J180" s="1488"/>
      <c r="K180" s="1489"/>
      <c r="L180" s="1490"/>
      <c r="M180" s="1487"/>
      <c r="N180" s="1488"/>
      <c r="O180" s="1489"/>
      <c r="P180" s="1490"/>
      <c r="Q180" s="1399"/>
      <c r="X180" s="1445" t="e">
        <f ca="1"/>
        <v>#NAME?</v>
      </c>
      <c r="Y180" s="1446" t="e">
        <f ca="1"/>
        <v>#NAME?</v>
      </c>
      <c r="Z180" s="1408"/>
      <c r="AB180" s="1399"/>
      <c r="AC180" s="1399"/>
      <c r="AD180" s="1399"/>
      <c r="AE180" s="1399"/>
    </row>
    <row r="181" spans="1:31">
      <c r="A181" s="1487"/>
      <c r="B181" s="1488"/>
      <c r="C181" s="1489"/>
      <c r="D181" s="1490"/>
      <c r="E181" s="1487"/>
      <c r="F181" s="1488"/>
      <c r="G181" s="1489"/>
      <c r="H181" s="1490"/>
      <c r="I181" s="1487"/>
      <c r="J181" s="1488"/>
      <c r="K181" s="1489"/>
      <c r="L181" s="1490"/>
      <c r="M181" s="1487"/>
      <c r="N181" s="1488"/>
      <c r="O181" s="1489"/>
      <c r="P181" s="1490"/>
      <c r="Q181" s="1399"/>
      <c r="X181" s="1445" t="e">
        <f ca="1"/>
        <v>#NAME?</v>
      </c>
      <c r="Y181" s="1446" t="e">
        <f ca="1"/>
        <v>#NAME?</v>
      </c>
      <c r="Z181" s="1408"/>
      <c r="AB181" s="1399"/>
      <c r="AC181" s="1399"/>
      <c r="AD181" s="1399"/>
      <c r="AE181" s="1399"/>
    </row>
    <row r="182" spans="1:31">
      <c r="A182" s="1487"/>
      <c r="B182" s="1488"/>
      <c r="C182" s="1489"/>
      <c r="D182" s="1490"/>
      <c r="E182" s="1487"/>
      <c r="F182" s="1488"/>
      <c r="G182" s="1489"/>
      <c r="H182" s="1490"/>
      <c r="I182" s="1487"/>
      <c r="J182" s="1488"/>
      <c r="K182" s="1489"/>
      <c r="L182" s="1490"/>
      <c r="M182" s="1487"/>
      <c r="N182" s="1488"/>
      <c r="O182" s="1489"/>
      <c r="P182" s="1490"/>
      <c r="Q182" s="1399"/>
      <c r="X182" s="1445" t="e">
        <f ca="1"/>
        <v>#NAME?</v>
      </c>
      <c r="Y182" s="1446" t="e">
        <f ca="1"/>
        <v>#NAME?</v>
      </c>
      <c r="Z182" s="1408"/>
      <c r="AB182" s="1399"/>
      <c r="AC182" s="1399"/>
      <c r="AD182" s="1399"/>
      <c r="AE182" s="1399"/>
    </row>
    <row r="183" spans="1:31">
      <c r="A183" s="1487"/>
      <c r="B183" s="1488"/>
      <c r="C183" s="1489"/>
      <c r="D183" s="1490"/>
      <c r="E183" s="1487"/>
      <c r="F183" s="1488"/>
      <c r="G183" s="1489"/>
      <c r="H183" s="1490"/>
      <c r="I183" s="1487"/>
      <c r="J183" s="1488"/>
      <c r="K183" s="1489"/>
      <c r="L183" s="1490"/>
      <c r="M183" s="1487"/>
      <c r="N183" s="1488"/>
      <c r="O183" s="1489"/>
      <c r="P183" s="1490"/>
      <c r="Q183" s="1399"/>
      <c r="X183" s="1445" t="e">
        <f ca="1"/>
        <v>#NAME?</v>
      </c>
      <c r="Y183" s="1446" t="e">
        <f ca="1"/>
        <v>#NAME?</v>
      </c>
      <c r="Z183" s="1408"/>
      <c r="AB183" s="1399"/>
      <c r="AC183" s="1399"/>
      <c r="AD183" s="1399"/>
      <c r="AE183" s="1399"/>
    </row>
    <row r="184" spans="1:31">
      <c r="A184" s="1487"/>
      <c r="B184" s="1488"/>
      <c r="C184" s="1489"/>
      <c r="D184" s="1490"/>
      <c r="E184" s="1487"/>
      <c r="F184" s="1488"/>
      <c r="G184" s="1489"/>
      <c r="H184" s="1490"/>
      <c r="I184" s="1487"/>
      <c r="J184" s="1488"/>
      <c r="K184" s="1489"/>
      <c r="L184" s="1490"/>
      <c r="M184" s="1487"/>
      <c r="N184" s="1488"/>
      <c r="O184" s="1489"/>
      <c r="P184" s="1490"/>
      <c r="Q184" s="1399"/>
      <c r="X184" s="1445" t="e">
        <f ca="1"/>
        <v>#NAME?</v>
      </c>
      <c r="Y184" s="1446" t="e">
        <f ca="1"/>
        <v>#NAME?</v>
      </c>
      <c r="Z184" s="1408"/>
      <c r="AB184" s="1399"/>
      <c r="AC184" s="1399"/>
      <c r="AD184" s="1399"/>
      <c r="AE184" s="1399"/>
    </row>
    <row r="185" spans="1:31">
      <c r="A185" s="1487"/>
      <c r="B185" s="1488"/>
      <c r="C185" s="1489"/>
      <c r="D185" s="1490"/>
      <c r="E185" s="1487"/>
      <c r="F185" s="1488"/>
      <c r="G185" s="1489"/>
      <c r="H185" s="1490"/>
      <c r="I185" s="1487"/>
      <c r="J185" s="1488"/>
      <c r="K185" s="1489"/>
      <c r="L185" s="1490"/>
      <c r="M185" s="1487"/>
      <c r="N185" s="1488"/>
      <c r="O185" s="1489"/>
      <c r="P185" s="1490"/>
      <c r="Q185" s="1399"/>
      <c r="X185" s="1445" t="e">
        <f ca="1"/>
        <v>#NAME?</v>
      </c>
      <c r="Y185" s="1446" t="e">
        <f ca="1"/>
        <v>#NAME?</v>
      </c>
      <c r="Z185" s="1408"/>
      <c r="AB185" s="1399"/>
      <c r="AC185" s="1399"/>
      <c r="AD185" s="1399"/>
      <c r="AE185" s="1399"/>
    </row>
    <row r="186" spans="1:31">
      <c r="A186" s="1487"/>
      <c r="B186" s="1488"/>
      <c r="C186" s="1489"/>
      <c r="D186" s="1490"/>
      <c r="E186" s="1487"/>
      <c r="F186" s="1488"/>
      <c r="G186" s="1489"/>
      <c r="H186" s="1490"/>
      <c r="I186" s="1487"/>
      <c r="J186" s="1488"/>
      <c r="K186" s="1489"/>
      <c r="L186" s="1490"/>
      <c r="M186" s="1487"/>
      <c r="N186" s="1488"/>
      <c r="O186" s="1489"/>
      <c r="P186" s="1490"/>
      <c r="Q186" s="1399"/>
      <c r="X186" s="1445" t="e">
        <f ca="1"/>
        <v>#NAME?</v>
      </c>
      <c r="Y186" s="1446" t="e">
        <f ca="1"/>
        <v>#NAME?</v>
      </c>
      <c r="Z186" s="1408"/>
      <c r="AB186" s="1399"/>
      <c r="AC186" s="1399"/>
      <c r="AD186" s="1399"/>
      <c r="AE186" s="1399"/>
    </row>
    <row r="187" spans="1:31">
      <c r="A187" s="1487"/>
      <c r="B187" s="1488"/>
      <c r="C187" s="1489"/>
      <c r="D187" s="1490"/>
      <c r="E187" s="1487"/>
      <c r="F187" s="1488"/>
      <c r="G187" s="1489"/>
      <c r="H187" s="1490"/>
      <c r="I187" s="1487"/>
      <c r="J187" s="1488"/>
      <c r="K187" s="1489"/>
      <c r="L187" s="1490"/>
      <c r="M187" s="1487"/>
      <c r="N187" s="1488"/>
      <c r="O187" s="1489"/>
      <c r="P187" s="1490"/>
      <c r="Q187" s="1399"/>
      <c r="X187" s="1445" t="e">
        <f ca="1"/>
        <v>#NAME?</v>
      </c>
      <c r="Y187" s="1446" t="e">
        <f ca="1"/>
        <v>#NAME?</v>
      </c>
      <c r="Z187" s="1408"/>
      <c r="AB187" s="1399"/>
      <c r="AC187" s="1399"/>
      <c r="AD187" s="1399"/>
      <c r="AE187" s="1399"/>
    </row>
    <row r="188" spans="1:31">
      <c r="A188" s="1487"/>
      <c r="B188" s="1488"/>
      <c r="C188" s="1489"/>
      <c r="D188" s="1490"/>
      <c r="E188" s="1487"/>
      <c r="F188" s="1488"/>
      <c r="G188" s="1489"/>
      <c r="H188" s="1490"/>
      <c r="I188" s="1487"/>
      <c r="J188" s="1488"/>
      <c r="K188" s="1489"/>
      <c r="L188" s="1490"/>
      <c r="M188" s="1487"/>
      <c r="N188" s="1488"/>
      <c r="O188" s="1489"/>
      <c r="P188" s="1490"/>
      <c r="Q188" s="1399"/>
      <c r="X188" s="1445" t="e">
        <f ca="1"/>
        <v>#NAME?</v>
      </c>
      <c r="Y188" s="1446" t="e">
        <f ca="1"/>
        <v>#NAME?</v>
      </c>
      <c r="Z188" s="1408"/>
      <c r="AB188" s="1399"/>
      <c r="AC188" s="1399"/>
      <c r="AD188" s="1399"/>
      <c r="AE188" s="1399"/>
    </row>
    <row r="189" spans="1:31">
      <c r="A189" s="1487"/>
      <c r="B189" s="1488"/>
      <c r="C189" s="1489"/>
      <c r="D189" s="1490"/>
      <c r="E189" s="1487"/>
      <c r="F189" s="1488"/>
      <c r="G189" s="1489"/>
      <c r="H189" s="1490"/>
      <c r="I189" s="1487"/>
      <c r="J189" s="1488"/>
      <c r="K189" s="1489"/>
      <c r="L189" s="1490"/>
      <c r="M189" s="1487"/>
      <c r="N189" s="1488"/>
      <c r="O189" s="1489"/>
      <c r="P189" s="1490"/>
      <c r="Q189" s="1399"/>
      <c r="X189" s="1445" t="e">
        <f ca="1"/>
        <v>#NAME?</v>
      </c>
      <c r="Y189" s="1446" t="e">
        <f ca="1"/>
        <v>#NAME?</v>
      </c>
      <c r="Z189" s="1408"/>
      <c r="AB189" s="1399"/>
      <c r="AC189" s="1399"/>
      <c r="AD189" s="1399"/>
      <c r="AE189" s="1399"/>
    </row>
    <row r="190" spans="1:31">
      <c r="A190" s="1487"/>
      <c r="B190" s="1488"/>
      <c r="C190" s="1489"/>
      <c r="D190" s="1490"/>
      <c r="E190" s="1487"/>
      <c r="F190" s="1488"/>
      <c r="G190" s="1489"/>
      <c r="H190" s="1490"/>
      <c r="I190" s="1487"/>
      <c r="J190" s="1488"/>
      <c r="K190" s="1489"/>
      <c r="L190" s="1490"/>
      <c r="M190" s="1487"/>
      <c r="N190" s="1488"/>
      <c r="O190" s="1489"/>
      <c r="P190" s="1490"/>
      <c r="Q190" s="1399"/>
      <c r="X190" s="1445" t="e">
        <f ca="1"/>
        <v>#NAME?</v>
      </c>
      <c r="Y190" s="1446" t="e">
        <f ca="1"/>
        <v>#NAME?</v>
      </c>
      <c r="Z190" s="1408"/>
      <c r="AB190" s="1399"/>
      <c r="AC190" s="1399"/>
      <c r="AD190" s="1399"/>
      <c r="AE190" s="1399"/>
    </row>
    <row r="191" spans="1:31">
      <c r="A191" s="1487"/>
      <c r="B191" s="1488"/>
      <c r="C191" s="1489"/>
      <c r="D191" s="1490"/>
      <c r="E191" s="1487"/>
      <c r="F191" s="1488"/>
      <c r="G191" s="1489"/>
      <c r="H191" s="1490"/>
      <c r="I191" s="1487"/>
      <c r="J191" s="1488"/>
      <c r="K191" s="1489"/>
      <c r="L191" s="1490"/>
      <c r="M191" s="1487"/>
      <c r="N191" s="1488"/>
      <c r="O191" s="1489"/>
      <c r="P191" s="1490"/>
      <c r="Q191" s="1399"/>
      <c r="X191" s="1445" t="e">
        <f ca="1"/>
        <v>#NAME?</v>
      </c>
      <c r="Y191" s="1446" t="e">
        <f ca="1"/>
        <v>#NAME?</v>
      </c>
      <c r="Z191" s="1408"/>
      <c r="AB191" s="1399"/>
      <c r="AC191" s="1399"/>
      <c r="AD191" s="1399"/>
      <c r="AE191" s="1399"/>
    </row>
    <row r="192" spans="1:31">
      <c r="A192" s="1487"/>
      <c r="B192" s="1488"/>
      <c r="C192" s="1489"/>
      <c r="D192" s="1490"/>
      <c r="E192" s="1487"/>
      <c r="F192" s="1488"/>
      <c r="G192" s="1489"/>
      <c r="H192" s="1490"/>
      <c r="I192" s="1487"/>
      <c r="J192" s="1488"/>
      <c r="K192" s="1489"/>
      <c r="L192" s="1490"/>
      <c r="M192" s="1487"/>
      <c r="N192" s="1488"/>
      <c r="O192" s="1489"/>
      <c r="P192" s="1490"/>
      <c r="Q192" s="1399"/>
      <c r="X192" s="1445" t="e">
        <f ca="1"/>
        <v>#NAME?</v>
      </c>
      <c r="Y192" s="1446" t="e">
        <f ca="1"/>
        <v>#NAME?</v>
      </c>
      <c r="Z192" s="1408"/>
      <c r="AB192" s="1399"/>
      <c r="AC192" s="1399"/>
      <c r="AD192" s="1399"/>
      <c r="AE192" s="1399"/>
    </row>
    <row r="193" spans="1:31">
      <c r="A193" s="1487"/>
      <c r="B193" s="1488"/>
      <c r="C193" s="1489"/>
      <c r="D193" s="1490"/>
      <c r="E193" s="1487"/>
      <c r="F193" s="1488"/>
      <c r="G193" s="1489"/>
      <c r="H193" s="1490"/>
      <c r="I193" s="1487"/>
      <c r="J193" s="1488"/>
      <c r="K193" s="1489"/>
      <c r="L193" s="1490"/>
      <c r="M193" s="1487"/>
      <c r="N193" s="1488"/>
      <c r="O193" s="1489"/>
      <c r="P193" s="1490"/>
      <c r="Q193" s="1399"/>
      <c r="X193" s="1445" t="e">
        <f ca="1"/>
        <v>#NAME?</v>
      </c>
      <c r="Y193" s="1446" t="e">
        <f ca="1"/>
        <v>#NAME?</v>
      </c>
      <c r="Z193" s="1408"/>
      <c r="AB193" s="1399"/>
      <c r="AC193" s="1399"/>
      <c r="AD193" s="1399"/>
      <c r="AE193" s="1399"/>
    </row>
    <row r="194" spans="1:31">
      <c r="A194" s="1487"/>
      <c r="B194" s="1488"/>
      <c r="C194" s="1489"/>
      <c r="D194" s="1490"/>
      <c r="E194" s="1487"/>
      <c r="F194" s="1488"/>
      <c r="G194" s="1489"/>
      <c r="H194" s="1490"/>
      <c r="I194" s="1487"/>
      <c r="J194" s="1488"/>
      <c r="K194" s="1489"/>
      <c r="L194" s="1490"/>
      <c r="M194" s="1487"/>
      <c r="N194" s="1488"/>
      <c r="O194" s="1489"/>
      <c r="P194" s="1490"/>
      <c r="Q194" s="1399"/>
      <c r="X194" s="1445" t="e">
        <f ca="1"/>
        <v>#NAME?</v>
      </c>
      <c r="Y194" s="1446" t="e">
        <f ca="1"/>
        <v>#NAME?</v>
      </c>
      <c r="Z194" s="1408"/>
      <c r="AB194" s="1399"/>
      <c r="AC194" s="1399"/>
      <c r="AD194" s="1399"/>
      <c r="AE194" s="1399"/>
    </row>
    <row r="195" spans="1:31">
      <c r="A195" s="1487"/>
      <c r="B195" s="1488"/>
      <c r="C195" s="1489"/>
      <c r="D195" s="1490"/>
      <c r="E195" s="1487"/>
      <c r="F195" s="1488"/>
      <c r="G195" s="1489"/>
      <c r="H195" s="1490"/>
      <c r="I195" s="1487"/>
      <c r="J195" s="1488"/>
      <c r="K195" s="1489"/>
      <c r="L195" s="1490"/>
      <c r="M195" s="1487"/>
      <c r="N195" s="1488"/>
      <c r="O195" s="1489"/>
      <c r="P195" s="1490"/>
      <c r="Q195" s="1399"/>
      <c r="X195" s="1445" t="e">
        <f ca="1"/>
        <v>#NAME?</v>
      </c>
      <c r="Y195" s="1446" t="e">
        <f ca="1"/>
        <v>#NAME?</v>
      </c>
      <c r="Z195" s="1408"/>
      <c r="AB195" s="1399"/>
      <c r="AC195" s="1399"/>
      <c r="AD195" s="1399"/>
      <c r="AE195" s="1399"/>
    </row>
    <row r="196" spans="1:31">
      <c r="A196" s="1487"/>
      <c r="B196" s="1488"/>
      <c r="C196" s="1489"/>
      <c r="D196" s="1490"/>
      <c r="E196" s="1487"/>
      <c r="F196" s="1488"/>
      <c r="G196" s="1489"/>
      <c r="H196" s="1490"/>
      <c r="I196" s="1487"/>
      <c r="J196" s="1488"/>
      <c r="K196" s="1489"/>
      <c r="L196" s="1490"/>
      <c r="M196" s="1487"/>
      <c r="N196" s="1488"/>
      <c r="O196" s="1489"/>
      <c r="P196" s="1490"/>
      <c r="Q196" s="1399"/>
      <c r="X196" s="1445" t="e">
        <f ca="1"/>
        <v>#NAME?</v>
      </c>
      <c r="Y196" s="1446" t="e">
        <f ca="1"/>
        <v>#NAME?</v>
      </c>
      <c r="Z196" s="1408"/>
      <c r="AB196" s="1399"/>
      <c r="AC196" s="1399"/>
      <c r="AD196" s="1399"/>
      <c r="AE196" s="1399"/>
    </row>
    <row r="197" spans="1:31">
      <c r="A197" s="1487"/>
      <c r="B197" s="1488"/>
      <c r="C197" s="1489"/>
      <c r="D197" s="1490"/>
      <c r="E197" s="1487"/>
      <c r="F197" s="1488"/>
      <c r="G197" s="1489"/>
      <c r="H197" s="1490"/>
      <c r="I197" s="1487"/>
      <c r="J197" s="1488"/>
      <c r="K197" s="1489"/>
      <c r="L197" s="1490"/>
      <c r="M197" s="1487"/>
      <c r="N197" s="1488"/>
      <c r="O197" s="1489"/>
      <c r="P197" s="1490"/>
      <c r="Q197" s="1399"/>
      <c r="X197" s="1445" t="e">
        <f ca="1"/>
        <v>#NAME?</v>
      </c>
      <c r="Y197" s="1446" t="e">
        <f ca="1"/>
        <v>#NAME?</v>
      </c>
      <c r="Z197" s="1408"/>
      <c r="AB197" s="1399"/>
      <c r="AC197" s="1399"/>
      <c r="AD197" s="1399"/>
      <c r="AE197" s="1399"/>
    </row>
    <row r="198" spans="1:31">
      <c r="A198" s="1487"/>
      <c r="B198" s="1488"/>
      <c r="C198" s="1489"/>
      <c r="D198" s="1490"/>
      <c r="E198" s="1487"/>
      <c r="F198" s="1488"/>
      <c r="G198" s="1489"/>
      <c r="H198" s="1490"/>
      <c r="I198" s="1487"/>
      <c r="J198" s="1488"/>
      <c r="K198" s="1489"/>
      <c r="L198" s="1490"/>
      <c r="M198" s="1487"/>
      <c r="N198" s="1488"/>
      <c r="O198" s="1489"/>
      <c r="P198" s="1490"/>
      <c r="Q198" s="1399"/>
      <c r="X198" s="1445" t="e">
        <f ca="1"/>
        <v>#NAME?</v>
      </c>
      <c r="Y198" s="1446" t="e">
        <f ca="1"/>
        <v>#NAME?</v>
      </c>
      <c r="Z198" s="1408"/>
      <c r="AB198" s="1399"/>
      <c r="AC198" s="1399"/>
      <c r="AD198" s="1399"/>
      <c r="AE198" s="1399"/>
    </row>
    <row r="199" spans="1:31">
      <c r="A199" s="1487"/>
      <c r="B199" s="1488"/>
      <c r="C199" s="1489"/>
      <c r="D199" s="1490"/>
      <c r="E199" s="1487"/>
      <c r="F199" s="1488"/>
      <c r="G199" s="1489"/>
      <c r="H199" s="1490"/>
      <c r="I199" s="1487"/>
      <c r="J199" s="1488"/>
      <c r="K199" s="1489"/>
      <c r="L199" s="1490"/>
      <c r="M199" s="1487"/>
      <c r="N199" s="1488"/>
      <c r="O199" s="1489"/>
      <c r="P199" s="1490"/>
      <c r="Q199" s="1399"/>
      <c r="X199" s="1445" t="e">
        <f ca="1"/>
        <v>#NAME?</v>
      </c>
      <c r="Y199" s="1446" t="e">
        <f ca="1"/>
        <v>#NAME?</v>
      </c>
      <c r="Z199" s="1408"/>
      <c r="AB199" s="1399"/>
      <c r="AC199" s="1399"/>
      <c r="AD199" s="1399"/>
      <c r="AE199" s="1399"/>
    </row>
    <row r="200" spans="1:31">
      <c r="A200" s="1487"/>
      <c r="B200" s="1488"/>
      <c r="C200" s="1489"/>
      <c r="D200" s="1490"/>
      <c r="E200" s="1487"/>
      <c r="F200" s="1488"/>
      <c r="G200" s="1489"/>
      <c r="H200" s="1490"/>
      <c r="I200" s="1487"/>
      <c r="J200" s="1488"/>
      <c r="K200" s="1489"/>
      <c r="L200" s="1490"/>
      <c r="M200" s="1487"/>
      <c r="N200" s="1488"/>
      <c r="O200" s="1489"/>
      <c r="P200" s="1490"/>
      <c r="Q200" s="1399"/>
      <c r="X200" s="1445" t="e">
        <f ca="1"/>
        <v>#NAME?</v>
      </c>
      <c r="Y200" s="1446" t="e">
        <f ca="1"/>
        <v>#NAME?</v>
      </c>
      <c r="Z200" s="1408"/>
      <c r="AB200" s="1399"/>
      <c r="AC200" s="1399"/>
      <c r="AD200" s="1399"/>
      <c r="AE200" s="1399"/>
    </row>
    <row r="201" spans="1:31">
      <c r="A201" s="1487"/>
      <c r="B201" s="1488"/>
      <c r="C201" s="1489"/>
      <c r="D201" s="1490"/>
      <c r="E201" s="1487"/>
      <c r="F201" s="1488"/>
      <c r="G201" s="1489"/>
      <c r="H201" s="1490"/>
      <c r="I201" s="1487"/>
      <c r="J201" s="1488"/>
      <c r="K201" s="1489"/>
      <c r="L201" s="1490"/>
      <c r="M201" s="1487"/>
      <c r="N201" s="1488"/>
      <c r="O201" s="1489"/>
      <c r="P201" s="1490"/>
      <c r="Q201" s="1399"/>
      <c r="X201" s="1445" t="e">
        <f ca="1"/>
        <v>#NAME?</v>
      </c>
      <c r="Y201" s="1446" t="e">
        <f ca="1"/>
        <v>#NAME?</v>
      </c>
      <c r="Z201" s="1408"/>
      <c r="AB201" s="1399"/>
      <c r="AC201" s="1399"/>
      <c r="AD201" s="1399"/>
      <c r="AE201" s="1399"/>
    </row>
    <row r="202" spans="1:31">
      <c r="A202" s="1487"/>
      <c r="B202" s="1488"/>
      <c r="C202" s="1489"/>
      <c r="D202" s="1490"/>
      <c r="E202" s="1487"/>
      <c r="F202" s="1488"/>
      <c r="G202" s="1489"/>
      <c r="H202" s="1490"/>
      <c r="I202" s="1487"/>
      <c r="J202" s="1488"/>
      <c r="K202" s="1489"/>
      <c r="L202" s="1490"/>
      <c r="M202" s="1487"/>
      <c r="N202" s="1488"/>
      <c r="O202" s="1489"/>
      <c r="P202" s="1490"/>
      <c r="Q202" s="1399"/>
      <c r="X202" s="1445" t="e">
        <f ca="1"/>
        <v>#NAME?</v>
      </c>
      <c r="Y202" s="1446" t="e">
        <f ca="1"/>
        <v>#NAME?</v>
      </c>
      <c r="Z202" s="1408"/>
      <c r="AB202" s="1399"/>
      <c r="AC202" s="1399"/>
      <c r="AD202" s="1399"/>
      <c r="AE202" s="1399"/>
    </row>
    <row r="203" spans="1:31">
      <c r="A203" s="1487"/>
      <c r="B203" s="1488"/>
      <c r="C203" s="1489"/>
      <c r="D203" s="1490"/>
      <c r="E203" s="1487"/>
      <c r="F203" s="1488"/>
      <c r="G203" s="1489"/>
      <c r="H203" s="1490"/>
      <c r="I203" s="1487"/>
      <c r="J203" s="1488"/>
      <c r="K203" s="1489"/>
      <c r="L203" s="1490"/>
      <c r="M203" s="1487"/>
      <c r="N203" s="1488"/>
      <c r="O203" s="1489"/>
      <c r="P203" s="1490"/>
      <c r="Q203" s="1399"/>
      <c r="X203" s="1445" t="e">
        <f ca="1"/>
        <v>#NAME?</v>
      </c>
      <c r="Y203" s="1446" t="e">
        <f ca="1"/>
        <v>#NAME?</v>
      </c>
      <c r="Z203" s="1408"/>
      <c r="AB203" s="1399"/>
      <c r="AC203" s="1399"/>
      <c r="AD203" s="1399"/>
      <c r="AE203" s="1399"/>
    </row>
    <row r="204" spans="1:31">
      <c r="A204" s="1487"/>
      <c r="B204" s="1488"/>
      <c r="C204" s="1489"/>
      <c r="D204" s="1490"/>
      <c r="E204" s="1487"/>
      <c r="F204" s="1488"/>
      <c r="G204" s="1489"/>
      <c r="H204" s="1490"/>
      <c r="I204" s="1487"/>
      <c r="J204" s="1488"/>
      <c r="K204" s="1489"/>
      <c r="L204" s="1490"/>
      <c r="M204" s="1487"/>
      <c r="N204" s="1488"/>
      <c r="O204" s="1489"/>
      <c r="P204" s="1490"/>
      <c r="Q204" s="1399"/>
      <c r="X204" s="1445" t="e">
        <f ca="1"/>
        <v>#NAME?</v>
      </c>
      <c r="Y204" s="1446" t="e">
        <f ca="1"/>
        <v>#NAME?</v>
      </c>
      <c r="Z204" s="1408"/>
      <c r="AB204" s="1399"/>
      <c r="AC204" s="1399"/>
      <c r="AD204" s="1399"/>
      <c r="AE204" s="1399"/>
    </row>
    <row r="205" spans="1:31">
      <c r="A205" s="1487"/>
      <c r="B205" s="1488"/>
      <c r="C205" s="1489"/>
      <c r="D205" s="1490"/>
      <c r="E205" s="1487"/>
      <c r="F205" s="1488"/>
      <c r="G205" s="1489"/>
      <c r="H205" s="1490"/>
      <c r="I205" s="1487"/>
      <c r="J205" s="1488"/>
      <c r="K205" s="1489"/>
      <c r="L205" s="1490"/>
      <c r="M205" s="1487"/>
      <c r="N205" s="1488"/>
      <c r="O205" s="1489"/>
      <c r="P205" s="1490"/>
      <c r="Q205" s="1399"/>
      <c r="X205" s="1445" t="e">
        <f ca="1"/>
        <v>#NAME?</v>
      </c>
      <c r="Y205" s="1446" t="e">
        <f ca="1"/>
        <v>#NAME?</v>
      </c>
      <c r="Z205" s="1408"/>
      <c r="AB205" s="1399"/>
      <c r="AC205" s="1399"/>
      <c r="AD205" s="1399"/>
      <c r="AE205" s="1399"/>
    </row>
    <row r="206" spans="1:31">
      <c r="A206" s="1487"/>
      <c r="B206" s="1488"/>
      <c r="C206" s="1489"/>
      <c r="D206" s="1490"/>
      <c r="E206" s="1487"/>
      <c r="F206" s="1488"/>
      <c r="G206" s="1489"/>
      <c r="H206" s="1490"/>
      <c r="I206" s="1487"/>
      <c r="J206" s="1488"/>
      <c r="K206" s="1489"/>
      <c r="L206" s="1490"/>
      <c r="M206" s="1487"/>
      <c r="N206" s="1488"/>
      <c r="O206" s="1489"/>
      <c r="P206" s="1490"/>
      <c r="Q206" s="1399"/>
      <c r="X206" s="1445" t="e">
        <f ca="1"/>
        <v>#NAME?</v>
      </c>
      <c r="Y206" s="1446" t="e">
        <f ca="1"/>
        <v>#NAME?</v>
      </c>
      <c r="Z206" s="1408"/>
      <c r="AB206" s="1399"/>
      <c r="AC206" s="1399"/>
      <c r="AD206" s="1399"/>
      <c r="AE206" s="1399"/>
    </row>
    <row r="207" spans="1:31">
      <c r="A207" s="1487"/>
      <c r="B207" s="1488"/>
      <c r="C207" s="1489"/>
      <c r="D207" s="1490"/>
      <c r="E207" s="1487"/>
      <c r="F207" s="1488"/>
      <c r="G207" s="1489"/>
      <c r="H207" s="1490"/>
      <c r="I207" s="1487"/>
      <c r="J207" s="1488"/>
      <c r="K207" s="1489"/>
      <c r="L207" s="1490"/>
      <c r="M207" s="1487"/>
      <c r="N207" s="1488"/>
      <c r="O207" s="1489"/>
      <c r="P207" s="1490"/>
      <c r="Q207" s="1399"/>
      <c r="X207" s="1445" t="e">
        <f ca="1"/>
        <v>#NAME?</v>
      </c>
      <c r="Y207" s="1446" t="e">
        <f ca="1"/>
        <v>#NAME?</v>
      </c>
      <c r="Z207" s="1408"/>
      <c r="AB207" s="1399"/>
      <c r="AC207" s="1399"/>
      <c r="AD207" s="1399"/>
      <c r="AE207" s="1399"/>
    </row>
    <row r="208" spans="1:31">
      <c r="A208" s="1487"/>
      <c r="B208" s="1488"/>
      <c r="C208" s="1489"/>
      <c r="D208" s="1490"/>
      <c r="E208" s="1487"/>
      <c r="F208" s="1488"/>
      <c r="G208" s="1489"/>
      <c r="H208" s="1490"/>
      <c r="I208" s="1487"/>
      <c r="J208" s="1488"/>
      <c r="K208" s="1489"/>
      <c r="L208" s="1490"/>
      <c r="M208" s="1487"/>
      <c r="N208" s="1488"/>
      <c r="O208" s="1489"/>
      <c r="P208" s="1490"/>
      <c r="Q208" s="1399"/>
      <c r="X208" s="1445" t="e">
        <f ca="1"/>
        <v>#NAME?</v>
      </c>
      <c r="Y208" s="1446" t="e">
        <f ca="1"/>
        <v>#NAME?</v>
      </c>
      <c r="Z208" s="1408"/>
      <c r="AB208" s="1399"/>
      <c r="AC208" s="1399"/>
      <c r="AD208" s="1399"/>
      <c r="AE208" s="1399"/>
    </row>
    <row r="209" spans="1:31">
      <c r="A209" s="1487"/>
      <c r="B209" s="1488"/>
      <c r="C209" s="1489"/>
      <c r="D209" s="1490"/>
      <c r="E209" s="1487"/>
      <c r="F209" s="1488"/>
      <c r="G209" s="1489"/>
      <c r="H209" s="1490"/>
      <c r="I209" s="1487"/>
      <c r="J209" s="1488"/>
      <c r="K209" s="1489"/>
      <c r="L209" s="1490"/>
      <c r="M209" s="1487"/>
      <c r="N209" s="1488"/>
      <c r="O209" s="1489"/>
      <c r="P209" s="1490"/>
      <c r="Q209" s="1399"/>
      <c r="X209" s="1445" t="e">
        <f ca="1"/>
        <v>#NAME?</v>
      </c>
      <c r="Y209" s="1446" t="e">
        <f ca="1"/>
        <v>#NAME?</v>
      </c>
      <c r="Z209" s="1408"/>
      <c r="AB209" s="1399"/>
      <c r="AC209" s="1399"/>
      <c r="AD209" s="1399"/>
      <c r="AE209" s="1399"/>
    </row>
    <row r="210" spans="1:31">
      <c r="A210" s="1487"/>
      <c r="B210" s="1488"/>
      <c r="C210" s="1489"/>
      <c r="D210" s="1490"/>
      <c r="E210" s="1487"/>
      <c r="F210" s="1488"/>
      <c r="G210" s="1489"/>
      <c r="H210" s="1490"/>
      <c r="I210" s="1487"/>
      <c r="J210" s="1488"/>
      <c r="K210" s="1489"/>
      <c r="L210" s="1490"/>
      <c r="M210" s="1487"/>
      <c r="N210" s="1488"/>
      <c r="O210" s="1489"/>
      <c r="P210" s="1490"/>
      <c r="Q210" s="1399"/>
      <c r="X210" s="1445" t="e">
        <f ca="1"/>
        <v>#NAME?</v>
      </c>
      <c r="Y210" s="1446" t="e">
        <f ca="1"/>
        <v>#NAME?</v>
      </c>
      <c r="Z210" s="1408"/>
      <c r="AB210" s="1399"/>
      <c r="AC210" s="1399"/>
      <c r="AD210" s="1399"/>
      <c r="AE210" s="1399"/>
    </row>
    <row r="211" spans="1:31">
      <c r="A211" s="1487"/>
      <c r="B211" s="1488"/>
      <c r="C211" s="1489"/>
      <c r="D211" s="1490"/>
      <c r="E211" s="1487"/>
      <c r="F211" s="1488"/>
      <c r="G211" s="1489"/>
      <c r="H211" s="1490"/>
      <c r="I211" s="1487"/>
      <c r="J211" s="1488"/>
      <c r="K211" s="1489"/>
      <c r="L211" s="1490"/>
      <c r="M211" s="1487"/>
      <c r="N211" s="1488"/>
      <c r="O211" s="1489"/>
      <c r="P211" s="1490"/>
      <c r="Q211" s="1399"/>
      <c r="X211" s="1445" t="e">
        <f ca="1"/>
        <v>#NAME?</v>
      </c>
      <c r="Y211" s="1446" t="e">
        <f ca="1"/>
        <v>#NAME?</v>
      </c>
      <c r="Z211" s="1408"/>
      <c r="AB211" s="1399"/>
      <c r="AC211" s="1399"/>
      <c r="AD211" s="1399"/>
      <c r="AE211" s="1399"/>
    </row>
    <row r="212" spans="1:31">
      <c r="A212" s="1487"/>
      <c r="B212" s="1488"/>
      <c r="C212" s="1489"/>
      <c r="D212" s="1490"/>
      <c r="E212" s="1487"/>
      <c r="F212" s="1488"/>
      <c r="G212" s="1489"/>
      <c r="H212" s="1490"/>
      <c r="I212" s="1487"/>
      <c r="J212" s="1488"/>
      <c r="K212" s="1489"/>
      <c r="L212" s="1490"/>
      <c r="M212" s="1487"/>
      <c r="N212" s="1488"/>
      <c r="O212" s="1489"/>
      <c r="P212" s="1490"/>
      <c r="Q212" s="1399"/>
      <c r="X212" s="1445" t="e">
        <f ca="1"/>
        <v>#NAME?</v>
      </c>
      <c r="Y212" s="1446" t="e">
        <f ca="1"/>
        <v>#NAME?</v>
      </c>
      <c r="Z212" s="1408"/>
      <c r="AB212" s="1399"/>
      <c r="AC212" s="1399"/>
      <c r="AD212" s="1399"/>
      <c r="AE212" s="1399"/>
    </row>
    <row r="213" spans="1:31">
      <c r="A213" s="1487"/>
      <c r="B213" s="1488"/>
      <c r="C213" s="1489"/>
      <c r="D213" s="1490"/>
      <c r="E213" s="1487"/>
      <c r="F213" s="1488"/>
      <c r="G213" s="1489"/>
      <c r="H213" s="1490"/>
      <c r="I213" s="1487"/>
      <c r="J213" s="1488"/>
      <c r="K213" s="1489"/>
      <c r="L213" s="1490"/>
      <c r="M213" s="1487"/>
      <c r="N213" s="1488"/>
      <c r="O213" s="1489"/>
      <c r="P213" s="1490"/>
      <c r="Q213" s="1399"/>
      <c r="X213" s="1445" t="e">
        <f ca="1"/>
        <v>#NAME?</v>
      </c>
      <c r="Y213" s="1446" t="e">
        <f ca="1"/>
        <v>#NAME?</v>
      </c>
      <c r="Z213" s="1408"/>
      <c r="AB213" s="1399"/>
      <c r="AC213" s="1399"/>
      <c r="AD213" s="1399"/>
      <c r="AE213" s="1399"/>
    </row>
    <row r="214" spans="1:31">
      <c r="A214" s="1487"/>
      <c r="B214" s="1488"/>
      <c r="C214" s="1489"/>
      <c r="D214" s="1490"/>
      <c r="E214" s="1487"/>
      <c r="F214" s="1488"/>
      <c r="G214" s="1489"/>
      <c r="H214" s="1490"/>
      <c r="I214" s="1487"/>
      <c r="J214" s="1488"/>
      <c r="K214" s="1489"/>
      <c r="L214" s="1490"/>
      <c r="M214" s="1487"/>
      <c r="N214" s="1488"/>
      <c r="O214" s="1489"/>
      <c r="P214" s="1490"/>
      <c r="Q214" s="1399"/>
      <c r="X214" s="1445" t="e">
        <f ca="1"/>
        <v>#NAME?</v>
      </c>
      <c r="Y214" s="1446" t="e">
        <f ca="1"/>
        <v>#NAME?</v>
      </c>
      <c r="Z214" s="1408"/>
      <c r="AB214" s="1399"/>
      <c r="AC214" s="1399"/>
      <c r="AD214" s="1399"/>
      <c r="AE214" s="1399"/>
    </row>
    <row r="215" spans="1:31">
      <c r="A215" s="1487"/>
      <c r="B215" s="1488"/>
      <c r="C215" s="1489"/>
      <c r="D215" s="1490"/>
      <c r="E215" s="1487"/>
      <c r="F215" s="1488"/>
      <c r="G215" s="1489"/>
      <c r="H215" s="1490"/>
      <c r="I215" s="1487"/>
      <c r="J215" s="1488"/>
      <c r="K215" s="1489"/>
      <c r="L215" s="1490"/>
      <c r="M215" s="1487"/>
      <c r="N215" s="1488"/>
      <c r="O215" s="1489"/>
      <c r="P215" s="1490"/>
      <c r="Q215" s="1399"/>
      <c r="X215" s="1445" t="e">
        <f ca="1"/>
        <v>#NAME?</v>
      </c>
      <c r="Y215" s="1446" t="e">
        <f ca="1"/>
        <v>#NAME?</v>
      </c>
      <c r="Z215" s="1408"/>
      <c r="AB215" s="1399"/>
      <c r="AC215" s="1399"/>
      <c r="AD215" s="1399"/>
      <c r="AE215" s="1399"/>
    </row>
    <row r="216" spans="1:31">
      <c r="A216" s="1487"/>
      <c r="B216" s="1488"/>
      <c r="C216" s="1489"/>
      <c r="D216" s="1490"/>
      <c r="E216" s="1487"/>
      <c r="F216" s="1488"/>
      <c r="G216" s="1489"/>
      <c r="H216" s="1490"/>
      <c r="I216" s="1487"/>
      <c r="J216" s="1488"/>
      <c r="K216" s="1489"/>
      <c r="L216" s="1490"/>
      <c r="M216" s="1487"/>
      <c r="N216" s="1488"/>
      <c r="O216" s="1489"/>
      <c r="P216" s="1490"/>
      <c r="Q216" s="1399"/>
      <c r="X216" s="1445" t="e">
        <f ca="1"/>
        <v>#NAME?</v>
      </c>
      <c r="Y216" s="1446" t="e">
        <f ca="1"/>
        <v>#NAME?</v>
      </c>
      <c r="Z216" s="1408"/>
      <c r="AB216" s="1399"/>
      <c r="AC216" s="1399"/>
      <c r="AD216" s="1399"/>
      <c r="AE216" s="1399"/>
    </row>
    <row r="217" spans="1:31">
      <c r="A217" s="1487"/>
      <c r="B217" s="1488"/>
      <c r="C217" s="1489"/>
      <c r="D217" s="1490"/>
      <c r="E217" s="1487"/>
      <c r="F217" s="1488"/>
      <c r="G217" s="1489"/>
      <c r="H217" s="1490"/>
      <c r="I217" s="1487"/>
      <c r="J217" s="1488"/>
      <c r="K217" s="1489"/>
      <c r="L217" s="1490"/>
      <c r="M217" s="1487"/>
      <c r="N217" s="1488"/>
      <c r="O217" s="1489"/>
      <c r="P217" s="1490"/>
      <c r="Q217" s="1399"/>
      <c r="X217" s="1445" t="e">
        <f ca="1"/>
        <v>#NAME?</v>
      </c>
      <c r="Y217" s="1446" t="e">
        <f ca="1"/>
        <v>#NAME?</v>
      </c>
      <c r="Z217" s="1408"/>
      <c r="AB217" s="1399"/>
      <c r="AC217" s="1399"/>
      <c r="AD217" s="1399"/>
      <c r="AE217" s="1399"/>
    </row>
    <row r="218" spans="1:31">
      <c r="A218" s="1487"/>
      <c r="B218" s="1488"/>
      <c r="C218" s="1489"/>
      <c r="D218" s="1490"/>
      <c r="E218" s="1487"/>
      <c r="F218" s="1488"/>
      <c r="G218" s="1489"/>
      <c r="H218" s="1490"/>
      <c r="I218" s="1487"/>
      <c r="J218" s="1488"/>
      <c r="K218" s="1489"/>
      <c r="L218" s="1490"/>
      <c r="M218" s="1487"/>
      <c r="N218" s="1488"/>
      <c r="O218" s="1489"/>
      <c r="P218" s="1490"/>
      <c r="Q218" s="1399"/>
      <c r="X218" s="1445" t="e">
        <f ca="1"/>
        <v>#NAME?</v>
      </c>
      <c r="Y218" s="1446" t="e">
        <f ca="1"/>
        <v>#NAME?</v>
      </c>
      <c r="Z218" s="1408"/>
      <c r="AB218" s="1399"/>
      <c r="AC218" s="1399"/>
      <c r="AD218" s="1399"/>
      <c r="AE218" s="1399"/>
    </row>
    <row r="219" spans="1:31">
      <c r="A219" s="1487"/>
      <c r="B219" s="1488"/>
      <c r="C219" s="1489"/>
      <c r="D219" s="1490"/>
      <c r="E219" s="1487"/>
      <c r="F219" s="1488"/>
      <c r="G219" s="1489"/>
      <c r="H219" s="1490"/>
      <c r="I219" s="1487"/>
      <c r="J219" s="1488"/>
      <c r="K219" s="1489"/>
      <c r="L219" s="1490"/>
      <c r="M219" s="1487"/>
      <c r="N219" s="1488"/>
      <c r="O219" s="1489"/>
      <c r="P219" s="1490"/>
      <c r="Q219" s="1399"/>
      <c r="X219" s="1445" t="e">
        <f ca="1"/>
        <v>#NAME?</v>
      </c>
      <c r="Y219" s="1446" t="e">
        <f ca="1"/>
        <v>#NAME?</v>
      </c>
      <c r="Z219" s="1408"/>
      <c r="AB219" s="1399"/>
      <c r="AC219" s="1399"/>
      <c r="AD219" s="1399"/>
      <c r="AE219" s="1399"/>
    </row>
    <row r="220" spans="1:31">
      <c r="A220" s="1487"/>
      <c r="B220" s="1488"/>
      <c r="C220" s="1489"/>
      <c r="D220" s="1490"/>
      <c r="E220" s="1487"/>
      <c r="F220" s="1488"/>
      <c r="G220" s="1489"/>
      <c r="H220" s="1490"/>
      <c r="I220" s="1487"/>
      <c r="J220" s="1488"/>
      <c r="K220" s="1489"/>
      <c r="L220" s="1490"/>
      <c r="M220" s="1487"/>
      <c r="N220" s="1488"/>
      <c r="O220" s="1489"/>
      <c r="P220" s="1490"/>
      <c r="Q220" s="1399"/>
      <c r="X220" s="1445" t="e">
        <f ca="1"/>
        <v>#NAME?</v>
      </c>
      <c r="Y220" s="1446" t="e">
        <f ca="1"/>
        <v>#NAME?</v>
      </c>
      <c r="Z220" s="1408"/>
      <c r="AB220" s="1399"/>
      <c r="AC220" s="1399"/>
      <c r="AD220" s="1399"/>
      <c r="AE220" s="1399"/>
    </row>
    <row r="221" spans="1:31">
      <c r="A221" s="1487"/>
      <c r="B221" s="1488"/>
      <c r="C221" s="1489"/>
      <c r="D221" s="1490"/>
      <c r="E221" s="1487"/>
      <c r="F221" s="1488"/>
      <c r="G221" s="1489"/>
      <c r="H221" s="1490"/>
      <c r="I221" s="1487"/>
      <c r="J221" s="1488"/>
      <c r="K221" s="1489"/>
      <c r="L221" s="1490"/>
      <c r="M221" s="1487"/>
      <c r="N221" s="1488"/>
      <c r="O221" s="1489"/>
      <c r="P221" s="1490"/>
      <c r="Q221" s="1399"/>
      <c r="X221" s="1445" t="e">
        <f ca="1"/>
        <v>#NAME?</v>
      </c>
      <c r="Y221" s="1446" t="e">
        <f ca="1"/>
        <v>#NAME?</v>
      </c>
      <c r="Z221" s="1408"/>
      <c r="AB221" s="1399"/>
      <c r="AC221" s="1399"/>
      <c r="AD221" s="1399"/>
      <c r="AE221" s="1399"/>
    </row>
    <row r="222" spans="1:31">
      <c r="A222" s="1487"/>
      <c r="B222" s="1488"/>
      <c r="C222" s="1489"/>
      <c r="D222" s="1490"/>
      <c r="E222" s="1487"/>
      <c r="F222" s="1488"/>
      <c r="G222" s="1489"/>
      <c r="H222" s="1490"/>
      <c r="I222" s="1487"/>
      <c r="J222" s="1488"/>
      <c r="K222" s="1489"/>
      <c r="L222" s="1490"/>
      <c r="M222" s="1487"/>
      <c r="N222" s="1488"/>
      <c r="O222" s="1489"/>
      <c r="P222" s="1490"/>
      <c r="Q222" s="1399"/>
      <c r="X222" s="1445" t="e">
        <f ca="1"/>
        <v>#NAME?</v>
      </c>
      <c r="Y222" s="1446" t="e">
        <f ca="1"/>
        <v>#NAME?</v>
      </c>
      <c r="Z222" s="1408"/>
      <c r="AB222" s="1399"/>
      <c r="AC222" s="1399"/>
      <c r="AD222" s="1399"/>
      <c r="AE222" s="1399"/>
    </row>
    <row r="223" spans="1:31">
      <c r="A223" s="1487"/>
      <c r="B223" s="1488"/>
      <c r="C223" s="1489"/>
      <c r="D223" s="1490"/>
      <c r="E223" s="1487"/>
      <c r="F223" s="1488"/>
      <c r="G223" s="1489"/>
      <c r="H223" s="1490"/>
      <c r="I223" s="1487"/>
      <c r="J223" s="1488"/>
      <c r="K223" s="1489"/>
      <c r="L223" s="1490"/>
      <c r="M223" s="1487"/>
      <c r="N223" s="1488"/>
      <c r="O223" s="1489"/>
      <c r="P223" s="1490"/>
      <c r="Q223" s="1399"/>
      <c r="X223" s="1445" t="e">
        <f ca="1"/>
        <v>#NAME?</v>
      </c>
      <c r="Y223" s="1446" t="e">
        <f ca="1"/>
        <v>#NAME?</v>
      </c>
      <c r="Z223" s="1408"/>
      <c r="AB223" s="1399"/>
      <c r="AC223" s="1399"/>
      <c r="AD223" s="1399"/>
      <c r="AE223" s="1399"/>
    </row>
    <row r="224" spans="1:31">
      <c r="A224" s="1487"/>
      <c r="B224" s="1488"/>
      <c r="C224" s="1489"/>
      <c r="D224" s="1490"/>
      <c r="E224" s="1487"/>
      <c r="F224" s="1488"/>
      <c r="G224" s="1489"/>
      <c r="H224" s="1490"/>
      <c r="I224" s="1487"/>
      <c r="J224" s="1488"/>
      <c r="K224" s="1489"/>
      <c r="L224" s="1490"/>
      <c r="M224" s="1487"/>
      <c r="N224" s="1488"/>
      <c r="O224" s="1489"/>
      <c r="P224" s="1490"/>
      <c r="Q224" s="1399"/>
      <c r="X224" s="1445" t="e">
        <f ca="1"/>
        <v>#NAME?</v>
      </c>
      <c r="Y224" s="1446" t="e">
        <f ca="1"/>
        <v>#NAME?</v>
      </c>
      <c r="Z224" s="1408"/>
      <c r="AB224" s="1399"/>
      <c r="AC224" s="1399"/>
      <c r="AD224" s="1399"/>
      <c r="AE224" s="1399"/>
    </row>
    <row r="225" spans="1:31">
      <c r="A225" s="1487"/>
      <c r="B225" s="1488"/>
      <c r="C225" s="1489"/>
      <c r="D225" s="1490"/>
      <c r="E225" s="1487"/>
      <c r="F225" s="1488"/>
      <c r="G225" s="1489"/>
      <c r="H225" s="1490"/>
      <c r="I225" s="1487"/>
      <c r="J225" s="1488"/>
      <c r="K225" s="1489"/>
      <c r="L225" s="1490"/>
      <c r="M225" s="1487"/>
      <c r="N225" s="1488"/>
      <c r="O225" s="1489"/>
      <c r="P225" s="1490"/>
      <c r="Q225" s="1399"/>
      <c r="X225" s="1445" t="e">
        <f ca="1"/>
        <v>#NAME?</v>
      </c>
      <c r="Y225" s="1446" t="e">
        <f ca="1"/>
        <v>#NAME?</v>
      </c>
      <c r="Z225" s="1408"/>
      <c r="AB225" s="1399"/>
      <c r="AC225" s="1399"/>
      <c r="AD225" s="1399"/>
      <c r="AE225" s="1399"/>
    </row>
    <row r="226" spans="1:31">
      <c r="A226" s="1487"/>
      <c r="B226" s="1488"/>
      <c r="C226" s="1489"/>
      <c r="D226" s="1490"/>
      <c r="E226" s="1487"/>
      <c r="F226" s="1488"/>
      <c r="G226" s="1489"/>
      <c r="H226" s="1490"/>
      <c r="I226" s="1487"/>
      <c r="J226" s="1488"/>
      <c r="K226" s="1489"/>
      <c r="L226" s="1490"/>
      <c r="M226" s="1487"/>
      <c r="N226" s="1488"/>
      <c r="O226" s="1489"/>
      <c r="P226" s="1490"/>
      <c r="Q226" s="1399"/>
      <c r="X226" s="1445" t="e">
        <f ca="1"/>
        <v>#NAME?</v>
      </c>
      <c r="Y226" s="1446" t="e">
        <f ca="1"/>
        <v>#NAME?</v>
      </c>
      <c r="Z226" s="1408"/>
      <c r="AB226" s="1399"/>
      <c r="AC226" s="1399"/>
      <c r="AD226" s="1399"/>
      <c r="AE226" s="1399"/>
    </row>
    <row r="227" spans="1:31">
      <c r="A227" s="1487"/>
      <c r="B227" s="1488"/>
      <c r="C227" s="1489"/>
      <c r="D227" s="1490"/>
      <c r="E227" s="1487"/>
      <c r="F227" s="1488"/>
      <c r="G227" s="1489"/>
      <c r="H227" s="1490"/>
      <c r="I227" s="1487"/>
      <c r="J227" s="1488"/>
      <c r="K227" s="1489"/>
      <c r="L227" s="1490"/>
      <c r="M227" s="1487"/>
      <c r="N227" s="1488"/>
      <c r="O227" s="1489"/>
      <c r="P227" s="1490"/>
      <c r="Q227" s="1399"/>
      <c r="X227" s="1445" t="e">
        <f ca="1"/>
        <v>#NAME?</v>
      </c>
      <c r="Y227" s="1446" t="e">
        <f ca="1"/>
        <v>#NAME?</v>
      </c>
      <c r="Z227" s="1408"/>
      <c r="AB227" s="1399"/>
      <c r="AC227" s="1399"/>
      <c r="AD227" s="1399"/>
      <c r="AE227" s="1399"/>
    </row>
    <row r="228" spans="1:31">
      <c r="A228" s="1487"/>
      <c r="B228" s="1488"/>
      <c r="C228" s="1489"/>
      <c r="D228" s="1490"/>
      <c r="E228" s="1487"/>
      <c r="F228" s="1488"/>
      <c r="G228" s="1489"/>
      <c r="H228" s="1490"/>
      <c r="I228" s="1487"/>
      <c r="J228" s="1488"/>
      <c r="K228" s="1489"/>
      <c r="L228" s="1490"/>
      <c r="M228" s="1487"/>
      <c r="N228" s="1488"/>
      <c r="O228" s="1489"/>
      <c r="P228" s="1490"/>
      <c r="Q228" s="1399"/>
      <c r="X228" s="1445" t="e">
        <f ca="1"/>
        <v>#NAME?</v>
      </c>
      <c r="Y228" s="1446" t="e">
        <f ca="1"/>
        <v>#NAME?</v>
      </c>
      <c r="Z228" s="1408"/>
      <c r="AB228" s="1399"/>
      <c r="AC228" s="1399"/>
      <c r="AD228" s="1399"/>
      <c r="AE228" s="1399"/>
    </row>
    <row r="229" spans="1:31">
      <c r="A229" s="1487"/>
      <c r="B229" s="1488"/>
      <c r="C229" s="1489"/>
      <c r="D229" s="1490"/>
      <c r="E229" s="1487"/>
      <c r="F229" s="1488"/>
      <c r="G229" s="1489"/>
      <c r="H229" s="1490"/>
      <c r="I229" s="1487"/>
      <c r="J229" s="1488"/>
      <c r="K229" s="1489"/>
      <c r="L229" s="1490"/>
      <c r="M229" s="1487"/>
      <c r="N229" s="1488"/>
      <c r="O229" s="1489"/>
      <c r="P229" s="1490"/>
      <c r="Q229" s="1399"/>
      <c r="X229" s="1445" t="e">
        <f ca="1"/>
        <v>#NAME?</v>
      </c>
      <c r="Y229" s="1446" t="e">
        <f ca="1"/>
        <v>#NAME?</v>
      </c>
      <c r="Z229" s="1408"/>
      <c r="AB229" s="1399"/>
      <c r="AC229" s="1399"/>
      <c r="AD229" s="1399"/>
      <c r="AE229" s="1399"/>
    </row>
    <row r="230" spans="1:31">
      <c r="A230" s="1487"/>
      <c r="B230" s="1488"/>
      <c r="C230" s="1489"/>
      <c r="D230" s="1490"/>
      <c r="E230" s="1487"/>
      <c r="F230" s="1488"/>
      <c r="G230" s="1489"/>
      <c r="H230" s="1490"/>
      <c r="I230" s="1487"/>
      <c r="J230" s="1488"/>
      <c r="K230" s="1489"/>
      <c r="L230" s="1490"/>
      <c r="M230" s="1487"/>
      <c r="N230" s="1488"/>
      <c r="O230" s="1489"/>
      <c r="P230" s="1490"/>
      <c r="Q230" s="1399"/>
      <c r="X230" s="1445" t="e">
        <f ca="1"/>
        <v>#NAME?</v>
      </c>
      <c r="Y230" s="1446" t="e">
        <f ca="1"/>
        <v>#NAME?</v>
      </c>
      <c r="Z230" s="1408"/>
      <c r="AB230" s="1399"/>
      <c r="AC230" s="1399"/>
      <c r="AD230" s="1399"/>
      <c r="AE230" s="1399"/>
    </row>
    <row r="231" spans="1:31">
      <c r="A231" s="1487"/>
      <c r="B231" s="1488"/>
      <c r="C231" s="1489"/>
      <c r="D231" s="1490"/>
      <c r="E231" s="1487"/>
      <c r="F231" s="1488"/>
      <c r="G231" s="1489"/>
      <c r="H231" s="1490"/>
      <c r="I231" s="1487"/>
      <c r="J231" s="1488"/>
      <c r="K231" s="1489"/>
      <c r="L231" s="1490"/>
      <c r="M231" s="1487"/>
      <c r="N231" s="1488"/>
      <c r="O231" s="1489"/>
      <c r="P231" s="1490"/>
      <c r="Q231" s="1399"/>
      <c r="X231" s="1445" t="e">
        <f ca="1"/>
        <v>#NAME?</v>
      </c>
      <c r="Y231" s="1446" t="e">
        <f ca="1"/>
        <v>#NAME?</v>
      </c>
      <c r="Z231" s="1408"/>
      <c r="AB231" s="1399"/>
      <c r="AC231" s="1399"/>
      <c r="AD231" s="1399"/>
      <c r="AE231" s="1399"/>
    </row>
    <row r="232" spans="1:31">
      <c r="A232" s="1487"/>
      <c r="B232" s="1488"/>
      <c r="C232" s="1489"/>
      <c r="D232" s="1490"/>
      <c r="E232" s="1487"/>
      <c r="F232" s="1488"/>
      <c r="G232" s="1489"/>
      <c r="H232" s="1490"/>
      <c r="I232" s="1487"/>
      <c r="J232" s="1488"/>
      <c r="K232" s="1489"/>
      <c r="L232" s="1490"/>
      <c r="M232" s="1487"/>
      <c r="N232" s="1488"/>
      <c r="O232" s="1489"/>
      <c r="P232" s="1490"/>
      <c r="Q232" s="1399"/>
      <c r="X232" s="1445" t="e">
        <f ca="1"/>
        <v>#NAME?</v>
      </c>
      <c r="Y232" s="1446" t="e">
        <f ca="1"/>
        <v>#NAME?</v>
      </c>
      <c r="Z232" s="1408"/>
      <c r="AB232" s="1399"/>
      <c r="AC232" s="1399"/>
      <c r="AD232" s="1399"/>
      <c r="AE232" s="1399"/>
    </row>
    <row r="233" spans="1:31">
      <c r="A233" s="1487"/>
      <c r="B233" s="1488"/>
      <c r="C233" s="1489"/>
      <c r="D233" s="1490"/>
      <c r="E233" s="1487"/>
      <c r="F233" s="1488"/>
      <c r="G233" s="1489"/>
      <c r="H233" s="1490"/>
      <c r="I233" s="1487"/>
      <c r="J233" s="1488"/>
      <c r="K233" s="1489"/>
      <c r="L233" s="1490"/>
      <c r="M233" s="1487"/>
      <c r="N233" s="1488"/>
      <c r="O233" s="1489"/>
      <c r="P233" s="1490"/>
      <c r="Q233" s="1399"/>
      <c r="X233" s="1445" t="e">
        <f ca="1"/>
        <v>#NAME?</v>
      </c>
      <c r="Y233" s="1446" t="e">
        <f ca="1"/>
        <v>#NAME?</v>
      </c>
      <c r="Z233" s="1408"/>
      <c r="AB233" s="1399"/>
      <c r="AC233" s="1399"/>
      <c r="AD233" s="1399"/>
      <c r="AE233" s="1399"/>
    </row>
    <row r="234" spans="1:31">
      <c r="A234" s="1487"/>
      <c r="B234" s="1488"/>
      <c r="C234" s="1489"/>
      <c r="D234" s="1490"/>
      <c r="E234" s="1487"/>
      <c r="F234" s="1488"/>
      <c r="G234" s="1489"/>
      <c r="H234" s="1490"/>
      <c r="I234" s="1487"/>
      <c r="J234" s="1488"/>
      <c r="K234" s="1489"/>
      <c r="L234" s="1490"/>
      <c r="M234" s="1487"/>
      <c r="N234" s="1488"/>
      <c r="O234" s="1489"/>
      <c r="P234" s="1490"/>
      <c r="Q234" s="1399"/>
      <c r="X234" s="1445" t="e">
        <f ca="1"/>
        <v>#NAME?</v>
      </c>
      <c r="Y234" s="1446" t="e">
        <f ca="1"/>
        <v>#NAME?</v>
      </c>
      <c r="Z234" s="1408"/>
      <c r="AB234" s="1399"/>
      <c r="AC234" s="1399"/>
      <c r="AD234" s="1399"/>
      <c r="AE234" s="1399"/>
    </row>
    <row r="235" spans="1:31">
      <c r="A235" s="1487"/>
      <c r="B235" s="1488"/>
      <c r="C235" s="1489"/>
      <c r="D235" s="1490"/>
      <c r="E235" s="1487"/>
      <c r="F235" s="1488"/>
      <c r="G235" s="1489"/>
      <c r="H235" s="1490"/>
      <c r="I235" s="1487"/>
      <c r="J235" s="1488"/>
      <c r="K235" s="1489"/>
      <c r="L235" s="1490"/>
      <c r="M235" s="1487"/>
      <c r="N235" s="1488"/>
      <c r="O235" s="1489"/>
      <c r="P235" s="1490"/>
      <c r="Q235" s="1399"/>
      <c r="X235" s="1445" t="e">
        <f ca="1"/>
        <v>#NAME?</v>
      </c>
      <c r="Y235" s="1446" t="e">
        <f ca="1"/>
        <v>#NAME?</v>
      </c>
      <c r="Z235" s="1408"/>
      <c r="AB235" s="1399"/>
      <c r="AC235" s="1399"/>
      <c r="AD235" s="1399"/>
      <c r="AE235" s="1399"/>
    </row>
    <row r="236" spans="1:31">
      <c r="A236" s="1487"/>
      <c r="B236" s="1488"/>
      <c r="C236" s="1489"/>
      <c r="D236" s="1490"/>
      <c r="E236" s="1487"/>
      <c r="F236" s="1488"/>
      <c r="G236" s="1489"/>
      <c r="H236" s="1490"/>
      <c r="I236" s="1487"/>
      <c r="J236" s="1488"/>
      <c r="K236" s="1489"/>
      <c r="L236" s="1490"/>
      <c r="M236" s="1487"/>
      <c r="N236" s="1488"/>
      <c r="O236" s="1489"/>
      <c r="P236" s="1490"/>
      <c r="Q236" s="1399"/>
      <c r="X236" s="1445" t="e">
        <f ca="1"/>
        <v>#NAME?</v>
      </c>
      <c r="Y236" s="1446" t="e">
        <f ca="1"/>
        <v>#NAME?</v>
      </c>
      <c r="Z236" s="1408"/>
      <c r="AB236" s="1399"/>
      <c r="AC236" s="1399"/>
      <c r="AD236" s="1399"/>
      <c r="AE236" s="1399"/>
    </row>
    <row r="237" spans="1:31">
      <c r="A237" s="1487"/>
      <c r="B237" s="1488"/>
      <c r="C237" s="1489"/>
      <c r="D237" s="1490"/>
      <c r="E237" s="1487"/>
      <c r="F237" s="1488"/>
      <c r="G237" s="1489"/>
      <c r="H237" s="1490"/>
      <c r="I237" s="1487"/>
      <c r="J237" s="1488"/>
      <c r="K237" s="1489"/>
      <c r="L237" s="1490"/>
      <c r="M237" s="1487"/>
      <c r="N237" s="1488"/>
      <c r="O237" s="1489"/>
      <c r="P237" s="1490"/>
      <c r="Q237" s="1399"/>
      <c r="X237" s="1445" t="e">
        <f ca="1"/>
        <v>#NAME?</v>
      </c>
      <c r="Y237" s="1446" t="e">
        <f ca="1"/>
        <v>#NAME?</v>
      </c>
      <c r="Z237" s="1408"/>
      <c r="AB237" s="1399"/>
      <c r="AC237" s="1399"/>
      <c r="AD237" s="1399"/>
      <c r="AE237" s="1399"/>
    </row>
    <row r="238" spans="1:31">
      <c r="A238" s="1487"/>
      <c r="B238" s="1488"/>
      <c r="C238" s="1489"/>
      <c r="D238" s="1490"/>
      <c r="E238" s="1487"/>
      <c r="F238" s="1488"/>
      <c r="G238" s="1489"/>
      <c r="H238" s="1490"/>
      <c r="I238" s="1487"/>
      <c r="J238" s="1488"/>
      <c r="K238" s="1489"/>
      <c r="L238" s="1490"/>
      <c r="M238" s="1487"/>
      <c r="N238" s="1488"/>
      <c r="O238" s="1489"/>
      <c r="P238" s="1490"/>
      <c r="Q238" s="1399"/>
      <c r="X238" s="1445" t="e">
        <f ca="1"/>
        <v>#NAME?</v>
      </c>
      <c r="Y238" s="1446" t="e">
        <f ca="1"/>
        <v>#NAME?</v>
      </c>
      <c r="Z238" s="1408"/>
      <c r="AB238" s="1399"/>
      <c r="AC238" s="1399"/>
      <c r="AD238" s="1399"/>
      <c r="AE238" s="1399"/>
    </row>
    <row r="239" spans="1:31">
      <c r="A239" s="1487"/>
      <c r="B239" s="1488"/>
      <c r="C239" s="1489"/>
      <c r="D239" s="1490"/>
      <c r="E239" s="1487"/>
      <c r="F239" s="1488"/>
      <c r="G239" s="1489"/>
      <c r="H239" s="1490"/>
      <c r="I239" s="1487"/>
      <c r="J239" s="1488"/>
      <c r="K239" s="1489"/>
      <c r="L239" s="1490"/>
      <c r="M239" s="1487"/>
      <c r="N239" s="1488"/>
      <c r="O239" s="1489"/>
      <c r="P239" s="1490"/>
      <c r="Q239" s="1399"/>
      <c r="X239" s="1445" t="e">
        <f ca="1"/>
        <v>#NAME?</v>
      </c>
      <c r="Y239" s="1446" t="e">
        <f ca="1"/>
        <v>#NAME?</v>
      </c>
      <c r="Z239" s="1408"/>
      <c r="AB239" s="1399"/>
      <c r="AC239" s="1399"/>
      <c r="AD239" s="1399"/>
      <c r="AE239" s="1399"/>
    </row>
    <row r="240" spans="1:31">
      <c r="A240" s="1487"/>
      <c r="B240" s="1488"/>
      <c r="C240" s="1489"/>
      <c r="D240" s="1490"/>
      <c r="E240" s="1487"/>
      <c r="F240" s="1488"/>
      <c r="G240" s="1489"/>
      <c r="H240" s="1490"/>
      <c r="I240" s="1487"/>
      <c r="J240" s="1488"/>
      <c r="K240" s="1489"/>
      <c r="L240" s="1490"/>
      <c r="M240" s="1487"/>
      <c r="N240" s="1488"/>
      <c r="O240" s="1489"/>
      <c r="P240" s="1490"/>
      <c r="Q240" s="1399"/>
      <c r="X240" s="1445" t="e">
        <f ca="1"/>
        <v>#NAME?</v>
      </c>
      <c r="Y240" s="1446" t="e">
        <f ca="1"/>
        <v>#NAME?</v>
      </c>
      <c r="Z240" s="1408"/>
      <c r="AB240" s="1399"/>
      <c r="AC240" s="1399"/>
      <c r="AD240" s="1399"/>
      <c r="AE240" s="1399"/>
    </row>
    <row r="241" spans="1:31">
      <c r="A241" s="1487"/>
      <c r="B241" s="1488"/>
      <c r="C241" s="1489"/>
      <c r="D241" s="1490"/>
      <c r="E241" s="1487"/>
      <c r="F241" s="1488"/>
      <c r="G241" s="1489"/>
      <c r="H241" s="1490"/>
      <c r="I241" s="1487"/>
      <c r="J241" s="1488"/>
      <c r="K241" s="1489"/>
      <c r="L241" s="1490"/>
      <c r="M241" s="1487"/>
      <c r="N241" s="1488"/>
      <c r="O241" s="1489"/>
      <c r="P241" s="1490"/>
      <c r="Q241" s="1399"/>
      <c r="X241" s="1445" t="e">
        <f ca="1"/>
        <v>#NAME?</v>
      </c>
      <c r="Y241" s="1446" t="e">
        <f ca="1"/>
        <v>#NAME?</v>
      </c>
      <c r="Z241" s="1408"/>
      <c r="AB241" s="1399"/>
      <c r="AC241" s="1399"/>
      <c r="AD241" s="1399"/>
      <c r="AE241" s="1399"/>
    </row>
    <row r="242" spans="1:31">
      <c r="A242" s="1487"/>
      <c r="B242" s="1488"/>
      <c r="C242" s="1489"/>
      <c r="D242" s="1490"/>
      <c r="E242" s="1487"/>
      <c r="F242" s="1488"/>
      <c r="G242" s="1489"/>
      <c r="H242" s="1490"/>
      <c r="I242" s="1487"/>
      <c r="J242" s="1488"/>
      <c r="K242" s="1489"/>
      <c r="L242" s="1490"/>
      <c r="M242" s="1487"/>
      <c r="N242" s="1488"/>
      <c r="O242" s="1489"/>
      <c r="P242" s="1490"/>
      <c r="Q242" s="1399"/>
      <c r="X242" s="1445" t="e">
        <f ca="1"/>
        <v>#NAME?</v>
      </c>
      <c r="Y242" s="1446" t="e">
        <f ca="1"/>
        <v>#NAME?</v>
      </c>
      <c r="Z242" s="1408"/>
      <c r="AB242" s="1399"/>
      <c r="AC242" s="1399"/>
      <c r="AD242" s="1399"/>
      <c r="AE242" s="1399"/>
    </row>
    <row r="243" spans="1:31">
      <c r="A243" s="1487"/>
      <c r="B243" s="1488"/>
      <c r="C243" s="1489"/>
      <c r="D243" s="1490"/>
      <c r="E243" s="1487"/>
      <c r="F243" s="1488"/>
      <c r="G243" s="1489"/>
      <c r="H243" s="1490"/>
      <c r="I243" s="1487"/>
      <c r="J243" s="1488"/>
      <c r="K243" s="1489"/>
      <c r="L243" s="1490"/>
      <c r="M243" s="1487"/>
      <c r="N243" s="1488"/>
      <c r="O243" s="1489"/>
      <c r="P243" s="1490"/>
      <c r="Q243" s="1399"/>
      <c r="X243" s="1445" t="e">
        <f ca="1"/>
        <v>#NAME?</v>
      </c>
      <c r="Y243" s="1446" t="e">
        <f ca="1"/>
        <v>#NAME?</v>
      </c>
      <c r="Z243" s="1408"/>
      <c r="AB243" s="1399"/>
      <c r="AC243" s="1399"/>
      <c r="AD243" s="1399"/>
      <c r="AE243" s="1399"/>
    </row>
    <row r="244" spans="1:31">
      <c r="A244" s="1487"/>
      <c r="B244" s="1488"/>
      <c r="C244" s="1489"/>
      <c r="D244" s="1490"/>
      <c r="E244" s="1487"/>
      <c r="F244" s="1488"/>
      <c r="G244" s="1489"/>
      <c r="H244" s="1490"/>
      <c r="I244" s="1487"/>
      <c r="J244" s="1488"/>
      <c r="K244" s="1489"/>
      <c r="L244" s="1490"/>
      <c r="M244" s="1487"/>
      <c r="N244" s="1488"/>
      <c r="O244" s="1489"/>
      <c r="P244" s="1490"/>
      <c r="Q244" s="1399"/>
      <c r="X244" s="1445" t="e">
        <f ca="1"/>
        <v>#NAME?</v>
      </c>
      <c r="Y244" s="1446" t="e">
        <f ca="1"/>
        <v>#NAME?</v>
      </c>
      <c r="Z244" s="1408"/>
      <c r="AB244" s="1399"/>
      <c r="AC244" s="1399"/>
      <c r="AD244" s="1399"/>
      <c r="AE244" s="1399"/>
    </row>
    <row r="245" spans="1:31">
      <c r="A245" s="1487"/>
      <c r="B245" s="1488"/>
      <c r="C245" s="1489"/>
      <c r="D245" s="1490"/>
      <c r="E245" s="1487"/>
      <c r="F245" s="1488"/>
      <c r="G245" s="1489"/>
      <c r="H245" s="1490"/>
      <c r="I245" s="1487"/>
      <c r="J245" s="1488"/>
      <c r="K245" s="1489"/>
      <c r="L245" s="1490"/>
      <c r="M245" s="1487"/>
      <c r="N245" s="1488"/>
      <c r="O245" s="1489"/>
      <c r="P245" s="1490"/>
      <c r="Q245" s="1399"/>
      <c r="X245" s="1445" t="e">
        <f ca="1"/>
        <v>#NAME?</v>
      </c>
      <c r="Y245" s="1446" t="e">
        <f ca="1"/>
        <v>#NAME?</v>
      </c>
      <c r="Z245" s="1408"/>
      <c r="AB245" s="1399"/>
      <c r="AC245" s="1399"/>
      <c r="AD245" s="1399"/>
      <c r="AE245" s="1399"/>
    </row>
    <row r="246" spans="1:31">
      <c r="A246" s="1487"/>
      <c r="B246" s="1488"/>
      <c r="C246" s="1489"/>
      <c r="D246" s="1490"/>
      <c r="E246" s="1487"/>
      <c r="F246" s="1488"/>
      <c r="G246" s="1489"/>
      <c r="H246" s="1490"/>
      <c r="I246" s="1487"/>
      <c r="J246" s="1488"/>
      <c r="K246" s="1489"/>
      <c r="L246" s="1490"/>
      <c r="M246" s="1487"/>
      <c r="N246" s="1488"/>
      <c r="O246" s="1489"/>
      <c r="P246" s="1490"/>
      <c r="Q246" s="1399"/>
      <c r="X246" s="1445" t="e">
        <f ca="1"/>
        <v>#NAME?</v>
      </c>
      <c r="Y246" s="1446" t="e">
        <f ca="1"/>
        <v>#NAME?</v>
      </c>
      <c r="Z246" s="1408"/>
      <c r="AB246" s="1399"/>
      <c r="AC246" s="1399"/>
      <c r="AD246" s="1399"/>
      <c r="AE246" s="1399"/>
    </row>
    <row r="247" spans="1:31">
      <c r="A247" s="1487"/>
      <c r="B247" s="1488"/>
      <c r="C247" s="1489"/>
      <c r="D247" s="1490"/>
      <c r="E247" s="1487"/>
      <c r="F247" s="1488"/>
      <c r="G247" s="1489"/>
      <c r="H247" s="1490"/>
      <c r="I247" s="1487"/>
      <c r="J247" s="1488"/>
      <c r="K247" s="1489"/>
      <c r="L247" s="1490"/>
      <c r="M247" s="1487"/>
      <c r="N247" s="1488"/>
      <c r="O247" s="1489"/>
      <c r="P247" s="1490"/>
      <c r="Q247" s="1399"/>
      <c r="X247" s="1445" t="e">
        <f ca="1"/>
        <v>#NAME?</v>
      </c>
      <c r="Y247" s="1446" t="e">
        <f ca="1"/>
        <v>#NAME?</v>
      </c>
      <c r="Z247" s="1408"/>
      <c r="AB247" s="1399"/>
      <c r="AC247" s="1399"/>
      <c r="AD247" s="1399"/>
      <c r="AE247" s="1399"/>
    </row>
    <row r="248" spans="1:31">
      <c r="A248" s="1487"/>
      <c r="B248" s="1488"/>
      <c r="C248" s="1489"/>
      <c r="D248" s="1490"/>
      <c r="E248" s="1487"/>
      <c r="F248" s="1488"/>
      <c r="G248" s="1489"/>
      <c r="H248" s="1490"/>
      <c r="I248" s="1487"/>
      <c r="J248" s="1488"/>
      <c r="K248" s="1489"/>
      <c r="L248" s="1490"/>
      <c r="M248" s="1487"/>
      <c r="N248" s="1488"/>
      <c r="O248" s="1489"/>
      <c r="P248" s="1490"/>
      <c r="Q248" s="1399"/>
      <c r="X248" s="1445" t="e">
        <f ca="1"/>
        <v>#NAME?</v>
      </c>
      <c r="Y248" s="1446" t="e">
        <f ca="1"/>
        <v>#NAME?</v>
      </c>
      <c r="Z248" s="1408"/>
      <c r="AB248" s="1399"/>
      <c r="AC248" s="1399"/>
      <c r="AD248" s="1399"/>
      <c r="AE248" s="1399"/>
    </row>
    <row r="249" spans="1:31">
      <c r="A249" s="1487"/>
      <c r="B249" s="1488"/>
      <c r="C249" s="1489"/>
      <c r="D249" s="1490"/>
      <c r="E249" s="1487"/>
      <c r="F249" s="1488"/>
      <c r="G249" s="1489"/>
      <c r="H249" s="1490"/>
      <c r="I249" s="1487"/>
      <c r="J249" s="1488"/>
      <c r="K249" s="1489"/>
      <c r="L249" s="1490"/>
      <c r="M249" s="1487"/>
      <c r="N249" s="1488"/>
      <c r="O249" s="1489"/>
      <c r="P249" s="1490"/>
      <c r="Q249" s="1399"/>
      <c r="X249" s="1445" t="e">
        <f ca="1"/>
        <v>#NAME?</v>
      </c>
      <c r="Y249" s="1446" t="e">
        <f ca="1"/>
        <v>#NAME?</v>
      </c>
      <c r="Z249" s="1408"/>
      <c r="AB249" s="1399"/>
      <c r="AC249" s="1399"/>
      <c r="AD249" s="1399"/>
      <c r="AE249" s="1399"/>
    </row>
    <row r="250" spans="1:31">
      <c r="A250" s="1487"/>
      <c r="B250" s="1488"/>
      <c r="C250" s="1489"/>
      <c r="D250" s="1490"/>
      <c r="E250" s="1487"/>
      <c r="F250" s="1488"/>
      <c r="G250" s="1489"/>
      <c r="H250" s="1490"/>
      <c r="I250" s="1487"/>
      <c r="J250" s="1488"/>
      <c r="K250" s="1489"/>
      <c r="L250" s="1490"/>
      <c r="M250" s="1487"/>
      <c r="N250" s="1488"/>
      <c r="O250" s="1489"/>
      <c r="P250" s="1490"/>
      <c r="Q250" s="1399"/>
      <c r="X250" s="1445" t="e">
        <f ca="1"/>
        <v>#NAME?</v>
      </c>
      <c r="Y250" s="1446" t="e">
        <f ca="1"/>
        <v>#NAME?</v>
      </c>
      <c r="Z250" s="1408"/>
      <c r="AB250" s="1399"/>
      <c r="AC250" s="1399"/>
      <c r="AD250" s="1399"/>
      <c r="AE250" s="1399"/>
    </row>
    <row r="251" spans="1:31">
      <c r="A251" s="1487"/>
      <c r="B251" s="1488"/>
      <c r="C251" s="1489"/>
      <c r="D251" s="1490"/>
      <c r="E251" s="1487"/>
      <c r="F251" s="1488"/>
      <c r="G251" s="1489"/>
      <c r="H251" s="1490"/>
      <c r="I251" s="1487"/>
      <c r="J251" s="1488"/>
      <c r="K251" s="1489"/>
      <c r="L251" s="1490"/>
      <c r="M251" s="1487"/>
      <c r="N251" s="1488"/>
      <c r="O251" s="1489"/>
      <c r="P251" s="1490"/>
      <c r="Q251" s="1399"/>
      <c r="X251" s="1445" t="e">
        <f ca="1"/>
        <v>#NAME?</v>
      </c>
      <c r="Y251" s="1446" t="e">
        <f ca="1"/>
        <v>#NAME?</v>
      </c>
      <c r="Z251" s="1408"/>
      <c r="AB251" s="1399"/>
      <c r="AC251" s="1399"/>
      <c r="AD251" s="1399"/>
      <c r="AE251" s="1399"/>
    </row>
    <row r="252" spans="1:31">
      <c r="A252" s="1487"/>
      <c r="B252" s="1488"/>
      <c r="C252" s="1489"/>
      <c r="D252" s="1490"/>
      <c r="E252" s="1487"/>
      <c r="F252" s="1488"/>
      <c r="G252" s="1489"/>
      <c r="H252" s="1490"/>
      <c r="I252" s="1487"/>
      <c r="J252" s="1488"/>
      <c r="K252" s="1489"/>
      <c r="L252" s="1490"/>
      <c r="M252" s="1487"/>
      <c r="N252" s="1488"/>
      <c r="O252" s="1489"/>
      <c r="P252" s="1490"/>
      <c r="Q252" s="1399"/>
      <c r="X252" s="1445" t="e">
        <f ca="1"/>
        <v>#NAME?</v>
      </c>
      <c r="Y252" s="1446" t="e">
        <f ca="1"/>
        <v>#NAME?</v>
      </c>
      <c r="Z252" s="1408"/>
      <c r="AB252" s="1399"/>
      <c r="AC252" s="1399"/>
      <c r="AD252" s="1399"/>
      <c r="AE252" s="1399"/>
    </row>
    <row r="253" spans="1:31">
      <c r="A253" s="1487"/>
      <c r="B253" s="1488"/>
      <c r="C253" s="1489"/>
      <c r="D253" s="1490"/>
      <c r="E253" s="1487"/>
      <c r="F253" s="1488"/>
      <c r="G253" s="1489"/>
      <c r="H253" s="1490"/>
      <c r="I253" s="1487"/>
      <c r="J253" s="1488"/>
      <c r="K253" s="1489"/>
      <c r="L253" s="1490"/>
      <c r="M253" s="1487"/>
      <c r="N253" s="1488"/>
      <c r="O253" s="1489"/>
      <c r="P253" s="1490"/>
      <c r="Q253" s="1399"/>
      <c r="X253" s="1445" t="e">
        <f ca="1"/>
        <v>#NAME?</v>
      </c>
      <c r="Y253" s="1446" t="e">
        <f ca="1"/>
        <v>#NAME?</v>
      </c>
      <c r="Z253" s="1408"/>
      <c r="AB253" s="1399"/>
      <c r="AC253" s="1399"/>
      <c r="AD253" s="1399"/>
      <c r="AE253" s="1399"/>
    </row>
    <row r="254" spans="1:31">
      <c r="A254" s="1487"/>
      <c r="B254" s="1488"/>
      <c r="C254" s="1489"/>
      <c r="D254" s="1490"/>
      <c r="E254" s="1487"/>
      <c r="F254" s="1488"/>
      <c r="G254" s="1489"/>
      <c r="H254" s="1490"/>
      <c r="I254" s="1487"/>
      <c r="J254" s="1488"/>
      <c r="K254" s="1489"/>
      <c r="L254" s="1490"/>
      <c r="M254" s="1487"/>
      <c r="N254" s="1488"/>
      <c r="O254" s="1489"/>
      <c r="P254" s="1490"/>
      <c r="Q254" s="1399"/>
      <c r="X254" s="1445" t="e">
        <f ca="1"/>
        <v>#NAME?</v>
      </c>
      <c r="Y254" s="1446" t="e">
        <f ca="1"/>
        <v>#NAME?</v>
      </c>
      <c r="Z254" s="1408"/>
      <c r="AB254" s="1399"/>
      <c r="AC254" s="1399"/>
      <c r="AD254" s="1399"/>
      <c r="AE254" s="1399"/>
    </row>
    <row r="255" spans="1:31">
      <c r="A255" s="1487"/>
      <c r="B255" s="1488"/>
      <c r="C255" s="1489"/>
      <c r="D255" s="1490"/>
      <c r="E255" s="1487"/>
      <c r="F255" s="1488"/>
      <c r="G255" s="1489"/>
      <c r="H255" s="1490"/>
      <c r="I255" s="1487"/>
      <c r="J255" s="1488"/>
      <c r="K255" s="1489"/>
      <c r="L255" s="1490"/>
      <c r="M255" s="1487"/>
      <c r="N255" s="1488"/>
      <c r="O255" s="1489"/>
      <c r="P255" s="1490"/>
      <c r="Q255" s="1399"/>
      <c r="X255" s="1445" t="e">
        <f ca="1"/>
        <v>#NAME?</v>
      </c>
      <c r="Y255" s="1446" t="e">
        <f ca="1"/>
        <v>#NAME?</v>
      </c>
      <c r="Z255" s="1408"/>
      <c r="AB255" s="1399"/>
      <c r="AC255" s="1399"/>
      <c r="AD255" s="1399"/>
      <c r="AE255" s="1399"/>
    </row>
    <row r="256" spans="1:31">
      <c r="A256" s="1487"/>
      <c r="B256" s="1488"/>
      <c r="C256" s="1489"/>
      <c r="D256" s="1490"/>
      <c r="E256" s="1487"/>
      <c r="F256" s="1488"/>
      <c r="G256" s="1489"/>
      <c r="H256" s="1490"/>
      <c r="I256" s="1487"/>
      <c r="J256" s="1488"/>
      <c r="K256" s="1489"/>
      <c r="L256" s="1490"/>
      <c r="M256" s="1487"/>
      <c r="N256" s="1488"/>
      <c r="O256" s="1489"/>
      <c r="P256" s="1490"/>
      <c r="Q256" s="1399"/>
      <c r="X256" s="1445" t="e">
        <f ca="1"/>
        <v>#NAME?</v>
      </c>
      <c r="Y256" s="1446" t="e">
        <f ca="1"/>
        <v>#NAME?</v>
      </c>
      <c r="Z256" s="1408"/>
      <c r="AB256" s="1399"/>
      <c r="AC256" s="1399"/>
      <c r="AD256" s="1399"/>
      <c r="AE256" s="1399"/>
    </row>
    <row r="257" spans="1:31">
      <c r="A257" s="1487"/>
      <c r="B257" s="1488"/>
      <c r="C257" s="1489"/>
      <c r="D257" s="1490"/>
      <c r="E257" s="1487"/>
      <c r="F257" s="1488"/>
      <c r="G257" s="1489"/>
      <c r="H257" s="1490"/>
      <c r="I257" s="1487"/>
      <c r="J257" s="1488"/>
      <c r="K257" s="1489"/>
      <c r="L257" s="1490"/>
      <c r="M257" s="1487"/>
      <c r="N257" s="1488"/>
      <c r="O257" s="1489"/>
      <c r="P257" s="1490"/>
      <c r="Q257" s="1399"/>
      <c r="X257" s="1445" t="e">
        <f ca="1"/>
        <v>#NAME?</v>
      </c>
      <c r="Y257" s="1446" t="e">
        <f ca="1"/>
        <v>#NAME?</v>
      </c>
      <c r="Z257" s="1408"/>
      <c r="AB257" s="1399"/>
      <c r="AC257" s="1399"/>
      <c r="AD257" s="1399"/>
      <c r="AE257" s="1399"/>
    </row>
    <row r="258" spans="1:31">
      <c r="A258" s="1487"/>
      <c r="B258" s="1488"/>
      <c r="C258" s="1489"/>
      <c r="D258" s="1490"/>
      <c r="E258" s="1487"/>
      <c r="F258" s="1488"/>
      <c r="G258" s="1489"/>
      <c r="H258" s="1490"/>
      <c r="I258" s="1487"/>
      <c r="J258" s="1488"/>
      <c r="K258" s="1489"/>
      <c r="L258" s="1490"/>
      <c r="M258" s="1487"/>
      <c r="N258" s="1488"/>
      <c r="O258" s="1489"/>
      <c r="P258" s="1490"/>
      <c r="Q258" s="1399"/>
      <c r="X258" s="1445" t="e">
        <f ca="1"/>
        <v>#NAME?</v>
      </c>
      <c r="Y258" s="1446" t="e">
        <f ca="1"/>
        <v>#NAME?</v>
      </c>
      <c r="Z258" s="1408"/>
      <c r="AB258" s="1399"/>
      <c r="AC258" s="1399"/>
      <c r="AD258" s="1399"/>
      <c r="AE258" s="1399"/>
    </row>
    <row r="259" spans="1:31">
      <c r="A259" s="1487"/>
      <c r="B259" s="1488"/>
      <c r="C259" s="1489"/>
      <c r="D259" s="1490"/>
      <c r="E259" s="1487"/>
      <c r="F259" s="1488"/>
      <c r="G259" s="1489"/>
      <c r="H259" s="1490"/>
      <c r="I259" s="1487"/>
      <c r="J259" s="1488"/>
      <c r="K259" s="1489"/>
      <c r="L259" s="1490"/>
      <c r="M259" s="1487"/>
      <c r="N259" s="1488"/>
      <c r="O259" s="1489"/>
      <c r="P259" s="1490"/>
      <c r="Q259" s="1399"/>
      <c r="X259" s="1445" t="e">
        <f ca="1"/>
        <v>#NAME?</v>
      </c>
      <c r="Y259" s="1446" t="e">
        <f ca="1"/>
        <v>#NAME?</v>
      </c>
      <c r="Z259" s="1408"/>
      <c r="AB259" s="1399"/>
      <c r="AC259" s="1399"/>
      <c r="AD259" s="1399"/>
      <c r="AE259" s="1399"/>
    </row>
    <row r="260" spans="1:31">
      <c r="A260" s="1487"/>
      <c r="B260" s="1488"/>
      <c r="C260" s="1489"/>
      <c r="D260" s="1490"/>
      <c r="E260" s="1487"/>
      <c r="F260" s="1488"/>
      <c r="G260" s="1489"/>
      <c r="H260" s="1490"/>
      <c r="I260" s="1487"/>
      <c r="J260" s="1488"/>
      <c r="K260" s="1489"/>
      <c r="L260" s="1490"/>
      <c r="M260" s="1487"/>
      <c r="N260" s="1488"/>
      <c r="O260" s="1489"/>
      <c r="P260" s="1490"/>
      <c r="Q260" s="1399"/>
      <c r="X260" s="1445" t="e">
        <f ca="1"/>
        <v>#NAME?</v>
      </c>
      <c r="Y260" s="1446" t="e">
        <f ca="1"/>
        <v>#NAME?</v>
      </c>
      <c r="Z260" s="1408"/>
      <c r="AB260" s="1399"/>
      <c r="AC260" s="1399"/>
      <c r="AD260" s="1399"/>
      <c r="AE260" s="1399"/>
    </row>
    <row r="261" spans="1:31">
      <c r="A261" s="1487"/>
      <c r="B261" s="1488"/>
      <c r="C261" s="1489"/>
      <c r="D261" s="1490"/>
      <c r="E261" s="1487"/>
      <c r="F261" s="1488"/>
      <c r="G261" s="1489"/>
      <c r="H261" s="1490"/>
      <c r="I261" s="1487"/>
      <c r="J261" s="1488"/>
      <c r="K261" s="1489"/>
      <c r="L261" s="1490"/>
      <c r="M261" s="1487"/>
      <c r="N261" s="1488"/>
      <c r="O261" s="1489"/>
      <c r="P261" s="1490"/>
      <c r="Q261" s="1399"/>
      <c r="X261" s="1445" t="e">
        <f ca="1"/>
        <v>#NAME?</v>
      </c>
      <c r="Y261" s="1446" t="e">
        <f ca="1"/>
        <v>#NAME?</v>
      </c>
      <c r="Z261" s="1408"/>
      <c r="AB261" s="1399"/>
      <c r="AC261" s="1399"/>
      <c r="AD261" s="1399"/>
      <c r="AE261" s="1399"/>
    </row>
    <row r="262" spans="1:31">
      <c r="A262" s="1487"/>
      <c r="B262" s="1488"/>
      <c r="C262" s="1489"/>
      <c r="D262" s="1490"/>
      <c r="E262" s="1487"/>
      <c r="F262" s="1488"/>
      <c r="G262" s="1489"/>
      <c r="H262" s="1490"/>
      <c r="I262" s="1487"/>
      <c r="J262" s="1488"/>
      <c r="K262" s="1489"/>
      <c r="L262" s="1490"/>
      <c r="M262" s="1487"/>
      <c r="N262" s="1488"/>
      <c r="O262" s="1489"/>
      <c r="P262" s="1490"/>
      <c r="Q262" s="1399"/>
      <c r="X262" s="1445" t="e">
        <f ca="1"/>
        <v>#NAME?</v>
      </c>
      <c r="Y262" s="1446" t="e">
        <f ca="1"/>
        <v>#NAME?</v>
      </c>
      <c r="Z262" s="1408"/>
      <c r="AB262" s="1399"/>
      <c r="AC262" s="1399"/>
      <c r="AD262" s="1399"/>
      <c r="AE262" s="1399"/>
    </row>
    <row r="263" spans="1:31">
      <c r="A263" s="1487"/>
      <c r="B263" s="1488"/>
      <c r="C263" s="1489"/>
      <c r="D263" s="1490"/>
      <c r="E263" s="1487"/>
      <c r="F263" s="1488"/>
      <c r="G263" s="1489"/>
      <c r="H263" s="1490"/>
      <c r="I263" s="1487"/>
      <c r="J263" s="1488"/>
      <c r="K263" s="1489"/>
      <c r="L263" s="1490"/>
      <c r="M263" s="1487"/>
      <c r="N263" s="1488"/>
      <c r="O263" s="1489"/>
      <c r="P263" s="1490"/>
      <c r="Q263" s="1399"/>
      <c r="X263" s="1445" t="e">
        <f ca="1"/>
        <v>#NAME?</v>
      </c>
      <c r="Y263" s="1446" t="e">
        <f ca="1"/>
        <v>#NAME?</v>
      </c>
      <c r="Z263" s="1408"/>
      <c r="AB263" s="1399"/>
      <c r="AC263" s="1399"/>
      <c r="AD263" s="1399"/>
      <c r="AE263" s="1399"/>
    </row>
    <row r="264" spans="1:31">
      <c r="A264" s="1487"/>
      <c r="B264" s="1488"/>
      <c r="C264" s="1489"/>
      <c r="D264" s="1490"/>
      <c r="E264" s="1487"/>
      <c r="F264" s="1488"/>
      <c r="G264" s="1489"/>
      <c r="H264" s="1490"/>
      <c r="I264" s="1487"/>
      <c r="J264" s="1488"/>
      <c r="K264" s="1489"/>
      <c r="L264" s="1490"/>
      <c r="M264" s="1487"/>
      <c r="N264" s="1488"/>
      <c r="O264" s="1489"/>
      <c r="P264" s="1490"/>
      <c r="Q264" s="1399"/>
      <c r="X264" s="1445" t="e">
        <f ca="1"/>
        <v>#NAME?</v>
      </c>
      <c r="Y264" s="1446" t="e">
        <f ca="1"/>
        <v>#NAME?</v>
      </c>
      <c r="Z264" s="1408"/>
      <c r="AB264" s="1399"/>
      <c r="AC264" s="1399"/>
      <c r="AD264" s="1399"/>
      <c r="AE264" s="1399"/>
    </row>
    <row r="265" spans="1:31">
      <c r="A265" s="1487"/>
      <c r="B265" s="1488"/>
      <c r="C265" s="1489"/>
      <c r="D265" s="1490"/>
      <c r="E265" s="1487"/>
      <c r="F265" s="1488"/>
      <c r="G265" s="1489"/>
      <c r="H265" s="1490"/>
      <c r="I265" s="1487"/>
      <c r="J265" s="1488"/>
      <c r="K265" s="1489"/>
      <c r="L265" s="1490"/>
      <c r="M265" s="1487"/>
      <c r="N265" s="1488"/>
      <c r="O265" s="1489"/>
      <c r="P265" s="1490"/>
      <c r="Q265" s="1399"/>
      <c r="X265" s="1445" t="e">
        <f ca="1"/>
        <v>#NAME?</v>
      </c>
      <c r="Y265" s="1446" t="e">
        <f ca="1"/>
        <v>#NAME?</v>
      </c>
      <c r="Z265" s="1408"/>
      <c r="AB265" s="1399"/>
      <c r="AC265" s="1399"/>
      <c r="AD265" s="1399"/>
      <c r="AE265" s="1399"/>
    </row>
    <row r="266" spans="1:31">
      <c r="A266" s="1487"/>
      <c r="B266" s="1488"/>
      <c r="C266" s="1489"/>
      <c r="D266" s="1490"/>
      <c r="E266" s="1487"/>
      <c r="F266" s="1488"/>
      <c r="G266" s="1489"/>
      <c r="H266" s="1490"/>
      <c r="I266" s="1487"/>
      <c r="J266" s="1488"/>
      <c r="K266" s="1489"/>
      <c r="L266" s="1490"/>
      <c r="M266" s="1487"/>
      <c r="N266" s="1488"/>
      <c r="O266" s="1489"/>
      <c r="P266" s="1490"/>
      <c r="Q266" s="1399"/>
      <c r="X266" s="1445" t="e">
        <f ca="1"/>
        <v>#NAME?</v>
      </c>
      <c r="Y266" s="1446" t="e">
        <f ca="1"/>
        <v>#NAME?</v>
      </c>
      <c r="Z266" s="1408"/>
      <c r="AB266" s="1399"/>
      <c r="AC266" s="1399"/>
      <c r="AD266" s="1399"/>
      <c r="AE266" s="1399"/>
    </row>
    <row r="267" spans="1:31">
      <c r="A267" s="1487"/>
      <c r="B267" s="1488"/>
      <c r="C267" s="1489"/>
      <c r="D267" s="1490"/>
      <c r="E267" s="1487"/>
      <c r="F267" s="1488"/>
      <c r="G267" s="1489"/>
      <c r="H267" s="1490"/>
      <c r="I267" s="1487"/>
      <c r="J267" s="1488"/>
      <c r="K267" s="1489"/>
      <c r="L267" s="1490"/>
      <c r="M267" s="1487"/>
      <c r="N267" s="1488"/>
      <c r="O267" s="1489"/>
      <c r="P267" s="1490"/>
      <c r="Q267" s="1399"/>
      <c r="X267" s="1445" t="e">
        <f ca="1"/>
        <v>#NAME?</v>
      </c>
      <c r="Y267" s="1446" t="e">
        <f ca="1"/>
        <v>#NAME?</v>
      </c>
      <c r="Z267" s="1408"/>
      <c r="AB267" s="1399"/>
      <c r="AC267" s="1399"/>
      <c r="AD267" s="1399"/>
      <c r="AE267" s="1399"/>
    </row>
    <row r="268" spans="1:31">
      <c r="A268" s="1487"/>
      <c r="B268" s="1488"/>
      <c r="C268" s="1489"/>
      <c r="D268" s="1490"/>
      <c r="E268" s="1487"/>
      <c r="F268" s="1488"/>
      <c r="G268" s="1489"/>
      <c r="H268" s="1490"/>
      <c r="I268" s="1487"/>
      <c r="J268" s="1488"/>
      <c r="K268" s="1489"/>
      <c r="L268" s="1490"/>
      <c r="M268" s="1487"/>
      <c r="N268" s="1488"/>
      <c r="O268" s="1489"/>
      <c r="P268" s="1490"/>
      <c r="Q268" s="1399"/>
      <c r="X268" s="1445" t="e">
        <f ca="1"/>
        <v>#NAME?</v>
      </c>
      <c r="Y268" s="1446" t="e">
        <f ca="1"/>
        <v>#NAME?</v>
      </c>
      <c r="Z268" s="1408"/>
      <c r="AB268" s="1399"/>
      <c r="AC268" s="1399"/>
      <c r="AD268" s="1399"/>
      <c r="AE268" s="1399"/>
    </row>
    <row r="269" spans="1:31">
      <c r="A269" s="1487"/>
      <c r="B269" s="1488"/>
      <c r="C269" s="1489"/>
      <c r="D269" s="1490"/>
      <c r="E269" s="1487"/>
      <c r="F269" s="1488"/>
      <c r="G269" s="1489"/>
      <c r="H269" s="1490"/>
      <c r="I269" s="1487"/>
      <c r="J269" s="1488"/>
      <c r="K269" s="1489"/>
      <c r="L269" s="1490"/>
      <c r="M269" s="1487"/>
      <c r="N269" s="1488"/>
      <c r="O269" s="1489"/>
      <c r="P269" s="1490"/>
      <c r="Q269" s="1399"/>
      <c r="X269" s="1445" t="e">
        <f ca="1"/>
        <v>#NAME?</v>
      </c>
      <c r="Y269" s="1446" t="e">
        <f ca="1"/>
        <v>#NAME?</v>
      </c>
      <c r="Z269" s="1408"/>
      <c r="AB269" s="1399"/>
      <c r="AC269" s="1399"/>
      <c r="AD269" s="1399"/>
      <c r="AE269" s="1399"/>
    </row>
    <row r="270" spans="1:31">
      <c r="A270" s="1487"/>
      <c r="B270" s="1488"/>
      <c r="C270" s="1489"/>
      <c r="D270" s="1490"/>
      <c r="E270" s="1487"/>
      <c r="F270" s="1488"/>
      <c r="G270" s="1489"/>
      <c r="H270" s="1490"/>
      <c r="I270" s="1487"/>
      <c r="J270" s="1488"/>
      <c r="K270" s="1489"/>
      <c r="L270" s="1490"/>
      <c r="M270" s="1487"/>
      <c r="N270" s="1488"/>
      <c r="O270" s="1489"/>
      <c r="P270" s="1490"/>
      <c r="Q270" s="1399"/>
      <c r="X270" s="1445" t="e">
        <f ca="1"/>
        <v>#NAME?</v>
      </c>
      <c r="Y270" s="1446" t="e">
        <f ca="1"/>
        <v>#NAME?</v>
      </c>
      <c r="Z270" s="1408"/>
      <c r="AB270" s="1399"/>
      <c r="AC270" s="1399"/>
      <c r="AD270" s="1399"/>
      <c r="AE270" s="1399"/>
    </row>
    <row r="271" spans="1:31">
      <c r="A271" s="1487"/>
      <c r="B271" s="1488"/>
      <c r="C271" s="1489"/>
      <c r="D271" s="1490"/>
      <c r="E271" s="1487"/>
      <c r="F271" s="1488"/>
      <c r="G271" s="1489"/>
      <c r="H271" s="1490"/>
      <c r="I271" s="1487"/>
      <c r="J271" s="1488"/>
      <c r="K271" s="1489"/>
      <c r="L271" s="1490"/>
      <c r="M271" s="1487"/>
      <c r="N271" s="1488"/>
      <c r="O271" s="1489"/>
      <c r="P271" s="1490"/>
      <c r="Q271" s="1399"/>
      <c r="X271" s="1445" t="e">
        <f ca="1"/>
        <v>#NAME?</v>
      </c>
      <c r="Y271" s="1446" t="e">
        <f ca="1"/>
        <v>#NAME?</v>
      </c>
      <c r="Z271" s="1408"/>
      <c r="AB271" s="1399"/>
      <c r="AC271" s="1399"/>
      <c r="AD271" s="1399"/>
      <c r="AE271" s="1399"/>
    </row>
    <row r="272" spans="1:31">
      <c r="A272" s="1487"/>
      <c r="B272" s="1488"/>
      <c r="C272" s="1489"/>
      <c r="D272" s="1490"/>
      <c r="E272" s="1487"/>
      <c r="F272" s="1488"/>
      <c r="G272" s="1489"/>
      <c r="H272" s="1490"/>
      <c r="I272" s="1487"/>
      <c r="J272" s="1488"/>
      <c r="K272" s="1489"/>
      <c r="L272" s="1490"/>
      <c r="M272" s="1487"/>
      <c r="N272" s="1488"/>
      <c r="O272" s="1489"/>
      <c r="P272" s="1490"/>
      <c r="Q272" s="1399"/>
      <c r="X272" s="1445" t="e">
        <f ca="1"/>
        <v>#NAME?</v>
      </c>
      <c r="Y272" s="1446" t="e">
        <f ca="1"/>
        <v>#NAME?</v>
      </c>
      <c r="Z272" s="1408"/>
      <c r="AB272" s="1399"/>
      <c r="AC272" s="1399"/>
      <c r="AD272" s="1399"/>
      <c r="AE272" s="1399"/>
    </row>
    <row r="273" spans="1:31">
      <c r="A273" s="1487"/>
      <c r="B273" s="1488"/>
      <c r="C273" s="1489"/>
      <c r="D273" s="1490"/>
      <c r="E273" s="1487"/>
      <c r="F273" s="1488"/>
      <c r="G273" s="1489"/>
      <c r="H273" s="1490"/>
      <c r="I273" s="1487"/>
      <c r="J273" s="1488"/>
      <c r="K273" s="1489"/>
      <c r="L273" s="1490"/>
      <c r="M273" s="1487"/>
      <c r="N273" s="1488"/>
      <c r="O273" s="1489"/>
      <c r="P273" s="1490"/>
      <c r="Q273" s="1399"/>
      <c r="X273" s="1445" t="e">
        <f ca="1"/>
        <v>#NAME?</v>
      </c>
      <c r="Y273" s="1446" t="e">
        <f ca="1"/>
        <v>#NAME?</v>
      </c>
      <c r="Z273" s="1408"/>
      <c r="AB273" s="1399"/>
      <c r="AC273" s="1399"/>
      <c r="AD273" s="1399"/>
      <c r="AE273" s="1399"/>
    </row>
    <row r="274" spans="1:31">
      <c r="A274" s="1487"/>
      <c r="B274" s="1488"/>
      <c r="C274" s="1489"/>
      <c r="D274" s="1490"/>
      <c r="E274" s="1487"/>
      <c r="F274" s="1488"/>
      <c r="G274" s="1489"/>
      <c r="H274" s="1490"/>
      <c r="I274" s="1487"/>
      <c r="J274" s="1488"/>
      <c r="K274" s="1489"/>
      <c r="L274" s="1490"/>
      <c r="M274" s="1487"/>
      <c r="N274" s="1488"/>
      <c r="O274" s="1489"/>
      <c r="P274" s="1490"/>
      <c r="Q274" s="1399"/>
      <c r="X274" s="1445" t="e">
        <f ca="1"/>
        <v>#NAME?</v>
      </c>
      <c r="Y274" s="1446" t="e">
        <f ca="1"/>
        <v>#NAME?</v>
      </c>
      <c r="Z274" s="1408"/>
      <c r="AB274" s="1399"/>
      <c r="AC274" s="1399"/>
      <c r="AD274" s="1399"/>
      <c r="AE274" s="1399"/>
    </row>
    <row r="275" spans="1:31">
      <c r="A275" s="1487"/>
      <c r="B275" s="1488"/>
      <c r="C275" s="1489"/>
      <c r="D275" s="1490"/>
      <c r="E275" s="1487"/>
      <c r="F275" s="1488"/>
      <c r="G275" s="1489"/>
      <c r="H275" s="1490"/>
      <c r="I275" s="1487"/>
      <c r="J275" s="1488"/>
      <c r="K275" s="1489"/>
      <c r="L275" s="1490"/>
      <c r="M275" s="1487"/>
      <c r="N275" s="1488"/>
      <c r="O275" s="1489"/>
      <c r="P275" s="1490"/>
      <c r="Q275" s="1399"/>
      <c r="X275" s="1445" t="e">
        <f ca="1"/>
        <v>#NAME?</v>
      </c>
      <c r="Y275" s="1446" t="e">
        <f ca="1"/>
        <v>#NAME?</v>
      </c>
      <c r="Z275" s="1408"/>
      <c r="AB275" s="1399"/>
      <c r="AC275" s="1399"/>
      <c r="AD275" s="1399"/>
      <c r="AE275" s="1399"/>
    </row>
    <row r="276" spans="1:31">
      <c r="A276" s="1487"/>
      <c r="B276" s="1488"/>
      <c r="C276" s="1489"/>
      <c r="D276" s="1490"/>
      <c r="E276" s="1487"/>
      <c r="F276" s="1488"/>
      <c r="G276" s="1489"/>
      <c r="H276" s="1490"/>
      <c r="I276" s="1487"/>
      <c r="J276" s="1488"/>
      <c r="K276" s="1489"/>
      <c r="L276" s="1490"/>
      <c r="M276" s="1487"/>
      <c r="N276" s="1488"/>
      <c r="O276" s="1489"/>
      <c r="P276" s="1490"/>
      <c r="Q276" s="1399"/>
      <c r="X276" s="1445" t="e">
        <f ca="1"/>
        <v>#NAME?</v>
      </c>
      <c r="Y276" s="1446" t="e">
        <f ca="1"/>
        <v>#NAME?</v>
      </c>
      <c r="Z276" s="1408"/>
      <c r="AB276" s="1399"/>
      <c r="AC276" s="1399"/>
      <c r="AD276" s="1399"/>
      <c r="AE276" s="1399"/>
    </row>
    <row r="277" spans="1:31">
      <c r="A277" s="1487"/>
      <c r="B277" s="1488"/>
      <c r="C277" s="1489"/>
      <c r="D277" s="1490"/>
      <c r="E277" s="1487"/>
      <c r="F277" s="1488"/>
      <c r="G277" s="1489"/>
      <c r="H277" s="1490"/>
      <c r="I277" s="1487"/>
      <c r="J277" s="1488"/>
      <c r="K277" s="1489"/>
      <c r="L277" s="1490"/>
      <c r="M277" s="1487"/>
      <c r="N277" s="1488"/>
      <c r="O277" s="1489"/>
      <c r="P277" s="1490"/>
      <c r="Q277" s="1399"/>
      <c r="X277" s="1445" t="e">
        <f ca="1"/>
        <v>#NAME?</v>
      </c>
      <c r="Y277" s="1446" t="e">
        <f ca="1"/>
        <v>#NAME?</v>
      </c>
      <c r="Z277" s="1408"/>
      <c r="AB277" s="1399"/>
      <c r="AC277" s="1399"/>
      <c r="AD277" s="1399"/>
      <c r="AE277" s="1399"/>
    </row>
    <row r="278" spans="1:31">
      <c r="A278" s="1487"/>
      <c r="B278" s="1488"/>
      <c r="C278" s="1489"/>
      <c r="D278" s="1490"/>
      <c r="E278" s="1487"/>
      <c r="F278" s="1488"/>
      <c r="G278" s="1489"/>
      <c r="H278" s="1490"/>
      <c r="I278" s="1487"/>
      <c r="J278" s="1488"/>
      <c r="K278" s="1489"/>
      <c r="L278" s="1490"/>
      <c r="M278" s="1487"/>
      <c r="N278" s="1488"/>
      <c r="O278" s="1489"/>
      <c r="P278" s="1490"/>
      <c r="Q278" s="1399"/>
      <c r="X278" s="1445" t="e">
        <f ca="1"/>
        <v>#NAME?</v>
      </c>
      <c r="Y278" s="1446" t="e">
        <f ca="1"/>
        <v>#NAME?</v>
      </c>
      <c r="Z278" s="1408"/>
      <c r="AB278" s="1399"/>
      <c r="AC278" s="1399"/>
      <c r="AD278" s="1399"/>
      <c r="AE278" s="1399"/>
    </row>
    <row r="279" spans="1:31">
      <c r="A279" s="1487"/>
      <c r="B279" s="1488"/>
      <c r="C279" s="1489"/>
      <c r="D279" s="1490"/>
      <c r="E279" s="1487"/>
      <c r="F279" s="1488"/>
      <c r="G279" s="1489"/>
      <c r="H279" s="1490"/>
      <c r="I279" s="1487"/>
      <c r="J279" s="1488"/>
      <c r="K279" s="1489"/>
      <c r="L279" s="1490"/>
      <c r="M279" s="1487"/>
      <c r="N279" s="1488"/>
      <c r="O279" s="1489"/>
      <c r="P279" s="1490"/>
      <c r="Q279" s="1399"/>
      <c r="X279" s="1445" t="e">
        <f ca="1"/>
        <v>#NAME?</v>
      </c>
      <c r="Y279" s="1446" t="e">
        <f ca="1"/>
        <v>#NAME?</v>
      </c>
      <c r="Z279" s="1408"/>
      <c r="AB279" s="1399"/>
      <c r="AC279" s="1399"/>
      <c r="AD279" s="1399"/>
      <c r="AE279" s="1399"/>
    </row>
    <row r="280" spans="1:31">
      <c r="A280" s="1487"/>
      <c r="B280" s="1488"/>
      <c r="C280" s="1489"/>
      <c r="D280" s="1490"/>
      <c r="E280" s="1487"/>
      <c r="F280" s="1488"/>
      <c r="G280" s="1489"/>
      <c r="H280" s="1490"/>
      <c r="I280" s="1487"/>
      <c r="J280" s="1488"/>
      <c r="K280" s="1489"/>
      <c r="L280" s="1490"/>
      <c r="M280" s="1487"/>
      <c r="N280" s="1488"/>
      <c r="O280" s="1489"/>
      <c r="P280" s="1490"/>
      <c r="Q280" s="1399"/>
      <c r="X280" s="1445" t="e">
        <f ca="1"/>
        <v>#NAME?</v>
      </c>
      <c r="Y280" s="1446" t="e">
        <f ca="1"/>
        <v>#NAME?</v>
      </c>
      <c r="Z280" s="1408"/>
      <c r="AB280" s="1399"/>
      <c r="AC280" s="1399"/>
      <c r="AD280" s="1399"/>
      <c r="AE280" s="1399"/>
    </row>
    <row r="281" spans="1:31">
      <c r="A281" s="1487"/>
      <c r="B281" s="1488"/>
      <c r="C281" s="1489"/>
      <c r="D281" s="1490"/>
      <c r="E281" s="1487"/>
      <c r="F281" s="1488"/>
      <c r="G281" s="1489"/>
      <c r="H281" s="1490"/>
      <c r="I281" s="1487"/>
      <c r="J281" s="1488"/>
      <c r="K281" s="1489"/>
      <c r="L281" s="1490"/>
      <c r="M281" s="1487"/>
      <c r="N281" s="1488"/>
      <c r="O281" s="1489"/>
      <c r="P281" s="1490"/>
      <c r="Q281" s="1399"/>
      <c r="X281" s="1445" t="e">
        <f ca="1"/>
        <v>#NAME?</v>
      </c>
      <c r="Y281" s="1446" t="e">
        <f ca="1"/>
        <v>#NAME?</v>
      </c>
      <c r="Z281" s="1408"/>
      <c r="AB281" s="1399"/>
      <c r="AC281" s="1399"/>
      <c r="AD281" s="1399"/>
      <c r="AE281" s="1399"/>
    </row>
    <row r="282" spans="1:31">
      <c r="A282" s="1487"/>
      <c r="B282" s="1488"/>
      <c r="C282" s="1489"/>
      <c r="D282" s="1490"/>
      <c r="E282" s="1487"/>
      <c r="F282" s="1488"/>
      <c r="G282" s="1489"/>
      <c r="H282" s="1490"/>
      <c r="I282" s="1487"/>
      <c r="J282" s="1488"/>
      <c r="K282" s="1489"/>
      <c r="L282" s="1490"/>
      <c r="M282" s="1487"/>
      <c r="N282" s="1488"/>
      <c r="O282" s="1489"/>
      <c r="P282" s="1490"/>
      <c r="Q282" s="1399"/>
      <c r="X282" s="1445" t="e">
        <f ca="1"/>
        <v>#NAME?</v>
      </c>
      <c r="Y282" s="1446" t="e">
        <f ca="1"/>
        <v>#NAME?</v>
      </c>
      <c r="Z282" s="1408"/>
      <c r="AB282" s="1399"/>
      <c r="AC282" s="1399"/>
      <c r="AD282" s="1399"/>
      <c r="AE282" s="1399"/>
    </row>
    <row r="283" spans="1:31">
      <c r="A283" s="1487"/>
      <c r="B283" s="1488"/>
      <c r="C283" s="1489"/>
      <c r="D283" s="1490"/>
      <c r="E283" s="1487"/>
      <c r="F283" s="1488"/>
      <c r="G283" s="1489"/>
      <c r="H283" s="1490"/>
      <c r="I283" s="1487"/>
      <c r="J283" s="1488"/>
      <c r="K283" s="1489"/>
      <c r="L283" s="1490"/>
      <c r="M283" s="1487"/>
      <c r="N283" s="1488"/>
      <c r="O283" s="1489"/>
      <c r="P283" s="1490"/>
      <c r="Q283" s="1399"/>
      <c r="X283" s="1445" t="e">
        <f ca="1"/>
        <v>#NAME?</v>
      </c>
      <c r="Y283" s="1446" t="e">
        <f ca="1"/>
        <v>#NAME?</v>
      </c>
      <c r="Z283" s="1408"/>
      <c r="AB283" s="1399"/>
      <c r="AC283" s="1399"/>
      <c r="AD283" s="1399"/>
      <c r="AE283" s="1399"/>
    </row>
    <row r="284" spans="1:31">
      <c r="A284" s="1487"/>
      <c r="B284" s="1488"/>
      <c r="C284" s="1489"/>
      <c r="D284" s="1490"/>
      <c r="E284" s="1487"/>
      <c r="F284" s="1488"/>
      <c r="G284" s="1489"/>
      <c r="H284" s="1490"/>
      <c r="I284" s="1487"/>
      <c r="J284" s="1488"/>
      <c r="K284" s="1489"/>
      <c r="L284" s="1490"/>
      <c r="M284" s="1487"/>
      <c r="N284" s="1488"/>
      <c r="O284" s="1489"/>
      <c r="P284" s="1490"/>
      <c r="Q284" s="1399"/>
      <c r="X284" s="1445" t="e">
        <f ca="1"/>
        <v>#NAME?</v>
      </c>
      <c r="Y284" s="1446" t="e">
        <f ca="1"/>
        <v>#NAME?</v>
      </c>
      <c r="Z284" s="1408"/>
      <c r="AB284" s="1399"/>
      <c r="AC284" s="1399"/>
      <c r="AD284" s="1399"/>
      <c r="AE284" s="1399"/>
    </row>
    <row r="285" spans="1:31">
      <c r="A285" s="1487"/>
      <c r="B285" s="1488"/>
      <c r="C285" s="1489"/>
      <c r="D285" s="1490"/>
      <c r="E285" s="1487"/>
      <c r="F285" s="1488"/>
      <c r="G285" s="1489"/>
      <c r="H285" s="1490"/>
      <c r="I285" s="1487"/>
      <c r="J285" s="1488"/>
      <c r="K285" s="1489"/>
      <c r="L285" s="1490"/>
      <c r="M285" s="1487"/>
      <c r="N285" s="1488"/>
      <c r="O285" s="1489"/>
      <c r="P285" s="1490"/>
      <c r="Q285" s="1399"/>
      <c r="X285" s="1445" t="e">
        <f ca="1"/>
        <v>#NAME?</v>
      </c>
      <c r="Y285" s="1446" t="e">
        <f ca="1"/>
        <v>#NAME?</v>
      </c>
      <c r="Z285" s="1408"/>
      <c r="AB285" s="1399"/>
      <c r="AC285" s="1399"/>
      <c r="AD285" s="1399"/>
      <c r="AE285" s="1399"/>
    </row>
    <row r="286" spans="1:31">
      <c r="A286" s="1487"/>
      <c r="B286" s="1488"/>
      <c r="C286" s="1489"/>
      <c r="D286" s="1490"/>
      <c r="E286" s="1487"/>
      <c r="F286" s="1488"/>
      <c r="G286" s="1489"/>
      <c r="H286" s="1490"/>
      <c r="I286" s="1487"/>
      <c r="J286" s="1488"/>
      <c r="K286" s="1489"/>
      <c r="L286" s="1490"/>
      <c r="M286" s="1487"/>
      <c r="N286" s="1488"/>
      <c r="O286" s="1489"/>
      <c r="P286" s="1490"/>
      <c r="Q286" s="1399"/>
      <c r="X286" s="1445" t="e">
        <f ca="1"/>
        <v>#NAME?</v>
      </c>
      <c r="Y286" s="1446" t="e">
        <f ca="1"/>
        <v>#NAME?</v>
      </c>
      <c r="Z286" s="1408"/>
      <c r="AB286" s="1399"/>
      <c r="AC286" s="1399"/>
      <c r="AD286" s="1399"/>
      <c r="AE286" s="1399"/>
    </row>
    <row r="287" spans="1:31">
      <c r="A287" s="1487"/>
      <c r="B287" s="1488"/>
      <c r="C287" s="1489"/>
      <c r="D287" s="1490"/>
      <c r="E287" s="1487"/>
      <c r="F287" s="1488"/>
      <c r="G287" s="1489"/>
      <c r="H287" s="1490"/>
      <c r="I287" s="1487"/>
      <c r="J287" s="1488"/>
      <c r="K287" s="1489"/>
      <c r="L287" s="1490"/>
      <c r="M287" s="1487"/>
      <c r="N287" s="1488"/>
      <c r="O287" s="1489"/>
      <c r="P287" s="1490"/>
      <c r="Q287" s="1399"/>
      <c r="X287" s="1445" t="e">
        <f ca="1"/>
        <v>#NAME?</v>
      </c>
      <c r="Y287" s="1446" t="e">
        <f ca="1"/>
        <v>#NAME?</v>
      </c>
      <c r="Z287" s="1408"/>
      <c r="AB287" s="1399"/>
      <c r="AC287" s="1399"/>
      <c r="AD287" s="1399"/>
      <c r="AE287" s="1399"/>
    </row>
    <row r="288" spans="1:31">
      <c r="A288" s="1487"/>
      <c r="B288" s="1488"/>
      <c r="C288" s="1489"/>
      <c r="D288" s="1490"/>
      <c r="E288" s="1487"/>
      <c r="F288" s="1488"/>
      <c r="G288" s="1489"/>
      <c r="H288" s="1490"/>
      <c r="I288" s="1487"/>
      <c r="J288" s="1488"/>
      <c r="K288" s="1489"/>
      <c r="L288" s="1490"/>
      <c r="M288" s="1487"/>
      <c r="N288" s="1488"/>
      <c r="O288" s="1489"/>
      <c r="P288" s="1490"/>
      <c r="Q288" s="1399"/>
      <c r="X288" s="1445" t="e">
        <f ca="1"/>
        <v>#NAME?</v>
      </c>
      <c r="Y288" s="1446" t="e">
        <f ca="1"/>
        <v>#NAME?</v>
      </c>
      <c r="Z288" s="1408"/>
      <c r="AB288" s="1399"/>
      <c r="AC288" s="1399"/>
      <c r="AD288" s="1399"/>
      <c r="AE288" s="1399"/>
    </row>
    <row r="289" spans="1:31">
      <c r="A289" s="1487"/>
      <c r="B289" s="1488"/>
      <c r="C289" s="1489"/>
      <c r="D289" s="1490"/>
      <c r="E289" s="1487"/>
      <c r="F289" s="1488"/>
      <c r="G289" s="1489"/>
      <c r="H289" s="1490"/>
      <c r="I289" s="1487"/>
      <c r="J289" s="1488"/>
      <c r="K289" s="1489"/>
      <c r="L289" s="1490"/>
      <c r="M289" s="1487"/>
      <c r="N289" s="1488"/>
      <c r="O289" s="1489"/>
      <c r="P289" s="1490"/>
      <c r="Q289" s="1399"/>
      <c r="X289" s="1445" t="e">
        <f ca="1"/>
        <v>#NAME?</v>
      </c>
      <c r="Y289" s="1446" t="e">
        <f ca="1"/>
        <v>#NAME?</v>
      </c>
      <c r="Z289" s="1408"/>
      <c r="AB289" s="1399"/>
      <c r="AC289" s="1399"/>
      <c r="AD289" s="1399"/>
      <c r="AE289" s="1399"/>
    </row>
    <row r="290" spans="1:31">
      <c r="A290" s="1487"/>
      <c r="B290" s="1488"/>
      <c r="C290" s="1489"/>
      <c r="D290" s="1490"/>
      <c r="E290" s="1487"/>
      <c r="F290" s="1488"/>
      <c r="G290" s="1489"/>
      <c r="H290" s="1490"/>
      <c r="I290" s="1487"/>
      <c r="J290" s="1488"/>
      <c r="K290" s="1489"/>
      <c r="L290" s="1490"/>
      <c r="M290" s="1487"/>
      <c r="N290" s="1488"/>
      <c r="O290" s="1489"/>
      <c r="P290" s="1490"/>
      <c r="Q290" s="1399"/>
      <c r="X290" s="1445" t="e">
        <f ca="1"/>
        <v>#NAME?</v>
      </c>
      <c r="Y290" s="1446" t="e">
        <f ca="1"/>
        <v>#NAME?</v>
      </c>
      <c r="Z290" s="1408"/>
      <c r="AB290" s="1399"/>
      <c r="AC290" s="1399"/>
      <c r="AD290" s="1399"/>
      <c r="AE290" s="1399"/>
    </row>
    <row r="291" spans="1:31">
      <c r="A291" s="1487"/>
      <c r="B291" s="1488"/>
      <c r="C291" s="1489"/>
      <c r="D291" s="1490"/>
      <c r="E291" s="1487"/>
      <c r="F291" s="1488"/>
      <c r="G291" s="1489"/>
      <c r="H291" s="1490"/>
      <c r="I291" s="1487"/>
      <c r="J291" s="1488"/>
      <c r="K291" s="1489"/>
      <c r="L291" s="1490"/>
      <c r="M291" s="1487"/>
      <c r="N291" s="1488"/>
      <c r="O291" s="1489"/>
      <c r="P291" s="1490"/>
      <c r="Q291" s="1399"/>
      <c r="X291" s="1445" t="e">
        <f ca="1"/>
        <v>#NAME?</v>
      </c>
      <c r="Y291" s="1446" t="e">
        <f ca="1"/>
        <v>#NAME?</v>
      </c>
      <c r="Z291" s="1408"/>
      <c r="AB291" s="1399"/>
      <c r="AC291" s="1399"/>
      <c r="AD291" s="1399"/>
      <c r="AE291" s="1399"/>
    </row>
    <row r="292" spans="1:31">
      <c r="A292" s="1487"/>
      <c r="B292" s="1488"/>
      <c r="C292" s="1489"/>
      <c r="D292" s="1490"/>
      <c r="E292" s="1487"/>
      <c r="F292" s="1488"/>
      <c r="G292" s="1489"/>
      <c r="H292" s="1490"/>
      <c r="I292" s="1487"/>
      <c r="J292" s="1488"/>
      <c r="K292" s="1489"/>
      <c r="L292" s="1490"/>
      <c r="M292" s="1487"/>
      <c r="N292" s="1488"/>
      <c r="O292" s="1489"/>
      <c r="P292" s="1490"/>
      <c r="Q292" s="1399"/>
      <c r="X292" s="1445" t="e">
        <f ca="1"/>
        <v>#NAME?</v>
      </c>
      <c r="Y292" s="1446" t="e">
        <f ca="1"/>
        <v>#NAME?</v>
      </c>
      <c r="Z292" s="1408"/>
      <c r="AB292" s="1399"/>
      <c r="AC292" s="1399"/>
      <c r="AD292" s="1399"/>
      <c r="AE292" s="1399"/>
    </row>
    <row r="293" spans="1:31">
      <c r="A293" s="1487"/>
      <c r="B293" s="1488"/>
      <c r="C293" s="1489"/>
      <c r="D293" s="1490"/>
      <c r="E293" s="1487"/>
      <c r="F293" s="1488"/>
      <c r="G293" s="1489"/>
      <c r="H293" s="1490"/>
      <c r="I293" s="1487"/>
      <c r="J293" s="1488"/>
      <c r="K293" s="1489"/>
      <c r="L293" s="1490"/>
      <c r="M293" s="1487"/>
      <c r="N293" s="1488"/>
      <c r="O293" s="1489"/>
      <c r="P293" s="1490"/>
      <c r="Q293" s="1399"/>
      <c r="X293" s="1445" t="e">
        <f ca="1"/>
        <v>#NAME?</v>
      </c>
      <c r="Y293" s="1446" t="e">
        <f ca="1"/>
        <v>#NAME?</v>
      </c>
      <c r="Z293" s="1408"/>
      <c r="AB293" s="1399"/>
      <c r="AC293" s="1399"/>
      <c r="AD293" s="1399"/>
      <c r="AE293" s="1399"/>
    </row>
    <row r="294" spans="1:31">
      <c r="A294" s="1487"/>
      <c r="B294" s="1488"/>
      <c r="C294" s="1489"/>
      <c r="D294" s="1490"/>
      <c r="E294" s="1487"/>
      <c r="F294" s="1488"/>
      <c r="G294" s="1489"/>
      <c r="H294" s="1490"/>
      <c r="I294" s="1487"/>
      <c r="J294" s="1488"/>
      <c r="K294" s="1489"/>
      <c r="L294" s="1490"/>
      <c r="M294" s="1487"/>
      <c r="N294" s="1488"/>
      <c r="O294" s="1489"/>
      <c r="P294" s="1490"/>
      <c r="Q294" s="1399"/>
      <c r="X294" s="1445" t="e">
        <f ca="1"/>
        <v>#NAME?</v>
      </c>
      <c r="Y294" s="1446" t="e">
        <f ca="1"/>
        <v>#NAME?</v>
      </c>
      <c r="Z294" s="1408"/>
      <c r="AB294" s="1399"/>
      <c r="AC294" s="1399"/>
      <c r="AD294" s="1399"/>
      <c r="AE294" s="1399"/>
    </row>
    <row r="295" spans="1:31">
      <c r="A295" s="1487"/>
      <c r="B295" s="1488"/>
      <c r="C295" s="1489"/>
      <c r="D295" s="1490"/>
      <c r="E295" s="1487"/>
      <c r="F295" s="1488"/>
      <c r="G295" s="1489"/>
      <c r="H295" s="1490"/>
      <c r="I295" s="1487"/>
      <c r="J295" s="1488"/>
      <c r="K295" s="1489"/>
      <c r="L295" s="1490"/>
      <c r="M295" s="1487"/>
      <c r="N295" s="1488"/>
      <c r="O295" s="1489"/>
      <c r="P295" s="1490"/>
      <c r="Q295" s="1399"/>
      <c r="X295" s="1445" t="e">
        <f ca="1"/>
        <v>#NAME?</v>
      </c>
      <c r="Y295" s="1446" t="e">
        <f ca="1"/>
        <v>#NAME?</v>
      </c>
      <c r="Z295" s="1408"/>
      <c r="AB295" s="1399"/>
      <c r="AC295" s="1399"/>
      <c r="AD295" s="1399"/>
      <c r="AE295" s="1399"/>
    </row>
    <row r="296" spans="1:31">
      <c r="A296" s="1487"/>
      <c r="B296" s="1488"/>
      <c r="C296" s="1489"/>
      <c r="D296" s="1490"/>
      <c r="E296" s="1487"/>
      <c r="F296" s="1488"/>
      <c r="G296" s="1489"/>
      <c r="H296" s="1490"/>
      <c r="I296" s="1487"/>
      <c r="J296" s="1488"/>
      <c r="K296" s="1489"/>
      <c r="L296" s="1490"/>
      <c r="M296" s="1487"/>
      <c r="N296" s="1488"/>
      <c r="O296" s="1489"/>
      <c r="P296" s="1490"/>
      <c r="Q296" s="1399"/>
      <c r="X296" s="1445" t="e">
        <f ca="1"/>
        <v>#NAME?</v>
      </c>
      <c r="Y296" s="1446" t="e">
        <f ca="1"/>
        <v>#NAME?</v>
      </c>
      <c r="Z296" s="1408"/>
      <c r="AB296" s="1399"/>
      <c r="AC296" s="1399"/>
      <c r="AD296" s="1399"/>
      <c r="AE296" s="1399"/>
    </row>
    <row r="297" spans="1:31">
      <c r="A297" s="1487"/>
      <c r="B297" s="1488"/>
      <c r="C297" s="1489"/>
      <c r="D297" s="1490"/>
      <c r="E297" s="1487"/>
      <c r="F297" s="1488"/>
      <c r="G297" s="1489"/>
      <c r="H297" s="1490"/>
      <c r="I297" s="1487"/>
      <c r="J297" s="1488"/>
      <c r="K297" s="1489"/>
      <c r="L297" s="1490"/>
      <c r="M297" s="1487"/>
      <c r="N297" s="1488"/>
      <c r="O297" s="1489"/>
      <c r="P297" s="1490"/>
      <c r="Q297" s="1399"/>
      <c r="X297" s="1445" t="e">
        <f ca="1"/>
        <v>#NAME?</v>
      </c>
      <c r="Y297" s="1446" t="e">
        <f ca="1"/>
        <v>#NAME?</v>
      </c>
      <c r="Z297" s="1408"/>
      <c r="AB297" s="1399"/>
      <c r="AC297" s="1399"/>
      <c r="AD297" s="1399"/>
      <c r="AE297" s="1399"/>
    </row>
    <row r="298" spans="1:31">
      <c r="A298" s="1487"/>
      <c r="B298" s="1488"/>
      <c r="C298" s="1489"/>
      <c r="D298" s="1490"/>
      <c r="E298" s="1487"/>
      <c r="F298" s="1488"/>
      <c r="G298" s="1489"/>
      <c r="H298" s="1490"/>
      <c r="I298" s="1487"/>
      <c r="J298" s="1488"/>
      <c r="K298" s="1489"/>
      <c r="L298" s="1490"/>
      <c r="M298" s="1487"/>
      <c r="N298" s="1488"/>
      <c r="O298" s="1489"/>
      <c r="P298" s="1490"/>
      <c r="Q298" s="1399"/>
      <c r="X298" s="1445" t="e">
        <f ca="1"/>
        <v>#NAME?</v>
      </c>
      <c r="Y298" s="1446" t="e">
        <f ca="1"/>
        <v>#NAME?</v>
      </c>
      <c r="Z298" s="1408"/>
      <c r="AB298" s="1399"/>
      <c r="AC298" s="1399"/>
      <c r="AD298" s="1399"/>
      <c r="AE298" s="1399"/>
    </row>
    <row r="299" spans="1:31">
      <c r="A299" s="1487"/>
      <c r="B299" s="1488"/>
      <c r="C299" s="1489"/>
      <c r="D299" s="1490"/>
      <c r="E299" s="1487"/>
      <c r="F299" s="1488"/>
      <c r="G299" s="1489"/>
      <c r="H299" s="1490"/>
      <c r="I299" s="1487"/>
      <c r="J299" s="1488"/>
      <c r="K299" s="1489"/>
      <c r="L299" s="1490"/>
      <c r="M299" s="1487"/>
      <c r="N299" s="1488"/>
      <c r="O299" s="1489"/>
      <c r="P299" s="1490"/>
      <c r="Q299" s="1399"/>
      <c r="X299" s="1445" t="e">
        <f ca="1"/>
        <v>#NAME?</v>
      </c>
      <c r="Y299" s="1446" t="e">
        <f ca="1"/>
        <v>#NAME?</v>
      </c>
      <c r="Z299" s="1408"/>
      <c r="AB299" s="1399"/>
      <c r="AC299" s="1399"/>
      <c r="AD299" s="1399"/>
      <c r="AE299" s="1399"/>
    </row>
    <row r="300" spans="1:31">
      <c r="A300" s="1487"/>
      <c r="B300" s="1488"/>
      <c r="C300" s="1489"/>
      <c r="D300" s="1490"/>
      <c r="E300" s="1487"/>
      <c r="F300" s="1488"/>
      <c r="G300" s="1489"/>
      <c r="H300" s="1490"/>
      <c r="I300" s="1487"/>
      <c r="J300" s="1488"/>
      <c r="K300" s="1489"/>
      <c r="L300" s="1490"/>
      <c r="M300" s="1487"/>
      <c r="N300" s="1488"/>
      <c r="O300" s="1489"/>
      <c r="P300" s="1490"/>
      <c r="Q300" s="1399"/>
      <c r="X300" s="1445" t="e">
        <f ca="1"/>
        <v>#NAME?</v>
      </c>
      <c r="Y300" s="1446" t="e">
        <f ca="1"/>
        <v>#NAME?</v>
      </c>
      <c r="Z300" s="1408"/>
      <c r="AB300" s="1399"/>
      <c r="AC300" s="1399"/>
      <c r="AD300" s="1399"/>
      <c r="AE300" s="1399"/>
    </row>
    <row r="301" spans="1:31">
      <c r="A301" s="1487"/>
      <c r="B301" s="1488"/>
      <c r="C301" s="1489"/>
      <c r="D301" s="1490"/>
      <c r="E301" s="1487"/>
      <c r="F301" s="1488"/>
      <c r="G301" s="1489"/>
      <c r="H301" s="1490"/>
      <c r="I301" s="1487"/>
      <c r="J301" s="1488"/>
      <c r="K301" s="1489"/>
      <c r="L301" s="1490"/>
      <c r="M301" s="1487"/>
      <c r="N301" s="1488"/>
      <c r="O301" s="1489"/>
      <c r="P301" s="1490"/>
      <c r="Q301" s="1399"/>
      <c r="X301" s="1445" t="e">
        <f ca="1"/>
        <v>#NAME?</v>
      </c>
      <c r="Y301" s="1446" t="e">
        <f ca="1"/>
        <v>#NAME?</v>
      </c>
      <c r="Z301" s="1408"/>
      <c r="AB301" s="1399"/>
      <c r="AC301" s="1399"/>
      <c r="AD301" s="1399"/>
      <c r="AE301" s="1399"/>
    </row>
    <row r="302" spans="1:31">
      <c r="A302" s="1487"/>
      <c r="B302" s="1488"/>
      <c r="C302" s="1489"/>
      <c r="D302" s="1490"/>
      <c r="E302" s="1487"/>
      <c r="F302" s="1488"/>
      <c r="G302" s="1489"/>
      <c r="H302" s="1490"/>
      <c r="I302" s="1487"/>
      <c r="J302" s="1488"/>
      <c r="K302" s="1489"/>
      <c r="L302" s="1490"/>
      <c r="M302" s="1487"/>
      <c r="N302" s="1488"/>
      <c r="O302" s="1489"/>
      <c r="P302" s="1490"/>
      <c r="Q302" s="1399"/>
      <c r="X302" s="1445" t="e">
        <f ca="1"/>
        <v>#NAME?</v>
      </c>
      <c r="Y302" s="1446" t="e">
        <f ca="1"/>
        <v>#NAME?</v>
      </c>
      <c r="Z302" s="1408"/>
      <c r="AB302" s="1399"/>
      <c r="AC302" s="1399"/>
      <c r="AD302" s="1399"/>
      <c r="AE302" s="1399"/>
    </row>
    <row r="303" spans="1:31">
      <c r="A303" s="1487"/>
      <c r="B303" s="1488"/>
      <c r="C303" s="1489"/>
      <c r="D303" s="1490"/>
      <c r="E303" s="1487"/>
      <c r="F303" s="1488"/>
      <c r="G303" s="1489"/>
      <c r="H303" s="1490"/>
      <c r="I303" s="1487"/>
      <c r="J303" s="1488"/>
      <c r="K303" s="1489"/>
      <c r="L303" s="1490"/>
      <c r="M303" s="1487"/>
      <c r="N303" s="1488"/>
      <c r="O303" s="1489"/>
      <c r="P303" s="1490"/>
      <c r="Q303" s="1399"/>
      <c r="X303" s="1445" t="e">
        <f ca="1"/>
        <v>#NAME?</v>
      </c>
      <c r="Y303" s="1446" t="e">
        <f ca="1"/>
        <v>#NAME?</v>
      </c>
      <c r="Z303" s="1408"/>
      <c r="AB303" s="1399"/>
      <c r="AC303" s="1399"/>
      <c r="AD303" s="1399"/>
      <c r="AE303" s="1399"/>
    </row>
    <row r="304" spans="1:31">
      <c r="A304" s="1487"/>
      <c r="B304" s="1488"/>
      <c r="C304" s="1489"/>
      <c r="D304" s="1490"/>
      <c r="E304" s="1487"/>
      <c r="F304" s="1488"/>
      <c r="G304" s="1489"/>
      <c r="H304" s="1490"/>
      <c r="I304" s="1487"/>
      <c r="J304" s="1488"/>
      <c r="K304" s="1489"/>
      <c r="L304" s="1490"/>
      <c r="M304" s="1487"/>
      <c r="N304" s="1488"/>
      <c r="O304" s="1489"/>
      <c r="P304" s="1490"/>
      <c r="Q304" s="1399"/>
      <c r="X304" s="1445" t="e">
        <f ca="1"/>
        <v>#NAME?</v>
      </c>
      <c r="Y304" s="1446" t="e">
        <f ca="1"/>
        <v>#NAME?</v>
      </c>
      <c r="Z304" s="1408"/>
      <c r="AB304" s="1399"/>
      <c r="AC304" s="1399"/>
      <c r="AD304" s="1399"/>
      <c r="AE304" s="1399"/>
    </row>
    <row r="305" spans="1:31">
      <c r="A305" s="1487"/>
      <c r="B305" s="1488"/>
      <c r="C305" s="1489"/>
      <c r="D305" s="1490"/>
      <c r="E305" s="1487"/>
      <c r="F305" s="1488"/>
      <c r="G305" s="1489"/>
      <c r="H305" s="1490"/>
      <c r="I305" s="1487"/>
      <c r="J305" s="1488"/>
      <c r="K305" s="1489"/>
      <c r="L305" s="1490"/>
      <c r="M305" s="1487"/>
      <c r="N305" s="1488"/>
      <c r="O305" s="1489"/>
      <c r="P305" s="1490"/>
      <c r="Q305" s="1399"/>
      <c r="X305" s="1445" t="e">
        <f ca="1"/>
        <v>#NAME?</v>
      </c>
      <c r="Y305" s="1446" t="e">
        <f ca="1"/>
        <v>#NAME?</v>
      </c>
      <c r="Z305" s="1408"/>
      <c r="AB305" s="1399"/>
      <c r="AC305" s="1399"/>
      <c r="AD305" s="1399"/>
      <c r="AE305" s="1399"/>
    </row>
    <row r="306" spans="1:31">
      <c r="A306" s="1487"/>
      <c r="B306" s="1488"/>
      <c r="C306" s="1489"/>
      <c r="D306" s="1490"/>
      <c r="E306" s="1487"/>
      <c r="F306" s="1488"/>
      <c r="G306" s="1489"/>
      <c r="H306" s="1490"/>
      <c r="I306" s="1487"/>
      <c r="J306" s="1488"/>
      <c r="K306" s="1489"/>
      <c r="L306" s="1490"/>
      <c r="M306" s="1487"/>
      <c r="N306" s="1488"/>
      <c r="O306" s="1489"/>
      <c r="P306" s="1490"/>
      <c r="Q306" s="1399"/>
      <c r="X306" s="1445" t="e">
        <f ca="1"/>
        <v>#NAME?</v>
      </c>
      <c r="Y306" s="1446" t="e">
        <f ca="1"/>
        <v>#NAME?</v>
      </c>
      <c r="Z306" s="1408"/>
      <c r="AB306" s="1399"/>
      <c r="AC306" s="1399"/>
      <c r="AD306" s="1399"/>
      <c r="AE306" s="1399"/>
    </row>
    <row r="307" spans="1:31">
      <c r="A307" s="1487"/>
      <c r="B307" s="1488"/>
      <c r="C307" s="1489"/>
      <c r="D307" s="1490"/>
      <c r="E307" s="1487"/>
      <c r="F307" s="1488"/>
      <c r="G307" s="1489"/>
      <c r="H307" s="1490"/>
      <c r="I307" s="1487"/>
      <c r="J307" s="1488"/>
      <c r="K307" s="1489"/>
      <c r="L307" s="1490"/>
      <c r="M307" s="1487"/>
      <c r="N307" s="1488"/>
      <c r="O307" s="1489"/>
      <c r="P307" s="1490"/>
      <c r="Q307" s="1399"/>
      <c r="X307" s="1445" t="e">
        <f ca="1"/>
        <v>#NAME?</v>
      </c>
      <c r="Y307" s="1446" t="e">
        <f ca="1"/>
        <v>#NAME?</v>
      </c>
      <c r="Z307" s="1408"/>
      <c r="AB307" s="1399"/>
      <c r="AC307" s="1399"/>
      <c r="AD307" s="1399"/>
      <c r="AE307" s="1399"/>
    </row>
    <row r="308" spans="1:31">
      <c r="A308" s="1487"/>
      <c r="B308" s="1488"/>
      <c r="C308" s="1489"/>
      <c r="D308" s="1490"/>
      <c r="E308" s="1487"/>
      <c r="F308" s="1488"/>
      <c r="G308" s="1489"/>
      <c r="H308" s="1490"/>
      <c r="I308" s="1487"/>
      <c r="J308" s="1488"/>
      <c r="K308" s="1489"/>
      <c r="L308" s="1490"/>
      <c r="M308" s="1487"/>
      <c r="N308" s="1488"/>
      <c r="O308" s="1489"/>
      <c r="P308" s="1490"/>
      <c r="Q308" s="1399"/>
      <c r="X308" s="1445" t="e">
        <f ca="1"/>
        <v>#NAME?</v>
      </c>
      <c r="Y308" s="1446" t="e">
        <f ca="1"/>
        <v>#NAME?</v>
      </c>
      <c r="Z308" s="1408"/>
      <c r="AB308" s="1399"/>
      <c r="AC308" s="1399"/>
      <c r="AD308" s="1399"/>
      <c r="AE308" s="1399"/>
    </row>
    <row r="309" spans="1:31">
      <c r="A309" s="1487"/>
      <c r="B309" s="1488"/>
      <c r="C309" s="1489"/>
      <c r="D309" s="1490"/>
      <c r="E309" s="1487"/>
      <c r="F309" s="1488"/>
      <c r="G309" s="1489"/>
      <c r="H309" s="1490"/>
      <c r="I309" s="1487"/>
      <c r="J309" s="1488"/>
      <c r="K309" s="1489"/>
      <c r="L309" s="1490"/>
      <c r="M309" s="1487"/>
      <c r="N309" s="1488"/>
      <c r="O309" s="1489"/>
      <c r="P309" s="1490"/>
      <c r="Q309" s="1399"/>
      <c r="X309" s="1445" t="e">
        <f ca="1"/>
        <v>#NAME?</v>
      </c>
      <c r="Y309" s="1446" t="e">
        <f ca="1"/>
        <v>#NAME?</v>
      </c>
      <c r="Z309" s="1408"/>
      <c r="AB309" s="1399"/>
      <c r="AC309" s="1399"/>
      <c r="AD309" s="1399"/>
      <c r="AE309" s="1399"/>
    </row>
    <row r="310" spans="1:31">
      <c r="A310" s="1487"/>
      <c r="B310" s="1488"/>
      <c r="C310" s="1489"/>
      <c r="D310" s="1490"/>
      <c r="E310" s="1487"/>
      <c r="F310" s="1488"/>
      <c r="G310" s="1489"/>
      <c r="H310" s="1490"/>
      <c r="I310" s="1487"/>
      <c r="J310" s="1488"/>
      <c r="K310" s="1489"/>
      <c r="L310" s="1490"/>
      <c r="M310" s="1487"/>
      <c r="N310" s="1488"/>
      <c r="O310" s="1489"/>
      <c r="P310" s="1490"/>
      <c r="Q310" s="1399"/>
      <c r="X310" s="1445" t="e">
        <f ca="1"/>
        <v>#NAME?</v>
      </c>
      <c r="Y310" s="1446" t="e">
        <f ca="1"/>
        <v>#NAME?</v>
      </c>
      <c r="Z310" s="1408"/>
      <c r="AB310" s="1399"/>
      <c r="AC310" s="1399"/>
      <c r="AD310" s="1399"/>
      <c r="AE310" s="1399"/>
    </row>
    <row r="311" spans="1:31">
      <c r="A311" s="1487"/>
      <c r="B311" s="1488"/>
      <c r="C311" s="1489"/>
      <c r="D311" s="1490"/>
      <c r="E311" s="1487"/>
      <c r="F311" s="1488"/>
      <c r="G311" s="1489"/>
      <c r="H311" s="1490"/>
      <c r="I311" s="1487"/>
      <c r="J311" s="1488"/>
      <c r="K311" s="1489"/>
      <c r="L311" s="1490"/>
      <c r="M311" s="1487"/>
      <c r="N311" s="1488"/>
      <c r="O311" s="1489"/>
      <c r="P311" s="1490"/>
      <c r="Q311" s="1399"/>
      <c r="X311" s="1445" t="e">
        <f ca="1"/>
        <v>#NAME?</v>
      </c>
      <c r="Y311" s="1446" t="e">
        <f ca="1"/>
        <v>#NAME?</v>
      </c>
      <c r="Z311" s="1408"/>
      <c r="AB311" s="1399"/>
      <c r="AC311" s="1399"/>
      <c r="AD311" s="1399"/>
      <c r="AE311" s="1399"/>
    </row>
    <row r="312" spans="1:31">
      <c r="A312" s="1487"/>
      <c r="B312" s="1488"/>
      <c r="C312" s="1489"/>
      <c r="D312" s="1490"/>
      <c r="E312" s="1487"/>
      <c r="F312" s="1488"/>
      <c r="G312" s="1489"/>
      <c r="H312" s="1490"/>
      <c r="I312" s="1487"/>
      <c r="J312" s="1488"/>
      <c r="K312" s="1489"/>
      <c r="L312" s="1490"/>
      <c r="M312" s="1487"/>
      <c r="N312" s="1488"/>
      <c r="O312" s="1489"/>
      <c r="P312" s="1490"/>
      <c r="Q312" s="1399"/>
      <c r="X312" s="1445" t="e">
        <f ca="1"/>
        <v>#NAME?</v>
      </c>
      <c r="Y312" s="1446" t="e">
        <f ca="1"/>
        <v>#NAME?</v>
      </c>
      <c r="Z312" s="1408"/>
      <c r="AB312" s="1399"/>
      <c r="AC312" s="1399"/>
      <c r="AD312" s="1399"/>
      <c r="AE312" s="1399"/>
    </row>
    <row r="313" spans="1:31">
      <c r="A313" s="1487"/>
      <c r="B313" s="1488"/>
      <c r="C313" s="1489"/>
      <c r="D313" s="1490"/>
      <c r="E313" s="1487"/>
      <c r="F313" s="1488"/>
      <c r="G313" s="1489"/>
      <c r="H313" s="1490"/>
      <c r="I313" s="1487"/>
      <c r="J313" s="1488"/>
      <c r="K313" s="1489"/>
      <c r="L313" s="1490"/>
      <c r="M313" s="1487"/>
      <c r="N313" s="1488"/>
      <c r="O313" s="1489"/>
      <c r="P313" s="1490"/>
      <c r="Q313" s="1399"/>
      <c r="X313" s="1445" t="e">
        <f ca="1"/>
        <v>#NAME?</v>
      </c>
      <c r="Y313" s="1446" t="e">
        <f ca="1"/>
        <v>#NAME?</v>
      </c>
      <c r="Z313" s="1408"/>
      <c r="AB313" s="1399"/>
      <c r="AC313" s="1399"/>
      <c r="AD313" s="1399"/>
      <c r="AE313" s="1399"/>
    </row>
    <row r="314" spans="1:31">
      <c r="A314" s="1487"/>
      <c r="B314" s="1488"/>
      <c r="C314" s="1489"/>
      <c r="D314" s="1490"/>
      <c r="E314" s="1487"/>
      <c r="F314" s="1488"/>
      <c r="G314" s="1489"/>
      <c r="H314" s="1490"/>
      <c r="I314" s="1487"/>
      <c r="J314" s="1488"/>
      <c r="K314" s="1489"/>
      <c r="L314" s="1490"/>
      <c r="M314" s="1487"/>
      <c r="N314" s="1488"/>
      <c r="O314" s="1489"/>
      <c r="P314" s="1490"/>
      <c r="Q314" s="1399"/>
      <c r="X314" s="1445" t="e">
        <f ca="1"/>
        <v>#NAME?</v>
      </c>
      <c r="Y314" s="1446" t="e">
        <f ca="1"/>
        <v>#NAME?</v>
      </c>
      <c r="Z314" s="1408"/>
      <c r="AB314" s="1399"/>
      <c r="AC314" s="1399"/>
      <c r="AD314" s="1399"/>
      <c r="AE314" s="1399"/>
    </row>
    <row r="315" spans="1:31">
      <c r="A315" s="1487"/>
      <c r="B315" s="1488"/>
      <c r="C315" s="1489"/>
      <c r="D315" s="1490"/>
      <c r="E315" s="1487"/>
      <c r="F315" s="1488"/>
      <c r="G315" s="1489"/>
      <c r="H315" s="1490"/>
      <c r="I315" s="1487"/>
      <c r="J315" s="1488"/>
      <c r="K315" s="1489"/>
      <c r="L315" s="1490"/>
      <c r="M315" s="1487"/>
      <c r="N315" s="1488"/>
      <c r="O315" s="1489"/>
      <c r="P315" s="1490"/>
      <c r="Q315" s="1399"/>
      <c r="X315" s="1445" t="e">
        <f ca="1"/>
        <v>#NAME?</v>
      </c>
      <c r="Y315" s="1446" t="e">
        <f ca="1"/>
        <v>#NAME?</v>
      </c>
      <c r="Z315" s="1408"/>
      <c r="AB315" s="1399"/>
      <c r="AC315" s="1399"/>
      <c r="AD315" s="1399"/>
      <c r="AE315" s="1399"/>
    </row>
    <row r="316" spans="1:31">
      <c r="A316" s="1487"/>
      <c r="B316" s="1488"/>
      <c r="C316" s="1489"/>
      <c r="D316" s="1490"/>
      <c r="E316" s="1487"/>
      <c r="F316" s="1488"/>
      <c r="G316" s="1489"/>
      <c r="H316" s="1490"/>
      <c r="I316" s="1487"/>
      <c r="J316" s="1488"/>
      <c r="K316" s="1489"/>
      <c r="L316" s="1490"/>
      <c r="M316" s="1487"/>
      <c r="N316" s="1488"/>
      <c r="O316" s="1489"/>
      <c r="P316" s="1490"/>
      <c r="Q316" s="1399"/>
      <c r="X316" s="1445" t="e">
        <f ca="1"/>
        <v>#NAME?</v>
      </c>
      <c r="Y316" s="1446" t="e">
        <f ca="1"/>
        <v>#NAME?</v>
      </c>
      <c r="Z316" s="1408"/>
      <c r="AB316" s="1399"/>
      <c r="AC316" s="1399"/>
      <c r="AD316" s="1399"/>
      <c r="AE316" s="1399"/>
    </row>
    <row r="317" spans="1:31">
      <c r="A317" s="1487"/>
      <c r="B317" s="1488"/>
      <c r="C317" s="1489"/>
      <c r="D317" s="1490"/>
      <c r="E317" s="1487"/>
      <c r="F317" s="1488"/>
      <c r="G317" s="1489"/>
      <c r="H317" s="1490"/>
      <c r="I317" s="1487"/>
      <c r="J317" s="1488"/>
      <c r="K317" s="1489"/>
      <c r="L317" s="1490"/>
      <c r="M317" s="1487"/>
      <c r="N317" s="1488"/>
      <c r="O317" s="1489"/>
      <c r="P317" s="1490"/>
      <c r="Q317" s="1399"/>
      <c r="X317" s="1445" t="e">
        <f ca="1"/>
        <v>#NAME?</v>
      </c>
      <c r="Y317" s="1446" t="e">
        <f ca="1"/>
        <v>#NAME?</v>
      </c>
      <c r="Z317" s="1408"/>
      <c r="AB317" s="1399"/>
      <c r="AC317" s="1399"/>
      <c r="AD317" s="1399"/>
      <c r="AE317" s="1399"/>
    </row>
    <row r="318" spans="1:31">
      <c r="A318" s="1487"/>
      <c r="B318" s="1488"/>
      <c r="C318" s="1489"/>
      <c r="D318" s="1490"/>
      <c r="E318" s="1487"/>
      <c r="F318" s="1488"/>
      <c r="G318" s="1489"/>
      <c r="H318" s="1490"/>
      <c r="I318" s="1487"/>
      <c r="J318" s="1488"/>
      <c r="K318" s="1489"/>
      <c r="L318" s="1490"/>
      <c r="M318" s="1487"/>
      <c r="N318" s="1488"/>
      <c r="O318" s="1489"/>
      <c r="P318" s="1490"/>
      <c r="Q318" s="1399"/>
      <c r="X318" s="1445" t="e">
        <f ca="1"/>
        <v>#NAME?</v>
      </c>
      <c r="Y318" s="1446" t="e">
        <f ca="1"/>
        <v>#NAME?</v>
      </c>
      <c r="Z318" s="1408"/>
      <c r="AB318" s="1399"/>
      <c r="AC318" s="1399"/>
      <c r="AD318" s="1399"/>
      <c r="AE318" s="1399"/>
    </row>
    <row r="319" spans="1:31">
      <c r="A319" s="1487"/>
      <c r="B319" s="1488"/>
      <c r="C319" s="1489"/>
      <c r="D319" s="1490"/>
      <c r="E319" s="1487"/>
      <c r="F319" s="1488"/>
      <c r="G319" s="1489"/>
      <c r="H319" s="1490"/>
      <c r="I319" s="1487"/>
      <c r="J319" s="1488"/>
      <c r="K319" s="1489"/>
      <c r="L319" s="1490"/>
      <c r="M319" s="1487"/>
      <c r="N319" s="1488"/>
      <c r="O319" s="1489"/>
      <c r="P319" s="1490"/>
      <c r="Q319" s="1399"/>
      <c r="X319" s="1445" t="e">
        <f ca="1"/>
        <v>#NAME?</v>
      </c>
      <c r="Y319" s="1446" t="e">
        <f ca="1"/>
        <v>#NAME?</v>
      </c>
      <c r="Z319" s="1408"/>
      <c r="AB319" s="1399"/>
      <c r="AC319" s="1399"/>
      <c r="AD319" s="1399"/>
      <c r="AE319" s="1399"/>
    </row>
    <row r="320" spans="1:31">
      <c r="A320" s="1487"/>
      <c r="B320" s="1488"/>
      <c r="C320" s="1489"/>
      <c r="D320" s="1490"/>
      <c r="E320" s="1487"/>
      <c r="F320" s="1488"/>
      <c r="G320" s="1489"/>
      <c r="H320" s="1490"/>
      <c r="I320" s="1487"/>
      <c r="J320" s="1488"/>
      <c r="K320" s="1489"/>
      <c r="L320" s="1490"/>
      <c r="M320" s="1487"/>
      <c r="N320" s="1488"/>
      <c r="O320" s="1489"/>
      <c r="P320" s="1490"/>
      <c r="Q320" s="1399"/>
      <c r="X320" s="1445" t="e">
        <f ca="1"/>
        <v>#NAME?</v>
      </c>
      <c r="Y320" s="1446" t="e">
        <f ca="1"/>
        <v>#NAME?</v>
      </c>
      <c r="Z320" s="1408"/>
      <c r="AB320" s="1399"/>
      <c r="AC320" s="1399"/>
      <c r="AD320" s="1399"/>
      <c r="AE320" s="1399"/>
    </row>
    <row r="321" spans="1:31">
      <c r="A321" s="1487"/>
      <c r="B321" s="1488"/>
      <c r="C321" s="1489"/>
      <c r="D321" s="1490"/>
      <c r="E321" s="1487"/>
      <c r="F321" s="1488"/>
      <c r="G321" s="1489"/>
      <c r="H321" s="1490"/>
      <c r="I321" s="1487"/>
      <c r="J321" s="1488"/>
      <c r="K321" s="1489"/>
      <c r="L321" s="1490"/>
      <c r="M321" s="1487"/>
      <c r="N321" s="1488"/>
      <c r="O321" s="1489"/>
      <c r="P321" s="1490"/>
      <c r="Q321" s="1399"/>
      <c r="X321" s="1445" t="e">
        <f ca="1"/>
        <v>#NAME?</v>
      </c>
      <c r="Y321" s="1446" t="e">
        <f ca="1"/>
        <v>#NAME?</v>
      </c>
      <c r="Z321" s="1408"/>
      <c r="AB321" s="1399"/>
      <c r="AC321" s="1399"/>
      <c r="AD321" s="1399"/>
      <c r="AE321" s="1399"/>
    </row>
    <row r="322" spans="1:31">
      <c r="A322" s="1487"/>
      <c r="B322" s="1488"/>
      <c r="C322" s="1489"/>
      <c r="D322" s="1490"/>
      <c r="E322" s="1487"/>
      <c r="F322" s="1488"/>
      <c r="G322" s="1489"/>
      <c r="H322" s="1490"/>
      <c r="I322" s="1487"/>
      <c r="J322" s="1488"/>
      <c r="K322" s="1489"/>
      <c r="L322" s="1490"/>
      <c r="M322" s="1487"/>
      <c r="N322" s="1488"/>
      <c r="O322" s="1489"/>
      <c r="P322" s="1490"/>
      <c r="Q322" s="1399"/>
      <c r="X322" s="1445" t="e">
        <f ca="1"/>
        <v>#NAME?</v>
      </c>
      <c r="Y322" s="1446" t="e">
        <f ca="1"/>
        <v>#NAME?</v>
      </c>
      <c r="Z322" s="1408"/>
      <c r="AB322" s="1399"/>
      <c r="AC322" s="1399"/>
      <c r="AD322" s="1399"/>
      <c r="AE322" s="1399"/>
    </row>
    <row r="323" spans="1:31">
      <c r="A323" s="1487"/>
      <c r="B323" s="1488"/>
      <c r="C323" s="1489"/>
      <c r="D323" s="1490"/>
      <c r="E323" s="1487"/>
      <c r="F323" s="1488"/>
      <c r="G323" s="1489"/>
      <c r="H323" s="1490"/>
      <c r="I323" s="1487"/>
      <c r="J323" s="1488"/>
      <c r="K323" s="1489"/>
      <c r="L323" s="1490"/>
      <c r="M323" s="1487"/>
      <c r="N323" s="1488"/>
      <c r="O323" s="1489"/>
      <c r="P323" s="1490"/>
      <c r="Q323" s="1399"/>
      <c r="X323" s="1445" t="e">
        <f ca="1"/>
        <v>#NAME?</v>
      </c>
      <c r="Y323" s="1446" t="e">
        <f ca="1"/>
        <v>#NAME?</v>
      </c>
      <c r="Z323" s="1408"/>
      <c r="AB323" s="1399"/>
      <c r="AC323" s="1399"/>
      <c r="AD323" s="1399"/>
      <c r="AE323" s="1399"/>
    </row>
    <row r="324" spans="1:31">
      <c r="A324" s="1487"/>
      <c r="B324" s="1488"/>
      <c r="C324" s="1489"/>
      <c r="D324" s="1490"/>
      <c r="E324" s="1487"/>
      <c r="F324" s="1488"/>
      <c r="G324" s="1489"/>
      <c r="H324" s="1490"/>
      <c r="I324" s="1487"/>
      <c r="J324" s="1488"/>
      <c r="K324" s="1489"/>
      <c r="L324" s="1490"/>
      <c r="M324" s="1487"/>
      <c r="N324" s="1488"/>
      <c r="O324" s="1489"/>
      <c r="P324" s="1490"/>
      <c r="Q324" s="1399"/>
      <c r="X324" s="1445" t="e">
        <f ca="1"/>
        <v>#NAME?</v>
      </c>
      <c r="Y324" s="1446" t="e">
        <f ca="1"/>
        <v>#NAME?</v>
      </c>
      <c r="Z324" s="1408"/>
      <c r="AB324" s="1399"/>
      <c r="AC324" s="1399"/>
      <c r="AD324" s="1399"/>
      <c r="AE324" s="1399"/>
    </row>
    <row r="325" spans="1:31">
      <c r="A325" s="1487"/>
      <c r="B325" s="1488"/>
      <c r="C325" s="1489"/>
      <c r="D325" s="1490"/>
      <c r="E325" s="1487"/>
      <c r="F325" s="1488"/>
      <c r="G325" s="1489"/>
      <c r="H325" s="1490"/>
      <c r="I325" s="1487"/>
      <c r="J325" s="1488"/>
      <c r="K325" s="1489"/>
      <c r="L325" s="1490"/>
      <c r="M325" s="1487"/>
      <c r="N325" s="1488"/>
      <c r="O325" s="1489"/>
      <c r="P325" s="1490"/>
      <c r="Q325" s="1399"/>
      <c r="X325" s="1445" t="e">
        <f ca="1"/>
        <v>#NAME?</v>
      </c>
      <c r="Y325" s="1446" t="e">
        <f ca="1"/>
        <v>#NAME?</v>
      </c>
      <c r="Z325" s="1408"/>
      <c r="AB325" s="1399"/>
      <c r="AC325" s="1399"/>
      <c r="AD325" s="1399"/>
      <c r="AE325" s="1399"/>
    </row>
    <row r="326" spans="1:31">
      <c r="A326" s="1487"/>
      <c r="B326" s="1488"/>
      <c r="C326" s="1489"/>
      <c r="D326" s="1490"/>
      <c r="E326" s="1487"/>
      <c r="F326" s="1488"/>
      <c r="G326" s="1489"/>
      <c r="H326" s="1490"/>
      <c r="I326" s="1487"/>
      <c r="J326" s="1488"/>
      <c r="K326" s="1489"/>
      <c r="L326" s="1490"/>
      <c r="M326" s="1487"/>
      <c r="N326" s="1488"/>
      <c r="O326" s="1489"/>
      <c r="P326" s="1490"/>
      <c r="Q326" s="1399"/>
      <c r="X326" s="1445" t="e">
        <f ca="1"/>
        <v>#NAME?</v>
      </c>
      <c r="Y326" s="1446" t="e">
        <f ca="1"/>
        <v>#NAME?</v>
      </c>
      <c r="Z326" s="1408"/>
      <c r="AB326" s="1399"/>
      <c r="AC326" s="1399"/>
      <c r="AD326" s="1399"/>
      <c r="AE326" s="1399"/>
    </row>
    <row r="327" spans="1:31">
      <c r="A327" s="1487"/>
      <c r="B327" s="1488"/>
      <c r="C327" s="1489"/>
      <c r="D327" s="1490"/>
      <c r="E327" s="1487"/>
      <c r="F327" s="1488"/>
      <c r="G327" s="1489"/>
      <c r="H327" s="1490"/>
      <c r="I327" s="1487"/>
      <c r="J327" s="1488"/>
      <c r="K327" s="1489"/>
      <c r="L327" s="1490"/>
      <c r="M327" s="1487"/>
      <c r="N327" s="1488"/>
      <c r="O327" s="1489"/>
      <c r="P327" s="1490"/>
      <c r="Q327" s="1399"/>
      <c r="X327" s="1445" t="e">
        <f ca="1"/>
        <v>#NAME?</v>
      </c>
      <c r="Y327" s="1446" t="e">
        <f ca="1"/>
        <v>#NAME?</v>
      </c>
      <c r="Z327" s="1408"/>
      <c r="AB327" s="1399"/>
      <c r="AC327" s="1399"/>
      <c r="AD327" s="1399"/>
      <c r="AE327" s="1399"/>
    </row>
    <row r="328" spans="1:31">
      <c r="A328" s="1487"/>
      <c r="B328" s="1488"/>
      <c r="C328" s="1489"/>
      <c r="D328" s="1490"/>
      <c r="E328" s="1487"/>
      <c r="F328" s="1488"/>
      <c r="G328" s="1489"/>
      <c r="H328" s="1490"/>
      <c r="I328" s="1487"/>
      <c r="J328" s="1488"/>
      <c r="K328" s="1489"/>
      <c r="L328" s="1490"/>
      <c r="M328" s="1487"/>
      <c r="N328" s="1488"/>
      <c r="O328" s="1489"/>
      <c r="P328" s="1490"/>
      <c r="Q328" s="1399"/>
      <c r="X328" s="1445" t="e">
        <f ca="1"/>
        <v>#NAME?</v>
      </c>
      <c r="Y328" s="1446" t="e">
        <f ca="1"/>
        <v>#NAME?</v>
      </c>
      <c r="Z328" s="1408"/>
      <c r="AB328" s="1399"/>
      <c r="AC328" s="1399"/>
      <c r="AD328" s="1399"/>
      <c r="AE328" s="1399"/>
    </row>
    <row r="329" spans="1:31">
      <c r="A329" s="1487"/>
      <c r="B329" s="1488"/>
      <c r="C329" s="1489"/>
      <c r="D329" s="1490"/>
      <c r="E329" s="1487"/>
      <c r="F329" s="1488"/>
      <c r="G329" s="1489"/>
      <c r="H329" s="1490"/>
      <c r="I329" s="1487"/>
      <c r="J329" s="1488"/>
      <c r="K329" s="1489"/>
      <c r="L329" s="1490"/>
      <c r="M329" s="1487"/>
      <c r="N329" s="1488"/>
      <c r="O329" s="1489"/>
      <c r="P329" s="1490"/>
      <c r="Q329" s="1399"/>
      <c r="X329" s="1445" t="e">
        <f ca="1"/>
        <v>#NAME?</v>
      </c>
      <c r="Y329" s="1446" t="e">
        <f ca="1"/>
        <v>#NAME?</v>
      </c>
      <c r="Z329" s="1408"/>
      <c r="AB329" s="1399"/>
      <c r="AC329" s="1399"/>
      <c r="AD329" s="1399"/>
      <c r="AE329" s="1399"/>
    </row>
    <row r="330" spans="1:31">
      <c r="A330" s="1487"/>
      <c r="B330" s="1488"/>
      <c r="C330" s="1489"/>
      <c r="D330" s="1490"/>
      <c r="E330" s="1487"/>
      <c r="F330" s="1488"/>
      <c r="G330" s="1489"/>
      <c r="H330" s="1490"/>
      <c r="I330" s="1487"/>
      <c r="J330" s="1488"/>
      <c r="K330" s="1489"/>
      <c r="L330" s="1490"/>
      <c r="M330" s="1487"/>
      <c r="N330" s="1488"/>
      <c r="O330" s="1489"/>
      <c r="P330" s="1490"/>
      <c r="Q330" s="1399"/>
      <c r="X330" s="1445" t="e">
        <f ca="1"/>
        <v>#NAME?</v>
      </c>
      <c r="Y330" s="1446" t="e">
        <f ca="1"/>
        <v>#NAME?</v>
      </c>
      <c r="Z330" s="1408"/>
      <c r="AB330" s="1399"/>
      <c r="AC330" s="1399"/>
      <c r="AD330" s="1399"/>
      <c r="AE330" s="1399"/>
    </row>
    <row r="331" spans="1:31">
      <c r="A331" s="1487"/>
      <c r="B331" s="1488"/>
      <c r="C331" s="1489"/>
      <c r="D331" s="1490"/>
      <c r="E331" s="1487"/>
      <c r="F331" s="1488"/>
      <c r="G331" s="1489"/>
      <c r="H331" s="1490"/>
      <c r="I331" s="1487"/>
      <c r="J331" s="1488"/>
      <c r="K331" s="1489"/>
      <c r="L331" s="1490"/>
      <c r="M331" s="1487"/>
      <c r="N331" s="1488"/>
      <c r="O331" s="1489"/>
      <c r="P331" s="1490"/>
      <c r="Q331" s="1399"/>
      <c r="X331" s="1445" t="e">
        <f ca="1"/>
        <v>#NAME?</v>
      </c>
      <c r="Y331" s="1446" t="e">
        <f ca="1"/>
        <v>#NAME?</v>
      </c>
      <c r="Z331" s="1408"/>
      <c r="AB331" s="1399"/>
      <c r="AC331" s="1399"/>
      <c r="AD331" s="1399"/>
      <c r="AE331" s="1399"/>
    </row>
    <row r="332" spans="1:31">
      <c r="A332" s="1487"/>
      <c r="B332" s="1488"/>
      <c r="C332" s="1489"/>
      <c r="D332" s="1490"/>
      <c r="E332" s="1487"/>
      <c r="F332" s="1488"/>
      <c r="G332" s="1489"/>
      <c r="H332" s="1490"/>
      <c r="I332" s="1487"/>
      <c r="J332" s="1488"/>
      <c r="K332" s="1489"/>
      <c r="L332" s="1490"/>
      <c r="M332" s="1487"/>
      <c r="N332" s="1488"/>
      <c r="O332" s="1489"/>
      <c r="P332" s="1490"/>
      <c r="X332" s="1445" t="e">
        <f ca="1"/>
        <v>#NAME?</v>
      </c>
      <c r="Y332" s="1446" t="e">
        <f ca="1"/>
        <v>#NAME?</v>
      </c>
      <c r="Z332" s="1408"/>
    </row>
    <row r="333" spans="1:31">
      <c r="A333" s="1487"/>
      <c r="B333" s="1488"/>
      <c r="C333" s="1489"/>
      <c r="D333" s="1490"/>
      <c r="E333" s="1487"/>
      <c r="F333" s="1488"/>
      <c r="G333" s="1489"/>
      <c r="H333" s="1490"/>
      <c r="I333" s="1487"/>
      <c r="J333" s="1488"/>
      <c r="K333" s="1489"/>
      <c r="L333" s="1490"/>
      <c r="M333" s="1487"/>
      <c r="N333" s="1488"/>
      <c r="O333" s="1489"/>
      <c r="P333" s="1490"/>
      <c r="X333" s="1445" t="e">
        <f ca="1"/>
        <v>#NAME?</v>
      </c>
      <c r="Y333" s="1446" t="e">
        <f ca="1"/>
        <v>#NAME?</v>
      </c>
      <c r="Z333" s="1408"/>
    </row>
    <row r="334" spans="1:31">
      <c r="A334" s="1487"/>
      <c r="B334" s="1488"/>
      <c r="C334" s="1489"/>
      <c r="D334" s="1490"/>
      <c r="E334" s="1487"/>
      <c r="F334" s="1488"/>
      <c r="G334" s="1489"/>
      <c r="H334" s="1490"/>
      <c r="I334" s="1487"/>
      <c r="J334" s="1488"/>
      <c r="K334" s="1489"/>
      <c r="L334" s="1490"/>
      <c r="M334" s="1487"/>
      <c r="N334" s="1488"/>
      <c r="O334" s="1489"/>
      <c r="P334" s="1490"/>
      <c r="X334" s="1445" t="e">
        <f ca="1"/>
        <v>#NAME?</v>
      </c>
      <c r="Y334" s="1446" t="e">
        <f ca="1"/>
        <v>#NAME?</v>
      </c>
      <c r="Z334" s="1408"/>
    </row>
    <row r="335" spans="1:31">
      <c r="A335" s="1487"/>
      <c r="B335" s="1488"/>
      <c r="C335" s="1489"/>
      <c r="D335" s="1490"/>
      <c r="E335" s="1487"/>
      <c r="F335" s="1488"/>
      <c r="G335" s="1489"/>
      <c r="H335" s="1490"/>
      <c r="I335" s="1487"/>
      <c r="J335" s="1488"/>
      <c r="K335" s="1489"/>
      <c r="L335" s="1490"/>
      <c r="M335" s="1487"/>
      <c r="N335" s="1488"/>
      <c r="O335" s="1489"/>
      <c r="P335" s="1490"/>
      <c r="X335" s="1445" t="e">
        <f ca="1"/>
        <v>#NAME?</v>
      </c>
      <c r="Y335" s="1446" t="e">
        <f ca="1"/>
        <v>#NAME?</v>
      </c>
      <c r="Z335" s="1408"/>
    </row>
    <row r="336" spans="1:31">
      <c r="A336" s="1487"/>
      <c r="B336" s="1488"/>
      <c r="C336" s="1489"/>
      <c r="D336" s="1490"/>
      <c r="E336" s="1487"/>
      <c r="F336" s="1488"/>
      <c r="G336" s="1489"/>
      <c r="H336" s="1490"/>
      <c r="I336" s="1487"/>
      <c r="J336" s="1488"/>
      <c r="K336" s="1489"/>
      <c r="L336" s="1490"/>
      <c r="M336" s="1487"/>
      <c r="N336" s="1488"/>
      <c r="O336" s="1489"/>
      <c r="P336" s="1490"/>
      <c r="X336" s="1445" t="e">
        <f ca="1"/>
        <v>#NAME?</v>
      </c>
      <c r="Y336" s="1446" t="e">
        <f ca="1"/>
        <v>#NAME?</v>
      </c>
      <c r="Z336" s="1408"/>
    </row>
    <row r="337" spans="1:26">
      <c r="A337" s="1487"/>
      <c r="B337" s="1488"/>
      <c r="C337" s="1489"/>
      <c r="D337" s="1490"/>
      <c r="E337" s="1487"/>
      <c r="F337" s="1488"/>
      <c r="G337" s="1489"/>
      <c r="H337" s="1490"/>
      <c r="I337" s="1487"/>
      <c r="J337" s="1488"/>
      <c r="K337" s="1489"/>
      <c r="L337" s="1490"/>
      <c r="M337" s="1487"/>
      <c r="N337" s="1488"/>
      <c r="O337" s="1489"/>
      <c r="P337" s="1490"/>
      <c r="X337" s="1445" t="e">
        <f ca="1"/>
        <v>#NAME?</v>
      </c>
      <c r="Y337" s="1446" t="e">
        <f ca="1"/>
        <v>#NAME?</v>
      </c>
      <c r="Z337" s="1408"/>
    </row>
    <row r="338" spans="1:26">
      <c r="A338" s="1487"/>
      <c r="B338" s="1488"/>
      <c r="C338" s="1489"/>
      <c r="D338" s="1490"/>
      <c r="E338" s="1487"/>
      <c r="F338" s="1488"/>
      <c r="G338" s="1489"/>
      <c r="H338" s="1490"/>
      <c r="I338" s="1487"/>
      <c r="J338" s="1488"/>
      <c r="K338" s="1489"/>
      <c r="L338" s="1490"/>
      <c r="M338" s="1487"/>
      <c r="N338" s="1488"/>
      <c r="O338" s="1489"/>
      <c r="P338" s="1490"/>
      <c r="X338" s="1445" t="e">
        <f ca="1"/>
        <v>#NAME?</v>
      </c>
      <c r="Y338" s="1446" t="e">
        <f ca="1"/>
        <v>#NAME?</v>
      </c>
      <c r="Z338" s="1408"/>
    </row>
    <row r="339" spans="1:26">
      <c r="A339" s="1487"/>
      <c r="B339" s="1488"/>
      <c r="C339" s="1489"/>
      <c r="D339" s="1490"/>
      <c r="E339" s="1487"/>
      <c r="F339" s="1488"/>
      <c r="G339" s="1489"/>
      <c r="H339" s="1490"/>
      <c r="I339" s="1487"/>
      <c r="J339" s="1488"/>
      <c r="K339" s="1489"/>
      <c r="L339" s="1490"/>
      <c r="M339" s="1487"/>
      <c r="N339" s="1488"/>
      <c r="O339" s="1489"/>
      <c r="P339" s="1490"/>
      <c r="X339" s="1445" t="e">
        <f ca="1"/>
        <v>#NAME?</v>
      </c>
      <c r="Y339" s="1446" t="e">
        <f ca="1"/>
        <v>#NAME?</v>
      </c>
      <c r="Z339" s="1408"/>
    </row>
    <row r="340" spans="1:26">
      <c r="A340" s="1487"/>
      <c r="B340" s="1488"/>
      <c r="C340" s="1489"/>
      <c r="D340" s="1490"/>
      <c r="E340" s="1487"/>
      <c r="F340" s="1488"/>
      <c r="G340" s="1489"/>
      <c r="H340" s="1490"/>
      <c r="I340" s="1487"/>
      <c r="J340" s="1488"/>
      <c r="K340" s="1489"/>
      <c r="L340" s="1490"/>
      <c r="M340" s="1487"/>
      <c r="N340" s="1488"/>
      <c r="O340" s="1489"/>
      <c r="P340" s="1490"/>
      <c r="X340" s="1445" t="e">
        <f ca="1"/>
        <v>#NAME?</v>
      </c>
      <c r="Y340" s="1446" t="e">
        <f ca="1"/>
        <v>#NAME?</v>
      </c>
      <c r="Z340" s="1408"/>
    </row>
    <row r="341" spans="1:26">
      <c r="A341" s="1487"/>
      <c r="B341" s="1488"/>
      <c r="C341" s="1489"/>
      <c r="D341" s="1490"/>
      <c r="E341" s="1487"/>
      <c r="F341" s="1488"/>
      <c r="G341" s="1489"/>
      <c r="H341" s="1490"/>
      <c r="I341" s="1487"/>
      <c r="J341" s="1488"/>
      <c r="K341" s="1489"/>
      <c r="L341" s="1490"/>
      <c r="M341" s="1487"/>
      <c r="N341" s="1488"/>
      <c r="O341" s="1489"/>
      <c r="P341" s="1490"/>
      <c r="X341" s="1445" t="e">
        <f ca="1"/>
        <v>#NAME?</v>
      </c>
      <c r="Y341" s="1446" t="e">
        <f ca="1"/>
        <v>#NAME?</v>
      </c>
      <c r="Z341" s="1408"/>
    </row>
    <row r="342" spans="1:26">
      <c r="A342" s="1487"/>
      <c r="B342" s="1488"/>
      <c r="C342" s="1489"/>
      <c r="D342" s="1490"/>
      <c r="E342" s="1487"/>
      <c r="F342" s="1488"/>
      <c r="G342" s="1489"/>
      <c r="H342" s="1490"/>
      <c r="I342" s="1487"/>
      <c r="J342" s="1488"/>
      <c r="K342" s="1489"/>
      <c r="L342" s="1490"/>
      <c r="M342" s="1487"/>
      <c r="N342" s="1488"/>
      <c r="O342" s="1489"/>
      <c r="P342" s="1490"/>
      <c r="X342" s="1445" t="e">
        <f ca="1"/>
        <v>#NAME?</v>
      </c>
      <c r="Y342" s="1446" t="e">
        <f ca="1"/>
        <v>#NAME?</v>
      </c>
      <c r="Z342" s="1408"/>
    </row>
    <row r="343" spans="1:26">
      <c r="A343" s="1487"/>
      <c r="B343" s="1488"/>
      <c r="C343" s="1489"/>
      <c r="D343" s="1490"/>
      <c r="E343" s="1487"/>
      <c r="F343" s="1488"/>
      <c r="G343" s="1489"/>
      <c r="H343" s="1490"/>
      <c r="I343" s="1487"/>
      <c r="J343" s="1488"/>
      <c r="K343" s="1489"/>
      <c r="L343" s="1490"/>
      <c r="M343" s="1487"/>
      <c r="N343" s="1488"/>
      <c r="O343" s="1489"/>
      <c r="P343" s="1490"/>
      <c r="X343" s="1445" t="e">
        <f ca="1"/>
        <v>#NAME?</v>
      </c>
      <c r="Y343" s="1446" t="e">
        <f ca="1"/>
        <v>#NAME?</v>
      </c>
      <c r="Z343" s="1408"/>
    </row>
    <row r="344" spans="1:26">
      <c r="A344" s="1487"/>
      <c r="B344" s="1488"/>
      <c r="C344" s="1489"/>
      <c r="D344" s="1490"/>
      <c r="E344" s="1487"/>
      <c r="F344" s="1488"/>
      <c r="G344" s="1489"/>
      <c r="H344" s="1490"/>
      <c r="I344" s="1487"/>
      <c r="J344" s="1488"/>
      <c r="K344" s="1489"/>
      <c r="L344" s="1490"/>
      <c r="M344" s="1487"/>
      <c r="N344" s="1488"/>
      <c r="O344" s="1489"/>
      <c r="P344" s="1490"/>
      <c r="X344" s="1445" t="e">
        <f ca="1"/>
        <v>#NAME?</v>
      </c>
      <c r="Y344" s="1446" t="e">
        <f ca="1"/>
        <v>#NAME?</v>
      </c>
      <c r="Z344" s="1408"/>
    </row>
    <row r="345" spans="1:26">
      <c r="A345" s="1487"/>
      <c r="B345" s="1488"/>
      <c r="C345" s="1489"/>
      <c r="D345" s="1490"/>
      <c r="E345" s="1487"/>
      <c r="F345" s="1488"/>
      <c r="G345" s="1489"/>
      <c r="H345" s="1490"/>
      <c r="I345" s="1487"/>
      <c r="J345" s="1488"/>
      <c r="K345" s="1489"/>
      <c r="L345" s="1490"/>
      <c r="M345" s="1487"/>
      <c r="N345" s="1488"/>
      <c r="O345" s="1489"/>
      <c r="P345" s="1490"/>
      <c r="X345" s="1445" t="e">
        <f ca="1"/>
        <v>#NAME?</v>
      </c>
      <c r="Y345" s="1446" t="e">
        <f ca="1"/>
        <v>#NAME?</v>
      </c>
      <c r="Z345" s="1408"/>
    </row>
    <row r="346" spans="1:26">
      <c r="A346" s="1487"/>
      <c r="B346" s="1488"/>
      <c r="C346" s="1489"/>
      <c r="D346" s="1490"/>
      <c r="E346" s="1487"/>
      <c r="F346" s="1488"/>
      <c r="G346" s="1489"/>
      <c r="H346" s="1490"/>
      <c r="I346" s="1487"/>
      <c r="J346" s="1488"/>
      <c r="K346" s="1489"/>
      <c r="L346" s="1490"/>
      <c r="M346" s="1487"/>
      <c r="N346" s="1488"/>
      <c r="O346" s="1489"/>
      <c r="P346" s="1490"/>
      <c r="X346" s="1445" t="e">
        <f ca="1"/>
        <v>#NAME?</v>
      </c>
      <c r="Y346" s="1446" t="e">
        <f ca="1"/>
        <v>#NAME?</v>
      </c>
      <c r="Z346" s="1408"/>
    </row>
    <row r="347" spans="1:26">
      <c r="A347" s="1487"/>
      <c r="B347" s="1488"/>
      <c r="C347" s="1489"/>
      <c r="D347" s="1490"/>
      <c r="E347" s="1487"/>
      <c r="F347" s="1488"/>
      <c r="G347" s="1489"/>
      <c r="H347" s="1490"/>
      <c r="I347" s="1487"/>
      <c r="J347" s="1488"/>
      <c r="K347" s="1489"/>
      <c r="L347" s="1490"/>
      <c r="M347" s="1487"/>
      <c r="N347" s="1488"/>
      <c r="O347" s="1489"/>
      <c r="P347" s="1490"/>
      <c r="X347" s="1445" t="e">
        <f ca="1"/>
        <v>#NAME?</v>
      </c>
      <c r="Y347" s="1446" t="e">
        <f ca="1"/>
        <v>#NAME?</v>
      </c>
      <c r="Z347" s="1408"/>
    </row>
    <row r="348" spans="1:26">
      <c r="A348" s="1487"/>
      <c r="B348" s="1488"/>
      <c r="C348" s="1489"/>
      <c r="D348" s="1490"/>
      <c r="E348" s="1487"/>
      <c r="F348" s="1488"/>
      <c r="G348" s="1489"/>
      <c r="H348" s="1490"/>
      <c r="I348" s="1487"/>
      <c r="J348" s="1488"/>
      <c r="K348" s="1489"/>
      <c r="L348" s="1490"/>
      <c r="M348" s="1487"/>
      <c r="N348" s="1488"/>
      <c r="O348" s="1489"/>
      <c r="P348" s="1490"/>
      <c r="X348" s="1445" t="e">
        <f ca="1"/>
        <v>#NAME?</v>
      </c>
      <c r="Y348" s="1446" t="e">
        <f ca="1"/>
        <v>#NAME?</v>
      </c>
      <c r="Z348" s="1408"/>
    </row>
    <row r="349" spans="1:26">
      <c r="A349" s="1487"/>
      <c r="B349" s="1488"/>
      <c r="C349" s="1489"/>
      <c r="D349" s="1490"/>
      <c r="E349" s="1487"/>
      <c r="F349" s="1488"/>
      <c r="G349" s="1489"/>
      <c r="H349" s="1490"/>
      <c r="I349" s="1487"/>
      <c r="J349" s="1488"/>
      <c r="K349" s="1489"/>
      <c r="L349" s="1490"/>
      <c r="M349" s="1487"/>
      <c r="N349" s="1488"/>
      <c r="O349" s="1489"/>
      <c r="P349" s="1490"/>
      <c r="X349" s="1445" t="e">
        <f ca="1"/>
        <v>#NAME?</v>
      </c>
      <c r="Y349" s="1446" t="e">
        <f ca="1"/>
        <v>#NAME?</v>
      </c>
      <c r="Z349" s="1408"/>
    </row>
    <row r="350" spans="1:26">
      <c r="A350" s="1487"/>
      <c r="B350" s="1488"/>
      <c r="C350" s="1489"/>
      <c r="D350" s="1490"/>
      <c r="E350" s="1487"/>
      <c r="F350" s="1488"/>
      <c r="G350" s="1489"/>
      <c r="H350" s="1490"/>
      <c r="I350" s="1487"/>
      <c r="J350" s="1488"/>
      <c r="K350" s="1489"/>
      <c r="L350" s="1490"/>
      <c r="M350" s="1487"/>
      <c r="N350" s="1488"/>
      <c r="O350" s="1489"/>
      <c r="P350" s="1490"/>
      <c r="X350" s="1445" t="e">
        <f ca="1"/>
        <v>#NAME?</v>
      </c>
      <c r="Y350" s="1446" t="e">
        <f ca="1"/>
        <v>#NAME?</v>
      </c>
      <c r="Z350" s="1408"/>
    </row>
    <row r="351" spans="1:26">
      <c r="A351" s="1487"/>
      <c r="B351" s="1488"/>
      <c r="C351" s="1489"/>
      <c r="D351" s="1490"/>
      <c r="E351" s="1487"/>
      <c r="F351" s="1488"/>
      <c r="G351" s="1489"/>
      <c r="H351" s="1490"/>
      <c r="I351" s="1487"/>
      <c r="J351" s="1488"/>
      <c r="K351" s="1489"/>
      <c r="L351" s="1490"/>
      <c r="M351" s="1487"/>
      <c r="N351" s="1488"/>
      <c r="O351" s="1489"/>
      <c r="P351" s="1490"/>
      <c r="X351" s="1445" t="e">
        <f ca="1"/>
        <v>#NAME?</v>
      </c>
      <c r="Y351" s="1446" t="e">
        <f ca="1"/>
        <v>#NAME?</v>
      </c>
      <c r="Z351" s="1408"/>
    </row>
    <row r="352" spans="1:26">
      <c r="A352" s="1487"/>
      <c r="B352" s="1488"/>
      <c r="C352" s="1489"/>
      <c r="D352" s="1490"/>
      <c r="E352" s="1487"/>
      <c r="F352" s="1488"/>
      <c r="G352" s="1489"/>
      <c r="H352" s="1490"/>
      <c r="I352" s="1487"/>
      <c r="J352" s="1488"/>
      <c r="K352" s="1489"/>
      <c r="L352" s="1490"/>
      <c r="M352" s="1487"/>
      <c r="N352" s="1488"/>
      <c r="O352" s="1489"/>
      <c r="P352" s="1490"/>
      <c r="X352" s="1445" t="e">
        <f ca="1"/>
        <v>#NAME?</v>
      </c>
      <c r="Y352" s="1446" t="e">
        <f ca="1"/>
        <v>#NAME?</v>
      </c>
      <c r="Z352" s="1408"/>
    </row>
    <row r="353" spans="1:26">
      <c r="A353" s="1487"/>
      <c r="B353" s="1488"/>
      <c r="C353" s="1489"/>
      <c r="D353" s="1490"/>
      <c r="E353" s="1487"/>
      <c r="F353" s="1488"/>
      <c r="G353" s="1489"/>
      <c r="H353" s="1490"/>
      <c r="I353" s="1487"/>
      <c r="J353" s="1488"/>
      <c r="K353" s="1489"/>
      <c r="L353" s="1490"/>
      <c r="M353" s="1487"/>
      <c r="N353" s="1488"/>
      <c r="O353" s="1489"/>
      <c r="P353" s="1490"/>
      <c r="X353" s="1445" t="e">
        <f ca="1"/>
        <v>#NAME?</v>
      </c>
      <c r="Y353" s="1446" t="e">
        <f ca="1"/>
        <v>#NAME?</v>
      </c>
      <c r="Z353" s="1408"/>
    </row>
    <row r="354" spans="1:26">
      <c r="A354" s="1487"/>
      <c r="B354" s="1488"/>
      <c r="C354" s="1489"/>
      <c r="D354" s="1490"/>
      <c r="E354" s="1487"/>
      <c r="F354" s="1488"/>
      <c r="G354" s="1489"/>
      <c r="H354" s="1490"/>
      <c r="I354" s="1487"/>
      <c r="J354" s="1488"/>
      <c r="K354" s="1489"/>
      <c r="L354" s="1490"/>
      <c r="M354" s="1487"/>
      <c r="N354" s="1488"/>
      <c r="O354" s="1489"/>
      <c r="P354" s="1490"/>
      <c r="X354" s="1445" t="e">
        <f ca="1"/>
        <v>#NAME?</v>
      </c>
      <c r="Y354" s="1446" t="e">
        <f ca="1"/>
        <v>#NAME?</v>
      </c>
      <c r="Z354" s="1408"/>
    </row>
    <row r="355" spans="1:26">
      <c r="A355" s="1487"/>
      <c r="B355" s="1488"/>
      <c r="C355" s="1489"/>
      <c r="D355" s="1490"/>
      <c r="E355" s="1487"/>
      <c r="F355" s="1488"/>
      <c r="G355" s="1489"/>
      <c r="H355" s="1490"/>
      <c r="I355" s="1487"/>
      <c r="J355" s="1488"/>
      <c r="K355" s="1489"/>
      <c r="L355" s="1490"/>
      <c r="M355" s="1487"/>
      <c r="N355" s="1488"/>
      <c r="O355" s="1489"/>
      <c r="P355" s="1490"/>
      <c r="X355" s="1445" t="e">
        <f ca="1"/>
        <v>#NAME?</v>
      </c>
      <c r="Y355" s="1446" t="e">
        <f ca="1"/>
        <v>#NAME?</v>
      </c>
      <c r="Z355" s="1408"/>
    </row>
    <row r="356" spans="1:26">
      <c r="A356" s="1487"/>
      <c r="B356" s="1488"/>
      <c r="C356" s="1489"/>
      <c r="D356" s="1490"/>
      <c r="E356" s="1487"/>
      <c r="F356" s="1488"/>
      <c r="G356" s="1489"/>
      <c r="H356" s="1490"/>
      <c r="I356" s="1487"/>
      <c r="J356" s="1488"/>
      <c r="K356" s="1489"/>
      <c r="L356" s="1490"/>
      <c r="M356" s="1487"/>
      <c r="N356" s="1488"/>
      <c r="O356" s="1489"/>
      <c r="P356" s="1490"/>
      <c r="X356" s="1445" t="e">
        <f ca="1"/>
        <v>#NAME?</v>
      </c>
      <c r="Y356" s="1446" t="e">
        <f ca="1"/>
        <v>#NAME?</v>
      </c>
      <c r="Z356" s="1408"/>
    </row>
    <row r="357" spans="1:26">
      <c r="A357" s="1487"/>
      <c r="B357" s="1488"/>
      <c r="C357" s="1489"/>
      <c r="D357" s="1490"/>
      <c r="E357" s="1487"/>
      <c r="F357" s="1488"/>
      <c r="G357" s="1489"/>
      <c r="H357" s="1490"/>
      <c r="I357" s="1487"/>
      <c r="J357" s="1488"/>
      <c r="K357" s="1489"/>
      <c r="L357" s="1490"/>
      <c r="M357" s="1487"/>
      <c r="N357" s="1488"/>
      <c r="O357" s="1489"/>
      <c r="P357" s="1490"/>
      <c r="X357" s="1445" t="e">
        <f ca="1"/>
        <v>#NAME?</v>
      </c>
      <c r="Y357" s="1446" t="e">
        <f ca="1"/>
        <v>#NAME?</v>
      </c>
      <c r="Z357" s="1408"/>
    </row>
    <row r="358" spans="1:26">
      <c r="A358" s="1487"/>
      <c r="B358" s="1488"/>
      <c r="C358" s="1489"/>
      <c r="D358" s="1490"/>
      <c r="E358" s="1487"/>
      <c r="F358" s="1488"/>
      <c r="G358" s="1489"/>
      <c r="H358" s="1490"/>
      <c r="I358" s="1487"/>
      <c r="J358" s="1488"/>
      <c r="K358" s="1489"/>
      <c r="L358" s="1490"/>
      <c r="M358" s="1487"/>
      <c r="N358" s="1488"/>
      <c r="O358" s="1489"/>
      <c r="P358" s="1490"/>
      <c r="X358" s="1445" t="e">
        <f ca="1"/>
        <v>#NAME?</v>
      </c>
      <c r="Y358" s="1446" t="e">
        <f ca="1"/>
        <v>#NAME?</v>
      </c>
      <c r="Z358" s="1408"/>
    </row>
    <row r="359" spans="1:26">
      <c r="A359" s="1487"/>
      <c r="B359" s="1488"/>
      <c r="C359" s="1489"/>
      <c r="D359" s="1490"/>
      <c r="E359" s="1487"/>
      <c r="F359" s="1488"/>
      <c r="G359" s="1489"/>
      <c r="H359" s="1490"/>
      <c r="I359" s="1487"/>
      <c r="J359" s="1488"/>
      <c r="K359" s="1489"/>
      <c r="L359" s="1490"/>
      <c r="M359" s="1487"/>
      <c r="N359" s="1488"/>
      <c r="O359" s="1489"/>
      <c r="P359" s="1490"/>
      <c r="X359" s="1445" t="e">
        <f ca="1"/>
        <v>#NAME?</v>
      </c>
      <c r="Y359" s="1446" t="e">
        <f ca="1"/>
        <v>#NAME?</v>
      </c>
      <c r="Z359" s="1408"/>
    </row>
    <row r="360" spans="1:26">
      <c r="A360" s="1487"/>
      <c r="B360" s="1488"/>
      <c r="C360" s="1489"/>
      <c r="D360" s="1490"/>
      <c r="E360" s="1487"/>
      <c r="F360" s="1488"/>
      <c r="G360" s="1489"/>
      <c r="H360" s="1490"/>
      <c r="I360" s="1487"/>
      <c r="J360" s="1488"/>
      <c r="K360" s="1489"/>
      <c r="L360" s="1490"/>
      <c r="M360" s="1487"/>
      <c r="N360" s="1488"/>
      <c r="O360" s="1489"/>
      <c r="P360" s="1490"/>
      <c r="X360" s="1445" t="e">
        <f ca="1"/>
        <v>#NAME?</v>
      </c>
      <c r="Y360" s="1446" t="e">
        <f ca="1"/>
        <v>#NAME?</v>
      </c>
      <c r="Z360" s="1408"/>
    </row>
    <row r="361" spans="1:26">
      <c r="A361" s="1487"/>
      <c r="B361" s="1488"/>
      <c r="C361" s="1489"/>
      <c r="D361" s="1490"/>
      <c r="E361" s="1487"/>
      <c r="F361" s="1488"/>
      <c r="G361" s="1489"/>
      <c r="H361" s="1490"/>
      <c r="I361" s="1487"/>
      <c r="J361" s="1488"/>
      <c r="K361" s="1489"/>
      <c r="L361" s="1490"/>
      <c r="M361" s="1487"/>
      <c r="N361" s="1488"/>
      <c r="O361" s="1489"/>
      <c r="P361" s="1490"/>
      <c r="X361" s="1445" t="e">
        <f ca="1"/>
        <v>#NAME?</v>
      </c>
      <c r="Y361" s="1446" t="e">
        <f ca="1"/>
        <v>#NAME?</v>
      </c>
      <c r="Z361" s="1408"/>
    </row>
    <row r="362" spans="1:26">
      <c r="A362" s="1487"/>
      <c r="B362" s="1488"/>
      <c r="C362" s="1489"/>
      <c r="D362" s="1490"/>
      <c r="E362" s="1487"/>
      <c r="F362" s="1488"/>
      <c r="G362" s="1489"/>
      <c r="H362" s="1490"/>
      <c r="I362" s="1487"/>
      <c r="J362" s="1488"/>
      <c r="K362" s="1489"/>
      <c r="L362" s="1490"/>
      <c r="M362" s="1487"/>
      <c r="N362" s="1488"/>
      <c r="O362" s="1489"/>
      <c r="P362" s="1490"/>
      <c r="X362" s="1445" t="e">
        <f ca="1"/>
        <v>#NAME?</v>
      </c>
      <c r="Y362" s="1446" t="e">
        <f ca="1"/>
        <v>#NAME?</v>
      </c>
      <c r="Z362" s="1408"/>
    </row>
    <row r="363" spans="1:26">
      <c r="A363" s="1487"/>
      <c r="B363" s="1488"/>
      <c r="C363" s="1489"/>
      <c r="D363" s="1490"/>
      <c r="E363" s="1487"/>
      <c r="F363" s="1488"/>
      <c r="G363" s="1489"/>
      <c r="H363" s="1490"/>
      <c r="I363" s="1487"/>
      <c r="J363" s="1488"/>
      <c r="K363" s="1489"/>
      <c r="L363" s="1490"/>
      <c r="M363" s="1487"/>
      <c r="N363" s="1488"/>
      <c r="O363" s="1489"/>
      <c r="P363" s="1490"/>
      <c r="X363" s="1445" t="e">
        <f ca="1"/>
        <v>#NAME?</v>
      </c>
      <c r="Y363" s="1446" t="e">
        <f ca="1"/>
        <v>#NAME?</v>
      </c>
      <c r="Z363" s="1408"/>
    </row>
    <row r="364" spans="1:26">
      <c r="A364" s="1487"/>
      <c r="B364" s="1488"/>
      <c r="C364" s="1489"/>
      <c r="D364" s="1490"/>
      <c r="E364" s="1487"/>
      <c r="F364" s="1488"/>
      <c r="G364" s="1489"/>
      <c r="H364" s="1490"/>
      <c r="I364" s="1487"/>
      <c r="J364" s="1488"/>
      <c r="K364" s="1489"/>
      <c r="L364" s="1490"/>
      <c r="M364" s="1487"/>
      <c r="N364" s="1488"/>
      <c r="O364" s="1489"/>
      <c r="P364" s="1490"/>
      <c r="X364" s="1445" t="e">
        <f ca="1"/>
        <v>#NAME?</v>
      </c>
      <c r="Y364" s="1446" t="e">
        <f ca="1"/>
        <v>#NAME?</v>
      </c>
      <c r="Z364" s="1408"/>
    </row>
    <row r="365" spans="1:26">
      <c r="A365" s="1487"/>
      <c r="B365" s="1488"/>
      <c r="C365" s="1489"/>
      <c r="D365" s="1490"/>
      <c r="E365" s="1487"/>
      <c r="F365" s="1488"/>
      <c r="G365" s="1489"/>
      <c r="H365" s="1490"/>
      <c r="I365" s="1487"/>
      <c r="J365" s="1488"/>
      <c r="K365" s="1489"/>
      <c r="L365" s="1490"/>
      <c r="M365" s="1487"/>
      <c r="N365" s="1488"/>
      <c r="O365" s="1489"/>
      <c r="P365" s="1490"/>
      <c r="X365" s="1445" t="e">
        <f ca="1"/>
        <v>#NAME?</v>
      </c>
      <c r="Y365" s="1446" t="e">
        <f ca="1"/>
        <v>#NAME?</v>
      </c>
      <c r="Z365" s="1408"/>
    </row>
    <row r="366" spans="1:26">
      <c r="A366" s="1487"/>
      <c r="B366" s="1488"/>
      <c r="C366" s="1489"/>
      <c r="D366" s="1490"/>
      <c r="E366" s="1487"/>
      <c r="F366" s="1488"/>
      <c r="G366" s="1489"/>
      <c r="H366" s="1490"/>
      <c r="I366" s="1487"/>
      <c r="J366" s="1488"/>
      <c r="K366" s="1489"/>
      <c r="L366" s="1490"/>
      <c r="M366" s="1487"/>
      <c r="N366" s="1488"/>
      <c r="O366" s="1489"/>
      <c r="P366" s="1490"/>
      <c r="X366" s="1445" t="e">
        <f ca="1"/>
        <v>#NAME?</v>
      </c>
      <c r="Y366" s="1446" t="e">
        <f ca="1"/>
        <v>#NAME?</v>
      </c>
      <c r="Z366" s="1408"/>
    </row>
    <row r="367" spans="1:26">
      <c r="A367" s="1487"/>
      <c r="B367" s="1488"/>
      <c r="C367" s="1489"/>
      <c r="D367" s="1490"/>
      <c r="E367" s="1487"/>
      <c r="F367" s="1488"/>
      <c r="G367" s="1489"/>
      <c r="H367" s="1490"/>
      <c r="I367" s="1487"/>
      <c r="J367" s="1488"/>
      <c r="K367" s="1489"/>
      <c r="L367" s="1490"/>
      <c r="M367" s="1487"/>
      <c r="N367" s="1488"/>
      <c r="O367" s="1489"/>
      <c r="P367" s="1490"/>
      <c r="X367" s="1445" t="e">
        <f ca="1"/>
        <v>#NAME?</v>
      </c>
      <c r="Y367" s="1446" t="e">
        <f ca="1"/>
        <v>#NAME?</v>
      </c>
      <c r="Z367" s="1408"/>
    </row>
    <row r="368" spans="1:26">
      <c r="A368" s="1487"/>
      <c r="B368" s="1488"/>
      <c r="C368" s="1489"/>
      <c r="D368" s="1490"/>
      <c r="E368" s="1487"/>
      <c r="F368" s="1488"/>
      <c r="G368" s="1489"/>
      <c r="H368" s="1490"/>
      <c r="I368" s="1487"/>
      <c r="J368" s="1488"/>
      <c r="K368" s="1489"/>
      <c r="L368" s="1490"/>
      <c r="M368" s="1487"/>
      <c r="N368" s="1488"/>
      <c r="O368" s="1489"/>
      <c r="P368" s="1490"/>
      <c r="X368" s="1445" t="e">
        <f ca="1"/>
        <v>#NAME?</v>
      </c>
      <c r="Y368" s="1446" t="e">
        <f ca="1"/>
        <v>#NAME?</v>
      </c>
      <c r="Z368" s="1408"/>
    </row>
    <row r="369" spans="1:26">
      <c r="A369" s="1487"/>
      <c r="B369" s="1488"/>
      <c r="C369" s="1489"/>
      <c r="D369" s="1490"/>
      <c r="E369" s="1487"/>
      <c r="F369" s="1488"/>
      <c r="G369" s="1489"/>
      <c r="H369" s="1490"/>
      <c r="I369" s="1487"/>
      <c r="J369" s="1488"/>
      <c r="K369" s="1489"/>
      <c r="L369" s="1490"/>
      <c r="M369" s="1487"/>
      <c r="N369" s="1488"/>
      <c r="O369" s="1489"/>
      <c r="P369" s="1490"/>
      <c r="X369" s="1445" t="e">
        <f ca="1"/>
        <v>#NAME?</v>
      </c>
      <c r="Y369" s="1446" t="e">
        <f ca="1"/>
        <v>#NAME?</v>
      </c>
      <c r="Z369" s="1408"/>
    </row>
    <row r="370" spans="1:26">
      <c r="A370" s="1487"/>
      <c r="B370" s="1488"/>
      <c r="C370" s="1489"/>
      <c r="D370" s="1490"/>
      <c r="E370" s="1487"/>
      <c r="F370" s="1488"/>
      <c r="G370" s="1489"/>
      <c r="H370" s="1490"/>
      <c r="I370" s="1487"/>
      <c r="J370" s="1488"/>
      <c r="K370" s="1489"/>
      <c r="L370" s="1490"/>
      <c r="M370" s="1487"/>
      <c r="N370" s="1488"/>
      <c r="O370" s="1489"/>
      <c r="P370" s="1490"/>
      <c r="X370" s="1445" t="e">
        <f ca="1"/>
        <v>#NAME?</v>
      </c>
      <c r="Y370" s="1446" t="e">
        <f ca="1"/>
        <v>#NAME?</v>
      </c>
      <c r="Z370" s="1408"/>
    </row>
    <row r="371" spans="1:26">
      <c r="A371" s="1487"/>
      <c r="B371" s="1488"/>
      <c r="C371" s="1489"/>
      <c r="D371" s="1490"/>
      <c r="E371" s="1487"/>
      <c r="F371" s="1488"/>
      <c r="G371" s="1489"/>
      <c r="H371" s="1490"/>
      <c r="I371" s="1487"/>
      <c r="J371" s="1488"/>
      <c r="K371" s="1489"/>
      <c r="L371" s="1490"/>
      <c r="M371" s="1487"/>
      <c r="N371" s="1488"/>
      <c r="O371" s="1489"/>
      <c r="P371" s="1490"/>
      <c r="X371" s="1445" t="e">
        <f ca="1"/>
        <v>#NAME?</v>
      </c>
      <c r="Y371" s="1446" t="e">
        <f ca="1"/>
        <v>#NAME?</v>
      </c>
      <c r="Z371" s="1408"/>
    </row>
    <row r="372" spans="1:26">
      <c r="A372" s="1487"/>
      <c r="B372" s="1488"/>
      <c r="C372" s="1489"/>
      <c r="D372" s="1490"/>
      <c r="E372" s="1487"/>
      <c r="F372" s="1488"/>
      <c r="G372" s="1489"/>
      <c r="H372" s="1490"/>
      <c r="I372" s="1487"/>
      <c r="J372" s="1488"/>
      <c r="K372" s="1489"/>
      <c r="L372" s="1490"/>
      <c r="M372" s="1487"/>
      <c r="N372" s="1488"/>
      <c r="O372" s="1489"/>
      <c r="P372" s="1490"/>
      <c r="X372" s="1445" t="e">
        <f ca="1"/>
        <v>#NAME?</v>
      </c>
      <c r="Y372" s="1446" t="e">
        <f ca="1"/>
        <v>#NAME?</v>
      </c>
      <c r="Z372" s="1408"/>
    </row>
    <row r="373" spans="1:26">
      <c r="A373" s="1487"/>
      <c r="B373" s="1488"/>
      <c r="C373" s="1489"/>
      <c r="D373" s="1490"/>
      <c r="E373" s="1487"/>
      <c r="F373" s="1488"/>
      <c r="G373" s="1489"/>
      <c r="H373" s="1490"/>
      <c r="I373" s="1487"/>
      <c r="J373" s="1488"/>
      <c r="K373" s="1489"/>
      <c r="L373" s="1490"/>
      <c r="M373" s="1487"/>
      <c r="N373" s="1488"/>
      <c r="O373" s="1489"/>
      <c r="P373" s="1490"/>
      <c r="X373" s="1445" t="e">
        <f ca="1"/>
        <v>#NAME?</v>
      </c>
      <c r="Y373" s="1446" t="e">
        <f ca="1"/>
        <v>#NAME?</v>
      </c>
      <c r="Z373" s="1408"/>
    </row>
    <row r="374" spans="1:26">
      <c r="A374" s="1487"/>
      <c r="B374" s="1488"/>
      <c r="C374" s="1489"/>
      <c r="D374" s="1490"/>
      <c r="E374" s="1487"/>
      <c r="F374" s="1488"/>
      <c r="G374" s="1489"/>
      <c r="H374" s="1490"/>
      <c r="I374" s="1487"/>
      <c r="J374" s="1488"/>
      <c r="K374" s="1489"/>
      <c r="L374" s="1490"/>
      <c r="M374" s="1487"/>
      <c r="N374" s="1488"/>
      <c r="O374" s="1489"/>
      <c r="P374" s="1490"/>
      <c r="X374" s="1445" t="e">
        <f ca="1"/>
        <v>#NAME?</v>
      </c>
      <c r="Y374" s="1446" t="e">
        <f ca="1"/>
        <v>#NAME?</v>
      </c>
      <c r="Z374" s="1408"/>
    </row>
    <row r="375" spans="1:26">
      <c r="A375" s="1487"/>
      <c r="B375" s="1488"/>
      <c r="C375" s="1489"/>
      <c r="D375" s="1490"/>
      <c r="E375" s="1487"/>
      <c r="F375" s="1488"/>
      <c r="G375" s="1489"/>
      <c r="H375" s="1490"/>
      <c r="I375" s="1487"/>
      <c r="J375" s="1488"/>
      <c r="K375" s="1489"/>
      <c r="L375" s="1490"/>
      <c r="M375" s="1487"/>
      <c r="N375" s="1488"/>
      <c r="O375" s="1489"/>
      <c r="P375" s="1490"/>
      <c r="X375" s="1445" t="e">
        <f ca="1"/>
        <v>#NAME?</v>
      </c>
      <c r="Y375" s="1446" t="e">
        <f ca="1"/>
        <v>#NAME?</v>
      </c>
      <c r="Z375" s="1408"/>
    </row>
    <row r="376" spans="1:26">
      <c r="A376" s="1487"/>
      <c r="B376" s="1488"/>
      <c r="C376" s="1489"/>
      <c r="D376" s="1490"/>
      <c r="E376" s="1487"/>
      <c r="F376" s="1488"/>
      <c r="G376" s="1489"/>
      <c r="H376" s="1490"/>
      <c r="I376" s="1487"/>
      <c r="J376" s="1488"/>
      <c r="K376" s="1489"/>
      <c r="L376" s="1490"/>
      <c r="M376" s="1487"/>
      <c r="N376" s="1488"/>
      <c r="O376" s="1489"/>
      <c r="P376" s="1490"/>
      <c r="X376" s="1445" t="e">
        <f ca="1"/>
        <v>#NAME?</v>
      </c>
      <c r="Y376" s="1446" t="e">
        <f ca="1"/>
        <v>#NAME?</v>
      </c>
      <c r="Z376" s="1408"/>
    </row>
    <row r="377" spans="1:26">
      <c r="A377" s="1487"/>
      <c r="B377" s="1488"/>
      <c r="C377" s="1489"/>
      <c r="D377" s="1490"/>
      <c r="E377" s="1487"/>
      <c r="F377" s="1488"/>
      <c r="G377" s="1489"/>
      <c r="H377" s="1490"/>
      <c r="I377" s="1487"/>
      <c r="J377" s="1488"/>
      <c r="K377" s="1489"/>
      <c r="L377" s="1490"/>
      <c r="M377" s="1487"/>
      <c r="N377" s="1488"/>
      <c r="O377" s="1489"/>
      <c r="P377" s="1490"/>
      <c r="X377" s="1445" t="e">
        <f ca="1"/>
        <v>#NAME?</v>
      </c>
      <c r="Y377" s="1446" t="e">
        <f ca="1"/>
        <v>#NAME?</v>
      </c>
      <c r="Z377" s="1408"/>
    </row>
    <row r="378" spans="1:26">
      <c r="A378" s="1487"/>
      <c r="B378" s="1488"/>
      <c r="C378" s="1489"/>
      <c r="D378" s="1490"/>
      <c r="E378" s="1487"/>
      <c r="F378" s="1488"/>
      <c r="G378" s="1489"/>
      <c r="H378" s="1490"/>
      <c r="I378" s="1487"/>
      <c r="J378" s="1488"/>
      <c r="K378" s="1489"/>
      <c r="L378" s="1490"/>
      <c r="M378" s="1487"/>
      <c r="N378" s="1488"/>
      <c r="O378" s="1489"/>
      <c r="P378" s="1490"/>
      <c r="X378" s="1445" t="e">
        <f ca="1"/>
        <v>#NAME?</v>
      </c>
      <c r="Y378" s="1446" t="e">
        <f ca="1"/>
        <v>#NAME?</v>
      </c>
      <c r="Z378" s="1408"/>
    </row>
    <row r="379" spans="1:26">
      <c r="A379" s="1487"/>
      <c r="B379" s="1488"/>
      <c r="C379" s="1489"/>
      <c r="D379" s="1490"/>
      <c r="E379" s="1487"/>
      <c r="F379" s="1488"/>
      <c r="G379" s="1489"/>
      <c r="H379" s="1490"/>
      <c r="I379" s="1487"/>
      <c r="J379" s="1488"/>
      <c r="K379" s="1489"/>
      <c r="L379" s="1490"/>
      <c r="M379" s="1487"/>
      <c r="N379" s="1488"/>
      <c r="O379" s="1489"/>
      <c r="P379" s="1490"/>
      <c r="X379" s="1445" t="e">
        <f ca="1"/>
        <v>#NAME?</v>
      </c>
      <c r="Y379" s="1446" t="e">
        <f ca="1"/>
        <v>#NAME?</v>
      </c>
      <c r="Z379" s="1408"/>
    </row>
    <row r="380" spans="1:26">
      <c r="A380" s="1487"/>
      <c r="B380" s="1488"/>
      <c r="C380" s="1489"/>
      <c r="D380" s="1490"/>
      <c r="E380" s="1487"/>
      <c r="F380" s="1488"/>
      <c r="G380" s="1489"/>
      <c r="H380" s="1490"/>
      <c r="I380" s="1487"/>
      <c r="J380" s="1488"/>
      <c r="K380" s="1489"/>
      <c r="L380" s="1490"/>
      <c r="M380" s="1487"/>
      <c r="N380" s="1488"/>
      <c r="O380" s="1489"/>
      <c r="P380" s="1490"/>
      <c r="X380" s="1445" t="e">
        <f ca="1"/>
        <v>#NAME?</v>
      </c>
      <c r="Y380" s="1446" t="e">
        <f ca="1"/>
        <v>#NAME?</v>
      </c>
      <c r="Z380" s="1408"/>
    </row>
    <row r="381" spans="1:26">
      <c r="A381" s="1487"/>
      <c r="B381" s="1488"/>
      <c r="C381" s="1489"/>
      <c r="D381" s="1490"/>
      <c r="E381" s="1487"/>
      <c r="F381" s="1488"/>
      <c r="G381" s="1489"/>
      <c r="H381" s="1490"/>
      <c r="I381" s="1487"/>
      <c r="J381" s="1488"/>
      <c r="K381" s="1489"/>
      <c r="L381" s="1490"/>
      <c r="M381" s="1487"/>
      <c r="N381" s="1488"/>
      <c r="O381" s="1489"/>
      <c r="P381" s="1490"/>
      <c r="X381" s="1445" t="e">
        <f ca="1"/>
        <v>#NAME?</v>
      </c>
      <c r="Y381" s="1446" t="e">
        <f ca="1"/>
        <v>#NAME?</v>
      </c>
      <c r="Z381" s="1408"/>
    </row>
    <row r="382" spans="1:26">
      <c r="A382" s="1487"/>
      <c r="B382" s="1488"/>
      <c r="C382" s="1489"/>
      <c r="D382" s="1490"/>
      <c r="E382" s="1487"/>
      <c r="F382" s="1488"/>
      <c r="G382" s="1489"/>
      <c r="H382" s="1490"/>
      <c r="I382" s="1487"/>
      <c r="J382" s="1488"/>
      <c r="K382" s="1489"/>
      <c r="L382" s="1490"/>
      <c r="M382" s="1487"/>
      <c r="N382" s="1488"/>
      <c r="O382" s="1489"/>
      <c r="P382" s="1490"/>
      <c r="X382" s="1445" t="e">
        <f ca="1"/>
        <v>#NAME?</v>
      </c>
      <c r="Y382" s="1446" t="e">
        <f ca="1"/>
        <v>#NAME?</v>
      </c>
      <c r="Z382" s="1408"/>
    </row>
    <row r="383" spans="1:26">
      <c r="A383" s="1487"/>
      <c r="B383" s="1488"/>
      <c r="C383" s="1489"/>
      <c r="D383" s="1490"/>
      <c r="E383" s="1487"/>
      <c r="F383" s="1488"/>
      <c r="G383" s="1489"/>
      <c r="H383" s="1490"/>
      <c r="I383" s="1487"/>
      <c r="J383" s="1488"/>
      <c r="K383" s="1489"/>
      <c r="L383" s="1490"/>
      <c r="M383" s="1487"/>
      <c r="N383" s="1488"/>
      <c r="O383" s="1489"/>
      <c r="P383" s="1490"/>
      <c r="X383" s="1445" t="e">
        <f ca="1"/>
        <v>#NAME?</v>
      </c>
      <c r="Y383" s="1446" t="e">
        <f ca="1"/>
        <v>#NAME?</v>
      </c>
      <c r="Z383" s="1408"/>
    </row>
    <row r="384" spans="1:26">
      <c r="A384" s="1487"/>
      <c r="B384" s="1488"/>
      <c r="C384" s="1489"/>
      <c r="D384" s="1490"/>
      <c r="E384" s="1487"/>
      <c r="F384" s="1488"/>
      <c r="G384" s="1489"/>
      <c r="H384" s="1490"/>
      <c r="I384" s="1487"/>
      <c r="J384" s="1488"/>
      <c r="K384" s="1489"/>
      <c r="L384" s="1490"/>
      <c r="M384" s="1487"/>
      <c r="N384" s="1488"/>
      <c r="O384" s="1489"/>
      <c r="P384" s="1490"/>
      <c r="X384" s="1445" t="e">
        <f ca="1"/>
        <v>#NAME?</v>
      </c>
      <c r="Y384" s="1446" t="e">
        <f ca="1"/>
        <v>#NAME?</v>
      </c>
      <c r="Z384" s="1408"/>
    </row>
    <row r="385" spans="1:26">
      <c r="A385" s="1487"/>
      <c r="B385" s="1488"/>
      <c r="C385" s="1489"/>
      <c r="D385" s="1490"/>
      <c r="E385" s="1487"/>
      <c r="F385" s="1488"/>
      <c r="G385" s="1489"/>
      <c r="H385" s="1490"/>
      <c r="I385" s="1487"/>
      <c r="J385" s="1488"/>
      <c r="K385" s="1489"/>
      <c r="L385" s="1490"/>
      <c r="M385" s="1487"/>
      <c r="N385" s="1488"/>
      <c r="O385" s="1489"/>
      <c r="P385" s="1490"/>
      <c r="X385" s="1445" t="e">
        <f ca="1"/>
        <v>#NAME?</v>
      </c>
      <c r="Y385" s="1446" t="e">
        <f ca="1"/>
        <v>#NAME?</v>
      </c>
      <c r="Z385" s="1408"/>
    </row>
    <row r="386" spans="1:26">
      <c r="A386" s="1487"/>
      <c r="B386" s="1488"/>
      <c r="C386" s="1489"/>
      <c r="D386" s="1490"/>
      <c r="E386" s="1487"/>
      <c r="F386" s="1488"/>
      <c r="G386" s="1489"/>
      <c r="H386" s="1490"/>
      <c r="I386" s="1487"/>
      <c r="J386" s="1488"/>
      <c r="K386" s="1489"/>
      <c r="L386" s="1490"/>
      <c r="M386" s="1487"/>
      <c r="N386" s="1488"/>
      <c r="O386" s="1489"/>
      <c r="P386" s="1490"/>
      <c r="X386" s="1445" t="e">
        <f ca="1"/>
        <v>#NAME?</v>
      </c>
      <c r="Y386" s="1446" t="e">
        <f ca="1"/>
        <v>#NAME?</v>
      </c>
      <c r="Z386" s="1408"/>
    </row>
    <row r="387" spans="1:26">
      <c r="A387" s="1487"/>
      <c r="B387" s="1488"/>
      <c r="C387" s="1489"/>
      <c r="D387" s="1490"/>
      <c r="E387" s="1487"/>
      <c r="F387" s="1488"/>
      <c r="G387" s="1489"/>
      <c r="H387" s="1490"/>
      <c r="I387" s="1487"/>
      <c r="J387" s="1488"/>
      <c r="K387" s="1489"/>
      <c r="L387" s="1490"/>
      <c r="M387" s="1487"/>
      <c r="N387" s="1488"/>
      <c r="O387" s="1489"/>
      <c r="P387" s="1490"/>
      <c r="X387" s="1445" t="e">
        <f ca="1"/>
        <v>#NAME?</v>
      </c>
      <c r="Y387" s="1446" t="e">
        <f ca="1"/>
        <v>#NAME?</v>
      </c>
      <c r="Z387" s="1408"/>
    </row>
    <row r="388" spans="1:26">
      <c r="A388" s="1487"/>
      <c r="B388" s="1488"/>
      <c r="C388" s="1489"/>
      <c r="D388" s="1490"/>
      <c r="E388" s="1487"/>
      <c r="F388" s="1488"/>
      <c r="G388" s="1489"/>
      <c r="H388" s="1490"/>
      <c r="I388" s="1487"/>
      <c r="J388" s="1488"/>
      <c r="K388" s="1489"/>
      <c r="L388" s="1490"/>
      <c r="M388" s="1487"/>
      <c r="N388" s="1488"/>
      <c r="O388" s="1489"/>
      <c r="P388" s="1490"/>
      <c r="X388" s="1445" t="e">
        <f ca="1"/>
        <v>#NAME?</v>
      </c>
      <c r="Y388" s="1446" t="e">
        <f ca="1"/>
        <v>#NAME?</v>
      </c>
      <c r="Z388" s="1408"/>
    </row>
    <row r="389" spans="1:26">
      <c r="A389" s="1487"/>
      <c r="B389" s="1488"/>
      <c r="C389" s="1489"/>
      <c r="D389" s="1490"/>
      <c r="E389" s="1487"/>
      <c r="F389" s="1488"/>
      <c r="G389" s="1489"/>
      <c r="H389" s="1490"/>
      <c r="I389" s="1487"/>
      <c r="J389" s="1488"/>
      <c r="K389" s="1489"/>
      <c r="L389" s="1490"/>
      <c r="M389" s="1487"/>
      <c r="N389" s="1488"/>
      <c r="O389" s="1489"/>
      <c r="P389" s="1490"/>
      <c r="X389" s="1445" t="e">
        <f ca="1"/>
        <v>#NAME?</v>
      </c>
      <c r="Y389" s="1446" t="e">
        <f ca="1"/>
        <v>#NAME?</v>
      </c>
      <c r="Z389" s="1408"/>
    </row>
    <row r="390" spans="1:26">
      <c r="A390" s="1487"/>
      <c r="B390" s="1488"/>
      <c r="C390" s="1489"/>
      <c r="D390" s="1490"/>
      <c r="E390" s="1487"/>
      <c r="F390" s="1488"/>
      <c r="G390" s="1489"/>
      <c r="H390" s="1490"/>
      <c r="I390" s="1487"/>
      <c r="J390" s="1488"/>
      <c r="K390" s="1489"/>
      <c r="L390" s="1490"/>
      <c r="M390" s="1487"/>
      <c r="N390" s="1488"/>
      <c r="O390" s="1489"/>
      <c r="P390" s="1490"/>
      <c r="X390" s="1445" t="e">
        <f ca="1"/>
        <v>#NAME?</v>
      </c>
      <c r="Y390" s="1446" t="e">
        <f ca="1"/>
        <v>#NAME?</v>
      </c>
      <c r="Z390" s="1408"/>
    </row>
    <row r="391" spans="1:26">
      <c r="A391" s="1487"/>
      <c r="B391" s="1488"/>
      <c r="C391" s="1489"/>
      <c r="D391" s="1490"/>
      <c r="E391" s="1487"/>
      <c r="F391" s="1488"/>
      <c r="G391" s="1489"/>
      <c r="H391" s="1490"/>
      <c r="I391" s="1487"/>
      <c r="J391" s="1488"/>
      <c r="K391" s="1489"/>
      <c r="L391" s="1490"/>
      <c r="M391" s="1487"/>
      <c r="N391" s="1488"/>
      <c r="O391" s="1489"/>
      <c r="P391" s="1490"/>
      <c r="X391" s="1445" t="e">
        <f ca="1"/>
        <v>#NAME?</v>
      </c>
      <c r="Y391" s="1446" t="e">
        <f ca="1"/>
        <v>#NAME?</v>
      </c>
      <c r="Z391" s="1408"/>
    </row>
    <row r="392" spans="1:26">
      <c r="A392" s="1487"/>
      <c r="B392" s="1488"/>
      <c r="C392" s="1489"/>
      <c r="D392" s="1490"/>
      <c r="E392" s="1487"/>
      <c r="F392" s="1488"/>
      <c r="G392" s="1489"/>
      <c r="H392" s="1490"/>
      <c r="I392" s="1487"/>
      <c r="J392" s="1488"/>
      <c r="K392" s="1489"/>
      <c r="L392" s="1490"/>
      <c r="M392" s="1487"/>
      <c r="N392" s="1488"/>
      <c r="O392" s="1489"/>
      <c r="P392" s="1490"/>
      <c r="X392" s="1445" t="e">
        <f ca="1"/>
        <v>#NAME?</v>
      </c>
      <c r="Y392" s="1446" t="e">
        <f ca="1"/>
        <v>#NAME?</v>
      </c>
      <c r="Z392" s="1408"/>
    </row>
    <row r="393" spans="1:26">
      <c r="A393" s="1487"/>
      <c r="B393" s="1488"/>
      <c r="C393" s="1489"/>
      <c r="D393" s="1490"/>
      <c r="E393" s="1487"/>
      <c r="F393" s="1488"/>
      <c r="G393" s="1489"/>
      <c r="H393" s="1490"/>
      <c r="I393" s="1487"/>
      <c r="J393" s="1488"/>
      <c r="K393" s="1489"/>
      <c r="L393" s="1490"/>
      <c r="M393" s="1487"/>
      <c r="N393" s="1488"/>
      <c r="O393" s="1489"/>
      <c r="P393" s="1490"/>
      <c r="X393" s="1445" t="e">
        <f ca="1"/>
        <v>#NAME?</v>
      </c>
      <c r="Y393" s="1446" t="e">
        <f ca="1"/>
        <v>#NAME?</v>
      </c>
      <c r="Z393" s="1408"/>
    </row>
    <row r="394" spans="1:26">
      <c r="A394" s="1487"/>
      <c r="B394" s="1488"/>
      <c r="C394" s="1489"/>
      <c r="D394" s="1490"/>
      <c r="E394" s="1487"/>
      <c r="F394" s="1488"/>
      <c r="G394" s="1489"/>
      <c r="H394" s="1490"/>
      <c r="I394" s="1487"/>
      <c r="J394" s="1488"/>
      <c r="K394" s="1489"/>
      <c r="L394" s="1490"/>
      <c r="M394" s="1487"/>
      <c r="N394" s="1488"/>
      <c r="O394" s="1489"/>
      <c r="P394" s="1490"/>
      <c r="X394" s="1445" t="e">
        <f ca="1"/>
        <v>#NAME?</v>
      </c>
      <c r="Y394" s="1446" t="e">
        <f ca="1"/>
        <v>#NAME?</v>
      </c>
      <c r="Z394" s="1408"/>
    </row>
    <row r="395" spans="1:26">
      <c r="A395" s="1487"/>
      <c r="B395" s="1488"/>
      <c r="C395" s="1489"/>
      <c r="D395" s="1490"/>
      <c r="E395" s="1487"/>
      <c r="F395" s="1488"/>
      <c r="G395" s="1489"/>
      <c r="H395" s="1490"/>
      <c r="I395" s="1487"/>
      <c r="J395" s="1488"/>
      <c r="K395" s="1489"/>
      <c r="L395" s="1490"/>
      <c r="M395" s="1487"/>
      <c r="N395" s="1488"/>
      <c r="O395" s="1489"/>
      <c r="P395" s="1490"/>
      <c r="X395" s="1445" t="e">
        <f ca="1"/>
        <v>#NAME?</v>
      </c>
      <c r="Y395" s="1446" t="e">
        <f ca="1"/>
        <v>#NAME?</v>
      </c>
      <c r="Z395" s="1408"/>
    </row>
    <row r="396" spans="1:26">
      <c r="A396" s="1487"/>
      <c r="B396" s="1488"/>
      <c r="C396" s="1489"/>
      <c r="D396" s="1490"/>
      <c r="E396" s="1487"/>
      <c r="F396" s="1488"/>
      <c r="G396" s="1489"/>
      <c r="H396" s="1490"/>
      <c r="I396" s="1487"/>
      <c r="J396" s="1488"/>
      <c r="K396" s="1489"/>
      <c r="L396" s="1490"/>
      <c r="M396" s="1487"/>
      <c r="N396" s="1488"/>
      <c r="O396" s="1489"/>
      <c r="P396" s="1490"/>
      <c r="X396" s="1445" t="e">
        <f ca="1"/>
        <v>#NAME?</v>
      </c>
      <c r="Y396" s="1446" t="e">
        <f ca="1"/>
        <v>#NAME?</v>
      </c>
      <c r="Z396" s="1408"/>
    </row>
    <row r="397" spans="1:26">
      <c r="A397" s="1487"/>
      <c r="B397" s="1488"/>
      <c r="C397" s="1489"/>
      <c r="D397" s="1490"/>
      <c r="E397" s="1487"/>
      <c r="F397" s="1488"/>
      <c r="G397" s="1489"/>
      <c r="H397" s="1490"/>
      <c r="I397" s="1487"/>
      <c r="J397" s="1488"/>
      <c r="K397" s="1489"/>
      <c r="L397" s="1490"/>
      <c r="M397" s="1487"/>
      <c r="N397" s="1488"/>
      <c r="O397" s="1489"/>
      <c r="P397" s="1490"/>
      <c r="X397" s="1445" t="e">
        <f ca="1"/>
        <v>#NAME?</v>
      </c>
      <c r="Y397" s="1446" t="e">
        <f ca="1"/>
        <v>#NAME?</v>
      </c>
      <c r="Z397" s="1408"/>
    </row>
    <row r="398" spans="1:26">
      <c r="A398" s="1487"/>
      <c r="B398" s="1488"/>
      <c r="C398" s="1489"/>
      <c r="D398" s="1490"/>
      <c r="E398" s="1487"/>
      <c r="F398" s="1488"/>
      <c r="G398" s="1489"/>
      <c r="H398" s="1490"/>
      <c r="I398" s="1487"/>
      <c r="J398" s="1488"/>
      <c r="K398" s="1489"/>
      <c r="L398" s="1490"/>
      <c r="M398" s="1487"/>
      <c r="N398" s="1488"/>
      <c r="O398" s="1489"/>
      <c r="P398" s="1490"/>
      <c r="X398" s="1445" t="e">
        <f ca="1"/>
        <v>#NAME?</v>
      </c>
      <c r="Y398" s="1446" t="e">
        <f ca="1"/>
        <v>#NAME?</v>
      </c>
      <c r="Z398" s="1408"/>
    </row>
    <row r="399" spans="1:26">
      <c r="A399" s="1487"/>
      <c r="B399" s="1488"/>
      <c r="C399" s="1489"/>
      <c r="D399" s="1490"/>
      <c r="E399" s="1487"/>
      <c r="F399" s="1488"/>
      <c r="G399" s="1489"/>
      <c r="H399" s="1490"/>
      <c r="I399" s="1487"/>
      <c r="J399" s="1488"/>
      <c r="K399" s="1489"/>
      <c r="L399" s="1490"/>
      <c r="M399" s="1487"/>
      <c r="N399" s="1488"/>
      <c r="O399" s="1489"/>
      <c r="P399" s="1490"/>
      <c r="X399" s="1445" t="e">
        <f ca="1"/>
        <v>#NAME?</v>
      </c>
      <c r="Y399" s="1446" t="e">
        <f ca="1"/>
        <v>#NAME?</v>
      </c>
      <c r="Z399" s="1408"/>
    </row>
    <row r="400" spans="1:26">
      <c r="A400" s="1487"/>
      <c r="B400" s="1488"/>
      <c r="C400" s="1489"/>
      <c r="D400" s="1490"/>
      <c r="E400" s="1487"/>
      <c r="F400" s="1488"/>
      <c r="G400" s="1489"/>
      <c r="H400" s="1490"/>
      <c r="I400" s="1487"/>
      <c r="J400" s="1488"/>
      <c r="K400" s="1489"/>
      <c r="L400" s="1490"/>
      <c r="M400" s="1487"/>
      <c r="N400" s="1488"/>
      <c r="O400" s="1489"/>
      <c r="P400" s="1490"/>
      <c r="X400" s="1445" t="e">
        <f ca="1"/>
        <v>#NAME?</v>
      </c>
      <c r="Y400" s="1446" t="e">
        <f ca="1"/>
        <v>#NAME?</v>
      </c>
      <c r="Z400" s="1408"/>
    </row>
    <row r="401" spans="1:26">
      <c r="A401" s="1487"/>
      <c r="B401" s="1488"/>
      <c r="C401" s="1489"/>
      <c r="D401" s="1490"/>
      <c r="E401" s="1487"/>
      <c r="F401" s="1488"/>
      <c r="G401" s="1489"/>
      <c r="H401" s="1490"/>
      <c r="I401" s="1487"/>
      <c r="J401" s="1488"/>
      <c r="K401" s="1489"/>
      <c r="L401" s="1490"/>
      <c r="M401" s="1487"/>
      <c r="N401" s="1488"/>
      <c r="O401" s="1489"/>
      <c r="P401" s="1490"/>
      <c r="X401" s="1445" t="e">
        <f ca="1"/>
        <v>#NAME?</v>
      </c>
      <c r="Y401" s="1446" t="e">
        <f ca="1"/>
        <v>#NAME?</v>
      </c>
      <c r="Z401" s="1408"/>
    </row>
    <row r="402" spans="1:26">
      <c r="A402" s="1487"/>
      <c r="B402" s="1488"/>
      <c r="C402" s="1489"/>
      <c r="D402" s="1490"/>
      <c r="E402" s="1487"/>
      <c r="F402" s="1488"/>
      <c r="G402" s="1489"/>
      <c r="H402" s="1490"/>
      <c r="I402" s="1487"/>
      <c r="J402" s="1488"/>
      <c r="K402" s="1489"/>
      <c r="L402" s="1490"/>
      <c r="M402" s="1487"/>
      <c r="N402" s="1488"/>
      <c r="O402" s="1489"/>
      <c r="P402" s="1490"/>
      <c r="X402" s="1445" t="e">
        <f ca="1"/>
        <v>#NAME?</v>
      </c>
      <c r="Y402" s="1446" t="e">
        <f ca="1"/>
        <v>#NAME?</v>
      </c>
      <c r="Z402" s="1408"/>
    </row>
    <row r="403" spans="1:26">
      <c r="A403" s="1487"/>
      <c r="B403" s="1488"/>
      <c r="C403" s="1489"/>
      <c r="D403" s="1490"/>
      <c r="E403" s="1487"/>
      <c r="F403" s="1488"/>
      <c r="G403" s="1489"/>
      <c r="H403" s="1490"/>
      <c r="I403" s="1487"/>
      <c r="J403" s="1488"/>
      <c r="K403" s="1489"/>
      <c r="L403" s="1490"/>
      <c r="M403" s="1487"/>
      <c r="N403" s="1488"/>
      <c r="O403" s="1489"/>
      <c r="P403" s="1490"/>
      <c r="X403" s="1445" t="e">
        <f ca="1"/>
        <v>#NAME?</v>
      </c>
      <c r="Y403" s="1446" t="e">
        <f ca="1"/>
        <v>#NAME?</v>
      </c>
      <c r="Z403" s="1408"/>
    </row>
    <row r="404" spans="1:26">
      <c r="A404" s="1487"/>
      <c r="B404" s="1488"/>
      <c r="C404" s="1489"/>
      <c r="D404" s="1490"/>
      <c r="E404" s="1487"/>
      <c r="F404" s="1488"/>
      <c r="G404" s="1489"/>
      <c r="H404" s="1490"/>
      <c r="I404" s="1487"/>
      <c r="J404" s="1488"/>
      <c r="K404" s="1489"/>
      <c r="L404" s="1490"/>
      <c r="M404" s="1487"/>
      <c r="N404" s="1488"/>
      <c r="O404" s="1489"/>
      <c r="P404" s="1490"/>
      <c r="X404" s="1445" t="e">
        <f ca="1"/>
        <v>#NAME?</v>
      </c>
      <c r="Y404" s="1446" t="e">
        <f ca="1"/>
        <v>#NAME?</v>
      </c>
      <c r="Z404" s="1408"/>
    </row>
    <row r="405" spans="1:26">
      <c r="A405" s="1487"/>
      <c r="B405" s="1488"/>
      <c r="C405" s="1489"/>
      <c r="D405" s="1490"/>
      <c r="E405" s="1487"/>
      <c r="F405" s="1488"/>
      <c r="G405" s="1489"/>
      <c r="H405" s="1490"/>
      <c r="I405" s="1487"/>
      <c r="J405" s="1488"/>
      <c r="K405" s="1489"/>
      <c r="L405" s="1490"/>
      <c r="M405" s="1487"/>
      <c r="N405" s="1488"/>
      <c r="O405" s="1489"/>
      <c r="P405" s="1490"/>
      <c r="X405" s="1445" t="e">
        <f ca="1"/>
        <v>#NAME?</v>
      </c>
      <c r="Y405" s="1446" t="e">
        <f ca="1"/>
        <v>#NAME?</v>
      </c>
      <c r="Z405" s="1408"/>
    </row>
    <row r="406" spans="1:26">
      <c r="A406" s="1487"/>
      <c r="B406" s="1488"/>
      <c r="C406" s="1489"/>
      <c r="D406" s="1490"/>
      <c r="E406" s="1487"/>
      <c r="F406" s="1488"/>
      <c r="G406" s="1489"/>
      <c r="H406" s="1490"/>
      <c r="I406" s="1487"/>
      <c r="J406" s="1488"/>
      <c r="K406" s="1489"/>
      <c r="L406" s="1490"/>
      <c r="M406" s="1487"/>
      <c r="N406" s="1488"/>
      <c r="O406" s="1489"/>
      <c r="P406" s="1490"/>
      <c r="X406" s="1445" t="e">
        <f ca="1"/>
        <v>#NAME?</v>
      </c>
      <c r="Y406" s="1446" t="e">
        <f ca="1"/>
        <v>#NAME?</v>
      </c>
      <c r="Z406" s="1408"/>
    </row>
    <row r="407" spans="1:26">
      <c r="A407" s="1487"/>
      <c r="B407" s="1488"/>
      <c r="C407" s="1489"/>
      <c r="D407" s="1490"/>
      <c r="E407" s="1487"/>
      <c r="F407" s="1488"/>
      <c r="G407" s="1489"/>
      <c r="H407" s="1490"/>
      <c r="I407" s="1487"/>
      <c r="J407" s="1488"/>
      <c r="K407" s="1489"/>
      <c r="L407" s="1490"/>
      <c r="M407" s="1487"/>
      <c r="N407" s="1488"/>
      <c r="O407" s="1489"/>
      <c r="P407" s="1490"/>
      <c r="X407" s="1445" t="e">
        <f ca="1"/>
        <v>#NAME?</v>
      </c>
      <c r="Y407" s="1446" t="e">
        <f ca="1"/>
        <v>#NAME?</v>
      </c>
      <c r="Z407" s="1408"/>
    </row>
    <row r="408" spans="1:26">
      <c r="A408" s="1487"/>
      <c r="B408" s="1488"/>
      <c r="C408" s="1489"/>
      <c r="D408" s="1490"/>
      <c r="E408" s="1487"/>
      <c r="F408" s="1488"/>
      <c r="G408" s="1489"/>
      <c r="H408" s="1490"/>
      <c r="I408" s="1487"/>
      <c r="J408" s="1488"/>
      <c r="K408" s="1489"/>
      <c r="L408" s="1490"/>
      <c r="M408" s="1487"/>
      <c r="N408" s="1488"/>
      <c r="O408" s="1489"/>
      <c r="P408" s="1490"/>
      <c r="X408" s="1445" t="e">
        <f ca="1"/>
        <v>#NAME?</v>
      </c>
      <c r="Y408" s="1446" t="e">
        <f ca="1"/>
        <v>#NAME?</v>
      </c>
      <c r="Z408" s="1408"/>
    </row>
    <row r="409" spans="1:26">
      <c r="A409" s="1487"/>
      <c r="B409" s="1488"/>
      <c r="C409" s="1489"/>
      <c r="D409" s="1490"/>
      <c r="E409" s="1487"/>
      <c r="F409" s="1488"/>
      <c r="G409" s="1489"/>
      <c r="H409" s="1490"/>
      <c r="I409" s="1487"/>
      <c r="J409" s="1488"/>
      <c r="K409" s="1489"/>
      <c r="L409" s="1490"/>
      <c r="M409" s="1487"/>
      <c r="N409" s="1488"/>
      <c r="O409" s="1489"/>
      <c r="P409" s="1490"/>
      <c r="X409" s="1445" t="e">
        <f ca="1"/>
        <v>#NAME?</v>
      </c>
      <c r="Y409" s="1446" t="e">
        <f ca="1"/>
        <v>#NAME?</v>
      </c>
      <c r="Z409" s="1408"/>
    </row>
    <row r="410" spans="1:26">
      <c r="A410" s="1487"/>
      <c r="B410" s="1488"/>
      <c r="C410" s="1489"/>
      <c r="D410" s="1490"/>
      <c r="E410" s="1487"/>
      <c r="F410" s="1488"/>
      <c r="G410" s="1489"/>
      <c r="H410" s="1490"/>
      <c r="I410" s="1487"/>
      <c r="J410" s="1488"/>
      <c r="K410" s="1489"/>
      <c r="L410" s="1490"/>
      <c r="M410" s="1487"/>
      <c r="N410" s="1488"/>
      <c r="O410" s="1489"/>
      <c r="P410" s="1490"/>
      <c r="X410" s="1445" t="e">
        <f ca="1"/>
        <v>#NAME?</v>
      </c>
      <c r="Y410" s="1446" t="e">
        <f ca="1"/>
        <v>#NAME?</v>
      </c>
      <c r="Z410" s="1408"/>
    </row>
    <row r="411" spans="1:26">
      <c r="A411" s="1487"/>
      <c r="B411" s="1488"/>
      <c r="C411" s="1489"/>
      <c r="D411" s="1490"/>
      <c r="E411" s="1487"/>
      <c r="F411" s="1488"/>
      <c r="G411" s="1489"/>
      <c r="H411" s="1490"/>
      <c r="I411" s="1487"/>
      <c r="J411" s="1488"/>
      <c r="K411" s="1489"/>
      <c r="L411" s="1490"/>
      <c r="M411" s="1487"/>
      <c r="N411" s="1488"/>
      <c r="O411" s="1489"/>
      <c r="P411" s="1490"/>
      <c r="X411" s="1445" t="e">
        <f ca="1"/>
        <v>#NAME?</v>
      </c>
      <c r="Y411" s="1446" t="e">
        <f ca="1"/>
        <v>#NAME?</v>
      </c>
      <c r="Z411" s="1408"/>
    </row>
    <row r="412" spans="1:26">
      <c r="A412" s="1487"/>
      <c r="B412" s="1488"/>
      <c r="C412" s="1489"/>
      <c r="D412" s="1490"/>
      <c r="E412" s="1487"/>
      <c r="F412" s="1488"/>
      <c r="G412" s="1489"/>
      <c r="H412" s="1490"/>
      <c r="I412" s="1487"/>
      <c r="J412" s="1488"/>
      <c r="K412" s="1489"/>
      <c r="L412" s="1490"/>
      <c r="M412" s="1487"/>
      <c r="N412" s="1488"/>
      <c r="O412" s="1489"/>
      <c r="P412" s="1490"/>
      <c r="X412" s="1445" t="e">
        <f ca="1"/>
        <v>#NAME?</v>
      </c>
      <c r="Y412" s="1446" t="e">
        <f ca="1"/>
        <v>#NAME?</v>
      </c>
      <c r="Z412" s="1408"/>
    </row>
    <row r="413" spans="1:26">
      <c r="A413" s="1487"/>
      <c r="B413" s="1488"/>
      <c r="C413" s="1489"/>
      <c r="D413" s="1490"/>
      <c r="E413" s="1487"/>
      <c r="F413" s="1488"/>
      <c r="G413" s="1489"/>
      <c r="H413" s="1490"/>
      <c r="I413" s="1487"/>
      <c r="J413" s="1488"/>
      <c r="K413" s="1489"/>
      <c r="L413" s="1490"/>
      <c r="M413" s="1487"/>
      <c r="N413" s="1488"/>
      <c r="O413" s="1489"/>
      <c r="P413" s="1490"/>
      <c r="X413" s="1445" t="e">
        <f ca="1"/>
        <v>#NAME?</v>
      </c>
      <c r="Y413" s="1446" t="e">
        <f ca="1"/>
        <v>#NAME?</v>
      </c>
      <c r="Z413" s="1408"/>
    </row>
    <row r="414" spans="1:26">
      <c r="A414" s="1487"/>
      <c r="B414" s="1488"/>
      <c r="C414" s="1489"/>
      <c r="D414" s="1490"/>
      <c r="E414" s="1487"/>
      <c r="F414" s="1488"/>
      <c r="G414" s="1489"/>
      <c r="H414" s="1490"/>
      <c r="I414" s="1487"/>
      <c r="J414" s="1488"/>
      <c r="K414" s="1489"/>
      <c r="L414" s="1490"/>
      <c r="M414" s="1487"/>
      <c r="N414" s="1488"/>
      <c r="O414" s="1489"/>
      <c r="P414" s="1490"/>
      <c r="X414" s="1445" t="e">
        <f ca="1"/>
        <v>#NAME?</v>
      </c>
      <c r="Y414" s="1446" t="e">
        <f ca="1"/>
        <v>#NAME?</v>
      </c>
      <c r="Z414" s="1408"/>
    </row>
    <row r="415" spans="1:26">
      <c r="A415" s="1487"/>
      <c r="B415" s="1488"/>
      <c r="C415" s="1489"/>
      <c r="D415" s="1490"/>
      <c r="E415" s="1487"/>
      <c r="F415" s="1488"/>
      <c r="G415" s="1489"/>
      <c r="H415" s="1490"/>
      <c r="I415" s="1487"/>
      <c r="J415" s="1488"/>
      <c r="K415" s="1489"/>
      <c r="L415" s="1490"/>
      <c r="M415" s="1487"/>
      <c r="N415" s="1488"/>
      <c r="O415" s="1489"/>
      <c r="P415" s="1490"/>
      <c r="X415" s="1445" t="e">
        <f ca="1"/>
        <v>#NAME?</v>
      </c>
      <c r="Y415" s="1446" t="e">
        <f ca="1"/>
        <v>#NAME?</v>
      </c>
      <c r="Z415" s="1408"/>
    </row>
    <row r="416" spans="1:26">
      <c r="A416" s="1487"/>
      <c r="B416" s="1488"/>
      <c r="C416" s="1489"/>
      <c r="D416" s="1490"/>
      <c r="E416" s="1487"/>
      <c r="F416" s="1488"/>
      <c r="G416" s="1489"/>
      <c r="H416" s="1490"/>
      <c r="I416" s="1487"/>
      <c r="J416" s="1488"/>
      <c r="K416" s="1489"/>
      <c r="L416" s="1490"/>
      <c r="M416" s="1487"/>
      <c r="N416" s="1488"/>
      <c r="O416" s="1489"/>
      <c r="P416" s="1490"/>
      <c r="X416" s="1445" t="e">
        <f ca="1"/>
        <v>#NAME?</v>
      </c>
      <c r="Y416" s="1446" t="e">
        <f ca="1"/>
        <v>#NAME?</v>
      </c>
      <c r="Z416" s="1408"/>
    </row>
    <row r="417" spans="1:26">
      <c r="A417" s="1487"/>
      <c r="B417" s="1488"/>
      <c r="C417" s="1489"/>
      <c r="D417" s="1490"/>
      <c r="E417" s="1487"/>
      <c r="F417" s="1488"/>
      <c r="G417" s="1489"/>
      <c r="H417" s="1490"/>
      <c r="I417" s="1487"/>
      <c r="J417" s="1488"/>
      <c r="K417" s="1489"/>
      <c r="L417" s="1490"/>
      <c r="M417" s="1487"/>
      <c r="N417" s="1488"/>
      <c r="O417" s="1489"/>
      <c r="P417" s="1490"/>
      <c r="X417" s="1445" t="e">
        <f ca="1"/>
        <v>#NAME?</v>
      </c>
      <c r="Y417" s="1446" t="e">
        <f ca="1"/>
        <v>#NAME?</v>
      </c>
      <c r="Z417" s="1408"/>
    </row>
    <row r="418" spans="1:26">
      <c r="A418" s="1487"/>
      <c r="B418" s="1488"/>
      <c r="C418" s="1489"/>
      <c r="D418" s="1490"/>
      <c r="E418" s="1487"/>
      <c r="F418" s="1488"/>
      <c r="G418" s="1489"/>
      <c r="H418" s="1490"/>
      <c r="I418" s="1487"/>
      <c r="J418" s="1488"/>
      <c r="K418" s="1489"/>
      <c r="L418" s="1490"/>
      <c r="M418" s="1487"/>
      <c r="N418" s="1488"/>
      <c r="O418" s="1489"/>
      <c r="P418" s="1490"/>
      <c r="X418" s="1445" t="e">
        <f ca="1"/>
        <v>#NAME?</v>
      </c>
      <c r="Y418" s="1446" t="e">
        <f ca="1"/>
        <v>#NAME?</v>
      </c>
      <c r="Z418" s="1408"/>
    </row>
    <row r="419" spans="1:26">
      <c r="A419" s="1487"/>
      <c r="B419" s="1488"/>
      <c r="C419" s="1489"/>
      <c r="D419" s="1490"/>
      <c r="E419" s="1487"/>
      <c r="F419" s="1488"/>
      <c r="G419" s="1489"/>
      <c r="H419" s="1490"/>
      <c r="I419" s="1487"/>
      <c r="J419" s="1488"/>
      <c r="K419" s="1489"/>
      <c r="L419" s="1490"/>
      <c r="M419" s="1487"/>
      <c r="N419" s="1488"/>
      <c r="O419" s="1489"/>
      <c r="P419" s="1490"/>
      <c r="X419" s="1445" t="e">
        <f ca="1"/>
        <v>#NAME?</v>
      </c>
      <c r="Y419" s="1446" t="e">
        <f ca="1"/>
        <v>#NAME?</v>
      </c>
      <c r="Z419" s="1408"/>
    </row>
    <row r="420" spans="1:26">
      <c r="A420" s="1487"/>
      <c r="B420" s="1488"/>
      <c r="C420" s="1489"/>
      <c r="D420" s="1490"/>
      <c r="E420" s="1487"/>
      <c r="F420" s="1488"/>
      <c r="G420" s="1489"/>
      <c r="H420" s="1490"/>
      <c r="I420" s="1487"/>
      <c r="J420" s="1488"/>
      <c r="K420" s="1489"/>
      <c r="L420" s="1490"/>
      <c r="M420" s="1487"/>
      <c r="N420" s="1488"/>
      <c r="O420" s="1489"/>
      <c r="P420" s="1490"/>
      <c r="X420" s="1445" t="e">
        <f ca="1"/>
        <v>#NAME?</v>
      </c>
      <c r="Y420" s="1446" t="e">
        <f ca="1"/>
        <v>#NAME?</v>
      </c>
      <c r="Z420" s="1408"/>
    </row>
    <row r="421" spans="1:26">
      <c r="A421" s="1487"/>
      <c r="B421" s="1488"/>
      <c r="C421" s="1489"/>
      <c r="D421" s="1490"/>
      <c r="E421" s="1487"/>
      <c r="F421" s="1488"/>
      <c r="G421" s="1489"/>
      <c r="H421" s="1490"/>
      <c r="I421" s="1487"/>
      <c r="J421" s="1488"/>
      <c r="K421" s="1489"/>
      <c r="L421" s="1490"/>
      <c r="M421" s="1487"/>
      <c r="N421" s="1488"/>
      <c r="O421" s="1489"/>
      <c r="P421" s="1490"/>
      <c r="X421" s="1445" t="e">
        <f ca="1"/>
        <v>#NAME?</v>
      </c>
      <c r="Y421" s="1446" t="e">
        <f ca="1"/>
        <v>#NAME?</v>
      </c>
      <c r="Z421" s="1408"/>
    </row>
    <row r="422" spans="1:26">
      <c r="A422" s="1487"/>
      <c r="B422" s="1488"/>
      <c r="C422" s="1489"/>
      <c r="D422" s="1490"/>
      <c r="E422" s="1487"/>
      <c r="F422" s="1488"/>
      <c r="G422" s="1489"/>
      <c r="H422" s="1490"/>
      <c r="I422" s="1487"/>
      <c r="J422" s="1488"/>
      <c r="K422" s="1489"/>
      <c r="L422" s="1490"/>
      <c r="M422" s="1487"/>
      <c r="N422" s="1488"/>
      <c r="O422" s="1489"/>
      <c r="P422" s="1490"/>
      <c r="X422" s="1445" t="e">
        <f ca="1"/>
        <v>#NAME?</v>
      </c>
      <c r="Y422" s="1446" t="e">
        <f ca="1"/>
        <v>#NAME?</v>
      </c>
      <c r="Z422" s="1408"/>
    </row>
    <row r="423" spans="1:26">
      <c r="A423" s="1487"/>
      <c r="B423" s="1488"/>
      <c r="C423" s="1489"/>
      <c r="D423" s="1490"/>
      <c r="E423" s="1487"/>
      <c r="F423" s="1488"/>
      <c r="G423" s="1489"/>
      <c r="H423" s="1490"/>
      <c r="I423" s="1487"/>
      <c r="J423" s="1488"/>
      <c r="K423" s="1489"/>
      <c r="L423" s="1490"/>
      <c r="M423" s="1487"/>
      <c r="N423" s="1488"/>
      <c r="O423" s="1489"/>
      <c r="P423" s="1490"/>
      <c r="X423" s="1445" t="e">
        <f ca="1"/>
        <v>#NAME?</v>
      </c>
      <c r="Y423" s="1446" t="e">
        <f ca="1"/>
        <v>#NAME?</v>
      </c>
      <c r="Z423" s="1408"/>
    </row>
    <row r="424" spans="1:26">
      <c r="A424" s="1487"/>
      <c r="B424" s="1488"/>
      <c r="C424" s="1489"/>
      <c r="D424" s="1490"/>
      <c r="E424" s="1487"/>
      <c r="F424" s="1488"/>
      <c r="G424" s="1489"/>
      <c r="H424" s="1490"/>
      <c r="I424" s="1487"/>
      <c r="J424" s="1488"/>
      <c r="K424" s="1489"/>
      <c r="L424" s="1490"/>
      <c r="M424" s="1487"/>
      <c r="N424" s="1488"/>
      <c r="O424" s="1489"/>
      <c r="P424" s="1490"/>
      <c r="X424" s="1445" t="e">
        <f ca="1"/>
        <v>#NAME?</v>
      </c>
      <c r="Y424" s="1446" t="e">
        <f ca="1"/>
        <v>#NAME?</v>
      </c>
      <c r="Z424" s="1408"/>
    </row>
    <row r="425" spans="1:26">
      <c r="A425" s="1487"/>
      <c r="B425" s="1488"/>
      <c r="C425" s="1489"/>
      <c r="D425" s="1490"/>
      <c r="E425" s="1487"/>
      <c r="F425" s="1488"/>
      <c r="G425" s="1489"/>
      <c r="H425" s="1490"/>
      <c r="I425" s="1487"/>
      <c r="J425" s="1488"/>
      <c r="K425" s="1489"/>
      <c r="L425" s="1490"/>
      <c r="M425" s="1487"/>
      <c r="N425" s="1488"/>
      <c r="O425" s="1489"/>
      <c r="P425" s="1490"/>
      <c r="X425" s="1445" t="e">
        <f ca="1"/>
        <v>#NAME?</v>
      </c>
      <c r="Y425" s="1446" t="e">
        <f ca="1"/>
        <v>#NAME?</v>
      </c>
      <c r="Z425" s="1408"/>
    </row>
    <row r="426" spans="1:26">
      <c r="A426" s="1487"/>
      <c r="B426" s="1488"/>
      <c r="C426" s="1489"/>
      <c r="D426" s="1490"/>
      <c r="E426" s="1487"/>
      <c r="F426" s="1488"/>
      <c r="G426" s="1489"/>
      <c r="H426" s="1490"/>
      <c r="I426" s="1487"/>
      <c r="J426" s="1488"/>
      <c r="K426" s="1489"/>
      <c r="L426" s="1490"/>
      <c r="M426" s="1487"/>
      <c r="N426" s="1488"/>
      <c r="O426" s="1489"/>
      <c r="P426" s="1490"/>
      <c r="X426" s="1445" t="e">
        <f ca="1"/>
        <v>#NAME?</v>
      </c>
      <c r="Y426" s="1446" t="e">
        <f ca="1"/>
        <v>#NAME?</v>
      </c>
      <c r="Z426" s="1408"/>
    </row>
    <row r="427" spans="1:26">
      <c r="A427" s="1487"/>
      <c r="B427" s="1488"/>
      <c r="C427" s="1489"/>
      <c r="D427" s="1490"/>
      <c r="E427" s="1487"/>
      <c r="F427" s="1488"/>
      <c r="G427" s="1489"/>
      <c r="H427" s="1490"/>
      <c r="I427" s="1487"/>
      <c r="J427" s="1488"/>
      <c r="K427" s="1489"/>
      <c r="L427" s="1490"/>
      <c r="M427" s="1487"/>
      <c r="N427" s="1488"/>
      <c r="O427" s="1489"/>
      <c r="P427" s="1490"/>
      <c r="X427" s="1445" t="e">
        <f ca="1"/>
        <v>#NAME?</v>
      </c>
      <c r="Y427" s="1446" t="e">
        <f ca="1"/>
        <v>#NAME?</v>
      </c>
      <c r="Z427" s="1408"/>
    </row>
    <row r="428" spans="1:26">
      <c r="A428" s="1487"/>
      <c r="B428" s="1488"/>
      <c r="C428" s="1489"/>
      <c r="D428" s="1490"/>
      <c r="E428" s="1487"/>
      <c r="F428" s="1488"/>
      <c r="G428" s="1489"/>
      <c r="H428" s="1490"/>
      <c r="I428" s="1487"/>
      <c r="J428" s="1488"/>
      <c r="K428" s="1489"/>
      <c r="L428" s="1490"/>
      <c r="M428" s="1487"/>
      <c r="N428" s="1488"/>
      <c r="O428" s="1489"/>
      <c r="P428" s="1490"/>
      <c r="X428" s="1445" t="e">
        <f ca="1"/>
        <v>#NAME?</v>
      </c>
      <c r="Y428" s="1446" t="e">
        <f ca="1"/>
        <v>#NAME?</v>
      </c>
      <c r="Z428" s="1408"/>
    </row>
    <row r="429" spans="1:26">
      <c r="A429" s="1487"/>
      <c r="B429" s="1488"/>
      <c r="C429" s="1489"/>
      <c r="D429" s="1490"/>
      <c r="E429" s="1487"/>
      <c r="F429" s="1488"/>
      <c r="G429" s="1489"/>
      <c r="H429" s="1490"/>
      <c r="I429" s="1487"/>
      <c r="J429" s="1488"/>
      <c r="K429" s="1489"/>
      <c r="L429" s="1490"/>
      <c r="M429" s="1487"/>
      <c r="N429" s="1488"/>
      <c r="O429" s="1489"/>
      <c r="P429" s="1490"/>
      <c r="X429" s="1445" t="e">
        <f ca="1"/>
        <v>#NAME?</v>
      </c>
      <c r="Y429" s="1446" t="e">
        <f ca="1"/>
        <v>#NAME?</v>
      </c>
      <c r="Z429" s="1408"/>
    </row>
    <row r="430" spans="1:26">
      <c r="A430" s="1487"/>
      <c r="B430" s="1488"/>
      <c r="C430" s="1489"/>
      <c r="D430" s="1490"/>
      <c r="E430" s="1487"/>
      <c r="F430" s="1488"/>
      <c r="G430" s="1489"/>
      <c r="H430" s="1490"/>
      <c r="I430" s="1487"/>
      <c r="J430" s="1488"/>
      <c r="K430" s="1489"/>
      <c r="L430" s="1490"/>
      <c r="M430" s="1487"/>
      <c r="N430" s="1488"/>
      <c r="O430" s="1489"/>
      <c r="P430" s="1490"/>
      <c r="X430" s="1445" t="e">
        <f ca="1"/>
        <v>#NAME?</v>
      </c>
      <c r="Y430" s="1446" t="e">
        <f ca="1"/>
        <v>#NAME?</v>
      </c>
      <c r="Z430" s="1408"/>
    </row>
    <row r="431" spans="1:26">
      <c r="A431" s="1487"/>
      <c r="B431" s="1488"/>
      <c r="C431" s="1489"/>
      <c r="D431" s="1490"/>
      <c r="E431" s="1487"/>
      <c r="F431" s="1488"/>
      <c r="G431" s="1489"/>
      <c r="H431" s="1490"/>
      <c r="I431" s="1487"/>
      <c r="J431" s="1488"/>
      <c r="K431" s="1489"/>
      <c r="L431" s="1490"/>
      <c r="M431" s="1487"/>
      <c r="N431" s="1488"/>
      <c r="O431" s="1489"/>
      <c r="P431" s="1490"/>
      <c r="X431" s="1445" t="e">
        <f ca="1"/>
        <v>#NAME?</v>
      </c>
      <c r="Y431" s="1446" t="e">
        <f ca="1"/>
        <v>#NAME?</v>
      </c>
      <c r="Z431" s="1408"/>
    </row>
    <row r="432" spans="1:26">
      <c r="A432" s="1487"/>
      <c r="B432" s="1488"/>
      <c r="C432" s="1489"/>
      <c r="D432" s="1490"/>
      <c r="E432" s="1487"/>
      <c r="F432" s="1488"/>
      <c r="G432" s="1489"/>
      <c r="H432" s="1490"/>
      <c r="I432" s="1487"/>
      <c r="J432" s="1488"/>
      <c r="K432" s="1489"/>
      <c r="L432" s="1490"/>
      <c r="M432" s="1487"/>
      <c r="N432" s="1488"/>
      <c r="O432" s="1489"/>
      <c r="P432" s="1490"/>
      <c r="X432" s="1445" t="e">
        <f ca="1"/>
        <v>#NAME?</v>
      </c>
      <c r="Y432" s="1446" t="e">
        <f ca="1"/>
        <v>#NAME?</v>
      </c>
      <c r="Z432" s="1408"/>
    </row>
    <row r="433" spans="1:26">
      <c r="A433" s="1487"/>
      <c r="B433" s="1488"/>
      <c r="C433" s="1489"/>
      <c r="D433" s="1490"/>
      <c r="E433" s="1487"/>
      <c r="F433" s="1488"/>
      <c r="G433" s="1489"/>
      <c r="H433" s="1490"/>
      <c r="I433" s="1487"/>
      <c r="J433" s="1488"/>
      <c r="K433" s="1489"/>
      <c r="L433" s="1490"/>
      <c r="M433" s="1487"/>
      <c r="N433" s="1488"/>
      <c r="O433" s="1489"/>
      <c r="P433" s="1490"/>
      <c r="X433" s="1445" t="e">
        <f ca="1"/>
        <v>#NAME?</v>
      </c>
      <c r="Y433" s="1446" t="e">
        <f ca="1"/>
        <v>#NAME?</v>
      </c>
      <c r="Z433" s="1408"/>
    </row>
    <row r="434" spans="1:26">
      <c r="A434" s="1487"/>
      <c r="B434" s="1488"/>
      <c r="C434" s="1489"/>
      <c r="D434" s="1490"/>
      <c r="E434" s="1487"/>
      <c r="F434" s="1488"/>
      <c r="G434" s="1489"/>
      <c r="H434" s="1490"/>
      <c r="I434" s="1487"/>
      <c r="J434" s="1488"/>
      <c r="K434" s="1489"/>
      <c r="L434" s="1490"/>
      <c r="M434" s="1487"/>
      <c r="N434" s="1488"/>
      <c r="O434" s="1489"/>
      <c r="P434" s="1490"/>
      <c r="X434" s="1445" t="e">
        <f ca="1"/>
        <v>#NAME?</v>
      </c>
      <c r="Y434" s="1446" t="e">
        <f ca="1"/>
        <v>#NAME?</v>
      </c>
      <c r="Z434" s="1408"/>
    </row>
    <row r="435" spans="1:26">
      <c r="A435" s="1487"/>
      <c r="B435" s="1488"/>
      <c r="C435" s="1489"/>
      <c r="D435" s="1490"/>
      <c r="E435" s="1487"/>
      <c r="F435" s="1488"/>
      <c r="G435" s="1489"/>
      <c r="H435" s="1490"/>
      <c r="I435" s="1487"/>
      <c r="J435" s="1488"/>
      <c r="K435" s="1489"/>
      <c r="L435" s="1490"/>
      <c r="M435" s="1487"/>
      <c r="N435" s="1488"/>
      <c r="O435" s="1489"/>
      <c r="P435" s="1490"/>
      <c r="X435" s="1445" t="e">
        <f ca="1"/>
        <v>#NAME?</v>
      </c>
      <c r="Y435" s="1446" t="e">
        <f ca="1"/>
        <v>#NAME?</v>
      </c>
      <c r="Z435" s="1408"/>
    </row>
    <row r="436" spans="1:26">
      <c r="A436" s="1487"/>
      <c r="B436" s="1488"/>
      <c r="C436" s="1489"/>
      <c r="D436" s="1490"/>
      <c r="E436" s="1487"/>
      <c r="F436" s="1488"/>
      <c r="G436" s="1489"/>
      <c r="H436" s="1490"/>
      <c r="I436" s="1487"/>
      <c r="J436" s="1488"/>
      <c r="K436" s="1489"/>
      <c r="L436" s="1490"/>
      <c r="M436" s="1487"/>
      <c r="N436" s="1488"/>
      <c r="O436" s="1489"/>
      <c r="P436" s="1490"/>
      <c r="X436" s="1445" t="e">
        <f ca="1"/>
        <v>#NAME?</v>
      </c>
      <c r="Y436" s="1446" t="e">
        <f ca="1"/>
        <v>#NAME?</v>
      </c>
      <c r="Z436" s="1408"/>
    </row>
    <row r="437" spans="1:26">
      <c r="A437" s="1487"/>
      <c r="B437" s="1488"/>
      <c r="C437" s="1489"/>
      <c r="D437" s="1490"/>
      <c r="E437" s="1487"/>
      <c r="F437" s="1488"/>
      <c r="G437" s="1489"/>
      <c r="H437" s="1490"/>
      <c r="I437" s="1487"/>
      <c r="J437" s="1488"/>
      <c r="K437" s="1489"/>
      <c r="L437" s="1490"/>
      <c r="M437" s="1487"/>
      <c r="N437" s="1488"/>
      <c r="O437" s="1489"/>
      <c r="P437" s="1490"/>
      <c r="X437" s="1445" t="e">
        <f ca="1"/>
        <v>#NAME?</v>
      </c>
      <c r="Y437" s="1446" t="e">
        <f ca="1"/>
        <v>#NAME?</v>
      </c>
      <c r="Z437" s="1408"/>
    </row>
    <row r="438" spans="1:26">
      <c r="A438" s="1487"/>
      <c r="B438" s="1488"/>
      <c r="C438" s="1489"/>
      <c r="D438" s="1490"/>
      <c r="E438" s="1487"/>
      <c r="F438" s="1488"/>
      <c r="G438" s="1489"/>
      <c r="H438" s="1490"/>
      <c r="I438" s="1487"/>
      <c r="J438" s="1488"/>
      <c r="K438" s="1489"/>
      <c r="L438" s="1490"/>
      <c r="M438" s="1487"/>
      <c r="N438" s="1488"/>
      <c r="O438" s="1489"/>
      <c r="P438" s="1490"/>
      <c r="X438" s="1445" t="e">
        <f ca="1"/>
        <v>#NAME?</v>
      </c>
      <c r="Y438" s="1446" t="e">
        <f ca="1"/>
        <v>#NAME?</v>
      </c>
      <c r="Z438" s="1408"/>
    </row>
    <row r="439" spans="1:26">
      <c r="A439" s="1487"/>
      <c r="B439" s="1488"/>
      <c r="C439" s="1489"/>
      <c r="D439" s="1490"/>
      <c r="E439" s="1487"/>
      <c r="F439" s="1488"/>
      <c r="G439" s="1489"/>
      <c r="H439" s="1490"/>
      <c r="I439" s="1487"/>
      <c r="J439" s="1488"/>
      <c r="K439" s="1489"/>
      <c r="L439" s="1490"/>
      <c r="M439" s="1487"/>
      <c r="N439" s="1488"/>
      <c r="O439" s="1489"/>
      <c r="P439" s="1490"/>
      <c r="X439" s="1445" t="e">
        <f ca="1"/>
        <v>#NAME?</v>
      </c>
      <c r="Y439" s="1446" t="e">
        <f ca="1"/>
        <v>#NAME?</v>
      </c>
      <c r="Z439" s="1408"/>
    </row>
    <row r="440" spans="1:26">
      <c r="A440" s="1487"/>
      <c r="B440" s="1488"/>
      <c r="C440" s="1489"/>
      <c r="D440" s="1490"/>
      <c r="E440" s="1487"/>
      <c r="F440" s="1488"/>
      <c r="G440" s="1489"/>
      <c r="H440" s="1490"/>
      <c r="I440" s="1487"/>
      <c r="J440" s="1488"/>
      <c r="K440" s="1489"/>
      <c r="L440" s="1490"/>
      <c r="M440" s="1487"/>
      <c r="N440" s="1488"/>
      <c r="O440" s="1489"/>
      <c r="P440" s="1490"/>
      <c r="X440" s="1445" t="e">
        <f ca="1"/>
        <v>#NAME?</v>
      </c>
      <c r="Y440" s="1446" t="e">
        <f ca="1"/>
        <v>#NAME?</v>
      </c>
      <c r="Z440" s="1408"/>
    </row>
    <row r="441" spans="1:26">
      <c r="A441" s="1487"/>
      <c r="B441" s="1488"/>
      <c r="C441" s="1489"/>
      <c r="D441" s="1490"/>
      <c r="E441" s="1487"/>
      <c r="F441" s="1488"/>
      <c r="G441" s="1489"/>
      <c r="H441" s="1490"/>
      <c r="I441" s="1487"/>
      <c r="J441" s="1488"/>
      <c r="K441" s="1489"/>
      <c r="L441" s="1490"/>
      <c r="M441" s="1487"/>
      <c r="N441" s="1488"/>
      <c r="O441" s="1489"/>
      <c r="P441" s="1490"/>
      <c r="X441" s="1445" t="e">
        <f ca="1"/>
        <v>#NAME?</v>
      </c>
      <c r="Y441" s="1446" t="e">
        <f ca="1"/>
        <v>#NAME?</v>
      </c>
      <c r="Z441" s="1408"/>
    </row>
    <row r="442" spans="1:26">
      <c r="A442" s="1487"/>
      <c r="B442" s="1488"/>
      <c r="C442" s="1489"/>
      <c r="D442" s="1490"/>
      <c r="E442" s="1487"/>
      <c r="F442" s="1488"/>
      <c r="G442" s="1489"/>
      <c r="H442" s="1490"/>
      <c r="I442" s="1487"/>
      <c r="J442" s="1488"/>
      <c r="K442" s="1489"/>
      <c r="L442" s="1490"/>
      <c r="M442" s="1487"/>
      <c r="N442" s="1488"/>
      <c r="O442" s="1489"/>
      <c r="P442" s="1490"/>
      <c r="X442" s="1445" t="e">
        <f ca="1"/>
        <v>#NAME?</v>
      </c>
      <c r="Y442" s="1446" t="e">
        <f ca="1"/>
        <v>#NAME?</v>
      </c>
      <c r="Z442" s="1408"/>
    </row>
    <row r="443" spans="1:26">
      <c r="A443" s="1487"/>
      <c r="B443" s="1488"/>
      <c r="C443" s="1489"/>
      <c r="D443" s="1490"/>
      <c r="E443" s="1487"/>
      <c r="F443" s="1488"/>
      <c r="G443" s="1489"/>
      <c r="H443" s="1490"/>
      <c r="I443" s="1487"/>
      <c r="J443" s="1488"/>
      <c r="K443" s="1489"/>
      <c r="L443" s="1490"/>
      <c r="M443" s="1487"/>
      <c r="N443" s="1488"/>
      <c r="O443" s="1489"/>
      <c r="P443" s="1490"/>
      <c r="X443" s="1445" t="e">
        <f ca="1"/>
        <v>#NAME?</v>
      </c>
      <c r="Y443" s="1446" t="e">
        <f ca="1"/>
        <v>#NAME?</v>
      </c>
      <c r="Z443" s="1408"/>
    </row>
    <row r="444" spans="1:26">
      <c r="A444" s="1487"/>
      <c r="B444" s="1488"/>
      <c r="C444" s="1489"/>
      <c r="D444" s="1490"/>
      <c r="E444" s="1487"/>
      <c r="F444" s="1488"/>
      <c r="G444" s="1489"/>
      <c r="H444" s="1490"/>
      <c r="I444" s="1487"/>
      <c r="J444" s="1488"/>
      <c r="K444" s="1489"/>
      <c r="L444" s="1490"/>
      <c r="M444" s="1487"/>
      <c r="N444" s="1488"/>
      <c r="O444" s="1489"/>
      <c r="P444" s="1490"/>
      <c r="X444" s="1445" t="e">
        <f ca="1"/>
        <v>#NAME?</v>
      </c>
      <c r="Y444" s="1446" t="e">
        <f ca="1"/>
        <v>#NAME?</v>
      </c>
      <c r="Z444" s="1408"/>
    </row>
    <row r="445" spans="1:26">
      <c r="A445" s="1487"/>
      <c r="B445" s="1488"/>
      <c r="C445" s="1489"/>
      <c r="D445" s="1490"/>
      <c r="E445" s="1487"/>
      <c r="F445" s="1488"/>
      <c r="G445" s="1489"/>
      <c r="H445" s="1490"/>
      <c r="I445" s="1487"/>
      <c r="J445" s="1488"/>
      <c r="K445" s="1489"/>
      <c r="L445" s="1490"/>
      <c r="M445" s="1487"/>
      <c r="N445" s="1488"/>
      <c r="O445" s="1489"/>
      <c r="P445" s="1490"/>
      <c r="X445" s="1445" t="e">
        <f ca="1"/>
        <v>#NAME?</v>
      </c>
      <c r="Y445" s="1446" t="e">
        <f ca="1"/>
        <v>#NAME?</v>
      </c>
      <c r="Z445" s="1408"/>
    </row>
    <row r="446" spans="1:26">
      <c r="A446" s="1487"/>
      <c r="B446" s="1488"/>
      <c r="C446" s="1489"/>
      <c r="D446" s="1490"/>
      <c r="E446" s="1487"/>
      <c r="F446" s="1488"/>
      <c r="G446" s="1489"/>
      <c r="H446" s="1490"/>
      <c r="I446" s="1487"/>
      <c r="J446" s="1488"/>
      <c r="K446" s="1489"/>
      <c r="L446" s="1490"/>
      <c r="M446" s="1487"/>
      <c r="N446" s="1488"/>
      <c r="O446" s="1489"/>
      <c r="P446" s="1490"/>
      <c r="X446" s="1445" t="e">
        <f ca="1"/>
        <v>#NAME?</v>
      </c>
      <c r="Y446" s="1446" t="e">
        <f ca="1"/>
        <v>#NAME?</v>
      </c>
      <c r="Z446" s="1408"/>
    </row>
    <row r="447" spans="1:26">
      <c r="A447" s="1487"/>
      <c r="B447" s="1488"/>
      <c r="C447" s="1489"/>
      <c r="D447" s="1490"/>
      <c r="E447" s="1487"/>
      <c r="F447" s="1488"/>
      <c r="G447" s="1489"/>
      <c r="H447" s="1490"/>
      <c r="I447" s="1487"/>
      <c r="J447" s="1488"/>
      <c r="K447" s="1489"/>
      <c r="L447" s="1490"/>
      <c r="M447" s="1487"/>
      <c r="N447" s="1488"/>
      <c r="O447" s="1489"/>
      <c r="P447" s="1490"/>
      <c r="X447" s="1445" t="e">
        <f ca="1"/>
        <v>#NAME?</v>
      </c>
      <c r="Y447" s="1446" t="e">
        <f ca="1"/>
        <v>#NAME?</v>
      </c>
      <c r="Z447" s="1408"/>
    </row>
    <row r="448" spans="1:26">
      <c r="A448" s="1487"/>
      <c r="B448" s="1488"/>
      <c r="C448" s="1489"/>
      <c r="D448" s="1490"/>
      <c r="E448" s="1487"/>
      <c r="F448" s="1488"/>
      <c r="G448" s="1489"/>
      <c r="H448" s="1490"/>
      <c r="I448" s="1487"/>
      <c r="J448" s="1488"/>
      <c r="K448" s="1489"/>
      <c r="L448" s="1490"/>
      <c r="M448" s="1487"/>
      <c r="N448" s="1488"/>
      <c r="O448" s="1489"/>
      <c r="P448" s="1490"/>
      <c r="X448" s="1445" t="e">
        <f ca="1"/>
        <v>#NAME?</v>
      </c>
      <c r="Y448" s="1446" t="e">
        <f ca="1"/>
        <v>#NAME?</v>
      </c>
      <c r="Z448" s="1408"/>
    </row>
    <row r="449" spans="1:26">
      <c r="A449" s="1487"/>
      <c r="B449" s="1488"/>
      <c r="C449" s="1489"/>
      <c r="D449" s="1490"/>
      <c r="E449" s="1487"/>
      <c r="F449" s="1488"/>
      <c r="G449" s="1489"/>
      <c r="H449" s="1490"/>
      <c r="I449" s="1487"/>
      <c r="J449" s="1488"/>
      <c r="K449" s="1489"/>
      <c r="L449" s="1490"/>
      <c r="M449" s="1487"/>
      <c r="N449" s="1488"/>
      <c r="O449" s="1489"/>
      <c r="P449" s="1490"/>
      <c r="X449" s="1445" t="e">
        <f ca="1"/>
        <v>#NAME?</v>
      </c>
      <c r="Y449" s="1446" t="e">
        <f ca="1"/>
        <v>#NAME?</v>
      </c>
      <c r="Z449" s="1408"/>
    </row>
    <row r="450" spans="1:26">
      <c r="A450" s="1487"/>
      <c r="B450" s="1488"/>
      <c r="C450" s="1489"/>
      <c r="D450" s="1490"/>
      <c r="E450" s="1487"/>
      <c r="F450" s="1488"/>
      <c r="G450" s="1489"/>
      <c r="H450" s="1490"/>
      <c r="I450" s="1487"/>
      <c r="J450" s="1488"/>
      <c r="K450" s="1489"/>
      <c r="L450" s="1490"/>
      <c r="M450" s="1487"/>
      <c r="N450" s="1488"/>
      <c r="O450" s="1489"/>
      <c r="P450" s="1490"/>
      <c r="X450" s="1445" t="e">
        <f ca="1"/>
        <v>#NAME?</v>
      </c>
      <c r="Y450" s="1446" t="e">
        <f ca="1"/>
        <v>#NAME?</v>
      </c>
      <c r="Z450" s="1408"/>
    </row>
    <row r="451" spans="1:26">
      <c r="A451" s="1487"/>
      <c r="B451" s="1488"/>
      <c r="C451" s="1489"/>
      <c r="D451" s="1490"/>
      <c r="E451" s="1487"/>
      <c r="F451" s="1488"/>
      <c r="G451" s="1489"/>
      <c r="H451" s="1490"/>
      <c r="I451" s="1487"/>
      <c r="J451" s="1488"/>
      <c r="K451" s="1489"/>
      <c r="L451" s="1490"/>
      <c r="M451" s="1487"/>
      <c r="N451" s="1488"/>
      <c r="O451" s="1489"/>
      <c r="P451" s="1490"/>
      <c r="X451" s="1445" t="e">
        <f ca="1"/>
        <v>#NAME?</v>
      </c>
      <c r="Y451" s="1446" t="e">
        <f ca="1"/>
        <v>#NAME?</v>
      </c>
      <c r="Z451" s="1408"/>
    </row>
    <row r="452" spans="1:26">
      <c r="A452" s="1487"/>
      <c r="B452" s="1488"/>
      <c r="C452" s="1489"/>
      <c r="D452" s="1490"/>
      <c r="E452" s="1487"/>
      <c r="F452" s="1488"/>
      <c r="G452" s="1489"/>
      <c r="H452" s="1490"/>
      <c r="I452" s="1487"/>
      <c r="J452" s="1488"/>
      <c r="K452" s="1489"/>
      <c r="L452" s="1490"/>
      <c r="M452" s="1487"/>
      <c r="N452" s="1488"/>
      <c r="O452" s="1489"/>
      <c r="P452" s="1490"/>
      <c r="X452" s="1445" t="e">
        <f ca="1"/>
        <v>#NAME?</v>
      </c>
      <c r="Y452" s="1446" t="e">
        <f ca="1"/>
        <v>#NAME?</v>
      </c>
      <c r="Z452" s="1408"/>
    </row>
    <row r="453" spans="1:26">
      <c r="A453" s="1487"/>
      <c r="B453" s="1488"/>
      <c r="C453" s="1489"/>
      <c r="D453" s="1490"/>
      <c r="E453" s="1487"/>
      <c r="F453" s="1488"/>
      <c r="G453" s="1489"/>
      <c r="H453" s="1490"/>
      <c r="I453" s="1487"/>
      <c r="J453" s="1488"/>
      <c r="K453" s="1489"/>
      <c r="L453" s="1490"/>
      <c r="M453" s="1487"/>
      <c r="N453" s="1488"/>
      <c r="O453" s="1489"/>
      <c r="P453" s="1490"/>
      <c r="X453" s="1445" t="e">
        <f ca="1"/>
        <v>#NAME?</v>
      </c>
      <c r="Y453" s="1446" t="e">
        <f ca="1"/>
        <v>#NAME?</v>
      </c>
      <c r="Z453" s="1408"/>
    </row>
    <row r="454" spans="1:26">
      <c r="A454" s="1487"/>
      <c r="B454" s="1488"/>
      <c r="C454" s="1489"/>
      <c r="D454" s="1490"/>
      <c r="E454" s="1487"/>
      <c r="F454" s="1488"/>
      <c r="G454" s="1489"/>
      <c r="H454" s="1490"/>
      <c r="I454" s="1487"/>
      <c r="J454" s="1488"/>
      <c r="K454" s="1489"/>
      <c r="L454" s="1490"/>
      <c r="M454" s="1487"/>
      <c r="N454" s="1488"/>
      <c r="O454" s="1489"/>
      <c r="P454" s="1490"/>
      <c r="X454" s="1445" t="e">
        <f ca="1"/>
        <v>#NAME?</v>
      </c>
      <c r="Y454" s="1446" t="e">
        <f ca="1"/>
        <v>#NAME?</v>
      </c>
      <c r="Z454" s="1408"/>
    </row>
    <row r="455" spans="1:26">
      <c r="A455" s="1487"/>
      <c r="B455" s="1488"/>
      <c r="C455" s="1489"/>
      <c r="D455" s="1490"/>
      <c r="E455" s="1487"/>
      <c r="F455" s="1488"/>
      <c r="G455" s="1489"/>
      <c r="H455" s="1490"/>
      <c r="I455" s="1487"/>
      <c r="J455" s="1488"/>
      <c r="K455" s="1489"/>
      <c r="L455" s="1490"/>
      <c r="M455" s="1487"/>
      <c r="N455" s="1488"/>
      <c r="O455" s="1489"/>
      <c r="P455" s="1490"/>
      <c r="X455" s="1445" t="e">
        <f ca="1"/>
        <v>#NAME?</v>
      </c>
      <c r="Y455" s="1446" t="e">
        <f ca="1"/>
        <v>#NAME?</v>
      </c>
      <c r="Z455" s="1408"/>
    </row>
    <row r="456" spans="1:26">
      <c r="A456" s="1487"/>
      <c r="B456" s="1488"/>
      <c r="C456" s="1489"/>
      <c r="D456" s="1490"/>
      <c r="E456" s="1487"/>
      <c r="F456" s="1488"/>
      <c r="G456" s="1489"/>
      <c r="H456" s="1490"/>
      <c r="I456" s="1487"/>
      <c r="J456" s="1488"/>
      <c r="K456" s="1489"/>
      <c r="L456" s="1490"/>
      <c r="M456" s="1487"/>
      <c r="N456" s="1488"/>
      <c r="O456" s="1489"/>
      <c r="P456" s="1490"/>
      <c r="X456" s="1445" t="e">
        <f ca="1"/>
        <v>#NAME?</v>
      </c>
      <c r="Y456" s="1446" t="e">
        <f ca="1"/>
        <v>#NAME?</v>
      </c>
      <c r="Z456" s="1408"/>
    </row>
    <row r="457" spans="1:26">
      <c r="A457" s="1487"/>
      <c r="B457" s="1488"/>
      <c r="C457" s="1489"/>
      <c r="D457" s="1490"/>
      <c r="E457" s="1487"/>
      <c r="F457" s="1488"/>
      <c r="G457" s="1489"/>
      <c r="H457" s="1490"/>
      <c r="I457" s="1487"/>
      <c r="J457" s="1488"/>
      <c r="K457" s="1489"/>
      <c r="L457" s="1490"/>
      <c r="M457" s="1487"/>
      <c r="N457" s="1488"/>
      <c r="O457" s="1489"/>
      <c r="P457" s="1490"/>
      <c r="X457" s="1445" t="e">
        <f ca="1"/>
        <v>#NAME?</v>
      </c>
      <c r="Y457" s="1446" t="e">
        <f ca="1"/>
        <v>#NAME?</v>
      </c>
      <c r="Z457" s="1408"/>
    </row>
    <row r="458" spans="1:26">
      <c r="A458" s="1487"/>
      <c r="B458" s="1488"/>
      <c r="C458" s="1489"/>
      <c r="D458" s="1490"/>
      <c r="E458" s="1487"/>
      <c r="F458" s="1488"/>
      <c r="G458" s="1489"/>
      <c r="H458" s="1490"/>
      <c r="I458" s="1487"/>
      <c r="J458" s="1488"/>
      <c r="K458" s="1489"/>
      <c r="L458" s="1490"/>
      <c r="M458" s="1487"/>
      <c r="N458" s="1488"/>
      <c r="O458" s="1489"/>
      <c r="P458" s="1490"/>
      <c r="X458" s="1445" t="e">
        <f ca="1"/>
        <v>#NAME?</v>
      </c>
      <c r="Y458" s="1446" t="e">
        <f ca="1"/>
        <v>#NAME?</v>
      </c>
      <c r="Z458" s="1408"/>
    </row>
    <row r="459" spans="1:26">
      <c r="A459" s="1487"/>
      <c r="B459" s="1488"/>
      <c r="C459" s="1489"/>
      <c r="D459" s="1490"/>
      <c r="E459" s="1487"/>
      <c r="F459" s="1488"/>
      <c r="G459" s="1489"/>
      <c r="H459" s="1490"/>
      <c r="I459" s="1487"/>
      <c r="J459" s="1488"/>
      <c r="K459" s="1489"/>
      <c r="L459" s="1490"/>
      <c r="M459" s="1487"/>
      <c r="N459" s="1488"/>
      <c r="O459" s="1489"/>
      <c r="P459" s="1490"/>
      <c r="X459" s="1445" t="e">
        <f ca="1"/>
        <v>#NAME?</v>
      </c>
      <c r="Y459" s="1446" t="e">
        <f ca="1"/>
        <v>#NAME?</v>
      </c>
      <c r="Z459" s="1408"/>
    </row>
    <row r="460" spans="1:26">
      <c r="A460" s="1487"/>
      <c r="B460" s="1488"/>
      <c r="C460" s="1489"/>
      <c r="D460" s="1490"/>
      <c r="E460" s="1487"/>
      <c r="F460" s="1488"/>
      <c r="G460" s="1489"/>
      <c r="H460" s="1490"/>
      <c r="I460" s="1487"/>
      <c r="J460" s="1488"/>
      <c r="K460" s="1489"/>
      <c r="L460" s="1490"/>
      <c r="M460" s="1487"/>
      <c r="N460" s="1488"/>
      <c r="O460" s="1489"/>
      <c r="P460" s="1490"/>
      <c r="X460" s="1445" t="e">
        <f ca="1"/>
        <v>#NAME?</v>
      </c>
      <c r="Y460" s="1446" t="e">
        <f ca="1"/>
        <v>#NAME?</v>
      </c>
      <c r="Z460" s="1408"/>
    </row>
    <row r="461" spans="1:26">
      <c r="A461" s="1487"/>
      <c r="B461" s="1488"/>
      <c r="C461" s="1489"/>
      <c r="D461" s="1490"/>
      <c r="E461" s="1487"/>
      <c r="F461" s="1488"/>
      <c r="G461" s="1489"/>
      <c r="H461" s="1490"/>
      <c r="I461" s="1487"/>
      <c r="J461" s="1488"/>
      <c r="K461" s="1489"/>
      <c r="L461" s="1490"/>
      <c r="M461" s="1487"/>
      <c r="N461" s="1488"/>
      <c r="O461" s="1489"/>
      <c r="P461" s="1490"/>
      <c r="X461" s="1445" t="e">
        <f ca="1"/>
        <v>#NAME?</v>
      </c>
      <c r="Y461" s="1446" t="e">
        <f ca="1"/>
        <v>#NAME?</v>
      </c>
      <c r="Z461" s="1408"/>
    </row>
    <row r="462" spans="1:26">
      <c r="A462" s="1487"/>
      <c r="B462" s="1488"/>
      <c r="C462" s="1489"/>
      <c r="D462" s="1490"/>
      <c r="E462" s="1487"/>
      <c r="F462" s="1488"/>
      <c r="G462" s="1489"/>
      <c r="H462" s="1490"/>
      <c r="I462" s="1487"/>
      <c r="J462" s="1488"/>
      <c r="K462" s="1489"/>
      <c r="L462" s="1490"/>
      <c r="M462" s="1487"/>
      <c r="N462" s="1488"/>
      <c r="O462" s="1489"/>
      <c r="P462" s="1490"/>
      <c r="X462" s="1445" t="e">
        <f ca="1"/>
        <v>#NAME?</v>
      </c>
      <c r="Y462" s="1446" t="e">
        <f ca="1"/>
        <v>#NAME?</v>
      </c>
      <c r="Z462" s="1408"/>
    </row>
    <row r="463" spans="1:26">
      <c r="A463" s="1487"/>
      <c r="B463" s="1488"/>
      <c r="C463" s="1489"/>
      <c r="D463" s="1490"/>
      <c r="E463" s="1487"/>
      <c r="F463" s="1488"/>
      <c r="G463" s="1489"/>
      <c r="H463" s="1490"/>
      <c r="I463" s="1487"/>
      <c r="J463" s="1488"/>
      <c r="K463" s="1489"/>
      <c r="L463" s="1490"/>
      <c r="M463" s="1487"/>
      <c r="N463" s="1488"/>
      <c r="O463" s="1489"/>
      <c r="P463" s="1490"/>
      <c r="X463" s="1445" t="e">
        <f ca="1"/>
        <v>#NAME?</v>
      </c>
      <c r="Y463" s="1446" t="e">
        <f ca="1"/>
        <v>#NAME?</v>
      </c>
      <c r="Z463" s="1408"/>
    </row>
    <row r="464" spans="1:26">
      <c r="A464" s="1487"/>
      <c r="B464" s="1488"/>
      <c r="C464" s="1489"/>
      <c r="D464" s="1490"/>
      <c r="E464" s="1487"/>
      <c r="F464" s="1488"/>
      <c r="G464" s="1489"/>
      <c r="H464" s="1490"/>
      <c r="I464" s="1487"/>
      <c r="J464" s="1488"/>
      <c r="K464" s="1489"/>
      <c r="L464" s="1490"/>
      <c r="M464" s="1487"/>
      <c r="N464" s="1488"/>
      <c r="O464" s="1489"/>
      <c r="P464" s="1490"/>
      <c r="X464" s="1445" t="e">
        <f ca="1"/>
        <v>#NAME?</v>
      </c>
      <c r="Y464" s="1446" t="e">
        <f ca="1"/>
        <v>#NAME?</v>
      </c>
      <c r="Z464" s="1408"/>
    </row>
    <row r="465" spans="1:26">
      <c r="A465" s="1487"/>
      <c r="B465" s="1488"/>
      <c r="C465" s="1489"/>
      <c r="D465" s="1490"/>
      <c r="E465" s="1487"/>
      <c r="F465" s="1488"/>
      <c r="G465" s="1489"/>
      <c r="H465" s="1490"/>
      <c r="I465" s="1487"/>
      <c r="J465" s="1488"/>
      <c r="K465" s="1489"/>
      <c r="L465" s="1490"/>
      <c r="M465" s="1487"/>
      <c r="N465" s="1488"/>
      <c r="O465" s="1489"/>
      <c r="P465" s="1490"/>
      <c r="X465" s="1445" t="e">
        <f ca="1"/>
        <v>#NAME?</v>
      </c>
      <c r="Y465" s="1446" t="e">
        <f ca="1"/>
        <v>#NAME?</v>
      </c>
      <c r="Z465" s="1408"/>
    </row>
    <row r="466" spans="1:26">
      <c r="A466" s="1487"/>
      <c r="B466" s="1488"/>
      <c r="C466" s="1489"/>
      <c r="D466" s="1490"/>
      <c r="E466" s="1487"/>
      <c r="F466" s="1488"/>
      <c r="G466" s="1489"/>
      <c r="H466" s="1490"/>
      <c r="I466" s="1487"/>
      <c r="J466" s="1488"/>
      <c r="K466" s="1489"/>
      <c r="L466" s="1490"/>
      <c r="M466" s="1487"/>
      <c r="N466" s="1488"/>
      <c r="O466" s="1489"/>
      <c r="P466" s="1490"/>
      <c r="X466" s="1445" t="e">
        <f ca="1"/>
        <v>#NAME?</v>
      </c>
      <c r="Y466" s="1446" t="e">
        <f ca="1"/>
        <v>#NAME?</v>
      </c>
      <c r="Z466" s="1408"/>
    </row>
    <row r="467" spans="1:26">
      <c r="A467" s="1487"/>
      <c r="B467" s="1488"/>
      <c r="C467" s="1489"/>
      <c r="D467" s="1490"/>
      <c r="E467" s="1487"/>
      <c r="F467" s="1488"/>
      <c r="G467" s="1489"/>
      <c r="H467" s="1490"/>
      <c r="I467" s="1487"/>
      <c r="J467" s="1488"/>
      <c r="K467" s="1489"/>
      <c r="L467" s="1490"/>
      <c r="M467" s="1487"/>
      <c r="N467" s="1488"/>
      <c r="O467" s="1489"/>
      <c r="P467" s="1490"/>
      <c r="X467" s="1445" t="e">
        <f ca="1"/>
        <v>#NAME?</v>
      </c>
      <c r="Y467" s="1446" t="e">
        <f ca="1"/>
        <v>#NAME?</v>
      </c>
      <c r="Z467" s="1408"/>
    </row>
    <row r="468" spans="1:26">
      <c r="A468" s="1487"/>
      <c r="B468" s="1488"/>
      <c r="C468" s="1489"/>
      <c r="D468" s="1490"/>
      <c r="E468" s="1487"/>
      <c r="F468" s="1488"/>
      <c r="G468" s="1489"/>
      <c r="H468" s="1490"/>
      <c r="I468" s="1487"/>
      <c r="J468" s="1488"/>
      <c r="K468" s="1489"/>
      <c r="L468" s="1490"/>
      <c r="M468" s="1487"/>
      <c r="N468" s="1488"/>
      <c r="O468" s="1489"/>
      <c r="P468" s="1490"/>
      <c r="X468" s="1445" t="e">
        <f ca="1"/>
        <v>#NAME?</v>
      </c>
      <c r="Y468" s="1446" t="e">
        <f ca="1"/>
        <v>#NAME?</v>
      </c>
      <c r="Z468" s="1408"/>
    </row>
    <row r="469" spans="1:26">
      <c r="A469" s="1487"/>
      <c r="B469" s="1488"/>
      <c r="C469" s="1489"/>
      <c r="D469" s="1490"/>
      <c r="E469" s="1487"/>
      <c r="F469" s="1488"/>
      <c r="G469" s="1489"/>
      <c r="H469" s="1490"/>
      <c r="I469" s="1487"/>
      <c r="J469" s="1488"/>
      <c r="K469" s="1489"/>
      <c r="L469" s="1490"/>
      <c r="M469" s="1487"/>
      <c r="N469" s="1488"/>
      <c r="O469" s="1489"/>
      <c r="P469" s="1490"/>
      <c r="X469" s="1445" t="e">
        <f ca="1"/>
        <v>#NAME?</v>
      </c>
      <c r="Y469" s="1446" t="e">
        <f ca="1"/>
        <v>#NAME?</v>
      </c>
      <c r="Z469" s="1408"/>
    </row>
    <row r="470" spans="1:26">
      <c r="A470" s="1487"/>
      <c r="B470" s="1488"/>
      <c r="C470" s="1489"/>
      <c r="D470" s="1490"/>
      <c r="E470" s="1487"/>
      <c r="F470" s="1488"/>
      <c r="G470" s="1489"/>
      <c r="H470" s="1490"/>
      <c r="I470" s="1487"/>
      <c r="J470" s="1488"/>
      <c r="K470" s="1489"/>
      <c r="L470" s="1490"/>
      <c r="M470" s="1487"/>
      <c r="N470" s="1488"/>
      <c r="O470" s="1489"/>
      <c r="P470" s="1490"/>
      <c r="X470" s="1445" t="e">
        <f ca="1"/>
        <v>#NAME?</v>
      </c>
      <c r="Y470" s="1446" t="e">
        <f ca="1"/>
        <v>#NAME?</v>
      </c>
      <c r="Z470" s="1408"/>
    </row>
    <row r="471" spans="1:26">
      <c r="A471" s="1487"/>
      <c r="B471" s="1488"/>
      <c r="C471" s="1489"/>
      <c r="D471" s="1490"/>
      <c r="E471" s="1487"/>
      <c r="F471" s="1488"/>
      <c r="G471" s="1489"/>
      <c r="H471" s="1490"/>
      <c r="I471" s="1487"/>
      <c r="J471" s="1488"/>
      <c r="K471" s="1489"/>
      <c r="L471" s="1490"/>
      <c r="M471" s="1487"/>
      <c r="N471" s="1488"/>
      <c r="O471" s="1489"/>
      <c r="P471" s="1490"/>
      <c r="X471" s="1445" t="e">
        <f ca="1"/>
        <v>#NAME?</v>
      </c>
      <c r="Y471" s="1446" t="e">
        <f ca="1"/>
        <v>#NAME?</v>
      </c>
      <c r="Z471" s="1408"/>
    </row>
    <row r="472" spans="1:26">
      <c r="A472" s="1487"/>
      <c r="B472" s="1488"/>
      <c r="C472" s="1489"/>
      <c r="D472" s="1490"/>
      <c r="E472" s="1487"/>
      <c r="F472" s="1488"/>
      <c r="G472" s="1489"/>
      <c r="H472" s="1490"/>
      <c r="I472" s="1487"/>
      <c r="J472" s="1488"/>
      <c r="K472" s="1489"/>
      <c r="L472" s="1490"/>
      <c r="M472" s="1487"/>
      <c r="N472" s="1488"/>
      <c r="O472" s="1489"/>
      <c r="P472" s="1490"/>
      <c r="X472" s="1445" t="e">
        <f ca="1"/>
        <v>#NAME?</v>
      </c>
      <c r="Y472" s="1446" t="e">
        <f ca="1"/>
        <v>#NAME?</v>
      </c>
      <c r="Z472" s="1408"/>
    </row>
    <row r="473" spans="1:26">
      <c r="A473" s="1487"/>
      <c r="B473" s="1488"/>
      <c r="C473" s="1489"/>
      <c r="D473" s="1490"/>
      <c r="E473" s="1487"/>
      <c r="F473" s="1488"/>
      <c r="G473" s="1489"/>
      <c r="H473" s="1490"/>
      <c r="I473" s="1487"/>
      <c r="J473" s="1488"/>
      <c r="K473" s="1489"/>
      <c r="L473" s="1490"/>
      <c r="M473" s="1487"/>
      <c r="N473" s="1488"/>
      <c r="O473" s="1489"/>
      <c r="P473" s="1490"/>
      <c r="X473" s="1445" t="e">
        <f ca="1"/>
        <v>#NAME?</v>
      </c>
      <c r="Y473" s="1446" t="e">
        <f ca="1"/>
        <v>#NAME?</v>
      </c>
      <c r="Z473" s="1408"/>
    </row>
    <row r="474" spans="1:26">
      <c r="A474" s="1487"/>
      <c r="B474" s="1488"/>
      <c r="C474" s="1489"/>
      <c r="D474" s="1490"/>
      <c r="E474" s="1487"/>
      <c r="F474" s="1488"/>
      <c r="G474" s="1489"/>
      <c r="H474" s="1490"/>
      <c r="I474" s="1487"/>
      <c r="J474" s="1488"/>
      <c r="K474" s="1489"/>
      <c r="L474" s="1490"/>
      <c r="M474" s="1487"/>
      <c r="N474" s="1488"/>
      <c r="O474" s="1489"/>
      <c r="P474" s="1490"/>
      <c r="X474" s="1445" t="e">
        <f ca="1"/>
        <v>#NAME?</v>
      </c>
      <c r="Y474" s="1446" t="e">
        <f ca="1"/>
        <v>#NAME?</v>
      </c>
      <c r="Z474" s="1408"/>
    </row>
    <row r="475" spans="1:26">
      <c r="A475" s="1487"/>
      <c r="B475" s="1488"/>
      <c r="C475" s="1489"/>
      <c r="D475" s="1490"/>
      <c r="E475" s="1487"/>
      <c r="F475" s="1488"/>
      <c r="G475" s="1489"/>
      <c r="H475" s="1490"/>
      <c r="I475" s="1487"/>
      <c r="J475" s="1488"/>
      <c r="K475" s="1489"/>
      <c r="L475" s="1490"/>
      <c r="M475" s="1487"/>
      <c r="N475" s="1488"/>
      <c r="O475" s="1489"/>
      <c r="P475" s="1490"/>
      <c r="X475" s="1445" t="e">
        <f ca="1"/>
        <v>#NAME?</v>
      </c>
      <c r="Y475" s="1446" t="e">
        <f ca="1"/>
        <v>#NAME?</v>
      </c>
      <c r="Z475" s="1408"/>
    </row>
    <row r="476" spans="1:26">
      <c r="A476" s="1487"/>
      <c r="B476" s="1488"/>
      <c r="C476" s="1489"/>
      <c r="D476" s="1490"/>
      <c r="E476" s="1487"/>
      <c r="F476" s="1488"/>
      <c r="G476" s="1489"/>
      <c r="H476" s="1490"/>
      <c r="I476" s="1487"/>
      <c r="J476" s="1488"/>
      <c r="K476" s="1489"/>
      <c r="L476" s="1490"/>
      <c r="M476" s="1487"/>
      <c r="N476" s="1488"/>
      <c r="O476" s="1489"/>
      <c r="P476" s="1490"/>
      <c r="X476" s="1445" t="e">
        <f ca="1"/>
        <v>#NAME?</v>
      </c>
      <c r="Y476" s="1446" t="e">
        <f ca="1"/>
        <v>#NAME?</v>
      </c>
      <c r="Z476" s="1408"/>
    </row>
    <row r="477" spans="1:26">
      <c r="A477" s="1487"/>
      <c r="B477" s="1488"/>
      <c r="C477" s="1489"/>
      <c r="D477" s="1490"/>
      <c r="E477" s="1487"/>
      <c r="F477" s="1488"/>
      <c r="G477" s="1489"/>
      <c r="H477" s="1490"/>
      <c r="I477" s="1487"/>
      <c r="J477" s="1488"/>
      <c r="K477" s="1489"/>
      <c r="L477" s="1490"/>
      <c r="M477" s="1487"/>
      <c r="N477" s="1488"/>
      <c r="O477" s="1489"/>
      <c r="P477" s="1490"/>
      <c r="X477" s="1445" t="e">
        <f ca="1"/>
        <v>#NAME?</v>
      </c>
      <c r="Y477" s="1446" t="e">
        <f ca="1"/>
        <v>#NAME?</v>
      </c>
      <c r="Z477" s="1408"/>
    </row>
    <row r="478" spans="1:26">
      <c r="A478" s="1487"/>
      <c r="B478" s="1488"/>
      <c r="C478" s="1489"/>
      <c r="D478" s="1490"/>
      <c r="E478" s="1487"/>
      <c r="F478" s="1488"/>
      <c r="G478" s="1489"/>
      <c r="H478" s="1490"/>
      <c r="I478" s="1487"/>
      <c r="J478" s="1488"/>
      <c r="K478" s="1489"/>
      <c r="L478" s="1490"/>
      <c r="M478" s="1487"/>
      <c r="N478" s="1488"/>
      <c r="O478" s="1489"/>
      <c r="P478" s="1490"/>
      <c r="X478" s="1445" t="e">
        <f ca="1"/>
        <v>#NAME?</v>
      </c>
      <c r="Y478" s="1446" t="e">
        <f ca="1"/>
        <v>#NAME?</v>
      </c>
      <c r="Z478" s="1408"/>
    </row>
    <row r="479" spans="1:26">
      <c r="A479" s="1487"/>
      <c r="B479" s="1488"/>
      <c r="C479" s="1489"/>
      <c r="D479" s="1490"/>
      <c r="E479" s="1487"/>
      <c r="F479" s="1488"/>
      <c r="G479" s="1489"/>
      <c r="H479" s="1490"/>
      <c r="I479" s="1487"/>
      <c r="J479" s="1488"/>
      <c r="K479" s="1489"/>
      <c r="L479" s="1490"/>
      <c r="M479" s="1487"/>
      <c r="N479" s="1488"/>
      <c r="O479" s="1489"/>
      <c r="P479" s="1490"/>
      <c r="X479" s="1445" t="e">
        <f ca="1"/>
        <v>#NAME?</v>
      </c>
      <c r="Y479" s="1446" t="e">
        <f ca="1"/>
        <v>#NAME?</v>
      </c>
      <c r="Z479" s="1408"/>
    </row>
    <row r="480" spans="1:26">
      <c r="A480" s="1487"/>
      <c r="B480" s="1488"/>
      <c r="C480" s="1489"/>
      <c r="D480" s="1490"/>
      <c r="E480" s="1487"/>
      <c r="F480" s="1488"/>
      <c r="G480" s="1489"/>
      <c r="H480" s="1490"/>
      <c r="I480" s="1487"/>
      <c r="J480" s="1488"/>
      <c r="K480" s="1489"/>
      <c r="L480" s="1490"/>
      <c r="M480" s="1487"/>
      <c r="N480" s="1488"/>
      <c r="O480" s="1489"/>
      <c r="P480" s="1490"/>
      <c r="X480" s="1445" t="e">
        <f ca="1"/>
        <v>#NAME?</v>
      </c>
      <c r="Y480" s="1446" t="e">
        <f ca="1"/>
        <v>#NAME?</v>
      </c>
      <c r="Z480" s="1408"/>
    </row>
    <row r="481" spans="1:26">
      <c r="A481" s="1487"/>
      <c r="B481" s="1488"/>
      <c r="C481" s="1489"/>
      <c r="D481" s="1490"/>
      <c r="E481" s="1487"/>
      <c r="F481" s="1488"/>
      <c r="G481" s="1489"/>
      <c r="H481" s="1490"/>
      <c r="I481" s="1487"/>
      <c r="J481" s="1488"/>
      <c r="K481" s="1489"/>
      <c r="L481" s="1490"/>
      <c r="M481" s="1487"/>
      <c r="N481" s="1488"/>
      <c r="O481" s="1489"/>
      <c r="P481" s="1490"/>
      <c r="X481" s="1445" t="e">
        <f ca="1"/>
        <v>#NAME?</v>
      </c>
      <c r="Y481" s="1446" t="e">
        <f ca="1"/>
        <v>#NAME?</v>
      </c>
      <c r="Z481" s="1408"/>
    </row>
    <row r="482" spans="1:26">
      <c r="A482" s="1487"/>
      <c r="B482" s="1488"/>
      <c r="C482" s="1489"/>
      <c r="D482" s="1490"/>
      <c r="E482" s="1487"/>
      <c r="F482" s="1488"/>
      <c r="G482" s="1489"/>
      <c r="H482" s="1490"/>
      <c r="I482" s="1487"/>
      <c r="J482" s="1488"/>
      <c r="K482" s="1489"/>
      <c r="L482" s="1490"/>
      <c r="M482" s="1487"/>
      <c r="N482" s="1488"/>
      <c r="O482" s="1489"/>
      <c r="P482" s="1490"/>
      <c r="X482" s="1445" t="e">
        <f ca="1"/>
        <v>#NAME?</v>
      </c>
      <c r="Y482" s="1446" t="e">
        <f ca="1"/>
        <v>#NAME?</v>
      </c>
      <c r="Z482" s="1408"/>
    </row>
    <row r="483" spans="1:26">
      <c r="A483" s="1487"/>
      <c r="B483" s="1488"/>
      <c r="C483" s="1489"/>
      <c r="D483" s="1490"/>
      <c r="E483" s="1487"/>
      <c r="F483" s="1488"/>
      <c r="G483" s="1489"/>
      <c r="H483" s="1490"/>
      <c r="I483" s="1487"/>
      <c r="J483" s="1488"/>
      <c r="K483" s="1489"/>
      <c r="L483" s="1490"/>
      <c r="M483" s="1487"/>
      <c r="N483" s="1488"/>
      <c r="O483" s="1489"/>
      <c r="P483" s="1490"/>
      <c r="X483" s="1445" t="e">
        <f ca="1"/>
        <v>#NAME?</v>
      </c>
      <c r="Y483" s="1446" t="e">
        <f ca="1"/>
        <v>#NAME?</v>
      </c>
      <c r="Z483" s="1408"/>
    </row>
    <row r="484" spans="1:26">
      <c r="A484" s="1487"/>
      <c r="B484" s="1488"/>
      <c r="C484" s="1489"/>
      <c r="D484" s="1490"/>
      <c r="E484" s="1487"/>
      <c r="F484" s="1488"/>
      <c r="G484" s="1489"/>
      <c r="H484" s="1490"/>
      <c r="I484" s="1487"/>
      <c r="J484" s="1488"/>
      <c r="K484" s="1489"/>
      <c r="L484" s="1490"/>
      <c r="M484" s="1487"/>
      <c r="N484" s="1488"/>
      <c r="O484" s="1489"/>
      <c r="P484" s="1490"/>
      <c r="X484" s="1445" t="e">
        <f ca="1"/>
        <v>#NAME?</v>
      </c>
      <c r="Y484" s="1446" t="e">
        <f ca="1"/>
        <v>#NAME?</v>
      </c>
      <c r="Z484" s="1408"/>
    </row>
    <row r="485" spans="1:26">
      <c r="A485" s="1487"/>
      <c r="B485" s="1488"/>
      <c r="C485" s="1489"/>
      <c r="D485" s="1490"/>
      <c r="E485" s="1487"/>
      <c r="F485" s="1488"/>
      <c r="G485" s="1489"/>
      <c r="H485" s="1490"/>
      <c r="I485" s="1487"/>
      <c r="J485" s="1488"/>
      <c r="K485" s="1489"/>
      <c r="L485" s="1490"/>
      <c r="M485" s="1487"/>
      <c r="N485" s="1488"/>
      <c r="O485" s="1489"/>
      <c r="P485" s="1490"/>
      <c r="X485" s="1445" t="e">
        <f ca="1"/>
        <v>#NAME?</v>
      </c>
      <c r="Y485" s="1446" t="e">
        <f ca="1"/>
        <v>#NAME?</v>
      </c>
      <c r="Z485" s="1408"/>
    </row>
    <row r="486" spans="1:26">
      <c r="A486" s="1487"/>
      <c r="B486" s="1488"/>
      <c r="C486" s="1489"/>
      <c r="D486" s="1490"/>
      <c r="E486" s="1487"/>
      <c r="F486" s="1488"/>
      <c r="G486" s="1489"/>
      <c r="H486" s="1490"/>
      <c r="I486" s="1487"/>
      <c r="J486" s="1488"/>
      <c r="K486" s="1489"/>
      <c r="L486" s="1490"/>
      <c r="M486" s="1487"/>
      <c r="N486" s="1488"/>
      <c r="O486" s="1489"/>
      <c r="P486" s="1490"/>
      <c r="X486" s="1445" t="e">
        <f ca="1"/>
        <v>#NAME?</v>
      </c>
      <c r="Y486" s="1446" t="e">
        <f ca="1"/>
        <v>#NAME?</v>
      </c>
      <c r="Z486" s="1408"/>
    </row>
    <row r="487" spans="1:26">
      <c r="A487" s="1487"/>
      <c r="B487" s="1488"/>
      <c r="C487" s="1489"/>
      <c r="D487" s="1490"/>
      <c r="E487" s="1487"/>
      <c r="F487" s="1488"/>
      <c r="G487" s="1489"/>
      <c r="H487" s="1490"/>
      <c r="I487" s="1487"/>
      <c r="J487" s="1488"/>
      <c r="K487" s="1489"/>
      <c r="L487" s="1490"/>
      <c r="M487" s="1487"/>
      <c r="N487" s="1488"/>
      <c r="O487" s="1489"/>
      <c r="P487" s="1490"/>
      <c r="X487" s="1445" t="e">
        <f ca="1"/>
        <v>#NAME?</v>
      </c>
      <c r="Y487" s="1446" t="e">
        <f ca="1"/>
        <v>#NAME?</v>
      </c>
      <c r="Z487" s="1408"/>
    </row>
    <row r="488" spans="1:26">
      <c r="A488" s="1487"/>
      <c r="B488" s="1488"/>
      <c r="C488" s="1489"/>
      <c r="D488" s="1490"/>
      <c r="E488" s="1487"/>
      <c r="F488" s="1488"/>
      <c r="G488" s="1489"/>
      <c r="H488" s="1490"/>
      <c r="I488" s="1487"/>
      <c r="J488" s="1488"/>
      <c r="K488" s="1489"/>
      <c r="L488" s="1490"/>
      <c r="M488" s="1487"/>
      <c r="N488" s="1488"/>
      <c r="O488" s="1489"/>
      <c r="P488" s="1490"/>
      <c r="X488" s="1445" t="e">
        <f ca="1"/>
        <v>#NAME?</v>
      </c>
      <c r="Y488" s="1446" t="e">
        <f ca="1"/>
        <v>#NAME?</v>
      </c>
      <c r="Z488" s="1408"/>
    </row>
    <row r="489" spans="1:26">
      <c r="A489" s="1487"/>
      <c r="B489" s="1488"/>
      <c r="C489" s="1489"/>
      <c r="D489" s="1490"/>
      <c r="E489" s="1487"/>
      <c r="F489" s="1488"/>
      <c r="G489" s="1489"/>
      <c r="H489" s="1490"/>
      <c r="I489" s="1487"/>
      <c r="J489" s="1488"/>
      <c r="K489" s="1489"/>
      <c r="L489" s="1490"/>
      <c r="M489" s="1487"/>
      <c r="N489" s="1488"/>
      <c r="O489" s="1489"/>
      <c r="P489" s="1490"/>
      <c r="X489" s="1445" t="e">
        <f ca="1"/>
        <v>#NAME?</v>
      </c>
      <c r="Y489" s="1446" t="e">
        <f ca="1"/>
        <v>#NAME?</v>
      </c>
      <c r="Z489" s="1408"/>
    </row>
    <row r="490" spans="1:26">
      <c r="A490" s="1487"/>
      <c r="B490" s="1488"/>
      <c r="C490" s="1489"/>
      <c r="D490" s="1490"/>
      <c r="E490" s="1487"/>
      <c r="F490" s="1488"/>
      <c r="G490" s="1489"/>
      <c r="H490" s="1490"/>
      <c r="I490" s="1487"/>
      <c r="J490" s="1488"/>
      <c r="K490" s="1489"/>
      <c r="L490" s="1490"/>
      <c r="M490" s="1487"/>
      <c r="N490" s="1488"/>
      <c r="O490" s="1489"/>
      <c r="P490" s="1490"/>
      <c r="X490" s="1445" t="e">
        <f ca="1"/>
        <v>#NAME?</v>
      </c>
      <c r="Y490" s="1446" t="e">
        <f ca="1"/>
        <v>#NAME?</v>
      </c>
      <c r="Z490" s="1408"/>
    </row>
    <row r="491" spans="1:26">
      <c r="A491" s="1487"/>
      <c r="B491" s="1488"/>
      <c r="C491" s="1489"/>
      <c r="D491" s="1490"/>
      <c r="E491" s="1487"/>
      <c r="F491" s="1488"/>
      <c r="G491" s="1489"/>
      <c r="H491" s="1490"/>
      <c r="I491" s="1487"/>
      <c r="J491" s="1488"/>
      <c r="K491" s="1489"/>
      <c r="L491" s="1490"/>
      <c r="M491" s="1487"/>
      <c r="N491" s="1488"/>
      <c r="O491" s="1489"/>
      <c r="P491" s="1490"/>
      <c r="X491" s="1445" t="e">
        <f ca="1"/>
        <v>#NAME?</v>
      </c>
      <c r="Y491" s="1446" t="e">
        <f ca="1"/>
        <v>#NAME?</v>
      </c>
      <c r="Z491" s="1408"/>
    </row>
    <row r="492" spans="1:26">
      <c r="A492" s="1487"/>
      <c r="B492" s="1488"/>
      <c r="C492" s="1489"/>
      <c r="D492" s="1490"/>
      <c r="E492" s="1487"/>
      <c r="F492" s="1488"/>
      <c r="G492" s="1489"/>
      <c r="H492" s="1490"/>
      <c r="I492" s="1487"/>
      <c r="J492" s="1488"/>
      <c r="K492" s="1489"/>
      <c r="L492" s="1490"/>
      <c r="M492" s="1487"/>
      <c r="N492" s="1488"/>
      <c r="O492" s="1489"/>
      <c r="P492" s="1490"/>
      <c r="X492" s="1445" t="e">
        <f ca="1"/>
        <v>#NAME?</v>
      </c>
      <c r="Y492" s="1446" t="e">
        <f ca="1"/>
        <v>#NAME?</v>
      </c>
      <c r="Z492" s="1408"/>
    </row>
    <row r="493" spans="1:26">
      <c r="A493" s="1487"/>
      <c r="B493" s="1488"/>
      <c r="C493" s="1489"/>
      <c r="D493" s="1490"/>
      <c r="E493" s="1487"/>
      <c r="F493" s="1488"/>
      <c r="G493" s="1489"/>
      <c r="H493" s="1490"/>
      <c r="I493" s="1487"/>
      <c r="J493" s="1488"/>
      <c r="K493" s="1489"/>
      <c r="L493" s="1490"/>
      <c r="M493" s="1487"/>
      <c r="N493" s="1488"/>
      <c r="O493" s="1489"/>
      <c r="P493" s="1490"/>
      <c r="X493" s="1445" t="e">
        <f ca="1"/>
        <v>#NAME?</v>
      </c>
      <c r="Y493" s="1446" t="e">
        <f ca="1"/>
        <v>#NAME?</v>
      </c>
      <c r="Z493" s="1408"/>
    </row>
    <row r="494" spans="1:26">
      <c r="A494" s="1487"/>
      <c r="B494" s="1488"/>
      <c r="C494" s="1489"/>
      <c r="D494" s="1490"/>
      <c r="E494" s="1487"/>
      <c r="F494" s="1488"/>
      <c r="G494" s="1489"/>
      <c r="H494" s="1490"/>
      <c r="I494" s="1487"/>
      <c r="J494" s="1488"/>
      <c r="K494" s="1489"/>
      <c r="L494" s="1490"/>
      <c r="M494" s="1487"/>
      <c r="N494" s="1488"/>
      <c r="O494" s="1489"/>
      <c r="P494" s="1490"/>
      <c r="X494" s="1445" t="e">
        <f ca="1"/>
        <v>#NAME?</v>
      </c>
      <c r="Y494" s="1446" t="e">
        <f ca="1"/>
        <v>#NAME?</v>
      </c>
      <c r="Z494" s="1408"/>
    </row>
    <row r="495" spans="1:26">
      <c r="A495" s="1487"/>
      <c r="B495" s="1488"/>
      <c r="C495" s="1489"/>
      <c r="D495" s="1490"/>
      <c r="E495" s="1487"/>
      <c r="F495" s="1488"/>
      <c r="G495" s="1489"/>
      <c r="H495" s="1490"/>
      <c r="I495" s="1487"/>
      <c r="J495" s="1488"/>
      <c r="K495" s="1489"/>
      <c r="L495" s="1490"/>
      <c r="M495" s="1487"/>
      <c r="N495" s="1488"/>
      <c r="O495" s="1489"/>
      <c r="P495" s="1490"/>
      <c r="X495" s="1445" t="e">
        <f ca="1"/>
        <v>#NAME?</v>
      </c>
      <c r="Y495" s="1446" t="e">
        <f ca="1"/>
        <v>#NAME?</v>
      </c>
      <c r="Z495" s="1408"/>
    </row>
    <row r="496" spans="1:26">
      <c r="A496" s="1487"/>
      <c r="B496" s="1488"/>
      <c r="C496" s="1489"/>
      <c r="D496" s="1490"/>
      <c r="E496" s="1487"/>
      <c r="F496" s="1488"/>
      <c r="G496" s="1489"/>
      <c r="H496" s="1490"/>
      <c r="I496" s="1487"/>
      <c r="J496" s="1488"/>
      <c r="K496" s="1489"/>
      <c r="L496" s="1490"/>
      <c r="M496" s="1487"/>
      <c r="N496" s="1488"/>
      <c r="O496" s="1489"/>
      <c r="P496" s="1490"/>
      <c r="X496" s="1445" t="e">
        <f ca="1"/>
        <v>#NAME?</v>
      </c>
      <c r="Y496" s="1446" t="e">
        <f ca="1"/>
        <v>#NAME?</v>
      </c>
      <c r="Z496" s="1408"/>
    </row>
    <row r="497" spans="1:26">
      <c r="A497" s="1487"/>
      <c r="B497" s="1488"/>
      <c r="C497" s="1489"/>
      <c r="D497" s="1490"/>
      <c r="E497" s="1487"/>
      <c r="F497" s="1488"/>
      <c r="G497" s="1489"/>
      <c r="H497" s="1490"/>
      <c r="I497" s="1487"/>
      <c r="J497" s="1488"/>
      <c r="K497" s="1489"/>
      <c r="L497" s="1490"/>
      <c r="M497" s="1487"/>
      <c r="N497" s="1488"/>
      <c r="O497" s="1489"/>
      <c r="P497" s="1490"/>
      <c r="X497" s="1445" t="e">
        <f ca="1"/>
        <v>#NAME?</v>
      </c>
      <c r="Y497" s="1446" t="e">
        <f ca="1"/>
        <v>#NAME?</v>
      </c>
      <c r="Z497" s="1408"/>
    </row>
    <row r="498" spans="1:26">
      <c r="A498" s="1487"/>
      <c r="B498" s="1488"/>
      <c r="C498" s="1489"/>
      <c r="D498" s="1490"/>
      <c r="E498" s="1487"/>
      <c r="F498" s="1488"/>
      <c r="G498" s="1489"/>
      <c r="H498" s="1490"/>
      <c r="I498" s="1487"/>
      <c r="J498" s="1488"/>
      <c r="K498" s="1489"/>
      <c r="L498" s="1490"/>
      <c r="M498" s="1487"/>
      <c r="N498" s="1488"/>
      <c r="O498" s="1489"/>
      <c r="P498" s="1490"/>
      <c r="X498" s="1445" t="e">
        <f ca="1"/>
        <v>#NAME?</v>
      </c>
      <c r="Y498" s="1446" t="e">
        <f ca="1"/>
        <v>#NAME?</v>
      </c>
      <c r="Z498" s="1408"/>
    </row>
    <row r="499" spans="1:26">
      <c r="A499" s="1487"/>
      <c r="B499" s="1488"/>
      <c r="C499" s="1489"/>
      <c r="D499" s="1490"/>
      <c r="E499" s="1487"/>
      <c r="F499" s="1488"/>
      <c r="G499" s="1489"/>
      <c r="H499" s="1490"/>
      <c r="I499" s="1487"/>
      <c r="J499" s="1488"/>
      <c r="K499" s="1489"/>
      <c r="L499" s="1490"/>
      <c r="M499" s="1487"/>
      <c r="N499" s="1488"/>
      <c r="O499" s="1489"/>
      <c r="P499" s="1490"/>
      <c r="X499" s="1445" t="e">
        <f ca="1"/>
        <v>#NAME?</v>
      </c>
      <c r="Y499" s="1446" t="e">
        <f ca="1"/>
        <v>#NAME?</v>
      </c>
      <c r="Z499" s="1408"/>
    </row>
    <row r="500" spans="1:26">
      <c r="A500" s="1487"/>
      <c r="B500" s="1488"/>
      <c r="C500" s="1489"/>
      <c r="D500" s="1490"/>
      <c r="E500" s="1487"/>
      <c r="F500" s="1488"/>
      <c r="G500" s="1489"/>
      <c r="H500" s="1490"/>
      <c r="I500" s="1487"/>
      <c r="J500" s="1488"/>
      <c r="K500" s="1489"/>
      <c r="L500" s="1490"/>
      <c r="M500" s="1487"/>
      <c r="N500" s="1488"/>
      <c r="O500" s="1489"/>
      <c r="P500" s="1490"/>
      <c r="X500" s="1445" t="e">
        <f ca="1"/>
        <v>#NAME?</v>
      </c>
      <c r="Y500" s="1446" t="e">
        <f ca="1"/>
        <v>#NAME?</v>
      </c>
      <c r="Z500" s="1408"/>
    </row>
    <row r="501" spans="1:26">
      <c r="A501" s="1487"/>
      <c r="B501" s="1488"/>
      <c r="C501" s="1489"/>
      <c r="D501" s="1490"/>
      <c r="E501" s="1487"/>
      <c r="F501" s="1488"/>
      <c r="G501" s="1489"/>
      <c r="H501" s="1490"/>
      <c r="I501" s="1487"/>
      <c r="J501" s="1488"/>
      <c r="K501" s="1489"/>
      <c r="L501" s="1490"/>
      <c r="M501" s="1487"/>
      <c r="N501" s="1488"/>
      <c r="O501" s="1489"/>
      <c r="P501" s="1490"/>
      <c r="X501" s="1445" t="e">
        <f ca="1"/>
        <v>#NAME?</v>
      </c>
      <c r="Y501" s="1446" t="e">
        <f ca="1"/>
        <v>#NAME?</v>
      </c>
      <c r="Z501" s="1408"/>
    </row>
    <row r="502" spans="1:26">
      <c r="A502" s="1487"/>
      <c r="B502" s="1488"/>
      <c r="C502" s="1489"/>
      <c r="D502" s="1490"/>
      <c r="E502" s="1487"/>
      <c r="F502" s="1488"/>
      <c r="G502" s="1489"/>
      <c r="H502" s="1490"/>
      <c r="I502" s="1487"/>
      <c r="J502" s="1488"/>
      <c r="K502" s="1489"/>
      <c r="L502" s="1490"/>
      <c r="M502" s="1487"/>
      <c r="N502" s="1488"/>
      <c r="O502" s="1489"/>
      <c r="P502" s="1490"/>
      <c r="X502" s="1445" t="e">
        <f ca="1"/>
        <v>#NAME?</v>
      </c>
      <c r="Y502" s="1446" t="e">
        <f ca="1"/>
        <v>#NAME?</v>
      </c>
      <c r="Z502" s="1408"/>
    </row>
    <row r="503" spans="1:26">
      <c r="A503" s="1487"/>
      <c r="B503" s="1488"/>
      <c r="C503" s="1489"/>
      <c r="D503" s="1490"/>
      <c r="E503" s="1487"/>
      <c r="F503" s="1488"/>
      <c r="G503" s="1489"/>
      <c r="H503" s="1490"/>
      <c r="I503" s="1487"/>
      <c r="J503" s="1488"/>
      <c r="K503" s="1489"/>
      <c r="L503" s="1490"/>
      <c r="M503" s="1487"/>
      <c r="N503" s="1488"/>
      <c r="O503" s="1489"/>
      <c r="P503" s="1490"/>
      <c r="X503" s="1445" t="e">
        <f ca="1"/>
        <v>#NAME?</v>
      </c>
      <c r="Y503" s="1446" t="e">
        <f ca="1"/>
        <v>#NAME?</v>
      </c>
      <c r="Z503" s="1408"/>
    </row>
    <row r="504" spans="1:26">
      <c r="A504" s="1487"/>
      <c r="B504" s="1488"/>
      <c r="C504" s="1489"/>
      <c r="D504" s="1490"/>
      <c r="E504" s="1487"/>
      <c r="F504" s="1488"/>
      <c r="G504" s="1489"/>
      <c r="H504" s="1490"/>
      <c r="I504" s="1487"/>
      <c r="J504" s="1488"/>
      <c r="K504" s="1489"/>
      <c r="L504" s="1490"/>
      <c r="M504" s="1487"/>
      <c r="N504" s="1488"/>
      <c r="O504" s="1489"/>
      <c r="P504" s="1490"/>
      <c r="X504" s="1445" t="e">
        <f ca="1"/>
        <v>#NAME?</v>
      </c>
      <c r="Y504" s="1446" t="e">
        <f ca="1"/>
        <v>#NAME?</v>
      </c>
      <c r="Z504" s="1408"/>
    </row>
    <row r="505" spans="1:26">
      <c r="A505" s="1487"/>
      <c r="B505" s="1488"/>
      <c r="C505" s="1489"/>
      <c r="D505" s="1490"/>
      <c r="E505" s="1487"/>
      <c r="F505" s="1488"/>
      <c r="G505" s="1489"/>
      <c r="H505" s="1490"/>
      <c r="I505" s="1487"/>
      <c r="J505" s="1488"/>
      <c r="K505" s="1489"/>
      <c r="L505" s="1490"/>
      <c r="M505" s="1487"/>
      <c r="N505" s="1488"/>
      <c r="O505" s="1489"/>
      <c r="P505" s="1490"/>
      <c r="X505" s="1445" t="e">
        <f ca="1"/>
        <v>#NAME?</v>
      </c>
      <c r="Y505" s="1446" t="e">
        <f ca="1"/>
        <v>#NAME?</v>
      </c>
      <c r="Z505" s="1408"/>
    </row>
    <row r="506" spans="1:26">
      <c r="A506" s="1487"/>
      <c r="B506" s="1488"/>
      <c r="C506" s="1489"/>
      <c r="D506" s="1490"/>
      <c r="E506" s="1487"/>
      <c r="F506" s="1488"/>
      <c r="G506" s="1489"/>
      <c r="H506" s="1490"/>
      <c r="I506" s="1487"/>
      <c r="J506" s="1488"/>
      <c r="K506" s="1489"/>
      <c r="L506" s="1490"/>
      <c r="M506" s="1487"/>
      <c r="N506" s="1488"/>
      <c r="O506" s="1489"/>
      <c r="P506" s="1490"/>
      <c r="X506" s="1445" t="e">
        <f ca="1"/>
        <v>#NAME?</v>
      </c>
      <c r="Y506" s="1446" t="e">
        <f ca="1"/>
        <v>#NAME?</v>
      </c>
      <c r="Z506" s="1408"/>
    </row>
    <row r="507" spans="1:26">
      <c r="A507" s="1487"/>
      <c r="B507" s="1488"/>
      <c r="C507" s="1489"/>
      <c r="D507" s="1490"/>
      <c r="E507" s="1487"/>
      <c r="F507" s="1488"/>
      <c r="G507" s="1489"/>
      <c r="H507" s="1490"/>
      <c r="I507" s="1487"/>
      <c r="J507" s="1488"/>
      <c r="K507" s="1489"/>
      <c r="L507" s="1490"/>
      <c r="M507" s="1487"/>
      <c r="N507" s="1488"/>
      <c r="O507" s="1489"/>
      <c r="P507" s="1490"/>
      <c r="X507" s="1445" t="e">
        <f ca="1"/>
        <v>#NAME?</v>
      </c>
      <c r="Y507" s="1446" t="e">
        <f ca="1"/>
        <v>#NAME?</v>
      </c>
      <c r="Z507" s="1408"/>
    </row>
    <row r="508" spans="1:26">
      <c r="A508" s="1487"/>
      <c r="B508" s="1488"/>
      <c r="C508" s="1489"/>
      <c r="D508" s="1490"/>
      <c r="E508" s="1487"/>
      <c r="F508" s="1488"/>
      <c r="G508" s="1489"/>
      <c r="H508" s="1490"/>
      <c r="I508" s="1487"/>
      <c r="J508" s="1488"/>
      <c r="K508" s="1489"/>
      <c r="L508" s="1490"/>
      <c r="M508" s="1487"/>
      <c r="N508" s="1488"/>
      <c r="O508" s="1489"/>
      <c r="P508" s="1490"/>
      <c r="X508" s="1445" t="e">
        <f ca="1"/>
        <v>#NAME?</v>
      </c>
      <c r="Y508" s="1446" t="e">
        <f ca="1"/>
        <v>#NAME?</v>
      </c>
      <c r="Z508" s="1408"/>
    </row>
    <row r="509" spans="1:26">
      <c r="A509" s="1487"/>
      <c r="B509" s="1488"/>
      <c r="C509" s="1489"/>
      <c r="D509" s="1490"/>
      <c r="E509" s="1487"/>
      <c r="F509" s="1488"/>
      <c r="G509" s="1489"/>
      <c r="H509" s="1490"/>
      <c r="I509" s="1487"/>
      <c r="J509" s="1488"/>
      <c r="K509" s="1489"/>
      <c r="L509" s="1490"/>
      <c r="M509" s="1487"/>
      <c r="N509" s="1488"/>
      <c r="O509" s="1489"/>
      <c r="P509" s="1490"/>
      <c r="X509" s="1445" t="e">
        <f ca="1"/>
        <v>#NAME?</v>
      </c>
      <c r="Y509" s="1446" t="e">
        <f ca="1"/>
        <v>#NAME?</v>
      </c>
      <c r="Z509" s="1408"/>
    </row>
    <row r="510" spans="1:26">
      <c r="A510" s="1487"/>
      <c r="B510" s="1488"/>
      <c r="C510" s="1489"/>
      <c r="D510" s="1490"/>
      <c r="E510" s="1487"/>
      <c r="F510" s="1488"/>
      <c r="G510" s="1489"/>
      <c r="H510" s="1490"/>
      <c r="I510" s="1487"/>
      <c r="J510" s="1488"/>
      <c r="K510" s="1489"/>
      <c r="L510" s="1490"/>
      <c r="M510" s="1487"/>
      <c r="N510" s="1488"/>
      <c r="O510" s="1489"/>
      <c r="P510" s="1490"/>
      <c r="X510" s="1445" t="e">
        <f ca="1"/>
        <v>#NAME?</v>
      </c>
      <c r="Y510" s="1446" t="e">
        <f ca="1"/>
        <v>#NAME?</v>
      </c>
      <c r="Z510" s="1408"/>
    </row>
    <row r="511" spans="1:26">
      <c r="A511" s="1487"/>
      <c r="B511" s="1488"/>
      <c r="C511" s="1489"/>
      <c r="D511" s="1490"/>
      <c r="E511" s="1487"/>
      <c r="F511" s="1488"/>
      <c r="G511" s="1489"/>
      <c r="H511" s="1490"/>
      <c r="I511" s="1487"/>
      <c r="J511" s="1488"/>
      <c r="K511" s="1489"/>
      <c r="L511" s="1490"/>
      <c r="M511" s="1487"/>
      <c r="N511" s="1488"/>
      <c r="O511" s="1489"/>
      <c r="P511" s="1490"/>
      <c r="X511" s="1445" t="e">
        <f ca="1"/>
        <v>#NAME?</v>
      </c>
      <c r="Y511" s="1446" t="e">
        <f ca="1"/>
        <v>#NAME?</v>
      </c>
      <c r="Z511" s="1408"/>
    </row>
    <row r="512" spans="1:26">
      <c r="A512" s="1487"/>
      <c r="B512" s="1488"/>
      <c r="C512" s="1489"/>
      <c r="D512" s="1490"/>
      <c r="E512" s="1487"/>
      <c r="F512" s="1488"/>
      <c r="G512" s="1489"/>
      <c r="H512" s="1490"/>
      <c r="I512" s="1487"/>
      <c r="J512" s="1488"/>
      <c r="K512" s="1489"/>
      <c r="L512" s="1490"/>
      <c r="M512" s="1487"/>
      <c r="N512" s="1488"/>
      <c r="O512" s="1489"/>
      <c r="P512" s="1490"/>
      <c r="X512" s="1445" t="e">
        <f ca="1"/>
        <v>#NAME?</v>
      </c>
      <c r="Y512" s="1446" t="e">
        <f ca="1"/>
        <v>#NAME?</v>
      </c>
      <c r="Z512" s="1408"/>
    </row>
    <row r="513" spans="1:26">
      <c r="A513" s="1487"/>
      <c r="B513" s="1488"/>
      <c r="C513" s="1489"/>
      <c r="D513" s="1490"/>
      <c r="E513" s="1487"/>
      <c r="F513" s="1488"/>
      <c r="G513" s="1489"/>
      <c r="H513" s="1490"/>
      <c r="I513" s="1487"/>
      <c r="J513" s="1488"/>
      <c r="K513" s="1489"/>
      <c r="L513" s="1490"/>
      <c r="M513" s="1487"/>
      <c r="N513" s="1488"/>
      <c r="O513" s="1489"/>
      <c r="P513" s="1490"/>
      <c r="X513" s="1445" t="e">
        <f ca="1"/>
        <v>#NAME?</v>
      </c>
      <c r="Y513" s="1446" t="e">
        <f ca="1"/>
        <v>#NAME?</v>
      </c>
      <c r="Z513" s="1408"/>
    </row>
    <row r="514" spans="1:26">
      <c r="A514" s="1487"/>
      <c r="B514" s="1488"/>
      <c r="C514" s="1489"/>
      <c r="D514" s="1490"/>
      <c r="E514" s="1487"/>
      <c r="F514" s="1488"/>
      <c r="G514" s="1489"/>
      <c r="H514" s="1490"/>
      <c r="I514" s="1487"/>
      <c r="J514" s="1488"/>
      <c r="K514" s="1489"/>
      <c r="L514" s="1490"/>
      <c r="M514" s="1487"/>
      <c r="N514" s="1488"/>
      <c r="O514" s="1489"/>
      <c r="P514" s="1490"/>
      <c r="X514" s="1445" t="e">
        <f ca="1"/>
        <v>#NAME?</v>
      </c>
      <c r="Y514" s="1446" t="e">
        <f ca="1"/>
        <v>#NAME?</v>
      </c>
      <c r="Z514" s="1408"/>
    </row>
    <row r="515" spans="1:26">
      <c r="A515" s="1487"/>
      <c r="B515" s="1488"/>
      <c r="C515" s="1489"/>
      <c r="D515" s="1490"/>
      <c r="E515" s="1487"/>
      <c r="F515" s="1488"/>
      <c r="G515" s="1489"/>
      <c r="H515" s="1490"/>
      <c r="I515" s="1487"/>
      <c r="J515" s="1488"/>
      <c r="K515" s="1489"/>
      <c r="L515" s="1490"/>
      <c r="M515" s="1487"/>
      <c r="N515" s="1488"/>
      <c r="O515" s="1489"/>
      <c r="P515" s="1490"/>
      <c r="X515" s="1445" t="e">
        <f ca="1"/>
        <v>#NAME?</v>
      </c>
      <c r="Y515" s="1446" t="e">
        <f ca="1"/>
        <v>#NAME?</v>
      </c>
      <c r="Z515" s="1408"/>
    </row>
    <row r="516" spans="1:26">
      <c r="A516" s="1487"/>
      <c r="B516" s="1488"/>
      <c r="C516" s="1489"/>
      <c r="D516" s="1490"/>
      <c r="E516" s="1487"/>
      <c r="F516" s="1488"/>
      <c r="G516" s="1489"/>
      <c r="H516" s="1490"/>
      <c r="I516" s="1487"/>
      <c r="J516" s="1488"/>
      <c r="K516" s="1489"/>
      <c r="L516" s="1490"/>
      <c r="M516" s="1487"/>
      <c r="N516" s="1488"/>
      <c r="O516" s="1489"/>
      <c r="P516" s="1490"/>
      <c r="X516" s="1445" t="e">
        <f ca="1"/>
        <v>#NAME?</v>
      </c>
      <c r="Y516" s="1446" t="e">
        <f ca="1"/>
        <v>#NAME?</v>
      </c>
      <c r="Z516" s="1408"/>
    </row>
    <row r="517" spans="1:26">
      <c r="A517" s="1487"/>
      <c r="B517" s="1488"/>
      <c r="C517" s="1489"/>
      <c r="D517" s="1490"/>
      <c r="E517" s="1487"/>
      <c r="F517" s="1488"/>
      <c r="G517" s="1489"/>
      <c r="H517" s="1490"/>
      <c r="I517" s="1487"/>
      <c r="J517" s="1488"/>
      <c r="K517" s="1489"/>
      <c r="L517" s="1490"/>
      <c r="M517" s="1487"/>
      <c r="N517" s="1488"/>
      <c r="O517" s="1489"/>
      <c r="P517" s="1490"/>
      <c r="X517" s="1445" t="e">
        <f ca="1"/>
        <v>#NAME?</v>
      </c>
      <c r="Y517" s="1446" t="e">
        <f ca="1"/>
        <v>#NAME?</v>
      </c>
      <c r="Z517" s="1408"/>
    </row>
    <row r="518" spans="1:26">
      <c r="A518" s="1487"/>
      <c r="B518" s="1488"/>
      <c r="C518" s="1489"/>
      <c r="D518" s="1490"/>
      <c r="E518" s="1487"/>
      <c r="F518" s="1488"/>
      <c r="G518" s="1489"/>
      <c r="H518" s="1490"/>
      <c r="I518" s="1487"/>
      <c r="J518" s="1488"/>
      <c r="K518" s="1489"/>
      <c r="L518" s="1490"/>
      <c r="M518" s="1487"/>
      <c r="N518" s="1488"/>
      <c r="O518" s="1489"/>
      <c r="P518" s="1490"/>
      <c r="X518" s="1445" t="e">
        <f ca="1"/>
        <v>#NAME?</v>
      </c>
      <c r="Y518" s="1446" t="e">
        <f ca="1"/>
        <v>#NAME?</v>
      </c>
      <c r="Z518" s="1408"/>
    </row>
    <row r="519" spans="1:26">
      <c r="A519" s="1487"/>
      <c r="B519" s="1488"/>
      <c r="C519" s="1489"/>
      <c r="D519" s="1490"/>
      <c r="E519" s="1487"/>
      <c r="F519" s="1488"/>
      <c r="G519" s="1489"/>
      <c r="H519" s="1490"/>
      <c r="I519" s="1487"/>
      <c r="J519" s="1488"/>
      <c r="K519" s="1489"/>
      <c r="L519" s="1490"/>
      <c r="M519" s="1487"/>
      <c r="N519" s="1488"/>
      <c r="O519" s="1489"/>
      <c r="P519" s="1490"/>
      <c r="X519" s="1445" t="e">
        <f ca="1"/>
        <v>#NAME?</v>
      </c>
      <c r="Y519" s="1446" t="e">
        <f ca="1"/>
        <v>#NAME?</v>
      </c>
      <c r="Z519" s="1408"/>
    </row>
    <row r="520" spans="1:26">
      <c r="A520" s="1487"/>
      <c r="B520" s="1488"/>
      <c r="C520" s="1489"/>
      <c r="D520" s="1490"/>
      <c r="E520" s="1487"/>
      <c r="F520" s="1488"/>
      <c r="G520" s="1489"/>
      <c r="H520" s="1490"/>
      <c r="I520" s="1487"/>
      <c r="J520" s="1488"/>
      <c r="K520" s="1489"/>
      <c r="L520" s="1490"/>
      <c r="M520" s="1487"/>
      <c r="N520" s="1488"/>
      <c r="O520" s="1489"/>
      <c r="P520" s="1490"/>
      <c r="X520" s="1445" t="e">
        <f ca="1"/>
        <v>#NAME?</v>
      </c>
      <c r="Y520" s="1446" t="e">
        <f ca="1"/>
        <v>#NAME?</v>
      </c>
      <c r="Z520" s="1408"/>
    </row>
    <row r="521" spans="1:26">
      <c r="A521" s="1487"/>
      <c r="B521" s="1488"/>
      <c r="C521" s="1489"/>
      <c r="D521" s="1490"/>
      <c r="E521" s="1487"/>
      <c r="F521" s="1488"/>
      <c r="G521" s="1489"/>
      <c r="H521" s="1490"/>
      <c r="I521" s="1487"/>
      <c r="J521" s="1488"/>
      <c r="K521" s="1489"/>
      <c r="L521" s="1490"/>
      <c r="M521" s="1487"/>
      <c r="N521" s="1488"/>
      <c r="O521" s="1489"/>
      <c r="P521" s="1490"/>
      <c r="X521" s="1445" t="e">
        <f ca="1"/>
        <v>#NAME?</v>
      </c>
      <c r="Y521" s="1446" t="e">
        <f ca="1"/>
        <v>#NAME?</v>
      </c>
      <c r="Z521" s="1408"/>
    </row>
    <row r="522" spans="1:26">
      <c r="A522" s="1487"/>
      <c r="B522" s="1488"/>
      <c r="C522" s="1489"/>
      <c r="D522" s="1490"/>
      <c r="E522" s="1487"/>
      <c r="F522" s="1488"/>
      <c r="G522" s="1489"/>
      <c r="H522" s="1490"/>
      <c r="I522" s="1487"/>
      <c r="J522" s="1488"/>
      <c r="K522" s="1489"/>
      <c r="L522" s="1490"/>
      <c r="M522" s="1487"/>
      <c r="N522" s="1488"/>
      <c r="O522" s="1489"/>
      <c r="P522" s="1490"/>
      <c r="X522" s="1445" t="e">
        <f ca="1"/>
        <v>#NAME?</v>
      </c>
      <c r="Y522" s="1446" t="e">
        <f ca="1"/>
        <v>#NAME?</v>
      </c>
      <c r="Z522" s="1408"/>
    </row>
    <row r="523" spans="1:26">
      <c r="A523" s="1487"/>
      <c r="B523" s="1488"/>
      <c r="C523" s="1489"/>
      <c r="D523" s="1490"/>
      <c r="E523" s="1487"/>
      <c r="F523" s="1488"/>
      <c r="G523" s="1489"/>
      <c r="H523" s="1490"/>
      <c r="I523" s="1487"/>
      <c r="J523" s="1488"/>
      <c r="K523" s="1489"/>
      <c r="L523" s="1490"/>
      <c r="M523" s="1487"/>
      <c r="N523" s="1488"/>
      <c r="O523" s="1489"/>
      <c r="P523" s="1490"/>
      <c r="X523" s="1445" t="e">
        <f ca="1"/>
        <v>#NAME?</v>
      </c>
      <c r="Y523" s="1446" t="e">
        <f ca="1"/>
        <v>#NAME?</v>
      </c>
      <c r="Z523" s="1408"/>
    </row>
    <row r="524" spans="1:26">
      <c r="A524" s="1487"/>
      <c r="B524" s="1488"/>
      <c r="C524" s="1489"/>
      <c r="D524" s="1490"/>
      <c r="E524" s="1487"/>
      <c r="F524" s="1488"/>
      <c r="G524" s="1489"/>
      <c r="H524" s="1490"/>
      <c r="I524" s="1487"/>
      <c r="J524" s="1488"/>
      <c r="K524" s="1489"/>
      <c r="L524" s="1490"/>
      <c r="M524" s="1487"/>
      <c r="N524" s="1488"/>
      <c r="O524" s="1489"/>
      <c r="P524" s="1490"/>
      <c r="X524" s="1445" t="e">
        <f ca="1"/>
        <v>#NAME?</v>
      </c>
      <c r="Y524" s="1446" t="e">
        <f ca="1"/>
        <v>#NAME?</v>
      </c>
      <c r="Z524" s="1408"/>
    </row>
    <row r="525" spans="1:26">
      <c r="A525" s="1487"/>
      <c r="B525" s="1488"/>
      <c r="C525" s="1489"/>
      <c r="D525" s="1490"/>
      <c r="E525" s="1487"/>
      <c r="F525" s="1488"/>
      <c r="G525" s="1489"/>
      <c r="H525" s="1490"/>
      <c r="I525" s="1487"/>
      <c r="J525" s="1488"/>
      <c r="K525" s="1489"/>
      <c r="L525" s="1490"/>
      <c r="M525" s="1487"/>
      <c r="N525" s="1488"/>
      <c r="O525" s="1489"/>
      <c r="P525" s="1490"/>
      <c r="X525" s="1445" t="e">
        <f ca="1"/>
        <v>#NAME?</v>
      </c>
      <c r="Y525" s="1446" t="e">
        <f ca="1"/>
        <v>#NAME?</v>
      </c>
      <c r="Z525" s="1408"/>
    </row>
    <row r="526" spans="1:26">
      <c r="A526" s="1487"/>
      <c r="B526" s="1488"/>
      <c r="C526" s="1489"/>
      <c r="D526" s="1490"/>
      <c r="E526" s="1487"/>
      <c r="F526" s="1488"/>
      <c r="G526" s="1489"/>
      <c r="H526" s="1490"/>
      <c r="I526" s="1487"/>
      <c r="J526" s="1488"/>
      <c r="K526" s="1489"/>
      <c r="L526" s="1490"/>
      <c r="M526" s="1487"/>
      <c r="N526" s="1488"/>
      <c r="O526" s="1489"/>
      <c r="P526" s="1490"/>
      <c r="X526" s="1445" t="e">
        <f ca="1"/>
        <v>#NAME?</v>
      </c>
      <c r="Y526" s="1446" t="e">
        <f ca="1"/>
        <v>#NAME?</v>
      </c>
      <c r="Z526" s="1408"/>
    </row>
    <row r="527" spans="1:26">
      <c r="A527" s="1487"/>
      <c r="B527" s="1488"/>
      <c r="C527" s="1489"/>
      <c r="D527" s="1490"/>
      <c r="E527" s="1487"/>
      <c r="F527" s="1488"/>
      <c r="G527" s="1489"/>
      <c r="H527" s="1490"/>
      <c r="I527" s="1487"/>
      <c r="J527" s="1488"/>
      <c r="K527" s="1489"/>
      <c r="L527" s="1490"/>
      <c r="M527" s="1487"/>
      <c r="N527" s="1488"/>
      <c r="O527" s="1489"/>
      <c r="P527" s="1490"/>
      <c r="X527" s="1445" t="e">
        <f ca="1"/>
        <v>#NAME?</v>
      </c>
      <c r="Y527" s="1446" t="e">
        <f ca="1"/>
        <v>#NAME?</v>
      </c>
      <c r="Z527" s="1408"/>
    </row>
    <row r="528" spans="1:26">
      <c r="A528" s="1487"/>
      <c r="B528" s="1488"/>
      <c r="C528" s="1489"/>
      <c r="D528" s="1490"/>
      <c r="E528" s="1487"/>
      <c r="F528" s="1488"/>
      <c r="G528" s="1489"/>
      <c r="H528" s="1490"/>
      <c r="I528" s="1487"/>
      <c r="J528" s="1488"/>
      <c r="K528" s="1489"/>
      <c r="L528" s="1490"/>
      <c r="M528" s="1487"/>
      <c r="N528" s="1488"/>
      <c r="O528" s="1489"/>
      <c r="P528" s="1490"/>
      <c r="X528" s="1445" t="e">
        <f ca="1"/>
        <v>#NAME?</v>
      </c>
      <c r="Y528" s="1446" t="e">
        <f ca="1"/>
        <v>#NAME?</v>
      </c>
      <c r="Z528" s="1408"/>
    </row>
    <row r="529" spans="1:26">
      <c r="A529" s="1487"/>
      <c r="B529" s="1488"/>
      <c r="C529" s="1489"/>
      <c r="D529" s="1490"/>
      <c r="E529" s="1487"/>
      <c r="F529" s="1488"/>
      <c r="G529" s="1489"/>
      <c r="H529" s="1490"/>
      <c r="I529" s="1487"/>
      <c r="J529" s="1488"/>
      <c r="K529" s="1489"/>
      <c r="L529" s="1490"/>
      <c r="M529" s="1487"/>
      <c r="N529" s="1488"/>
      <c r="O529" s="1489"/>
      <c r="P529" s="1490"/>
      <c r="X529" s="1445" t="e">
        <f ca="1"/>
        <v>#NAME?</v>
      </c>
      <c r="Y529" s="1446" t="e">
        <f ca="1"/>
        <v>#NAME?</v>
      </c>
      <c r="Z529" s="1408"/>
    </row>
    <row r="530" spans="1:26">
      <c r="A530" s="1487"/>
      <c r="B530" s="1488"/>
      <c r="C530" s="1489"/>
      <c r="D530" s="1490"/>
      <c r="E530" s="1487"/>
      <c r="F530" s="1488"/>
      <c r="G530" s="1489"/>
      <c r="H530" s="1490"/>
      <c r="I530" s="1487"/>
      <c r="J530" s="1488"/>
      <c r="K530" s="1489"/>
      <c r="L530" s="1490"/>
      <c r="M530" s="1487"/>
      <c r="N530" s="1488"/>
      <c r="O530" s="1489"/>
      <c r="P530" s="1490"/>
      <c r="X530" s="1445" t="e">
        <f ca="1"/>
        <v>#NAME?</v>
      </c>
      <c r="Y530" s="1446" t="e">
        <f ca="1"/>
        <v>#NAME?</v>
      </c>
      <c r="Z530" s="1408"/>
    </row>
    <row r="531" spans="1:26">
      <c r="A531" s="1487"/>
      <c r="B531" s="1488"/>
      <c r="C531" s="1489"/>
      <c r="D531" s="1490"/>
      <c r="E531" s="1487"/>
      <c r="F531" s="1488"/>
      <c r="G531" s="1489"/>
      <c r="H531" s="1490"/>
      <c r="I531" s="1487"/>
      <c r="J531" s="1488"/>
      <c r="K531" s="1489"/>
      <c r="L531" s="1490"/>
      <c r="M531" s="1487"/>
      <c r="N531" s="1488"/>
      <c r="O531" s="1489"/>
      <c r="P531" s="1490"/>
      <c r="X531" s="1445" t="e">
        <f ca="1"/>
        <v>#NAME?</v>
      </c>
      <c r="Y531" s="1446" t="e">
        <f ca="1"/>
        <v>#NAME?</v>
      </c>
      <c r="Z531" s="1408"/>
    </row>
    <row r="532" spans="1:26">
      <c r="A532" s="1487"/>
      <c r="B532" s="1488"/>
      <c r="C532" s="1489"/>
      <c r="D532" s="1490"/>
      <c r="E532" s="1487"/>
      <c r="F532" s="1488"/>
      <c r="G532" s="1489"/>
      <c r="H532" s="1490"/>
      <c r="I532" s="1487"/>
      <c r="J532" s="1488"/>
      <c r="K532" s="1489"/>
      <c r="L532" s="1490"/>
      <c r="M532" s="1487"/>
      <c r="N532" s="1488"/>
      <c r="O532" s="1489"/>
      <c r="P532" s="1490"/>
      <c r="X532" s="1445" t="e">
        <f ca="1"/>
        <v>#NAME?</v>
      </c>
      <c r="Y532" s="1446" t="e">
        <f ca="1"/>
        <v>#NAME?</v>
      </c>
      <c r="Z532" s="1408"/>
    </row>
    <row r="533" spans="1:26">
      <c r="A533" s="1487"/>
      <c r="B533" s="1488"/>
      <c r="C533" s="1489"/>
      <c r="D533" s="1490"/>
      <c r="E533" s="1487"/>
      <c r="F533" s="1488"/>
      <c r="G533" s="1489"/>
      <c r="H533" s="1490"/>
      <c r="I533" s="1487"/>
      <c r="J533" s="1488"/>
      <c r="K533" s="1489"/>
      <c r="L533" s="1490"/>
      <c r="M533" s="1487"/>
      <c r="N533" s="1488"/>
      <c r="O533" s="1489"/>
      <c r="P533" s="1490"/>
      <c r="X533" s="1445" t="e">
        <f ca="1"/>
        <v>#NAME?</v>
      </c>
      <c r="Y533" s="1446" t="e">
        <f ca="1"/>
        <v>#NAME?</v>
      </c>
      <c r="Z533" s="1408"/>
    </row>
    <row r="534" spans="1:26">
      <c r="A534" s="1487"/>
      <c r="B534" s="1488"/>
      <c r="C534" s="1489"/>
      <c r="D534" s="1490"/>
      <c r="E534" s="1487"/>
      <c r="F534" s="1488"/>
      <c r="G534" s="1489"/>
      <c r="H534" s="1490"/>
      <c r="I534" s="1487"/>
      <c r="J534" s="1488"/>
      <c r="K534" s="1489"/>
      <c r="L534" s="1490"/>
      <c r="M534" s="1487"/>
      <c r="N534" s="1488"/>
      <c r="O534" s="1489"/>
      <c r="P534" s="1490"/>
      <c r="X534" s="1445" t="e">
        <f ca="1"/>
        <v>#NAME?</v>
      </c>
      <c r="Y534" s="1446" t="e">
        <f ca="1"/>
        <v>#NAME?</v>
      </c>
      <c r="Z534" s="1408"/>
    </row>
    <row r="535" spans="1:26">
      <c r="A535" s="1487"/>
      <c r="B535" s="1488"/>
      <c r="C535" s="1489"/>
      <c r="D535" s="1490"/>
      <c r="E535" s="1487"/>
      <c r="F535" s="1488"/>
      <c r="G535" s="1489"/>
      <c r="H535" s="1490"/>
      <c r="I535" s="1487"/>
      <c r="J535" s="1488"/>
      <c r="K535" s="1489"/>
      <c r="L535" s="1490"/>
      <c r="M535" s="1487"/>
      <c r="N535" s="1488"/>
      <c r="O535" s="1489"/>
      <c r="P535" s="1490"/>
      <c r="X535" s="1445" t="e">
        <f ca="1"/>
        <v>#NAME?</v>
      </c>
      <c r="Y535" s="1446" t="e">
        <f ca="1"/>
        <v>#NAME?</v>
      </c>
      <c r="Z535" s="1408"/>
    </row>
    <row r="536" spans="1:26">
      <c r="A536" s="1487"/>
      <c r="B536" s="1488"/>
      <c r="C536" s="1489"/>
      <c r="D536" s="1490"/>
      <c r="E536" s="1487"/>
      <c r="F536" s="1488"/>
      <c r="G536" s="1489"/>
      <c r="H536" s="1490"/>
      <c r="I536" s="1487"/>
      <c r="J536" s="1488"/>
      <c r="K536" s="1489"/>
      <c r="L536" s="1490"/>
      <c r="M536" s="1487"/>
      <c r="N536" s="1488"/>
      <c r="O536" s="1489"/>
      <c r="P536" s="1490"/>
      <c r="X536" s="1445" t="e">
        <f ca="1"/>
        <v>#NAME?</v>
      </c>
      <c r="Y536" s="1446" t="e">
        <f ca="1"/>
        <v>#NAME?</v>
      </c>
      <c r="Z536" s="1408"/>
    </row>
    <row r="537" spans="1:26">
      <c r="A537" s="1487"/>
      <c r="B537" s="1488"/>
      <c r="C537" s="1489"/>
      <c r="D537" s="1490"/>
      <c r="E537" s="1487"/>
      <c r="F537" s="1488"/>
      <c r="G537" s="1489"/>
      <c r="H537" s="1490"/>
      <c r="I537" s="1487"/>
      <c r="J537" s="1488"/>
      <c r="K537" s="1489"/>
      <c r="L537" s="1490"/>
      <c r="M537" s="1487"/>
      <c r="N537" s="1488"/>
      <c r="O537" s="1489"/>
      <c r="P537" s="1490"/>
      <c r="X537" s="1445" t="e">
        <f ca="1"/>
        <v>#NAME?</v>
      </c>
      <c r="Y537" s="1446" t="e">
        <f ca="1"/>
        <v>#NAME?</v>
      </c>
      <c r="Z537" s="1408"/>
    </row>
    <row r="538" spans="1:26">
      <c r="A538" s="1487"/>
      <c r="B538" s="1488"/>
      <c r="C538" s="1489"/>
      <c r="D538" s="1490"/>
      <c r="E538" s="1487"/>
      <c r="F538" s="1488"/>
      <c r="G538" s="1489"/>
      <c r="H538" s="1490"/>
      <c r="I538" s="1487"/>
      <c r="J538" s="1488"/>
      <c r="K538" s="1489"/>
      <c r="L538" s="1490"/>
      <c r="M538" s="1487"/>
      <c r="N538" s="1488"/>
      <c r="O538" s="1489"/>
      <c r="P538" s="1490"/>
      <c r="X538" s="1445" t="e">
        <f ca="1"/>
        <v>#NAME?</v>
      </c>
      <c r="Y538" s="1446" t="e">
        <f ca="1"/>
        <v>#NAME?</v>
      </c>
      <c r="Z538" s="1408"/>
    </row>
    <row r="539" spans="1:26">
      <c r="A539" s="1487"/>
      <c r="B539" s="1488"/>
      <c r="C539" s="1489"/>
      <c r="D539" s="1490"/>
      <c r="E539" s="1487"/>
      <c r="F539" s="1488"/>
      <c r="G539" s="1489"/>
      <c r="H539" s="1490"/>
      <c r="I539" s="1487"/>
      <c r="J539" s="1488"/>
      <c r="K539" s="1489"/>
      <c r="L539" s="1490"/>
      <c r="M539" s="1487"/>
      <c r="N539" s="1488"/>
      <c r="O539" s="1489"/>
      <c r="P539" s="1490"/>
      <c r="X539" s="1445" t="e">
        <f ca="1"/>
        <v>#NAME?</v>
      </c>
      <c r="Y539" s="1446" t="e">
        <f ca="1"/>
        <v>#NAME?</v>
      </c>
      <c r="Z539" s="1408"/>
    </row>
    <row r="540" spans="1:26">
      <c r="A540" s="1487"/>
      <c r="B540" s="1488"/>
      <c r="C540" s="1489"/>
      <c r="D540" s="1490"/>
      <c r="E540" s="1487"/>
      <c r="F540" s="1488"/>
      <c r="G540" s="1489"/>
      <c r="H540" s="1490"/>
      <c r="I540" s="1487"/>
      <c r="J540" s="1488"/>
      <c r="K540" s="1489"/>
      <c r="L540" s="1490"/>
      <c r="M540" s="1487"/>
      <c r="N540" s="1488"/>
      <c r="O540" s="1489"/>
      <c r="P540" s="1490"/>
      <c r="X540" s="1445" t="e">
        <f ca="1"/>
        <v>#NAME?</v>
      </c>
      <c r="Y540" s="1446" t="e">
        <f ca="1"/>
        <v>#NAME?</v>
      </c>
      <c r="Z540" s="1408"/>
    </row>
    <row r="541" spans="1:26">
      <c r="A541" s="1487"/>
      <c r="B541" s="1488"/>
      <c r="C541" s="1489"/>
      <c r="D541" s="1490"/>
      <c r="E541" s="1487"/>
      <c r="F541" s="1488"/>
      <c r="G541" s="1489"/>
      <c r="H541" s="1490"/>
      <c r="I541" s="1487"/>
      <c r="J541" s="1488"/>
      <c r="K541" s="1489"/>
      <c r="L541" s="1490"/>
      <c r="M541" s="1487"/>
      <c r="N541" s="1488"/>
      <c r="O541" s="1489"/>
      <c r="P541" s="1490"/>
      <c r="X541" s="1445" t="e">
        <f ca="1"/>
        <v>#NAME?</v>
      </c>
      <c r="Y541" s="1446" t="e">
        <f ca="1"/>
        <v>#NAME?</v>
      </c>
      <c r="Z541" s="1408"/>
    </row>
    <row r="542" spans="1:26">
      <c r="A542" s="1487"/>
      <c r="B542" s="1488"/>
      <c r="C542" s="1489"/>
      <c r="D542" s="1490"/>
      <c r="E542" s="1487"/>
      <c r="F542" s="1488"/>
      <c r="G542" s="1489"/>
      <c r="H542" s="1490"/>
      <c r="I542" s="1487"/>
      <c r="J542" s="1488"/>
      <c r="K542" s="1489"/>
      <c r="L542" s="1490"/>
      <c r="M542" s="1487"/>
      <c r="N542" s="1488"/>
      <c r="O542" s="1489"/>
      <c r="P542" s="1490"/>
      <c r="X542" s="1445" t="e">
        <f ca="1"/>
        <v>#NAME?</v>
      </c>
      <c r="Y542" s="1446" t="e">
        <f ca="1"/>
        <v>#NAME?</v>
      </c>
      <c r="Z542" s="1408"/>
    </row>
    <row r="543" spans="1:26">
      <c r="A543" s="1487"/>
      <c r="B543" s="1488"/>
      <c r="C543" s="1489"/>
      <c r="D543" s="1490"/>
      <c r="E543" s="1487"/>
      <c r="F543" s="1488"/>
      <c r="G543" s="1489"/>
      <c r="H543" s="1490"/>
      <c r="I543" s="1487"/>
      <c r="J543" s="1488"/>
      <c r="K543" s="1489"/>
      <c r="L543" s="1490"/>
      <c r="M543" s="1487"/>
      <c r="N543" s="1488"/>
      <c r="O543" s="1489"/>
      <c r="P543" s="1490"/>
      <c r="X543" s="1445" t="e">
        <f ca="1"/>
        <v>#NAME?</v>
      </c>
      <c r="Y543" s="1446" t="e">
        <f ca="1"/>
        <v>#NAME?</v>
      </c>
      <c r="Z543" s="1408"/>
    </row>
    <row r="544" spans="1:26">
      <c r="A544" s="1487"/>
      <c r="B544" s="1488"/>
      <c r="C544" s="1489"/>
      <c r="D544" s="1490"/>
      <c r="E544" s="1487"/>
      <c r="F544" s="1488"/>
      <c r="G544" s="1489"/>
      <c r="H544" s="1490"/>
      <c r="I544" s="1487"/>
      <c r="J544" s="1488"/>
      <c r="K544" s="1489"/>
      <c r="L544" s="1490"/>
      <c r="M544" s="1487"/>
      <c r="N544" s="1488"/>
      <c r="O544" s="1489"/>
      <c r="P544" s="1490"/>
      <c r="X544" s="1445" t="e">
        <f ca="1"/>
        <v>#NAME?</v>
      </c>
      <c r="Y544" s="1446" t="e">
        <f ca="1"/>
        <v>#NAME?</v>
      </c>
      <c r="Z544" s="1408"/>
    </row>
    <row r="545" spans="1:26">
      <c r="A545" s="1487"/>
      <c r="B545" s="1488"/>
      <c r="C545" s="1489"/>
      <c r="D545" s="1490"/>
      <c r="E545" s="1487"/>
      <c r="F545" s="1488"/>
      <c r="G545" s="1489"/>
      <c r="H545" s="1490"/>
      <c r="I545" s="1487"/>
      <c r="J545" s="1488"/>
      <c r="K545" s="1489"/>
      <c r="L545" s="1490"/>
      <c r="M545" s="1487"/>
      <c r="N545" s="1488"/>
      <c r="O545" s="1489"/>
      <c r="P545" s="1490"/>
      <c r="X545" s="1445" t="e">
        <f ca="1"/>
        <v>#NAME?</v>
      </c>
      <c r="Y545" s="1446" t="e">
        <f ca="1"/>
        <v>#NAME?</v>
      </c>
      <c r="Z545" s="1408"/>
    </row>
    <row r="546" spans="1:26">
      <c r="A546" s="1487"/>
      <c r="B546" s="1488"/>
      <c r="C546" s="1489"/>
      <c r="D546" s="1490"/>
      <c r="E546" s="1487"/>
      <c r="F546" s="1488"/>
      <c r="G546" s="1489"/>
      <c r="H546" s="1490"/>
      <c r="I546" s="1487"/>
      <c r="J546" s="1488"/>
      <c r="K546" s="1489"/>
      <c r="L546" s="1490"/>
      <c r="M546" s="1487"/>
      <c r="N546" s="1488"/>
      <c r="O546" s="1489"/>
      <c r="P546" s="1490"/>
      <c r="X546" s="1445" t="e">
        <f ca="1"/>
        <v>#NAME?</v>
      </c>
      <c r="Y546" s="1446" t="e">
        <f ca="1"/>
        <v>#NAME?</v>
      </c>
      <c r="Z546" s="1408"/>
    </row>
    <row r="547" spans="1:26">
      <c r="A547" s="1487"/>
      <c r="B547" s="1488"/>
      <c r="C547" s="1489"/>
      <c r="D547" s="1490"/>
      <c r="E547" s="1487"/>
      <c r="F547" s="1488"/>
      <c r="G547" s="1489"/>
      <c r="H547" s="1490"/>
      <c r="I547" s="1487"/>
      <c r="J547" s="1488"/>
      <c r="K547" s="1489"/>
      <c r="L547" s="1490"/>
      <c r="M547" s="1487"/>
      <c r="N547" s="1488"/>
      <c r="O547" s="1489"/>
      <c r="P547" s="1490"/>
      <c r="X547" s="1445" t="e">
        <f ca="1"/>
        <v>#NAME?</v>
      </c>
      <c r="Y547" s="1446" t="e">
        <f ca="1"/>
        <v>#NAME?</v>
      </c>
      <c r="Z547" s="1408"/>
    </row>
    <row r="548" spans="1:26">
      <c r="A548" s="1487"/>
      <c r="B548" s="1488"/>
      <c r="C548" s="1489"/>
      <c r="D548" s="1490"/>
      <c r="E548" s="1487"/>
      <c r="F548" s="1488"/>
      <c r="G548" s="1489"/>
      <c r="H548" s="1490"/>
      <c r="I548" s="1487"/>
      <c r="J548" s="1488"/>
      <c r="K548" s="1489"/>
      <c r="L548" s="1490"/>
      <c r="M548" s="1487"/>
      <c r="N548" s="1488"/>
      <c r="O548" s="1489"/>
      <c r="P548" s="1490"/>
      <c r="X548" s="1445" t="e">
        <f ca="1"/>
        <v>#NAME?</v>
      </c>
      <c r="Y548" s="1446" t="e">
        <f ca="1"/>
        <v>#NAME?</v>
      </c>
      <c r="Z548" s="1408"/>
    </row>
    <row r="549" spans="1:26">
      <c r="A549" s="1487"/>
      <c r="B549" s="1488"/>
      <c r="C549" s="1489"/>
      <c r="D549" s="1490"/>
      <c r="E549" s="1487"/>
      <c r="F549" s="1488"/>
      <c r="G549" s="1489"/>
      <c r="H549" s="1490"/>
      <c r="I549" s="1487"/>
      <c r="J549" s="1488"/>
      <c r="K549" s="1489"/>
      <c r="L549" s="1490"/>
      <c r="M549" s="1487"/>
      <c r="N549" s="1488"/>
      <c r="O549" s="1489"/>
      <c r="P549" s="1490"/>
      <c r="X549" s="1445" t="e">
        <f ca="1"/>
        <v>#NAME?</v>
      </c>
      <c r="Y549" s="1446" t="e">
        <f ca="1"/>
        <v>#NAME?</v>
      </c>
      <c r="Z549" s="1408"/>
    </row>
    <row r="550" spans="1:26">
      <c r="A550" s="1487"/>
      <c r="B550" s="1488"/>
      <c r="C550" s="1489"/>
      <c r="D550" s="1490"/>
      <c r="E550" s="1487"/>
      <c r="F550" s="1488"/>
      <c r="G550" s="1489"/>
      <c r="H550" s="1490"/>
      <c r="I550" s="1487"/>
      <c r="J550" s="1488"/>
      <c r="K550" s="1489"/>
      <c r="L550" s="1490"/>
      <c r="M550" s="1487"/>
      <c r="N550" s="1488"/>
      <c r="O550" s="1489"/>
      <c r="P550" s="1490"/>
      <c r="X550" s="1445" t="e">
        <f ca="1"/>
        <v>#NAME?</v>
      </c>
      <c r="Y550" s="1446" t="e">
        <f ca="1"/>
        <v>#NAME?</v>
      </c>
      <c r="Z550" s="1408"/>
    </row>
    <row r="551" spans="1:26">
      <c r="A551" s="1487"/>
      <c r="B551" s="1488"/>
      <c r="C551" s="1489"/>
      <c r="D551" s="1490"/>
      <c r="E551" s="1487"/>
      <c r="F551" s="1488"/>
      <c r="G551" s="1489"/>
      <c r="H551" s="1490"/>
      <c r="I551" s="1487"/>
      <c r="J551" s="1488"/>
      <c r="K551" s="1489"/>
      <c r="L551" s="1490"/>
      <c r="M551" s="1487"/>
      <c r="N551" s="1488"/>
      <c r="O551" s="1489"/>
      <c r="P551" s="1490"/>
      <c r="X551" s="1445" t="e">
        <f ca="1"/>
        <v>#NAME?</v>
      </c>
      <c r="Y551" s="1446" t="e">
        <f ca="1"/>
        <v>#NAME?</v>
      </c>
      <c r="Z551" s="1408"/>
    </row>
    <row r="552" spans="1:26">
      <c r="A552" s="1487"/>
      <c r="B552" s="1488"/>
      <c r="C552" s="1489"/>
      <c r="D552" s="1490"/>
      <c r="E552" s="1487"/>
      <c r="F552" s="1488"/>
      <c r="G552" s="1489"/>
      <c r="H552" s="1490"/>
      <c r="I552" s="1487"/>
      <c r="J552" s="1488"/>
      <c r="K552" s="1489"/>
      <c r="L552" s="1490"/>
      <c r="M552" s="1487"/>
      <c r="N552" s="1488"/>
      <c r="O552" s="1489"/>
      <c r="P552" s="1490"/>
      <c r="X552" s="1445" t="e">
        <f ca="1"/>
        <v>#NAME?</v>
      </c>
      <c r="Y552" s="1446" t="e">
        <f ca="1"/>
        <v>#NAME?</v>
      </c>
      <c r="Z552" s="1408"/>
    </row>
    <row r="553" spans="1:26">
      <c r="A553" s="1487"/>
      <c r="B553" s="1488"/>
      <c r="C553" s="1489"/>
      <c r="D553" s="1490"/>
      <c r="E553" s="1487"/>
      <c r="F553" s="1488"/>
      <c r="G553" s="1489"/>
      <c r="H553" s="1490"/>
      <c r="I553" s="1487"/>
      <c r="J553" s="1488"/>
      <c r="K553" s="1489"/>
      <c r="L553" s="1490"/>
      <c r="M553" s="1487"/>
      <c r="N553" s="1488"/>
      <c r="O553" s="1489"/>
      <c r="P553" s="1490"/>
      <c r="X553" s="1445" t="e">
        <f ca="1"/>
        <v>#NAME?</v>
      </c>
      <c r="Y553" s="1446" t="e">
        <f ca="1"/>
        <v>#NAME?</v>
      </c>
      <c r="Z553" s="1408"/>
    </row>
    <row r="554" spans="1:26">
      <c r="A554" s="1487"/>
      <c r="B554" s="1488"/>
      <c r="C554" s="1489"/>
      <c r="D554" s="1490"/>
      <c r="E554" s="1487"/>
      <c r="F554" s="1488"/>
      <c r="G554" s="1489"/>
      <c r="H554" s="1490"/>
      <c r="I554" s="1487"/>
      <c r="J554" s="1488"/>
      <c r="K554" s="1489"/>
      <c r="L554" s="1490"/>
      <c r="M554" s="1487"/>
      <c r="N554" s="1488"/>
      <c r="O554" s="1489"/>
      <c r="P554" s="1490"/>
      <c r="X554" s="1445" t="e">
        <f ca="1"/>
        <v>#NAME?</v>
      </c>
      <c r="Y554" s="1446" t="e">
        <f ca="1"/>
        <v>#NAME?</v>
      </c>
      <c r="Z554" s="1408"/>
    </row>
    <row r="555" spans="1:26">
      <c r="A555" s="1487"/>
      <c r="B555" s="1488"/>
      <c r="C555" s="1489"/>
      <c r="D555" s="1490"/>
      <c r="E555" s="1487"/>
      <c r="F555" s="1488"/>
      <c r="G555" s="1489"/>
      <c r="H555" s="1490"/>
      <c r="I555" s="1487"/>
      <c r="J555" s="1488"/>
      <c r="K555" s="1489"/>
      <c r="L555" s="1490"/>
      <c r="M555" s="1487"/>
      <c r="N555" s="1488"/>
      <c r="O555" s="1489"/>
      <c r="P555" s="1490"/>
      <c r="X555" s="1445" t="e">
        <f ca="1"/>
        <v>#NAME?</v>
      </c>
      <c r="Y555" s="1446" t="e">
        <f ca="1"/>
        <v>#NAME?</v>
      </c>
      <c r="Z555" s="1408"/>
    </row>
    <row r="556" spans="1:26">
      <c r="A556" s="1487"/>
      <c r="B556" s="1488"/>
      <c r="C556" s="1489"/>
      <c r="D556" s="1490"/>
      <c r="E556" s="1487"/>
      <c r="F556" s="1488"/>
      <c r="G556" s="1489"/>
      <c r="H556" s="1490"/>
      <c r="I556" s="1487"/>
      <c r="J556" s="1488"/>
      <c r="K556" s="1489"/>
      <c r="L556" s="1490"/>
      <c r="M556" s="1487"/>
      <c r="N556" s="1488"/>
      <c r="O556" s="1489"/>
      <c r="P556" s="1490"/>
      <c r="X556" s="1445" t="e">
        <f ca="1"/>
        <v>#NAME?</v>
      </c>
      <c r="Y556" s="1446" t="e">
        <f ca="1"/>
        <v>#NAME?</v>
      </c>
      <c r="Z556" s="1408"/>
    </row>
    <row r="557" spans="1:26">
      <c r="A557" s="1487"/>
      <c r="B557" s="1488"/>
      <c r="C557" s="1489"/>
      <c r="D557" s="1490"/>
      <c r="E557" s="1487"/>
      <c r="F557" s="1488"/>
      <c r="G557" s="1489"/>
      <c r="H557" s="1490"/>
      <c r="I557" s="1487"/>
      <c r="J557" s="1488"/>
      <c r="K557" s="1489"/>
      <c r="L557" s="1490"/>
      <c r="M557" s="1487"/>
      <c r="N557" s="1488"/>
      <c r="O557" s="1489"/>
      <c r="P557" s="1490"/>
      <c r="X557" s="1445" t="e">
        <f ca="1"/>
        <v>#NAME?</v>
      </c>
      <c r="Y557" s="1446" t="e">
        <f ca="1"/>
        <v>#NAME?</v>
      </c>
      <c r="Z557" s="1408"/>
    </row>
    <row r="558" spans="1:26">
      <c r="A558" s="1487"/>
      <c r="B558" s="1488"/>
      <c r="C558" s="1489"/>
      <c r="D558" s="1490"/>
      <c r="E558" s="1487"/>
      <c r="F558" s="1488"/>
      <c r="G558" s="1489"/>
      <c r="H558" s="1490"/>
      <c r="I558" s="1487"/>
      <c r="J558" s="1488"/>
      <c r="K558" s="1489"/>
      <c r="L558" s="1490"/>
      <c r="M558" s="1487"/>
      <c r="N558" s="1488"/>
      <c r="O558" s="1489"/>
      <c r="P558" s="1490"/>
      <c r="X558" s="1445" t="e">
        <f ca="1"/>
        <v>#NAME?</v>
      </c>
      <c r="Y558" s="1446" t="e">
        <f ca="1"/>
        <v>#NAME?</v>
      </c>
      <c r="Z558" s="1408"/>
    </row>
    <row r="559" spans="1:26">
      <c r="A559" s="1487"/>
      <c r="B559" s="1488"/>
      <c r="C559" s="1489"/>
      <c r="D559" s="1490"/>
      <c r="E559" s="1487"/>
      <c r="F559" s="1488"/>
      <c r="G559" s="1489"/>
      <c r="H559" s="1490"/>
      <c r="I559" s="1487"/>
      <c r="J559" s="1488"/>
      <c r="K559" s="1489"/>
      <c r="L559" s="1490"/>
      <c r="M559" s="1487"/>
      <c r="N559" s="1488"/>
      <c r="O559" s="1489"/>
      <c r="P559" s="1490"/>
      <c r="X559" s="1445" t="e">
        <f ca="1"/>
        <v>#NAME?</v>
      </c>
      <c r="Y559" s="1446" t="e">
        <f ca="1"/>
        <v>#NAME?</v>
      </c>
      <c r="Z559" s="1408"/>
    </row>
    <row r="560" spans="1:26">
      <c r="A560" s="1487"/>
      <c r="B560" s="1488"/>
      <c r="C560" s="1489"/>
      <c r="D560" s="1490"/>
      <c r="E560" s="1487"/>
      <c r="F560" s="1488"/>
      <c r="G560" s="1489"/>
      <c r="H560" s="1490"/>
      <c r="I560" s="1487"/>
      <c r="J560" s="1488"/>
      <c r="K560" s="1489"/>
      <c r="L560" s="1490"/>
      <c r="M560" s="1487"/>
      <c r="N560" s="1488"/>
      <c r="O560" s="1489"/>
      <c r="P560" s="1490"/>
      <c r="X560" s="1445" t="e">
        <f ca="1"/>
        <v>#NAME?</v>
      </c>
      <c r="Y560" s="1446" t="e">
        <f ca="1"/>
        <v>#NAME?</v>
      </c>
      <c r="Z560" s="1408"/>
    </row>
    <row r="561" spans="1:26">
      <c r="A561" s="1487"/>
      <c r="B561" s="1488"/>
      <c r="C561" s="1489"/>
      <c r="D561" s="1490"/>
      <c r="E561" s="1487"/>
      <c r="F561" s="1488"/>
      <c r="G561" s="1489"/>
      <c r="H561" s="1490"/>
      <c r="I561" s="1487"/>
      <c r="J561" s="1488"/>
      <c r="K561" s="1489"/>
      <c r="L561" s="1490"/>
      <c r="M561" s="1487"/>
      <c r="N561" s="1488"/>
      <c r="O561" s="1489"/>
      <c r="P561" s="1490"/>
      <c r="X561" s="1445" t="e">
        <f ca="1"/>
        <v>#NAME?</v>
      </c>
      <c r="Y561" s="1446" t="e">
        <f ca="1"/>
        <v>#NAME?</v>
      </c>
      <c r="Z561" s="1408"/>
    </row>
    <row r="562" spans="1:26">
      <c r="A562" s="1487"/>
      <c r="B562" s="1488"/>
      <c r="C562" s="1489"/>
      <c r="D562" s="1490"/>
      <c r="E562" s="1487"/>
      <c r="F562" s="1488"/>
      <c r="G562" s="1489"/>
      <c r="H562" s="1490"/>
      <c r="I562" s="1487"/>
      <c r="J562" s="1488"/>
      <c r="K562" s="1489"/>
      <c r="L562" s="1490"/>
      <c r="M562" s="1487"/>
      <c r="N562" s="1488"/>
      <c r="O562" s="1489"/>
      <c r="P562" s="1490"/>
      <c r="X562" s="1445" t="e">
        <f ca="1"/>
        <v>#NAME?</v>
      </c>
      <c r="Y562" s="1446" t="e">
        <f ca="1"/>
        <v>#NAME?</v>
      </c>
      <c r="Z562" s="1408"/>
    </row>
    <row r="563" spans="1:26">
      <c r="A563" s="1487"/>
      <c r="B563" s="1488"/>
      <c r="C563" s="1489"/>
      <c r="D563" s="1490"/>
      <c r="E563" s="1487"/>
      <c r="F563" s="1488"/>
      <c r="G563" s="1489"/>
      <c r="H563" s="1490"/>
      <c r="I563" s="1487"/>
      <c r="J563" s="1488"/>
      <c r="K563" s="1489"/>
      <c r="L563" s="1490"/>
      <c r="M563" s="1487"/>
      <c r="N563" s="1488"/>
      <c r="O563" s="1489"/>
      <c r="P563" s="1490"/>
      <c r="X563" s="1445" t="e">
        <f ca="1"/>
        <v>#NAME?</v>
      </c>
      <c r="Y563" s="1446" t="e">
        <f ca="1"/>
        <v>#NAME?</v>
      </c>
      <c r="Z563" s="1408"/>
    </row>
    <row r="564" spans="1:26">
      <c r="A564" s="1487"/>
      <c r="B564" s="1488"/>
      <c r="C564" s="1489"/>
      <c r="D564" s="1490"/>
      <c r="E564" s="1487"/>
      <c r="F564" s="1488"/>
      <c r="G564" s="1489"/>
      <c r="H564" s="1490"/>
      <c r="I564" s="1487"/>
      <c r="J564" s="1488"/>
      <c r="K564" s="1489"/>
      <c r="L564" s="1490"/>
      <c r="M564" s="1487"/>
      <c r="N564" s="1488"/>
      <c r="O564" s="1489"/>
      <c r="P564" s="1490"/>
      <c r="X564" s="1445" t="e">
        <f ca="1"/>
        <v>#NAME?</v>
      </c>
      <c r="Y564" s="1446" t="e">
        <f ca="1"/>
        <v>#NAME?</v>
      </c>
      <c r="Z564" s="1408"/>
    </row>
    <row r="565" spans="1:26">
      <c r="A565" s="1487"/>
      <c r="B565" s="1488"/>
      <c r="C565" s="1489"/>
      <c r="D565" s="1490"/>
      <c r="E565" s="1487"/>
      <c r="F565" s="1488"/>
      <c r="G565" s="1489"/>
      <c r="H565" s="1490"/>
      <c r="I565" s="1487"/>
      <c r="J565" s="1488"/>
      <c r="K565" s="1489"/>
      <c r="L565" s="1490"/>
      <c r="M565" s="1487"/>
      <c r="N565" s="1488"/>
      <c r="O565" s="1489"/>
      <c r="P565" s="1490"/>
      <c r="X565" s="1445" t="e">
        <f ca="1"/>
        <v>#NAME?</v>
      </c>
      <c r="Y565" s="1446" t="e">
        <f ca="1"/>
        <v>#NAME?</v>
      </c>
      <c r="Z565" s="1408"/>
    </row>
    <row r="566" spans="1:26">
      <c r="A566" s="1487"/>
      <c r="B566" s="1488"/>
      <c r="C566" s="1489"/>
      <c r="D566" s="1490"/>
      <c r="E566" s="1487"/>
      <c r="F566" s="1488"/>
      <c r="G566" s="1489"/>
      <c r="H566" s="1490"/>
      <c r="I566" s="1487"/>
      <c r="J566" s="1488"/>
      <c r="K566" s="1489"/>
      <c r="L566" s="1490"/>
      <c r="M566" s="1487"/>
      <c r="N566" s="1488"/>
      <c r="O566" s="1489"/>
      <c r="P566" s="1490"/>
      <c r="X566" s="1445" t="e">
        <f ca="1"/>
        <v>#NAME?</v>
      </c>
      <c r="Y566" s="1446" t="e">
        <f ca="1"/>
        <v>#NAME?</v>
      </c>
      <c r="Z566" s="1408"/>
    </row>
    <row r="567" spans="1:26">
      <c r="A567" s="1487"/>
      <c r="B567" s="1488"/>
      <c r="C567" s="1489"/>
      <c r="D567" s="1490"/>
      <c r="E567" s="1487"/>
      <c r="F567" s="1488"/>
      <c r="G567" s="1489"/>
      <c r="H567" s="1490"/>
      <c r="I567" s="1487"/>
      <c r="J567" s="1488"/>
      <c r="K567" s="1489"/>
      <c r="L567" s="1490"/>
      <c r="M567" s="1487"/>
      <c r="N567" s="1488"/>
      <c r="O567" s="1489"/>
      <c r="P567" s="1490"/>
      <c r="X567" s="1445" t="e">
        <f ca="1"/>
        <v>#NAME?</v>
      </c>
      <c r="Y567" s="1446" t="e">
        <f ca="1"/>
        <v>#NAME?</v>
      </c>
      <c r="Z567" s="1408"/>
    </row>
    <row r="568" spans="1:26">
      <c r="A568" s="1487"/>
      <c r="B568" s="1488"/>
      <c r="C568" s="1489"/>
      <c r="D568" s="1490"/>
      <c r="E568" s="1487"/>
      <c r="F568" s="1488"/>
      <c r="G568" s="1489"/>
      <c r="H568" s="1490"/>
      <c r="I568" s="1487"/>
      <c r="J568" s="1488"/>
      <c r="K568" s="1489"/>
      <c r="L568" s="1490"/>
      <c r="M568" s="1487"/>
      <c r="N568" s="1488"/>
      <c r="O568" s="1489"/>
      <c r="P568" s="1490"/>
      <c r="X568" s="1445" t="e">
        <f ca="1"/>
        <v>#NAME?</v>
      </c>
      <c r="Y568" s="1446" t="e">
        <f ca="1"/>
        <v>#NAME?</v>
      </c>
      <c r="Z568" s="1408"/>
    </row>
    <row r="569" spans="1:26">
      <c r="A569" s="1487"/>
      <c r="B569" s="1488"/>
      <c r="C569" s="1489"/>
      <c r="D569" s="1490"/>
      <c r="E569" s="1487"/>
      <c r="F569" s="1488"/>
      <c r="G569" s="1489"/>
      <c r="H569" s="1490"/>
      <c r="I569" s="1487"/>
      <c r="J569" s="1488"/>
      <c r="K569" s="1489"/>
      <c r="L569" s="1490"/>
      <c r="M569" s="1487"/>
      <c r="N569" s="1488"/>
      <c r="O569" s="1489"/>
      <c r="P569" s="1490"/>
      <c r="X569" s="1445" t="e">
        <f ca="1"/>
        <v>#NAME?</v>
      </c>
      <c r="Y569" s="1446" t="e">
        <f ca="1"/>
        <v>#NAME?</v>
      </c>
      <c r="Z569" s="1408"/>
    </row>
    <row r="570" spans="1:26">
      <c r="A570" s="1487"/>
      <c r="B570" s="1488"/>
      <c r="C570" s="1489"/>
      <c r="D570" s="1490"/>
      <c r="E570" s="1487"/>
      <c r="F570" s="1488"/>
      <c r="G570" s="1489"/>
      <c r="H570" s="1490"/>
      <c r="I570" s="1487"/>
      <c r="J570" s="1488"/>
      <c r="K570" s="1489"/>
      <c r="L570" s="1490"/>
      <c r="M570" s="1487"/>
      <c r="N570" s="1488"/>
      <c r="O570" s="1489"/>
      <c r="P570" s="1490"/>
      <c r="X570" s="1445" t="e">
        <f ca="1"/>
        <v>#NAME?</v>
      </c>
      <c r="Y570" s="1446" t="e">
        <f ca="1"/>
        <v>#NAME?</v>
      </c>
      <c r="Z570" s="1408"/>
    </row>
    <row r="571" spans="1:26">
      <c r="A571" s="1487"/>
      <c r="B571" s="1488"/>
      <c r="C571" s="1489"/>
      <c r="D571" s="1490"/>
      <c r="E571" s="1487"/>
      <c r="F571" s="1488"/>
      <c r="G571" s="1489"/>
      <c r="H571" s="1490"/>
      <c r="I571" s="1487"/>
      <c r="J571" s="1488"/>
      <c r="K571" s="1489"/>
      <c r="L571" s="1490"/>
      <c r="M571" s="1487"/>
      <c r="N571" s="1488"/>
      <c r="O571" s="1489"/>
      <c r="P571" s="1490"/>
      <c r="X571" s="1445" t="e">
        <f ca="1"/>
        <v>#NAME?</v>
      </c>
      <c r="Y571" s="1446" t="e">
        <f ca="1"/>
        <v>#NAME?</v>
      </c>
      <c r="Z571" s="1408"/>
    </row>
    <row r="572" spans="1:26">
      <c r="A572" s="1487"/>
      <c r="B572" s="1488"/>
      <c r="C572" s="1489"/>
      <c r="D572" s="1490"/>
      <c r="E572" s="1487"/>
      <c r="F572" s="1488"/>
      <c r="G572" s="1489"/>
      <c r="H572" s="1490"/>
      <c r="I572" s="1487"/>
      <c r="J572" s="1488"/>
      <c r="K572" s="1489"/>
      <c r="L572" s="1490"/>
      <c r="M572" s="1487"/>
      <c r="N572" s="1488"/>
      <c r="O572" s="1489"/>
      <c r="P572" s="1490"/>
      <c r="X572" s="1445" t="e">
        <f ca="1"/>
        <v>#NAME?</v>
      </c>
      <c r="Y572" s="1446" t="e">
        <f ca="1"/>
        <v>#NAME?</v>
      </c>
      <c r="Z572" s="1408"/>
    </row>
    <row r="573" spans="1:26">
      <c r="A573" s="1487"/>
      <c r="B573" s="1488"/>
      <c r="C573" s="1489"/>
      <c r="D573" s="1490"/>
      <c r="E573" s="1487"/>
      <c r="F573" s="1488"/>
      <c r="G573" s="1489"/>
      <c r="H573" s="1490"/>
      <c r="I573" s="1487"/>
      <c r="J573" s="1488"/>
      <c r="K573" s="1489"/>
      <c r="L573" s="1490"/>
      <c r="M573" s="1487"/>
      <c r="N573" s="1488"/>
      <c r="O573" s="1489"/>
      <c r="P573" s="1490"/>
      <c r="X573" s="1445" t="e">
        <f ca="1"/>
        <v>#NAME?</v>
      </c>
      <c r="Y573" s="1446" t="e">
        <f ca="1"/>
        <v>#NAME?</v>
      </c>
      <c r="Z573" s="1408"/>
    </row>
    <row r="574" spans="1:26">
      <c r="A574" s="1487"/>
      <c r="B574" s="1488"/>
      <c r="C574" s="1489"/>
      <c r="D574" s="1490"/>
      <c r="E574" s="1487"/>
      <c r="F574" s="1488"/>
      <c r="G574" s="1489"/>
      <c r="H574" s="1490"/>
      <c r="I574" s="1487"/>
      <c r="J574" s="1488"/>
      <c r="K574" s="1489"/>
      <c r="L574" s="1490"/>
      <c r="M574" s="1487"/>
      <c r="N574" s="1488"/>
      <c r="O574" s="1489"/>
      <c r="P574" s="1490"/>
      <c r="X574" s="1445" t="e">
        <f ca="1"/>
        <v>#NAME?</v>
      </c>
      <c r="Y574" s="1446" t="e">
        <f ca="1"/>
        <v>#NAME?</v>
      </c>
      <c r="Z574" s="1408"/>
    </row>
    <row r="575" spans="1:26">
      <c r="A575" s="1487"/>
      <c r="B575" s="1488"/>
      <c r="C575" s="1489"/>
      <c r="D575" s="1490"/>
      <c r="E575" s="1487"/>
      <c r="F575" s="1488"/>
      <c r="G575" s="1489"/>
      <c r="H575" s="1490"/>
      <c r="I575" s="1487"/>
      <c r="J575" s="1488"/>
      <c r="K575" s="1489"/>
      <c r="L575" s="1490"/>
      <c r="M575" s="1487"/>
      <c r="N575" s="1488"/>
      <c r="O575" s="1489"/>
      <c r="P575" s="1490"/>
      <c r="X575" s="1445" t="e">
        <f ca="1"/>
        <v>#NAME?</v>
      </c>
      <c r="Y575" s="1446" t="e">
        <f ca="1"/>
        <v>#NAME?</v>
      </c>
      <c r="Z575" s="1408"/>
    </row>
    <row r="576" spans="1:26">
      <c r="A576" s="1487"/>
      <c r="B576" s="1488"/>
      <c r="C576" s="1489"/>
      <c r="D576" s="1490"/>
      <c r="E576" s="1487"/>
      <c r="F576" s="1488"/>
      <c r="G576" s="1489"/>
      <c r="H576" s="1490"/>
      <c r="I576" s="1487"/>
      <c r="J576" s="1488"/>
      <c r="K576" s="1489"/>
      <c r="L576" s="1490"/>
      <c r="M576" s="1487"/>
      <c r="N576" s="1488"/>
      <c r="O576" s="1489"/>
      <c r="P576" s="1490"/>
      <c r="X576" s="1445" t="e">
        <f ca="1"/>
        <v>#NAME?</v>
      </c>
      <c r="Y576" s="1446" t="e">
        <f ca="1"/>
        <v>#NAME?</v>
      </c>
      <c r="Z576" s="1408"/>
    </row>
    <row r="577" spans="1:26">
      <c r="A577" s="1487"/>
      <c r="B577" s="1488"/>
      <c r="C577" s="1489"/>
      <c r="D577" s="1490"/>
      <c r="E577" s="1487"/>
      <c r="F577" s="1488"/>
      <c r="G577" s="1489"/>
      <c r="H577" s="1490"/>
      <c r="I577" s="1487"/>
      <c r="J577" s="1488"/>
      <c r="K577" s="1489"/>
      <c r="L577" s="1490"/>
      <c r="M577" s="1487"/>
      <c r="N577" s="1488"/>
      <c r="O577" s="1489"/>
      <c r="P577" s="1490"/>
      <c r="X577" s="1445" t="e">
        <f ca="1"/>
        <v>#NAME?</v>
      </c>
      <c r="Y577" s="1446" t="e">
        <f ca="1"/>
        <v>#NAME?</v>
      </c>
      <c r="Z577" s="1408"/>
    </row>
    <row r="578" spans="1:26">
      <c r="A578" s="1487"/>
      <c r="B578" s="1488"/>
      <c r="C578" s="1489"/>
      <c r="D578" s="1490"/>
      <c r="E578" s="1487"/>
      <c r="F578" s="1488"/>
      <c r="G578" s="1489"/>
      <c r="H578" s="1490"/>
      <c r="I578" s="1487"/>
      <c r="J578" s="1488"/>
      <c r="K578" s="1489"/>
      <c r="L578" s="1490"/>
      <c r="M578" s="1487"/>
      <c r="N578" s="1488"/>
      <c r="O578" s="1489"/>
      <c r="P578" s="1490"/>
      <c r="X578" s="1445" t="e">
        <f ca="1"/>
        <v>#NAME?</v>
      </c>
      <c r="Y578" s="1446" t="e">
        <f ca="1"/>
        <v>#NAME?</v>
      </c>
      <c r="Z578" s="1408"/>
    </row>
    <row r="579" spans="1:26">
      <c r="A579" s="1487"/>
      <c r="B579" s="1488"/>
      <c r="C579" s="1489"/>
      <c r="D579" s="1490"/>
      <c r="E579" s="1487"/>
      <c r="F579" s="1488"/>
      <c r="G579" s="1489"/>
      <c r="H579" s="1490"/>
      <c r="I579" s="1487"/>
      <c r="J579" s="1488"/>
      <c r="K579" s="1489"/>
      <c r="L579" s="1490"/>
      <c r="M579" s="1487"/>
      <c r="N579" s="1488"/>
      <c r="O579" s="1489"/>
      <c r="P579" s="1490"/>
      <c r="X579" s="1445" t="e">
        <f ca="1"/>
        <v>#NAME?</v>
      </c>
      <c r="Y579" s="1446" t="e">
        <f ca="1"/>
        <v>#NAME?</v>
      </c>
      <c r="Z579" s="1408"/>
    </row>
    <row r="580" spans="1:26">
      <c r="A580" s="1487"/>
      <c r="B580" s="1488"/>
      <c r="C580" s="1489"/>
      <c r="D580" s="1490"/>
      <c r="E580" s="1487"/>
      <c r="F580" s="1488"/>
      <c r="G580" s="1489"/>
      <c r="H580" s="1490"/>
      <c r="I580" s="1487"/>
      <c r="J580" s="1488"/>
      <c r="K580" s="1489"/>
      <c r="L580" s="1490"/>
      <c r="M580" s="1487"/>
      <c r="N580" s="1488"/>
      <c r="O580" s="1489"/>
      <c r="P580" s="1490"/>
      <c r="X580" s="1445" t="e">
        <f ca="1"/>
        <v>#NAME?</v>
      </c>
      <c r="Y580" s="1446" t="e">
        <f ca="1"/>
        <v>#NAME?</v>
      </c>
      <c r="Z580" s="1408"/>
    </row>
    <row r="581" spans="1:26">
      <c r="A581" s="1487"/>
      <c r="B581" s="1488"/>
      <c r="C581" s="1489"/>
      <c r="D581" s="1490"/>
      <c r="E581" s="1487"/>
      <c r="F581" s="1488"/>
      <c r="G581" s="1489"/>
      <c r="H581" s="1490"/>
      <c r="I581" s="1487"/>
      <c r="J581" s="1488"/>
      <c r="K581" s="1489"/>
      <c r="L581" s="1490"/>
      <c r="M581" s="1487"/>
      <c r="N581" s="1488"/>
      <c r="O581" s="1489"/>
      <c r="P581" s="1490"/>
      <c r="X581" s="1445" t="e">
        <f ca="1"/>
        <v>#NAME?</v>
      </c>
      <c r="Y581" s="1446" t="e">
        <f ca="1"/>
        <v>#NAME?</v>
      </c>
      <c r="Z581" s="1408"/>
    </row>
    <row r="582" spans="1:26">
      <c r="A582" s="1487"/>
      <c r="B582" s="1488"/>
      <c r="C582" s="1489"/>
      <c r="D582" s="1490"/>
      <c r="E582" s="1487"/>
      <c r="F582" s="1488"/>
      <c r="G582" s="1489"/>
      <c r="H582" s="1490"/>
      <c r="I582" s="1487"/>
      <c r="J582" s="1488"/>
      <c r="K582" s="1489"/>
      <c r="L582" s="1490"/>
      <c r="M582" s="1487"/>
      <c r="N582" s="1488"/>
      <c r="O582" s="1489"/>
      <c r="P582" s="1490"/>
      <c r="X582" s="1445" t="e">
        <f ca="1"/>
        <v>#NAME?</v>
      </c>
      <c r="Y582" s="1446" t="e">
        <f ca="1"/>
        <v>#NAME?</v>
      </c>
      <c r="Z582" s="1408"/>
    </row>
    <row r="583" spans="1:26">
      <c r="A583" s="1487"/>
      <c r="B583" s="1488"/>
      <c r="C583" s="1489"/>
      <c r="D583" s="1490"/>
      <c r="E583" s="1487"/>
      <c r="F583" s="1488"/>
      <c r="G583" s="1489"/>
      <c r="H583" s="1490"/>
      <c r="I583" s="1487"/>
      <c r="J583" s="1488"/>
      <c r="K583" s="1489"/>
      <c r="L583" s="1490"/>
      <c r="M583" s="1487"/>
      <c r="N583" s="1488"/>
      <c r="O583" s="1489"/>
      <c r="P583" s="1490"/>
      <c r="X583" s="1445" t="e">
        <f ca="1"/>
        <v>#NAME?</v>
      </c>
      <c r="Y583" s="1446" t="e">
        <f ca="1"/>
        <v>#NAME?</v>
      </c>
      <c r="Z583" s="1408"/>
    </row>
    <row r="584" spans="1:26">
      <c r="A584" s="1487"/>
      <c r="B584" s="1488"/>
      <c r="C584" s="1489"/>
      <c r="D584" s="1490"/>
      <c r="E584" s="1487"/>
      <c r="F584" s="1488"/>
      <c r="G584" s="1489"/>
      <c r="H584" s="1490"/>
      <c r="I584" s="1487"/>
      <c r="J584" s="1488"/>
      <c r="K584" s="1489"/>
      <c r="L584" s="1490"/>
      <c r="M584" s="1487"/>
      <c r="N584" s="1488"/>
      <c r="O584" s="1489"/>
      <c r="P584" s="1490"/>
      <c r="X584" s="1445" t="e">
        <f ca="1"/>
        <v>#NAME?</v>
      </c>
      <c r="Y584" s="1446" t="e">
        <f ca="1"/>
        <v>#NAME?</v>
      </c>
      <c r="Z584" s="1408"/>
    </row>
    <row r="585" spans="1:26">
      <c r="A585" s="1487"/>
      <c r="B585" s="1488"/>
      <c r="C585" s="1489"/>
      <c r="D585" s="1490"/>
      <c r="E585" s="1487"/>
      <c r="F585" s="1488"/>
      <c r="G585" s="1489"/>
      <c r="H585" s="1490"/>
      <c r="I585" s="1487"/>
      <c r="J585" s="1488"/>
      <c r="K585" s="1489"/>
      <c r="L585" s="1490"/>
      <c r="M585" s="1487"/>
      <c r="N585" s="1488"/>
      <c r="O585" s="1489"/>
      <c r="P585" s="1490"/>
      <c r="X585" s="1445" t="e">
        <f ca="1"/>
        <v>#NAME?</v>
      </c>
      <c r="Y585" s="1446" t="e">
        <f ca="1"/>
        <v>#NAME?</v>
      </c>
      <c r="Z585" s="1408"/>
    </row>
    <row r="586" spans="1:26">
      <c r="A586" s="1487"/>
      <c r="B586" s="1488"/>
      <c r="C586" s="1489"/>
      <c r="D586" s="1490"/>
      <c r="E586" s="1487"/>
      <c r="F586" s="1488"/>
      <c r="G586" s="1489"/>
      <c r="H586" s="1490"/>
      <c r="I586" s="1487"/>
      <c r="J586" s="1488"/>
      <c r="K586" s="1489"/>
      <c r="L586" s="1490"/>
      <c r="M586" s="1487"/>
      <c r="N586" s="1488"/>
      <c r="O586" s="1489"/>
      <c r="P586" s="1490"/>
      <c r="X586" s="1445" t="e">
        <f ca="1"/>
        <v>#NAME?</v>
      </c>
      <c r="Y586" s="1446" t="e">
        <f ca="1"/>
        <v>#NAME?</v>
      </c>
      <c r="Z586" s="1408"/>
    </row>
    <row r="587" spans="1:26">
      <c r="A587" s="1487"/>
      <c r="B587" s="1488"/>
      <c r="C587" s="1489"/>
      <c r="D587" s="1490"/>
      <c r="E587" s="1487"/>
      <c r="F587" s="1488"/>
      <c r="G587" s="1489"/>
      <c r="H587" s="1490"/>
      <c r="I587" s="1487"/>
      <c r="J587" s="1488"/>
      <c r="K587" s="1489"/>
      <c r="L587" s="1490"/>
      <c r="M587" s="1487"/>
      <c r="N587" s="1488"/>
      <c r="O587" s="1489"/>
      <c r="P587" s="1490"/>
      <c r="X587" s="1445" t="e">
        <f ca="1"/>
        <v>#NAME?</v>
      </c>
      <c r="Y587" s="1446" t="e">
        <f ca="1"/>
        <v>#NAME?</v>
      </c>
      <c r="Z587" s="1408"/>
    </row>
    <row r="588" spans="1:26">
      <c r="A588" s="1487"/>
      <c r="B588" s="1488"/>
      <c r="C588" s="1489"/>
      <c r="D588" s="1490"/>
      <c r="E588" s="1487"/>
      <c r="F588" s="1488"/>
      <c r="G588" s="1489"/>
      <c r="H588" s="1490"/>
      <c r="I588" s="1487"/>
      <c r="J588" s="1488"/>
      <c r="K588" s="1489"/>
      <c r="L588" s="1490"/>
      <c r="M588" s="1487"/>
      <c r="N588" s="1488"/>
      <c r="O588" s="1489"/>
      <c r="P588" s="1490"/>
      <c r="X588" s="1445" t="e">
        <f ca="1"/>
        <v>#NAME?</v>
      </c>
      <c r="Y588" s="1446" t="e">
        <f ca="1"/>
        <v>#NAME?</v>
      </c>
      <c r="Z588" s="1408"/>
    </row>
    <row r="589" spans="1:26">
      <c r="A589" s="1487"/>
      <c r="B589" s="1488"/>
      <c r="C589" s="1489"/>
      <c r="D589" s="1490"/>
      <c r="E589" s="1487"/>
      <c r="F589" s="1488"/>
      <c r="G589" s="1489"/>
      <c r="H589" s="1490"/>
      <c r="I589" s="1487"/>
      <c r="J589" s="1488"/>
      <c r="K589" s="1489"/>
      <c r="L589" s="1490"/>
      <c r="M589" s="1487"/>
      <c r="N589" s="1488"/>
      <c r="O589" s="1489"/>
      <c r="P589" s="1490"/>
      <c r="X589" s="1445" t="e">
        <f ca="1"/>
        <v>#NAME?</v>
      </c>
      <c r="Y589" s="1446" t="e">
        <f ca="1"/>
        <v>#NAME?</v>
      </c>
      <c r="Z589" s="1408"/>
    </row>
    <row r="590" spans="1:26">
      <c r="A590" s="1487"/>
      <c r="B590" s="1488"/>
      <c r="C590" s="1489"/>
      <c r="D590" s="1490"/>
      <c r="E590" s="1487"/>
      <c r="F590" s="1488"/>
      <c r="G590" s="1489"/>
      <c r="H590" s="1490"/>
      <c r="I590" s="1487"/>
      <c r="J590" s="1488"/>
      <c r="K590" s="1489"/>
      <c r="L590" s="1490"/>
      <c r="M590" s="1487"/>
      <c r="N590" s="1488"/>
      <c r="O590" s="1489"/>
      <c r="P590" s="1490"/>
      <c r="X590" s="1445" t="e">
        <f ca="1"/>
        <v>#NAME?</v>
      </c>
      <c r="Y590" s="1446" t="e">
        <f ca="1"/>
        <v>#NAME?</v>
      </c>
      <c r="Z590" s="1408"/>
    </row>
    <row r="591" spans="1:26">
      <c r="A591" s="1487"/>
      <c r="B591" s="1488"/>
      <c r="C591" s="1489"/>
      <c r="D591" s="1490"/>
      <c r="E591" s="1487"/>
      <c r="F591" s="1488"/>
      <c r="G591" s="1489"/>
      <c r="H591" s="1490"/>
      <c r="I591" s="1487"/>
      <c r="J591" s="1488"/>
      <c r="K591" s="1489"/>
      <c r="L591" s="1490"/>
      <c r="M591" s="1487"/>
      <c r="N591" s="1488"/>
      <c r="O591" s="1489"/>
      <c r="P591" s="1490"/>
      <c r="X591" s="1445" t="e">
        <f ca="1"/>
        <v>#NAME?</v>
      </c>
      <c r="Y591" s="1446" t="e">
        <f ca="1"/>
        <v>#NAME?</v>
      </c>
      <c r="Z591" s="1408"/>
    </row>
    <row r="592" spans="1:26">
      <c r="A592" s="1487"/>
      <c r="B592" s="1488"/>
      <c r="C592" s="1489"/>
      <c r="D592" s="1490"/>
      <c r="E592" s="1487"/>
      <c r="F592" s="1488"/>
      <c r="G592" s="1489"/>
      <c r="H592" s="1490"/>
      <c r="I592" s="1487"/>
      <c r="J592" s="1488"/>
      <c r="K592" s="1489"/>
      <c r="L592" s="1490"/>
      <c r="M592" s="1487"/>
      <c r="N592" s="1488"/>
      <c r="O592" s="1489"/>
      <c r="P592" s="1490"/>
      <c r="X592" s="1445" t="e">
        <f ca="1"/>
        <v>#NAME?</v>
      </c>
      <c r="Y592" s="1446" t="e">
        <f ca="1"/>
        <v>#NAME?</v>
      </c>
      <c r="Z592" s="1408"/>
    </row>
    <row r="593" spans="1:26">
      <c r="A593" s="1487"/>
      <c r="B593" s="1488"/>
      <c r="C593" s="1489"/>
      <c r="D593" s="1490"/>
      <c r="E593" s="1487"/>
      <c r="F593" s="1488"/>
      <c r="G593" s="1489"/>
      <c r="H593" s="1490"/>
      <c r="I593" s="1487"/>
      <c r="J593" s="1488"/>
      <c r="K593" s="1489"/>
      <c r="L593" s="1490"/>
      <c r="M593" s="1487"/>
      <c r="N593" s="1488"/>
      <c r="O593" s="1489"/>
      <c r="P593" s="1490"/>
      <c r="X593" s="1445" t="e">
        <f ca="1"/>
        <v>#NAME?</v>
      </c>
      <c r="Y593" s="1446" t="e">
        <f ca="1"/>
        <v>#NAME?</v>
      </c>
      <c r="Z593" s="1408"/>
    </row>
    <row r="594" spans="1:26">
      <c r="A594" s="1487"/>
      <c r="B594" s="1488"/>
      <c r="C594" s="1489"/>
      <c r="D594" s="1490"/>
      <c r="E594" s="1487"/>
      <c r="F594" s="1488"/>
      <c r="G594" s="1489"/>
      <c r="H594" s="1490"/>
      <c r="I594" s="1487"/>
      <c r="J594" s="1488"/>
      <c r="K594" s="1489"/>
      <c r="L594" s="1490"/>
      <c r="M594" s="1487"/>
      <c r="N594" s="1488"/>
      <c r="O594" s="1489"/>
      <c r="P594" s="1490"/>
      <c r="X594" s="1445" t="e">
        <f ca="1"/>
        <v>#NAME?</v>
      </c>
      <c r="Y594" s="1446" t="e">
        <f ca="1"/>
        <v>#NAME?</v>
      </c>
      <c r="Z594" s="1408"/>
    </row>
    <row r="595" spans="1:26">
      <c r="A595" s="1487"/>
      <c r="B595" s="1488"/>
      <c r="C595" s="1489"/>
      <c r="D595" s="1490"/>
      <c r="E595" s="1487"/>
      <c r="F595" s="1488"/>
      <c r="G595" s="1489"/>
      <c r="H595" s="1490"/>
      <c r="I595" s="1487"/>
      <c r="J595" s="1488"/>
      <c r="K595" s="1489"/>
      <c r="L595" s="1490"/>
      <c r="M595" s="1487"/>
      <c r="N595" s="1488"/>
      <c r="O595" s="1489"/>
      <c r="P595" s="1490"/>
      <c r="X595" s="1445" t="e">
        <f ca="1"/>
        <v>#NAME?</v>
      </c>
      <c r="Y595" s="1446" t="e">
        <f ca="1"/>
        <v>#NAME?</v>
      </c>
      <c r="Z595" s="1408"/>
    </row>
    <row r="596" spans="1:26">
      <c r="A596" s="1487"/>
      <c r="B596" s="1488"/>
      <c r="C596" s="1489"/>
      <c r="D596" s="1490"/>
      <c r="E596" s="1487"/>
      <c r="F596" s="1488"/>
      <c r="G596" s="1489"/>
      <c r="H596" s="1490"/>
      <c r="I596" s="1487"/>
      <c r="J596" s="1488"/>
      <c r="K596" s="1489"/>
      <c r="L596" s="1490"/>
      <c r="M596" s="1487"/>
      <c r="N596" s="1488"/>
      <c r="O596" s="1489"/>
      <c r="P596" s="1490"/>
      <c r="X596" s="1445" t="e">
        <f ca="1"/>
        <v>#NAME?</v>
      </c>
      <c r="Y596" s="1446" t="e">
        <f ca="1"/>
        <v>#NAME?</v>
      </c>
      <c r="Z596" s="1408"/>
    </row>
    <row r="597" spans="1:26">
      <c r="A597" s="1487"/>
      <c r="B597" s="1488"/>
      <c r="C597" s="1489"/>
      <c r="D597" s="1490"/>
      <c r="E597" s="1487"/>
      <c r="F597" s="1488"/>
      <c r="G597" s="1489"/>
      <c r="H597" s="1490"/>
      <c r="I597" s="1487"/>
      <c r="J597" s="1488"/>
      <c r="K597" s="1489"/>
      <c r="L597" s="1490"/>
      <c r="M597" s="1487"/>
      <c r="N597" s="1488"/>
      <c r="O597" s="1489"/>
      <c r="P597" s="1490"/>
      <c r="X597" s="1445" t="e">
        <f ca="1"/>
        <v>#NAME?</v>
      </c>
      <c r="Y597" s="1446" t="e">
        <f ca="1"/>
        <v>#NAME?</v>
      </c>
      <c r="Z597" s="1408"/>
    </row>
    <row r="598" spans="1:26">
      <c r="A598" s="1487"/>
      <c r="B598" s="1488"/>
      <c r="C598" s="1489"/>
      <c r="D598" s="1490"/>
      <c r="E598" s="1487"/>
      <c r="F598" s="1488"/>
      <c r="G598" s="1489"/>
      <c r="H598" s="1490"/>
      <c r="I598" s="1487"/>
      <c r="J598" s="1488"/>
      <c r="K598" s="1489"/>
      <c r="L598" s="1490"/>
      <c r="M598" s="1487"/>
      <c r="N598" s="1488"/>
      <c r="O598" s="1489"/>
      <c r="P598" s="1490"/>
      <c r="X598" s="1445" t="e">
        <f ca="1"/>
        <v>#NAME?</v>
      </c>
      <c r="Y598" s="1446" t="e">
        <f ca="1"/>
        <v>#NAME?</v>
      </c>
      <c r="Z598" s="1408"/>
    </row>
    <row r="599" spans="1:26">
      <c r="A599" s="1487"/>
      <c r="B599" s="1488"/>
      <c r="C599" s="1489"/>
      <c r="D599" s="1490"/>
      <c r="E599" s="1487"/>
      <c r="F599" s="1488"/>
      <c r="G599" s="1489"/>
      <c r="H599" s="1490"/>
      <c r="I599" s="1487"/>
      <c r="J599" s="1488"/>
      <c r="K599" s="1489"/>
      <c r="L599" s="1490"/>
      <c r="M599" s="1487"/>
      <c r="N599" s="1488"/>
      <c r="O599" s="1489"/>
      <c r="P599" s="1490"/>
      <c r="X599" s="1445" t="e">
        <f ca="1"/>
        <v>#NAME?</v>
      </c>
      <c r="Y599" s="1446" t="e">
        <f ca="1"/>
        <v>#NAME?</v>
      </c>
      <c r="Z599" s="1408"/>
    </row>
    <row r="600" spans="1:26">
      <c r="A600" s="1487"/>
      <c r="B600" s="1488"/>
      <c r="C600" s="1489"/>
      <c r="D600" s="1490"/>
      <c r="E600" s="1487"/>
      <c r="F600" s="1488"/>
      <c r="G600" s="1489"/>
      <c r="H600" s="1490"/>
      <c r="I600" s="1487"/>
      <c r="J600" s="1488"/>
      <c r="K600" s="1489"/>
      <c r="L600" s="1490"/>
      <c r="M600" s="1487"/>
      <c r="N600" s="1488"/>
      <c r="O600" s="1489"/>
      <c r="P600" s="1490"/>
      <c r="X600" s="1445" t="e">
        <f ca="1"/>
        <v>#NAME?</v>
      </c>
      <c r="Y600" s="1446" t="e">
        <f ca="1"/>
        <v>#NAME?</v>
      </c>
      <c r="Z600" s="1408"/>
    </row>
    <row r="601" spans="1:26">
      <c r="A601" s="1487"/>
      <c r="B601" s="1488"/>
      <c r="C601" s="1489"/>
      <c r="D601" s="1490"/>
      <c r="E601" s="1487"/>
      <c r="F601" s="1488"/>
      <c r="G601" s="1489"/>
      <c r="H601" s="1490"/>
      <c r="I601" s="1487"/>
      <c r="J601" s="1488"/>
      <c r="K601" s="1489"/>
      <c r="L601" s="1490"/>
      <c r="M601" s="1487"/>
      <c r="N601" s="1488"/>
      <c r="O601" s="1489"/>
      <c r="P601" s="1490"/>
      <c r="X601" s="1445" t="e">
        <f ca="1"/>
        <v>#NAME?</v>
      </c>
      <c r="Y601" s="1446" t="e">
        <f ca="1"/>
        <v>#NAME?</v>
      </c>
      <c r="Z601" s="1408"/>
    </row>
    <row r="602" spans="1:26">
      <c r="A602" s="1487"/>
      <c r="B602" s="1488"/>
      <c r="C602" s="1489"/>
      <c r="D602" s="1490"/>
      <c r="E602" s="1487"/>
      <c r="F602" s="1488"/>
      <c r="G602" s="1489"/>
      <c r="H602" s="1490"/>
      <c r="I602" s="1487"/>
      <c r="J602" s="1488"/>
      <c r="K602" s="1489"/>
      <c r="L602" s="1490"/>
      <c r="M602" s="1487"/>
      <c r="N602" s="1488"/>
      <c r="O602" s="1489"/>
      <c r="P602" s="1490"/>
      <c r="X602" s="1445" t="e">
        <f ca="1"/>
        <v>#NAME?</v>
      </c>
      <c r="Y602" s="1446" t="e">
        <f ca="1"/>
        <v>#NAME?</v>
      </c>
      <c r="Z602" s="1408"/>
    </row>
    <row r="603" spans="1:26">
      <c r="A603" s="1487"/>
      <c r="B603" s="1488"/>
      <c r="C603" s="1489"/>
      <c r="D603" s="1490"/>
      <c r="E603" s="1487"/>
      <c r="F603" s="1488"/>
      <c r="G603" s="1489"/>
      <c r="H603" s="1490"/>
      <c r="I603" s="1487"/>
      <c r="J603" s="1488"/>
      <c r="K603" s="1489"/>
      <c r="L603" s="1490"/>
      <c r="M603" s="1487"/>
      <c r="N603" s="1488"/>
      <c r="O603" s="1489"/>
      <c r="P603" s="1490"/>
      <c r="X603" s="1445" t="e">
        <f ca="1"/>
        <v>#NAME?</v>
      </c>
      <c r="Y603" s="1446" t="e">
        <f ca="1"/>
        <v>#NAME?</v>
      </c>
      <c r="Z603" s="1408"/>
    </row>
    <row r="604" spans="1:26">
      <c r="A604" s="1487"/>
      <c r="B604" s="1488"/>
      <c r="C604" s="1489"/>
      <c r="D604" s="1490"/>
      <c r="E604" s="1487"/>
      <c r="F604" s="1488"/>
      <c r="G604" s="1489"/>
      <c r="H604" s="1490"/>
      <c r="I604" s="1487"/>
      <c r="J604" s="1488"/>
      <c r="K604" s="1489"/>
      <c r="L604" s="1490"/>
      <c r="M604" s="1487"/>
      <c r="N604" s="1488"/>
      <c r="O604" s="1489"/>
      <c r="P604" s="1490"/>
      <c r="X604" s="1445" t="e">
        <f ca="1"/>
        <v>#NAME?</v>
      </c>
      <c r="Y604" s="1446" t="e">
        <f ca="1"/>
        <v>#NAME?</v>
      </c>
      <c r="Z604" s="1408"/>
    </row>
    <row r="605" spans="1:26">
      <c r="A605" s="1487"/>
      <c r="B605" s="1488"/>
      <c r="C605" s="1489"/>
      <c r="D605" s="1490"/>
      <c r="E605" s="1487"/>
      <c r="F605" s="1488"/>
      <c r="G605" s="1489"/>
      <c r="H605" s="1490"/>
      <c r="I605" s="1487"/>
      <c r="J605" s="1488"/>
      <c r="K605" s="1489"/>
      <c r="L605" s="1490"/>
      <c r="M605" s="1487"/>
      <c r="N605" s="1488"/>
      <c r="O605" s="1489"/>
      <c r="P605" s="1490"/>
      <c r="X605" s="1445" t="e">
        <f ca="1"/>
        <v>#NAME?</v>
      </c>
      <c r="Y605" s="1446" t="e">
        <f ca="1"/>
        <v>#NAME?</v>
      </c>
      <c r="Z605" s="1408"/>
    </row>
    <row r="606" spans="1:26">
      <c r="A606" s="1487"/>
      <c r="B606" s="1488"/>
      <c r="C606" s="1489"/>
      <c r="D606" s="1490"/>
      <c r="E606" s="1487"/>
      <c r="F606" s="1488"/>
      <c r="G606" s="1489"/>
      <c r="H606" s="1490"/>
      <c r="I606" s="1487"/>
      <c r="J606" s="1488"/>
      <c r="K606" s="1489"/>
      <c r="L606" s="1490"/>
      <c r="M606" s="1487"/>
      <c r="N606" s="1488"/>
      <c r="O606" s="1489"/>
      <c r="P606" s="1490"/>
      <c r="X606" s="1445" t="e">
        <f ca="1"/>
        <v>#NAME?</v>
      </c>
      <c r="Y606" s="1446" t="e">
        <f ca="1"/>
        <v>#NAME?</v>
      </c>
      <c r="Z606" s="1408"/>
    </row>
    <row r="607" spans="1:26">
      <c r="A607" s="1487"/>
      <c r="B607" s="1488"/>
      <c r="C607" s="1489"/>
      <c r="D607" s="1490"/>
      <c r="E607" s="1487"/>
      <c r="F607" s="1488"/>
      <c r="G607" s="1489"/>
      <c r="H607" s="1490"/>
      <c r="I607" s="1487"/>
      <c r="J607" s="1488"/>
      <c r="K607" s="1489"/>
      <c r="L607" s="1490"/>
      <c r="M607" s="1487"/>
      <c r="N607" s="1488"/>
      <c r="O607" s="1489"/>
      <c r="P607" s="1490"/>
      <c r="X607" s="1445" t="e">
        <f ca="1"/>
        <v>#NAME?</v>
      </c>
      <c r="Y607" s="1446" t="e">
        <f ca="1"/>
        <v>#NAME?</v>
      </c>
      <c r="Z607" s="1408"/>
    </row>
    <row r="608" spans="1:26">
      <c r="A608" s="1487"/>
      <c r="B608" s="1488"/>
      <c r="C608" s="1489"/>
      <c r="D608" s="1490"/>
      <c r="E608" s="1487"/>
      <c r="F608" s="1488"/>
      <c r="G608" s="1489"/>
      <c r="H608" s="1490"/>
      <c r="I608" s="1487"/>
      <c r="J608" s="1488"/>
      <c r="K608" s="1489"/>
      <c r="L608" s="1490"/>
      <c r="M608" s="1487"/>
      <c r="N608" s="1488"/>
      <c r="O608" s="1489"/>
      <c r="P608" s="1490"/>
      <c r="X608" s="1445" t="e">
        <f ca="1"/>
        <v>#NAME?</v>
      </c>
      <c r="Y608" s="1446" t="e">
        <f ca="1"/>
        <v>#NAME?</v>
      </c>
      <c r="Z608" s="1408"/>
    </row>
    <row r="609" spans="1:26">
      <c r="A609" s="1487"/>
      <c r="B609" s="1488"/>
      <c r="C609" s="1489"/>
      <c r="D609" s="1490"/>
      <c r="E609" s="1487"/>
      <c r="F609" s="1488"/>
      <c r="G609" s="1489"/>
      <c r="H609" s="1490"/>
      <c r="I609" s="1487"/>
      <c r="J609" s="1488"/>
      <c r="K609" s="1489"/>
      <c r="L609" s="1490"/>
      <c r="M609" s="1487"/>
      <c r="N609" s="1488"/>
      <c r="O609" s="1489"/>
      <c r="P609" s="1490"/>
      <c r="X609" s="1445" t="e">
        <f ca="1"/>
        <v>#NAME?</v>
      </c>
      <c r="Y609" s="1446" t="e">
        <f ca="1"/>
        <v>#NAME?</v>
      </c>
      <c r="Z609" s="1408"/>
    </row>
    <row r="610" spans="1:26">
      <c r="A610" s="1487"/>
      <c r="B610" s="1488"/>
      <c r="C610" s="1489"/>
      <c r="D610" s="1490"/>
      <c r="E610" s="1487"/>
      <c r="F610" s="1488"/>
      <c r="G610" s="1489"/>
      <c r="H610" s="1490"/>
      <c r="I610" s="1487"/>
      <c r="J610" s="1488"/>
      <c r="K610" s="1489"/>
      <c r="L610" s="1490"/>
      <c r="M610" s="1487"/>
      <c r="N610" s="1488"/>
      <c r="O610" s="1489"/>
      <c r="P610" s="1490"/>
      <c r="X610" s="1445" t="e">
        <f ca="1"/>
        <v>#NAME?</v>
      </c>
      <c r="Y610" s="1446" t="e">
        <f ca="1"/>
        <v>#NAME?</v>
      </c>
      <c r="Z610" s="1408"/>
    </row>
    <row r="611" spans="1:26">
      <c r="A611" s="1487"/>
      <c r="B611" s="1488"/>
      <c r="C611" s="1489"/>
      <c r="D611" s="1490"/>
      <c r="E611" s="1487"/>
      <c r="F611" s="1488"/>
      <c r="G611" s="1489"/>
      <c r="H611" s="1490"/>
      <c r="I611" s="1487"/>
      <c r="J611" s="1488"/>
      <c r="K611" s="1489"/>
      <c r="L611" s="1490"/>
      <c r="M611" s="1487"/>
      <c r="N611" s="1488"/>
      <c r="O611" s="1489"/>
      <c r="P611" s="1490"/>
      <c r="X611" s="1445" t="e">
        <f ca="1"/>
        <v>#NAME?</v>
      </c>
      <c r="Y611" s="1446" t="e">
        <f ca="1"/>
        <v>#NAME?</v>
      </c>
      <c r="Z611" s="1408"/>
    </row>
    <row r="612" spans="1:26">
      <c r="A612" s="1487"/>
      <c r="B612" s="1488"/>
      <c r="C612" s="1489"/>
      <c r="D612" s="1490"/>
      <c r="E612" s="1487"/>
      <c r="F612" s="1488"/>
      <c r="G612" s="1489"/>
      <c r="H612" s="1490"/>
      <c r="I612" s="1487"/>
      <c r="J612" s="1488"/>
      <c r="K612" s="1489"/>
      <c r="L612" s="1490"/>
      <c r="M612" s="1487"/>
      <c r="N612" s="1488"/>
      <c r="O612" s="1489"/>
      <c r="P612" s="1490"/>
      <c r="X612" s="1445" t="e">
        <f ca="1"/>
        <v>#NAME?</v>
      </c>
      <c r="Y612" s="1446" t="e">
        <f ca="1"/>
        <v>#NAME?</v>
      </c>
      <c r="Z612" s="1408"/>
    </row>
    <row r="613" spans="1:26">
      <c r="A613" s="1487"/>
      <c r="B613" s="1488"/>
      <c r="C613" s="1489"/>
      <c r="D613" s="1490"/>
      <c r="E613" s="1487"/>
      <c r="F613" s="1488"/>
      <c r="G613" s="1489"/>
      <c r="H613" s="1490"/>
      <c r="I613" s="1487"/>
      <c r="J613" s="1488"/>
      <c r="K613" s="1489"/>
      <c r="L613" s="1490"/>
      <c r="M613" s="1487"/>
      <c r="N613" s="1488"/>
      <c r="O613" s="1489"/>
      <c r="P613" s="1490"/>
      <c r="X613" s="1445" t="e">
        <f ca="1"/>
        <v>#NAME?</v>
      </c>
      <c r="Y613" s="1446" t="e">
        <f ca="1"/>
        <v>#NAME?</v>
      </c>
      <c r="Z613" s="1408"/>
    </row>
    <row r="614" spans="1:26">
      <c r="A614" s="1487"/>
      <c r="B614" s="1488"/>
      <c r="C614" s="1489"/>
      <c r="D614" s="1490"/>
      <c r="E614" s="1487"/>
      <c r="F614" s="1488"/>
      <c r="G614" s="1489"/>
      <c r="H614" s="1490"/>
      <c r="I614" s="1487"/>
      <c r="J614" s="1488"/>
      <c r="K614" s="1489"/>
      <c r="L614" s="1490"/>
      <c r="M614" s="1487"/>
      <c r="N614" s="1488"/>
      <c r="O614" s="1489"/>
      <c r="P614" s="1490"/>
      <c r="X614" s="1445" t="e">
        <f ca="1"/>
        <v>#NAME?</v>
      </c>
      <c r="Y614" s="1446" t="e">
        <f ca="1"/>
        <v>#NAME?</v>
      </c>
      <c r="Z614" s="1408"/>
    </row>
    <row r="615" spans="1:26">
      <c r="A615" s="1487"/>
      <c r="B615" s="1488"/>
      <c r="C615" s="1489"/>
      <c r="D615" s="1490"/>
      <c r="E615" s="1487"/>
      <c r="F615" s="1488"/>
      <c r="G615" s="1489"/>
      <c r="H615" s="1490"/>
      <c r="I615" s="1487"/>
      <c r="J615" s="1488"/>
      <c r="K615" s="1489"/>
      <c r="L615" s="1490"/>
      <c r="M615" s="1487"/>
      <c r="N615" s="1488"/>
      <c r="O615" s="1489"/>
      <c r="P615" s="1490"/>
      <c r="X615" s="1445" t="e">
        <f ca="1"/>
        <v>#NAME?</v>
      </c>
      <c r="Y615" s="1446" t="e">
        <f ca="1"/>
        <v>#NAME?</v>
      </c>
      <c r="Z615" s="1408"/>
    </row>
    <row r="616" spans="1:26">
      <c r="A616" s="1487"/>
      <c r="B616" s="1488"/>
      <c r="C616" s="1489"/>
      <c r="D616" s="1490"/>
      <c r="E616" s="1487"/>
      <c r="F616" s="1488"/>
      <c r="G616" s="1489"/>
      <c r="H616" s="1490"/>
      <c r="I616" s="1487"/>
      <c r="J616" s="1488"/>
      <c r="K616" s="1489"/>
      <c r="L616" s="1490"/>
      <c r="M616" s="1487"/>
      <c r="N616" s="1488"/>
      <c r="O616" s="1489"/>
      <c r="P616" s="1490"/>
      <c r="X616" s="1445" t="e">
        <f ca="1"/>
        <v>#NAME?</v>
      </c>
      <c r="Y616" s="1446" t="e">
        <f ca="1"/>
        <v>#NAME?</v>
      </c>
      <c r="Z616" s="1408"/>
    </row>
    <row r="617" spans="1:26">
      <c r="A617" s="1487"/>
      <c r="B617" s="1488"/>
      <c r="C617" s="1489"/>
      <c r="D617" s="1490"/>
      <c r="E617" s="1487"/>
      <c r="F617" s="1488"/>
      <c r="G617" s="1489"/>
      <c r="H617" s="1490"/>
      <c r="I617" s="1487"/>
      <c r="J617" s="1488"/>
      <c r="K617" s="1489"/>
      <c r="L617" s="1490"/>
      <c r="M617" s="1487"/>
      <c r="N617" s="1488"/>
      <c r="O617" s="1489"/>
      <c r="P617" s="1490"/>
      <c r="X617" s="1445" t="e">
        <f ca="1"/>
        <v>#NAME?</v>
      </c>
      <c r="Y617" s="1446" t="e">
        <f ca="1"/>
        <v>#NAME?</v>
      </c>
      <c r="Z617" s="1408"/>
    </row>
    <row r="618" spans="1:26">
      <c r="A618" s="1487"/>
      <c r="B618" s="1488"/>
      <c r="C618" s="1489"/>
      <c r="D618" s="1490"/>
      <c r="E618" s="1487"/>
      <c r="F618" s="1488"/>
      <c r="G618" s="1489"/>
      <c r="H618" s="1490"/>
      <c r="I618" s="1487"/>
      <c r="J618" s="1488"/>
      <c r="K618" s="1489"/>
      <c r="L618" s="1490"/>
      <c r="M618" s="1487"/>
      <c r="N618" s="1488"/>
      <c r="O618" s="1489"/>
      <c r="P618" s="1490"/>
      <c r="X618" s="1445" t="e">
        <f ca="1"/>
        <v>#NAME?</v>
      </c>
      <c r="Y618" s="1446" t="e">
        <f ca="1"/>
        <v>#NAME?</v>
      </c>
      <c r="Z618" s="1408"/>
    </row>
    <row r="619" spans="1:26">
      <c r="A619" s="1487"/>
      <c r="B619" s="1488"/>
      <c r="C619" s="1489"/>
      <c r="D619" s="1490"/>
      <c r="E619" s="1487"/>
      <c r="F619" s="1488"/>
      <c r="G619" s="1489"/>
      <c r="H619" s="1490"/>
      <c r="I619" s="1487"/>
      <c r="J619" s="1488"/>
      <c r="K619" s="1489"/>
      <c r="L619" s="1490"/>
      <c r="M619" s="1487"/>
      <c r="N619" s="1488"/>
      <c r="O619" s="1489"/>
      <c r="P619" s="1490"/>
      <c r="X619" s="1445" t="e">
        <f ca="1"/>
        <v>#NAME?</v>
      </c>
      <c r="Y619" s="1446" t="e">
        <f ca="1"/>
        <v>#NAME?</v>
      </c>
      <c r="Z619" s="1408"/>
    </row>
    <row r="620" spans="1:26">
      <c r="A620" s="1487"/>
      <c r="B620" s="1488"/>
      <c r="C620" s="1489"/>
      <c r="D620" s="1490"/>
      <c r="E620" s="1487"/>
      <c r="F620" s="1488"/>
      <c r="G620" s="1489"/>
      <c r="H620" s="1490"/>
      <c r="I620" s="1487"/>
      <c r="J620" s="1488"/>
      <c r="K620" s="1489"/>
      <c r="L620" s="1490"/>
      <c r="M620" s="1487"/>
      <c r="N620" s="1488"/>
      <c r="O620" s="1489"/>
      <c r="P620" s="1490"/>
      <c r="X620" s="1445" t="e">
        <f ca="1"/>
        <v>#NAME?</v>
      </c>
      <c r="Y620" s="1446" t="e">
        <f ca="1"/>
        <v>#NAME?</v>
      </c>
      <c r="Z620" s="1408"/>
    </row>
    <row r="621" spans="1:26">
      <c r="A621" s="1487"/>
      <c r="B621" s="1488"/>
      <c r="C621" s="1489"/>
      <c r="D621" s="1490"/>
      <c r="E621" s="1487"/>
      <c r="F621" s="1488"/>
      <c r="G621" s="1489"/>
      <c r="H621" s="1490"/>
      <c r="I621" s="1487"/>
      <c r="J621" s="1488"/>
      <c r="K621" s="1489"/>
      <c r="L621" s="1490"/>
      <c r="M621" s="1487"/>
      <c r="N621" s="1488"/>
      <c r="O621" s="1489"/>
      <c r="P621" s="1490"/>
      <c r="X621" s="1445" t="e">
        <f ca="1"/>
        <v>#NAME?</v>
      </c>
      <c r="Y621" s="1446" t="e">
        <f ca="1"/>
        <v>#NAME?</v>
      </c>
      <c r="Z621" s="1408"/>
    </row>
    <row r="622" spans="1:26">
      <c r="A622" s="1487"/>
      <c r="B622" s="1488"/>
      <c r="C622" s="1489"/>
      <c r="D622" s="1490"/>
      <c r="E622" s="1487"/>
      <c r="F622" s="1488"/>
      <c r="G622" s="1489"/>
      <c r="H622" s="1490"/>
      <c r="I622" s="1487"/>
      <c r="J622" s="1488"/>
      <c r="K622" s="1489"/>
      <c r="L622" s="1490"/>
      <c r="M622" s="1487"/>
      <c r="N622" s="1488"/>
      <c r="O622" s="1489"/>
      <c r="P622" s="1490"/>
      <c r="X622" s="1445" t="e">
        <f ca="1"/>
        <v>#NAME?</v>
      </c>
      <c r="Y622" s="1446" t="e">
        <f ca="1"/>
        <v>#NAME?</v>
      </c>
      <c r="Z622" s="1408"/>
    </row>
    <row r="623" spans="1:26">
      <c r="A623" s="1487"/>
      <c r="B623" s="1488"/>
      <c r="C623" s="1489"/>
      <c r="D623" s="1490"/>
      <c r="E623" s="1487"/>
      <c r="F623" s="1488"/>
      <c r="G623" s="1489"/>
      <c r="H623" s="1490"/>
      <c r="I623" s="1487"/>
      <c r="J623" s="1488"/>
      <c r="K623" s="1489"/>
      <c r="L623" s="1490"/>
      <c r="M623" s="1487"/>
      <c r="N623" s="1488"/>
      <c r="O623" s="1489"/>
      <c r="P623" s="1490"/>
      <c r="X623" s="1445" t="e">
        <f ca="1"/>
        <v>#NAME?</v>
      </c>
      <c r="Y623" s="1446" t="e">
        <f ca="1"/>
        <v>#NAME?</v>
      </c>
      <c r="Z623" s="1408"/>
    </row>
    <row r="624" spans="1:26">
      <c r="A624" s="1487"/>
      <c r="B624" s="1488"/>
      <c r="C624" s="1489"/>
      <c r="D624" s="1490"/>
      <c r="E624" s="1487"/>
      <c r="F624" s="1488"/>
      <c r="G624" s="1489"/>
      <c r="H624" s="1490"/>
      <c r="I624" s="1487"/>
      <c r="J624" s="1488"/>
      <c r="K624" s="1489"/>
      <c r="L624" s="1490"/>
      <c r="M624" s="1487"/>
      <c r="N624" s="1488"/>
      <c r="O624" s="1489"/>
      <c r="P624" s="1490"/>
      <c r="X624" s="1445" t="e">
        <f ca="1"/>
        <v>#NAME?</v>
      </c>
      <c r="Y624" s="1446" t="e">
        <f ca="1"/>
        <v>#NAME?</v>
      </c>
      <c r="Z624" s="1408"/>
    </row>
    <row r="625" spans="1:26">
      <c r="A625" s="1487"/>
      <c r="B625" s="1488"/>
      <c r="C625" s="1489"/>
      <c r="D625" s="1490"/>
      <c r="E625" s="1487"/>
      <c r="F625" s="1488"/>
      <c r="G625" s="1489"/>
      <c r="H625" s="1490"/>
      <c r="I625" s="1487"/>
      <c r="J625" s="1488"/>
      <c r="K625" s="1489"/>
      <c r="L625" s="1490"/>
      <c r="M625" s="1487"/>
      <c r="N625" s="1488"/>
      <c r="O625" s="1489"/>
      <c r="P625" s="1490"/>
      <c r="X625" s="1445" t="e">
        <f ca="1"/>
        <v>#NAME?</v>
      </c>
      <c r="Y625" s="1446" t="e">
        <f ca="1"/>
        <v>#NAME?</v>
      </c>
      <c r="Z625" s="1408"/>
    </row>
    <row r="626" spans="1:26">
      <c r="A626" s="1487"/>
      <c r="B626" s="1488"/>
      <c r="C626" s="1489"/>
      <c r="D626" s="1490"/>
      <c r="E626" s="1487"/>
      <c r="F626" s="1488"/>
      <c r="G626" s="1489"/>
      <c r="H626" s="1490"/>
      <c r="I626" s="1487"/>
      <c r="J626" s="1488"/>
      <c r="K626" s="1489"/>
      <c r="L626" s="1490"/>
      <c r="M626" s="1487"/>
      <c r="N626" s="1488"/>
      <c r="O626" s="1489"/>
      <c r="P626" s="1490"/>
      <c r="X626" s="1445" t="e">
        <f ca="1"/>
        <v>#NAME?</v>
      </c>
      <c r="Y626" s="1446" t="e">
        <f ca="1"/>
        <v>#NAME?</v>
      </c>
      <c r="Z626" s="1408"/>
    </row>
    <row r="627" spans="1:26">
      <c r="A627" s="1487"/>
      <c r="B627" s="1488"/>
      <c r="C627" s="1489"/>
      <c r="D627" s="1490"/>
      <c r="E627" s="1487"/>
      <c r="F627" s="1488"/>
      <c r="G627" s="1489"/>
      <c r="H627" s="1490"/>
      <c r="I627" s="1487"/>
      <c r="J627" s="1488"/>
      <c r="K627" s="1489"/>
      <c r="L627" s="1490"/>
      <c r="M627" s="1487"/>
      <c r="N627" s="1488"/>
      <c r="O627" s="1489"/>
      <c r="P627" s="1490"/>
      <c r="X627" s="1445" t="e">
        <f ca="1"/>
        <v>#NAME?</v>
      </c>
      <c r="Y627" s="1446" t="e">
        <f ca="1"/>
        <v>#NAME?</v>
      </c>
      <c r="Z627" s="1408"/>
    </row>
    <row r="628" spans="1:26">
      <c r="A628" s="1487"/>
      <c r="B628" s="1488"/>
      <c r="C628" s="1489"/>
      <c r="D628" s="1490"/>
      <c r="E628" s="1487"/>
      <c r="F628" s="1488"/>
      <c r="G628" s="1489"/>
      <c r="H628" s="1490"/>
      <c r="I628" s="1487"/>
      <c r="J628" s="1488"/>
      <c r="K628" s="1489"/>
      <c r="L628" s="1490"/>
      <c r="M628" s="1487"/>
      <c r="N628" s="1488"/>
      <c r="O628" s="1489"/>
      <c r="P628" s="1490"/>
      <c r="X628" s="1445" t="e">
        <f ca="1"/>
        <v>#NAME?</v>
      </c>
      <c r="Y628" s="1446" t="e">
        <f ca="1"/>
        <v>#NAME?</v>
      </c>
      <c r="Z628" s="1408"/>
    </row>
    <row r="629" spans="1:26">
      <c r="A629" s="1487"/>
      <c r="B629" s="1488"/>
      <c r="C629" s="1489"/>
      <c r="D629" s="1490"/>
      <c r="E629" s="1487"/>
      <c r="F629" s="1488"/>
      <c r="G629" s="1489"/>
      <c r="H629" s="1490"/>
      <c r="I629" s="1487"/>
      <c r="J629" s="1488"/>
      <c r="K629" s="1489"/>
      <c r="L629" s="1490"/>
      <c r="M629" s="1487"/>
      <c r="N629" s="1488"/>
      <c r="O629" s="1489"/>
      <c r="P629" s="1490"/>
      <c r="X629" s="1445" t="e">
        <f ca="1"/>
        <v>#NAME?</v>
      </c>
      <c r="Y629" s="1446" t="e">
        <f ca="1"/>
        <v>#NAME?</v>
      </c>
      <c r="Z629" s="1408"/>
    </row>
    <row r="630" spans="1:26">
      <c r="A630" s="1487"/>
      <c r="B630" s="1488"/>
      <c r="C630" s="1489"/>
      <c r="D630" s="1490"/>
      <c r="E630" s="1487"/>
      <c r="F630" s="1488"/>
      <c r="G630" s="1489"/>
      <c r="H630" s="1490"/>
      <c r="I630" s="1487"/>
      <c r="J630" s="1488"/>
      <c r="K630" s="1489"/>
      <c r="L630" s="1490"/>
      <c r="M630" s="1487"/>
      <c r="N630" s="1488"/>
      <c r="O630" s="1489"/>
      <c r="P630" s="1490"/>
      <c r="X630" s="1445" t="e">
        <f ca="1"/>
        <v>#NAME?</v>
      </c>
      <c r="Y630" s="1446" t="e">
        <f ca="1"/>
        <v>#NAME?</v>
      </c>
      <c r="Z630" s="1408"/>
    </row>
    <row r="631" spans="1:26">
      <c r="A631" s="1487"/>
      <c r="B631" s="1488"/>
      <c r="C631" s="1489"/>
      <c r="D631" s="1490"/>
      <c r="E631" s="1487"/>
      <c r="F631" s="1488"/>
      <c r="G631" s="1489"/>
      <c r="H631" s="1490"/>
      <c r="I631" s="1487"/>
      <c r="J631" s="1488"/>
      <c r="K631" s="1489"/>
      <c r="L631" s="1490"/>
      <c r="M631" s="1487"/>
      <c r="N631" s="1488"/>
      <c r="O631" s="1489"/>
      <c r="P631" s="1490"/>
      <c r="X631" s="1445" t="e">
        <f ca="1"/>
        <v>#NAME?</v>
      </c>
      <c r="Y631" s="1446" t="e">
        <f ca="1"/>
        <v>#NAME?</v>
      </c>
      <c r="Z631" s="1408"/>
    </row>
    <row r="632" spans="1:26">
      <c r="A632" s="1487"/>
      <c r="B632" s="1488"/>
      <c r="C632" s="1489"/>
      <c r="D632" s="1490"/>
      <c r="E632" s="1487"/>
      <c r="F632" s="1488"/>
      <c r="G632" s="1489"/>
      <c r="H632" s="1490"/>
      <c r="I632" s="1487"/>
      <c r="J632" s="1488"/>
      <c r="K632" s="1489"/>
      <c r="L632" s="1490"/>
      <c r="M632" s="1487"/>
      <c r="N632" s="1488"/>
      <c r="O632" s="1489"/>
      <c r="P632" s="1490"/>
      <c r="X632" s="1445" t="e">
        <f ca="1"/>
        <v>#NAME?</v>
      </c>
      <c r="Y632" s="1446" t="e">
        <f ca="1"/>
        <v>#NAME?</v>
      </c>
      <c r="Z632" s="1408"/>
    </row>
    <row r="633" spans="1:26">
      <c r="A633" s="1487"/>
      <c r="B633" s="1488"/>
      <c r="C633" s="1489"/>
      <c r="D633" s="1490"/>
      <c r="E633" s="1487"/>
      <c r="F633" s="1488"/>
      <c r="G633" s="1489"/>
      <c r="H633" s="1490"/>
      <c r="I633" s="1487"/>
      <c r="J633" s="1488"/>
      <c r="K633" s="1489"/>
      <c r="L633" s="1490"/>
      <c r="M633" s="1487"/>
      <c r="N633" s="1488"/>
      <c r="O633" s="1489"/>
      <c r="P633" s="1490"/>
      <c r="X633" s="1445" t="e">
        <f ca="1"/>
        <v>#NAME?</v>
      </c>
      <c r="Y633" s="1446" t="e">
        <f ca="1"/>
        <v>#NAME?</v>
      </c>
      <c r="Z633" s="1408"/>
    </row>
    <row r="634" spans="1:26">
      <c r="A634" s="1487"/>
      <c r="B634" s="1488"/>
      <c r="C634" s="1489"/>
      <c r="D634" s="1490"/>
      <c r="E634" s="1487"/>
      <c r="F634" s="1488"/>
      <c r="G634" s="1489"/>
      <c r="H634" s="1490"/>
      <c r="I634" s="1487"/>
      <c r="J634" s="1488"/>
      <c r="K634" s="1489"/>
      <c r="L634" s="1490"/>
      <c r="M634" s="1487"/>
      <c r="N634" s="1488"/>
      <c r="O634" s="1489"/>
      <c r="P634" s="1490"/>
      <c r="X634" s="1445" t="e">
        <f ca="1"/>
        <v>#NAME?</v>
      </c>
      <c r="Y634" s="1446" t="e">
        <f ca="1"/>
        <v>#NAME?</v>
      </c>
      <c r="Z634" s="1408"/>
    </row>
    <row r="635" spans="1:26">
      <c r="A635" s="1487"/>
      <c r="B635" s="1488"/>
      <c r="C635" s="1489"/>
      <c r="D635" s="1490"/>
      <c r="E635" s="1487"/>
      <c r="F635" s="1488"/>
      <c r="G635" s="1489"/>
      <c r="H635" s="1490"/>
      <c r="I635" s="1487"/>
      <c r="J635" s="1488"/>
      <c r="K635" s="1489"/>
      <c r="L635" s="1490"/>
      <c r="M635" s="1487"/>
      <c r="N635" s="1488"/>
      <c r="O635" s="1489"/>
      <c r="P635" s="1490"/>
      <c r="X635" s="1445" t="e">
        <f ca="1"/>
        <v>#NAME?</v>
      </c>
      <c r="Y635" s="1446" t="e">
        <f ca="1"/>
        <v>#NAME?</v>
      </c>
      <c r="Z635" s="1408"/>
    </row>
    <row r="636" spans="1:26">
      <c r="A636" s="1487"/>
      <c r="B636" s="1488"/>
      <c r="C636" s="1489"/>
      <c r="D636" s="1490"/>
      <c r="E636" s="1487"/>
      <c r="F636" s="1488"/>
      <c r="G636" s="1489"/>
      <c r="H636" s="1490"/>
      <c r="I636" s="1487"/>
      <c r="J636" s="1488"/>
      <c r="K636" s="1489"/>
      <c r="L636" s="1490"/>
      <c r="M636" s="1487"/>
      <c r="N636" s="1488"/>
      <c r="O636" s="1489"/>
      <c r="P636" s="1490"/>
      <c r="X636" s="1445" t="e">
        <f ca="1"/>
        <v>#NAME?</v>
      </c>
      <c r="Y636" s="1446" t="e">
        <f ca="1"/>
        <v>#NAME?</v>
      </c>
      <c r="Z636" s="1408"/>
    </row>
    <row r="637" spans="1:26">
      <c r="A637" s="1487"/>
      <c r="B637" s="1488"/>
      <c r="C637" s="1489"/>
      <c r="D637" s="1490"/>
      <c r="E637" s="1487"/>
      <c r="F637" s="1488"/>
      <c r="G637" s="1489"/>
      <c r="H637" s="1490"/>
      <c r="I637" s="1487"/>
      <c r="J637" s="1488"/>
      <c r="K637" s="1489"/>
      <c r="L637" s="1490"/>
      <c r="M637" s="1487"/>
      <c r="N637" s="1488"/>
      <c r="O637" s="1489"/>
      <c r="P637" s="1490"/>
      <c r="X637" s="1445" t="e">
        <f ca="1"/>
        <v>#NAME?</v>
      </c>
      <c r="Y637" s="1446" t="e">
        <f ca="1"/>
        <v>#NAME?</v>
      </c>
      <c r="Z637" s="1408"/>
    </row>
    <row r="638" spans="1:26">
      <c r="A638" s="1487"/>
      <c r="B638" s="1488"/>
      <c r="C638" s="1489"/>
      <c r="D638" s="1490"/>
      <c r="E638" s="1487"/>
      <c r="F638" s="1488"/>
      <c r="G638" s="1489"/>
      <c r="H638" s="1490"/>
      <c r="I638" s="1487"/>
      <c r="J638" s="1488"/>
      <c r="K638" s="1489"/>
      <c r="L638" s="1490"/>
      <c r="M638" s="1487"/>
      <c r="N638" s="1488"/>
      <c r="O638" s="1489"/>
      <c r="P638" s="1490"/>
      <c r="X638" s="1445" t="e">
        <f ca="1"/>
        <v>#NAME?</v>
      </c>
      <c r="Y638" s="1446" t="e">
        <f ca="1"/>
        <v>#NAME?</v>
      </c>
      <c r="Z638" s="1408"/>
    </row>
    <row r="639" spans="1:26">
      <c r="A639" s="1487"/>
      <c r="B639" s="1488"/>
      <c r="C639" s="1489"/>
      <c r="D639" s="1490"/>
      <c r="E639" s="1487"/>
      <c r="F639" s="1488"/>
      <c r="G639" s="1489"/>
      <c r="H639" s="1490"/>
      <c r="I639" s="1487"/>
      <c r="J639" s="1488"/>
      <c r="K639" s="1489"/>
      <c r="L639" s="1490"/>
      <c r="M639" s="1487"/>
      <c r="N639" s="1488"/>
      <c r="O639" s="1489"/>
      <c r="P639" s="1490"/>
      <c r="X639" s="1445" t="e">
        <f ca="1"/>
        <v>#NAME?</v>
      </c>
      <c r="Y639" s="1446" t="e">
        <f ca="1"/>
        <v>#NAME?</v>
      </c>
      <c r="Z639" s="1408"/>
    </row>
    <row r="640" spans="1:26">
      <c r="A640" s="1487"/>
      <c r="B640" s="1488"/>
      <c r="C640" s="1489"/>
      <c r="D640" s="1490"/>
      <c r="E640" s="1487"/>
      <c r="F640" s="1488"/>
      <c r="G640" s="1489"/>
      <c r="H640" s="1490"/>
      <c r="I640" s="1487"/>
      <c r="J640" s="1488"/>
      <c r="K640" s="1489"/>
      <c r="L640" s="1490"/>
      <c r="M640" s="1487"/>
      <c r="N640" s="1488"/>
      <c r="O640" s="1489"/>
      <c r="P640" s="1490"/>
      <c r="X640" s="1445" t="e">
        <f ca="1"/>
        <v>#NAME?</v>
      </c>
      <c r="Y640" s="1446" t="e">
        <f ca="1"/>
        <v>#NAME?</v>
      </c>
      <c r="Z640" s="1408"/>
    </row>
    <row r="641" spans="1:26">
      <c r="A641" s="1487"/>
      <c r="B641" s="1488"/>
      <c r="C641" s="1489"/>
      <c r="D641" s="1490"/>
      <c r="E641" s="1487"/>
      <c r="F641" s="1488"/>
      <c r="G641" s="1489"/>
      <c r="H641" s="1490"/>
      <c r="I641" s="1487"/>
      <c r="J641" s="1488"/>
      <c r="K641" s="1489"/>
      <c r="L641" s="1490"/>
      <c r="M641" s="1487"/>
      <c r="N641" s="1488"/>
      <c r="O641" s="1489"/>
      <c r="P641" s="1490"/>
      <c r="X641" s="1445" t="e">
        <f ca="1"/>
        <v>#NAME?</v>
      </c>
      <c r="Y641" s="1446" t="e">
        <f ca="1"/>
        <v>#NAME?</v>
      </c>
      <c r="Z641" s="1408"/>
    </row>
    <row r="642" spans="1:26">
      <c r="A642" s="1487"/>
      <c r="B642" s="1488"/>
      <c r="C642" s="1489"/>
      <c r="D642" s="1490"/>
      <c r="E642" s="1487"/>
      <c r="F642" s="1488"/>
      <c r="G642" s="1489"/>
      <c r="H642" s="1490"/>
      <c r="I642" s="1487"/>
      <c r="J642" s="1488"/>
      <c r="K642" s="1489"/>
      <c r="L642" s="1490"/>
      <c r="M642" s="1487"/>
      <c r="N642" s="1488"/>
      <c r="O642" s="1489"/>
      <c r="P642" s="1490"/>
      <c r="X642" s="1445" t="e">
        <f ca="1"/>
        <v>#NAME?</v>
      </c>
      <c r="Y642" s="1446" t="e">
        <f ca="1"/>
        <v>#NAME?</v>
      </c>
      <c r="Z642" s="1408"/>
    </row>
    <row r="643" spans="1:26">
      <c r="A643" s="1487"/>
      <c r="B643" s="1488"/>
      <c r="C643" s="1489"/>
      <c r="D643" s="1490"/>
      <c r="E643" s="1487"/>
      <c r="F643" s="1488"/>
      <c r="G643" s="1489"/>
      <c r="H643" s="1490"/>
      <c r="I643" s="1487"/>
      <c r="J643" s="1488"/>
      <c r="K643" s="1489"/>
      <c r="L643" s="1490"/>
      <c r="M643" s="1487"/>
      <c r="N643" s="1488"/>
      <c r="O643" s="1489"/>
      <c r="P643" s="1490"/>
      <c r="X643" s="1445" t="e">
        <f ca="1"/>
        <v>#NAME?</v>
      </c>
      <c r="Y643" s="1446" t="e">
        <f ca="1"/>
        <v>#NAME?</v>
      </c>
      <c r="Z643" s="1408"/>
    </row>
    <row r="644" spans="1:26">
      <c r="A644" s="1487"/>
      <c r="B644" s="1488"/>
      <c r="C644" s="1489"/>
      <c r="D644" s="1490"/>
      <c r="E644" s="1487"/>
      <c r="F644" s="1488"/>
      <c r="G644" s="1489"/>
      <c r="H644" s="1490"/>
      <c r="I644" s="1487"/>
      <c r="J644" s="1488"/>
      <c r="K644" s="1489"/>
      <c r="L644" s="1490"/>
      <c r="M644" s="1487"/>
      <c r="N644" s="1488"/>
      <c r="O644" s="1489"/>
      <c r="P644" s="1490"/>
      <c r="X644" s="1445" t="e">
        <f ca="1"/>
        <v>#NAME?</v>
      </c>
      <c r="Y644" s="1446" t="e">
        <f ca="1"/>
        <v>#NAME?</v>
      </c>
      <c r="Z644" s="1408"/>
    </row>
    <row r="645" spans="1:26">
      <c r="A645" s="1487"/>
      <c r="B645" s="1488"/>
      <c r="C645" s="1489"/>
      <c r="D645" s="1490"/>
      <c r="E645" s="1487"/>
      <c r="F645" s="1488"/>
      <c r="G645" s="1489"/>
      <c r="H645" s="1490"/>
      <c r="I645" s="1487"/>
      <c r="J645" s="1488"/>
      <c r="K645" s="1489"/>
      <c r="L645" s="1490"/>
      <c r="M645" s="1487"/>
      <c r="N645" s="1488"/>
      <c r="O645" s="1489"/>
      <c r="P645" s="1490"/>
      <c r="X645" s="1445" t="e">
        <f ca="1"/>
        <v>#NAME?</v>
      </c>
      <c r="Y645" s="1446" t="e">
        <f ca="1"/>
        <v>#NAME?</v>
      </c>
      <c r="Z645" s="1408"/>
    </row>
    <row r="646" spans="1:26">
      <c r="A646" s="1487"/>
      <c r="B646" s="1488"/>
      <c r="C646" s="1489"/>
      <c r="D646" s="1490"/>
      <c r="E646" s="1487"/>
      <c r="F646" s="1488"/>
      <c r="G646" s="1489"/>
      <c r="H646" s="1490"/>
      <c r="I646" s="1487"/>
      <c r="J646" s="1488"/>
      <c r="K646" s="1489"/>
      <c r="L646" s="1490"/>
      <c r="M646" s="1487"/>
      <c r="N646" s="1488"/>
      <c r="O646" s="1489"/>
      <c r="P646" s="1490"/>
      <c r="X646" s="1445" t="e">
        <f ca="1"/>
        <v>#NAME?</v>
      </c>
      <c r="Y646" s="1446" t="e">
        <f ca="1"/>
        <v>#NAME?</v>
      </c>
      <c r="Z646" s="1408"/>
    </row>
    <row r="647" spans="1:26">
      <c r="A647" s="1487"/>
      <c r="B647" s="1488"/>
      <c r="C647" s="1489"/>
      <c r="D647" s="1490"/>
      <c r="E647" s="1487"/>
      <c r="F647" s="1488"/>
      <c r="G647" s="1489"/>
      <c r="H647" s="1490"/>
      <c r="I647" s="1487"/>
      <c r="J647" s="1488"/>
      <c r="K647" s="1489"/>
      <c r="L647" s="1490"/>
      <c r="M647" s="1487"/>
      <c r="N647" s="1488"/>
      <c r="O647" s="1489"/>
      <c r="P647" s="1490"/>
      <c r="X647" s="1445" t="e">
        <f ca="1"/>
        <v>#NAME?</v>
      </c>
      <c r="Y647" s="1446" t="e">
        <f ca="1"/>
        <v>#NAME?</v>
      </c>
      <c r="Z647" s="1408"/>
    </row>
    <row r="648" spans="1:26">
      <c r="A648" s="1487"/>
      <c r="B648" s="1488"/>
      <c r="C648" s="1489"/>
      <c r="D648" s="1490"/>
      <c r="E648" s="1487"/>
      <c r="F648" s="1488"/>
      <c r="G648" s="1489"/>
      <c r="H648" s="1490"/>
      <c r="I648" s="1487"/>
      <c r="J648" s="1488"/>
      <c r="K648" s="1489"/>
      <c r="L648" s="1490"/>
      <c r="M648" s="1487"/>
      <c r="N648" s="1488"/>
      <c r="O648" s="1489"/>
      <c r="P648" s="1490"/>
      <c r="X648" s="1445" t="e">
        <f ca="1"/>
        <v>#NAME?</v>
      </c>
      <c r="Y648" s="1446" t="e">
        <f ca="1"/>
        <v>#NAME?</v>
      </c>
      <c r="Z648" s="1408"/>
    </row>
    <row r="649" spans="1:26">
      <c r="A649" s="1487"/>
      <c r="B649" s="1488"/>
      <c r="C649" s="1489"/>
      <c r="D649" s="1490"/>
      <c r="E649" s="1487"/>
      <c r="F649" s="1488"/>
      <c r="G649" s="1489"/>
      <c r="H649" s="1490"/>
      <c r="I649" s="1487"/>
      <c r="J649" s="1488"/>
      <c r="K649" s="1489"/>
      <c r="L649" s="1490"/>
      <c r="M649" s="1487"/>
      <c r="N649" s="1488"/>
      <c r="O649" s="1489"/>
      <c r="P649" s="1490"/>
      <c r="X649" s="1445" t="e">
        <f ca="1"/>
        <v>#NAME?</v>
      </c>
      <c r="Y649" s="1446" t="e">
        <f ca="1"/>
        <v>#NAME?</v>
      </c>
      <c r="Z649" s="1408"/>
    </row>
    <row r="650" spans="1:26">
      <c r="A650" s="1487"/>
      <c r="B650" s="1488"/>
      <c r="C650" s="1489"/>
      <c r="D650" s="1490"/>
      <c r="E650" s="1487"/>
      <c r="F650" s="1488"/>
      <c r="G650" s="1489"/>
      <c r="H650" s="1490"/>
      <c r="I650" s="1487"/>
      <c r="J650" s="1488"/>
      <c r="K650" s="1489"/>
      <c r="L650" s="1490"/>
      <c r="M650" s="1487"/>
      <c r="N650" s="1488"/>
      <c r="O650" s="1489"/>
      <c r="P650" s="1490"/>
      <c r="X650" s="1445" t="e">
        <f ca="1"/>
        <v>#NAME?</v>
      </c>
      <c r="Y650" s="1446" t="e">
        <f ca="1"/>
        <v>#NAME?</v>
      </c>
      <c r="Z650" s="1408"/>
    </row>
    <row r="651" spans="1:26">
      <c r="A651" s="1487"/>
      <c r="B651" s="1488"/>
      <c r="C651" s="1489"/>
      <c r="D651" s="1490"/>
      <c r="E651" s="1487"/>
      <c r="F651" s="1488"/>
      <c r="G651" s="1489"/>
      <c r="H651" s="1490"/>
      <c r="I651" s="1487"/>
      <c r="J651" s="1488"/>
      <c r="K651" s="1489"/>
      <c r="L651" s="1490"/>
      <c r="M651" s="1487"/>
      <c r="N651" s="1488"/>
      <c r="O651" s="1489"/>
      <c r="P651" s="1490"/>
      <c r="X651" s="1445" t="e">
        <f ca="1"/>
        <v>#NAME?</v>
      </c>
      <c r="Y651" s="1446" t="e">
        <f ca="1"/>
        <v>#NAME?</v>
      </c>
      <c r="Z651" s="1408"/>
    </row>
    <row r="652" spans="1:26">
      <c r="A652" s="1487"/>
      <c r="B652" s="1488"/>
      <c r="C652" s="1489"/>
      <c r="D652" s="1490"/>
      <c r="E652" s="1487"/>
      <c r="F652" s="1488"/>
      <c r="G652" s="1489"/>
      <c r="H652" s="1490"/>
      <c r="I652" s="1487"/>
      <c r="J652" s="1488"/>
      <c r="K652" s="1489"/>
      <c r="L652" s="1490"/>
      <c r="M652" s="1487"/>
      <c r="N652" s="1488"/>
      <c r="O652" s="1489"/>
      <c r="P652" s="1490"/>
      <c r="X652" s="1445" t="e">
        <f ca="1"/>
        <v>#NAME?</v>
      </c>
      <c r="Y652" s="1446" t="e">
        <f ca="1"/>
        <v>#NAME?</v>
      </c>
      <c r="Z652" s="1408"/>
    </row>
    <row r="653" spans="1:26">
      <c r="A653" s="1487"/>
      <c r="B653" s="1488"/>
      <c r="C653" s="1489"/>
      <c r="D653" s="1490"/>
      <c r="E653" s="1487"/>
      <c r="F653" s="1488"/>
      <c r="G653" s="1489"/>
      <c r="H653" s="1490"/>
      <c r="I653" s="1487"/>
      <c r="J653" s="1488"/>
      <c r="K653" s="1489"/>
      <c r="L653" s="1490"/>
      <c r="M653" s="1487"/>
      <c r="N653" s="1488"/>
      <c r="O653" s="1489"/>
      <c r="P653" s="1490"/>
      <c r="X653" s="1445" t="e">
        <f ca="1"/>
        <v>#NAME?</v>
      </c>
      <c r="Y653" s="1446" t="e">
        <f ca="1"/>
        <v>#NAME?</v>
      </c>
      <c r="Z653" s="1408"/>
    </row>
    <row r="654" spans="1:26">
      <c r="A654" s="1487"/>
      <c r="B654" s="1488"/>
      <c r="C654" s="1489"/>
      <c r="D654" s="1490"/>
      <c r="E654" s="1487"/>
      <c r="F654" s="1488"/>
      <c r="G654" s="1489"/>
      <c r="H654" s="1490"/>
      <c r="I654" s="1487"/>
      <c r="J654" s="1488"/>
      <c r="K654" s="1489"/>
      <c r="L654" s="1490"/>
      <c r="M654" s="1487"/>
      <c r="N654" s="1488"/>
      <c r="O654" s="1489"/>
      <c r="P654" s="1490"/>
      <c r="X654" s="1445" t="e">
        <f ca="1"/>
        <v>#NAME?</v>
      </c>
      <c r="Y654" s="1446" t="e">
        <f ca="1"/>
        <v>#NAME?</v>
      </c>
      <c r="Z654" s="1408"/>
    </row>
    <row r="655" spans="1:26">
      <c r="A655" s="1487"/>
      <c r="B655" s="1488"/>
      <c r="C655" s="1489"/>
      <c r="D655" s="1490"/>
      <c r="E655" s="1487"/>
      <c r="F655" s="1488"/>
      <c r="G655" s="1489"/>
      <c r="H655" s="1490"/>
      <c r="I655" s="1487"/>
      <c r="J655" s="1488"/>
      <c r="K655" s="1489"/>
      <c r="L655" s="1490"/>
      <c r="M655" s="1487"/>
      <c r="N655" s="1488"/>
      <c r="O655" s="1489"/>
      <c r="P655" s="1490"/>
      <c r="X655" s="1445" t="e">
        <f ca="1"/>
        <v>#NAME?</v>
      </c>
      <c r="Y655" s="1446" t="e">
        <f ca="1"/>
        <v>#NAME?</v>
      </c>
      <c r="Z655" s="1408"/>
    </row>
    <row r="656" spans="1:26">
      <c r="A656" s="1487"/>
      <c r="B656" s="1488"/>
      <c r="C656" s="1489"/>
      <c r="D656" s="1490"/>
      <c r="E656" s="1487"/>
      <c r="F656" s="1488"/>
      <c r="G656" s="1489"/>
      <c r="H656" s="1490"/>
      <c r="I656" s="1487"/>
      <c r="J656" s="1488"/>
      <c r="K656" s="1489"/>
      <c r="L656" s="1490"/>
      <c r="M656" s="1487"/>
      <c r="N656" s="1488"/>
      <c r="O656" s="1489"/>
      <c r="P656" s="1490"/>
      <c r="X656" s="1445" t="e">
        <f ca="1"/>
        <v>#NAME?</v>
      </c>
      <c r="Y656" s="1446" t="e">
        <f ca="1"/>
        <v>#NAME?</v>
      </c>
      <c r="Z656" s="1408"/>
    </row>
    <row r="657" spans="1:26">
      <c r="A657" s="1487"/>
      <c r="B657" s="1488"/>
      <c r="C657" s="1489"/>
      <c r="D657" s="1490"/>
      <c r="E657" s="1487"/>
      <c r="F657" s="1488"/>
      <c r="G657" s="1489"/>
      <c r="H657" s="1490"/>
      <c r="I657" s="1487"/>
      <c r="J657" s="1488"/>
      <c r="K657" s="1489"/>
      <c r="L657" s="1490"/>
      <c r="M657" s="1487"/>
      <c r="N657" s="1488"/>
      <c r="O657" s="1489"/>
      <c r="P657" s="1490"/>
      <c r="X657" s="1445" t="e">
        <f ca="1"/>
        <v>#NAME?</v>
      </c>
      <c r="Y657" s="1446" t="e">
        <f ca="1"/>
        <v>#NAME?</v>
      </c>
      <c r="Z657" s="1408"/>
    </row>
    <row r="658" spans="1:26">
      <c r="A658" s="1487"/>
      <c r="B658" s="1488"/>
      <c r="C658" s="1489"/>
      <c r="D658" s="1490"/>
      <c r="E658" s="1487"/>
      <c r="F658" s="1488"/>
      <c r="G658" s="1489"/>
      <c r="H658" s="1490"/>
      <c r="I658" s="1487"/>
      <c r="J658" s="1488"/>
      <c r="K658" s="1489"/>
      <c r="L658" s="1490"/>
      <c r="M658" s="1487"/>
      <c r="N658" s="1488"/>
      <c r="O658" s="1489"/>
      <c r="P658" s="1490"/>
      <c r="X658" s="1445" t="e">
        <f ca="1"/>
        <v>#NAME?</v>
      </c>
      <c r="Y658" s="1446" t="e">
        <f ca="1"/>
        <v>#NAME?</v>
      </c>
      <c r="Z658" s="1408"/>
    </row>
    <row r="659" spans="1:26">
      <c r="A659" s="1487"/>
      <c r="B659" s="1488"/>
      <c r="C659" s="1489"/>
      <c r="D659" s="1490"/>
      <c r="E659" s="1487"/>
      <c r="F659" s="1488"/>
      <c r="G659" s="1489"/>
      <c r="H659" s="1490"/>
      <c r="I659" s="1487"/>
      <c r="J659" s="1488"/>
      <c r="K659" s="1489"/>
      <c r="L659" s="1490"/>
      <c r="M659" s="1487"/>
      <c r="N659" s="1488"/>
      <c r="O659" s="1489"/>
      <c r="P659" s="1490"/>
      <c r="X659" s="1445" t="e">
        <f ca="1"/>
        <v>#NAME?</v>
      </c>
      <c r="Y659" s="1446" t="e">
        <f ca="1"/>
        <v>#NAME?</v>
      </c>
      <c r="Z659" s="1408"/>
    </row>
    <row r="660" spans="1:26">
      <c r="A660" s="1487"/>
      <c r="B660" s="1488"/>
      <c r="C660" s="1489"/>
      <c r="D660" s="1490"/>
      <c r="E660" s="1487"/>
      <c r="F660" s="1488"/>
      <c r="G660" s="1489"/>
      <c r="H660" s="1490"/>
      <c r="I660" s="1487"/>
      <c r="J660" s="1488"/>
      <c r="K660" s="1489"/>
      <c r="L660" s="1490"/>
      <c r="M660" s="1487"/>
      <c r="N660" s="1488"/>
      <c r="O660" s="1489"/>
      <c r="P660" s="1490"/>
      <c r="X660" s="1445" t="e">
        <f ca="1"/>
        <v>#NAME?</v>
      </c>
      <c r="Y660" s="1446" t="e">
        <f ca="1"/>
        <v>#NAME?</v>
      </c>
      <c r="Z660" s="1408"/>
    </row>
    <row r="661" spans="1:26">
      <c r="A661" s="1487"/>
      <c r="B661" s="1488"/>
      <c r="C661" s="1489"/>
      <c r="D661" s="1490"/>
      <c r="E661" s="1487"/>
      <c r="F661" s="1488"/>
      <c r="G661" s="1489"/>
      <c r="H661" s="1490"/>
      <c r="I661" s="1487"/>
      <c r="J661" s="1488"/>
      <c r="K661" s="1489"/>
      <c r="L661" s="1490"/>
      <c r="M661" s="1487"/>
      <c r="N661" s="1488"/>
      <c r="O661" s="1489"/>
      <c r="P661" s="1490"/>
      <c r="X661" s="1445" t="e">
        <f ca="1"/>
        <v>#NAME?</v>
      </c>
      <c r="Y661" s="1446" t="e">
        <f ca="1"/>
        <v>#NAME?</v>
      </c>
      <c r="Z661" s="1408"/>
    </row>
    <row r="662" spans="1:26">
      <c r="A662" s="1487"/>
      <c r="B662" s="1488"/>
      <c r="C662" s="1489"/>
      <c r="D662" s="1490"/>
      <c r="E662" s="1487"/>
      <c r="F662" s="1488"/>
      <c r="G662" s="1489"/>
      <c r="H662" s="1490"/>
      <c r="I662" s="1487"/>
      <c r="J662" s="1488"/>
      <c r="K662" s="1489"/>
      <c r="L662" s="1490"/>
      <c r="M662" s="1487"/>
      <c r="N662" s="1488"/>
      <c r="O662" s="1489"/>
      <c r="P662" s="1490"/>
      <c r="X662" s="1445" t="e">
        <f ca="1"/>
        <v>#NAME?</v>
      </c>
      <c r="Y662" s="1446" t="e">
        <f ca="1"/>
        <v>#NAME?</v>
      </c>
      <c r="Z662" s="1408"/>
    </row>
    <row r="663" spans="1:26">
      <c r="A663" s="1487"/>
      <c r="B663" s="1488"/>
      <c r="C663" s="1489"/>
      <c r="D663" s="1490"/>
      <c r="E663" s="1487"/>
      <c r="F663" s="1488"/>
      <c r="G663" s="1489"/>
      <c r="H663" s="1490"/>
      <c r="I663" s="1487"/>
      <c r="J663" s="1488"/>
      <c r="K663" s="1489"/>
      <c r="L663" s="1490"/>
      <c r="M663" s="1487"/>
      <c r="N663" s="1488"/>
      <c r="O663" s="1489"/>
      <c r="P663" s="1490"/>
      <c r="X663" s="1445" t="e">
        <f ca="1"/>
        <v>#NAME?</v>
      </c>
      <c r="Y663" s="1446" t="e">
        <f ca="1"/>
        <v>#NAME?</v>
      </c>
      <c r="Z663" s="1408"/>
    </row>
    <row r="664" spans="1:26">
      <c r="A664" s="1487"/>
      <c r="B664" s="1488"/>
      <c r="C664" s="1489"/>
      <c r="D664" s="1490"/>
      <c r="E664" s="1487"/>
      <c r="F664" s="1488"/>
      <c r="G664" s="1489"/>
      <c r="H664" s="1490"/>
      <c r="I664" s="1487"/>
      <c r="J664" s="1488"/>
      <c r="K664" s="1489"/>
      <c r="L664" s="1490"/>
      <c r="M664" s="1487"/>
      <c r="N664" s="1488"/>
      <c r="O664" s="1489"/>
      <c r="P664" s="1490"/>
      <c r="X664" s="1445" t="e">
        <f ca="1"/>
        <v>#NAME?</v>
      </c>
      <c r="Y664" s="1446" t="e">
        <f ca="1"/>
        <v>#NAME?</v>
      </c>
      <c r="Z664" s="1408"/>
    </row>
    <row r="665" spans="1:26">
      <c r="A665" s="1487"/>
      <c r="B665" s="1488"/>
      <c r="C665" s="1489"/>
      <c r="D665" s="1490"/>
      <c r="E665" s="1487"/>
      <c r="F665" s="1488"/>
      <c r="G665" s="1489"/>
      <c r="H665" s="1490"/>
      <c r="I665" s="1487"/>
      <c r="J665" s="1488"/>
      <c r="K665" s="1489"/>
      <c r="L665" s="1490"/>
      <c r="M665" s="1487"/>
      <c r="N665" s="1488"/>
      <c r="O665" s="1489"/>
      <c r="P665" s="1490"/>
      <c r="X665" s="1445" t="e">
        <f ca="1"/>
        <v>#NAME?</v>
      </c>
      <c r="Y665" s="1446" t="e">
        <f ca="1"/>
        <v>#NAME?</v>
      </c>
      <c r="Z665" s="1408"/>
    </row>
    <row r="666" spans="1:26">
      <c r="A666" s="1487"/>
      <c r="B666" s="1488"/>
      <c r="C666" s="1489"/>
      <c r="D666" s="1490"/>
      <c r="E666" s="1487"/>
      <c r="F666" s="1488"/>
      <c r="G666" s="1489"/>
      <c r="H666" s="1490"/>
      <c r="I666" s="1487"/>
      <c r="J666" s="1488"/>
      <c r="K666" s="1489"/>
      <c r="L666" s="1490"/>
      <c r="M666" s="1487"/>
      <c r="N666" s="1488"/>
      <c r="O666" s="1489"/>
      <c r="P666" s="1490"/>
      <c r="X666" s="1445" t="e">
        <f ca="1"/>
        <v>#NAME?</v>
      </c>
      <c r="Y666" s="1446" t="e">
        <f ca="1"/>
        <v>#NAME?</v>
      </c>
      <c r="Z666" s="1408"/>
    </row>
    <row r="667" spans="1:26">
      <c r="A667" s="1487"/>
      <c r="B667" s="1488"/>
      <c r="C667" s="1489"/>
      <c r="D667" s="1490"/>
      <c r="E667" s="1487"/>
      <c r="F667" s="1488"/>
      <c r="G667" s="1489"/>
      <c r="H667" s="1490"/>
      <c r="I667" s="1487"/>
      <c r="J667" s="1488"/>
      <c r="K667" s="1489"/>
      <c r="L667" s="1490"/>
      <c r="M667" s="1487"/>
      <c r="N667" s="1488"/>
      <c r="O667" s="1489"/>
      <c r="P667" s="1490"/>
      <c r="X667" s="1445" t="e">
        <f ca="1"/>
        <v>#NAME?</v>
      </c>
      <c r="Y667" s="1446" t="e">
        <f ca="1"/>
        <v>#NAME?</v>
      </c>
      <c r="Z667" s="1408"/>
    </row>
    <row r="668" spans="1:26">
      <c r="A668" s="1487"/>
      <c r="B668" s="1488"/>
      <c r="C668" s="1489"/>
      <c r="D668" s="1490"/>
      <c r="E668" s="1487"/>
      <c r="F668" s="1488"/>
      <c r="G668" s="1489"/>
      <c r="H668" s="1490"/>
      <c r="I668" s="1487"/>
      <c r="J668" s="1488"/>
      <c r="K668" s="1489"/>
      <c r="L668" s="1490"/>
      <c r="M668" s="1487"/>
      <c r="N668" s="1488"/>
      <c r="O668" s="1489"/>
      <c r="P668" s="1490"/>
      <c r="X668" s="1445" t="e">
        <f ca="1"/>
        <v>#NAME?</v>
      </c>
      <c r="Y668" s="1446" t="e">
        <f ca="1"/>
        <v>#NAME?</v>
      </c>
      <c r="Z668" s="1408"/>
    </row>
    <row r="669" spans="1:26">
      <c r="A669" s="1487"/>
      <c r="B669" s="1488"/>
      <c r="C669" s="1489"/>
      <c r="D669" s="1490"/>
      <c r="E669" s="1487"/>
      <c r="F669" s="1488"/>
      <c r="G669" s="1489"/>
      <c r="H669" s="1490"/>
      <c r="I669" s="1487"/>
      <c r="J669" s="1488"/>
      <c r="K669" s="1489"/>
      <c r="L669" s="1490"/>
      <c r="M669" s="1487"/>
      <c r="N669" s="1488"/>
      <c r="O669" s="1489"/>
      <c r="P669" s="1490"/>
      <c r="X669" s="1445" t="e">
        <f ca="1"/>
        <v>#NAME?</v>
      </c>
      <c r="Y669" s="1446" t="e">
        <f ca="1"/>
        <v>#NAME?</v>
      </c>
      <c r="Z669" s="1408"/>
    </row>
    <row r="670" spans="1:26">
      <c r="A670" s="1487"/>
      <c r="B670" s="1488"/>
      <c r="C670" s="1489"/>
      <c r="D670" s="1490"/>
      <c r="E670" s="1487"/>
      <c r="F670" s="1488"/>
      <c r="G670" s="1489"/>
      <c r="H670" s="1490"/>
      <c r="I670" s="1487"/>
      <c r="J670" s="1488"/>
      <c r="K670" s="1489"/>
      <c r="L670" s="1490"/>
      <c r="M670" s="1487"/>
      <c r="N670" s="1488"/>
      <c r="O670" s="1489"/>
      <c r="P670" s="1490"/>
      <c r="X670" s="1445" t="e">
        <f ca="1"/>
        <v>#NAME?</v>
      </c>
      <c r="Y670" s="1446" t="e">
        <f ca="1"/>
        <v>#NAME?</v>
      </c>
      <c r="Z670" s="1408"/>
    </row>
    <row r="671" spans="1:26">
      <c r="A671" s="1487"/>
      <c r="B671" s="1488"/>
      <c r="C671" s="1489"/>
      <c r="D671" s="1490"/>
      <c r="E671" s="1487"/>
      <c r="F671" s="1488"/>
      <c r="G671" s="1489"/>
      <c r="H671" s="1490"/>
      <c r="I671" s="1487"/>
      <c r="J671" s="1488"/>
      <c r="K671" s="1489"/>
      <c r="L671" s="1490"/>
      <c r="M671" s="1487"/>
      <c r="N671" s="1488"/>
      <c r="O671" s="1489"/>
      <c r="P671" s="1490"/>
      <c r="X671" s="1445" t="e">
        <f ca="1"/>
        <v>#NAME?</v>
      </c>
      <c r="Y671" s="1446" t="e">
        <f ca="1"/>
        <v>#NAME?</v>
      </c>
      <c r="Z671" s="1408"/>
    </row>
    <row r="672" spans="1:26">
      <c r="A672" s="1487"/>
      <c r="B672" s="1488"/>
      <c r="C672" s="1489"/>
      <c r="D672" s="1490"/>
      <c r="E672" s="1487"/>
      <c r="F672" s="1488"/>
      <c r="G672" s="1489"/>
      <c r="H672" s="1490"/>
      <c r="I672" s="1487"/>
      <c r="J672" s="1488"/>
      <c r="K672" s="1489"/>
      <c r="L672" s="1490"/>
      <c r="M672" s="1487"/>
      <c r="N672" s="1488"/>
      <c r="O672" s="1489"/>
      <c r="P672" s="1490"/>
      <c r="X672" s="1445" t="e">
        <f ca="1"/>
        <v>#NAME?</v>
      </c>
      <c r="Y672" s="1446" t="e">
        <f ca="1"/>
        <v>#NAME?</v>
      </c>
      <c r="Z672" s="1408"/>
    </row>
    <row r="673" spans="1:26">
      <c r="A673" s="1487"/>
      <c r="B673" s="1488"/>
      <c r="C673" s="1489"/>
      <c r="D673" s="1490"/>
      <c r="E673" s="1487"/>
      <c r="F673" s="1488"/>
      <c r="G673" s="1489"/>
      <c r="H673" s="1490"/>
      <c r="I673" s="1487"/>
      <c r="J673" s="1488"/>
      <c r="K673" s="1489"/>
      <c r="L673" s="1490"/>
      <c r="M673" s="1487"/>
      <c r="N673" s="1488"/>
      <c r="O673" s="1489"/>
      <c r="P673" s="1490"/>
      <c r="X673" s="1445" t="e">
        <f ca="1"/>
        <v>#NAME?</v>
      </c>
      <c r="Y673" s="1446" t="e">
        <f ca="1"/>
        <v>#NAME?</v>
      </c>
      <c r="Z673" s="1408"/>
    </row>
    <row r="674" spans="1:26">
      <c r="A674" s="1487"/>
      <c r="B674" s="1488"/>
      <c r="C674" s="1489"/>
      <c r="D674" s="1490"/>
      <c r="E674" s="1487"/>
      <c r="F674" s="1488"/>
      <c r="G674" s="1489"/>
      <c r="H674" s="1490"/>
      <c r="I674" s="1487"/>
      <c r="J674" s="1488"/>
      <c r="K674" s="1489"/>
      <c r="L674" s="1490"/>
      <c r="M674" s="1487"/>
      <c r="N674" s="1488"/>
      <c r="O674" s="1489"/>
      <c r="P674" s="1490"/>
      <c r="X674" s="1445" t="e">
        <f ca="1"/>
        <v>#NAME?</v>
      </c>
      <c r="Y674" s="1446" t="e">
        <f ca="1"/>
        <v>#NAME?</v>
      </c>
      <c r="Z674" s="1408"/>
    </row>
    <row r="675" spans="1:26">
      <c r="A675" s="1487"/>
      <c r="B675" s="1488"/>
      <c r="C675" s="1489"/>
      <c r="D675" s="1490"/>
      <c r="E675" s="1487"/>
      <c r="F675" s="1488"/>
      <c r="G675" s="1489"/>
      <c r="H675" s="1490"/>
      <c r="I675" s="1487"/>
      <c r="J675" s="1488"/>
      <c r="K675" s="1489"/>
      <c r="L675" s="1490"/>
      <c r="M675" s="1487"/>
      <c r="N675" s="1488"/>
      <c r="O675" s="1489"/>
      <c r="P675" s="1490"/>
      <c r="X675" s="1445" t="e">
        <f ca="1"/>
        <v>#NAME?</v>
      </c>
      <c r="Y675" s="1446" t="e">
        <f ca="1"/>
        <v>#NAME?</v>
      </c>
      <c r="Z675" s="1408"/>
    </row>
    <row r="676" spans="1:26">
      <c r="A676" s="1487"/>
      <c r="B676" s="1488"/>
      <c r="C676" s="1489"/>
      <c r="D676" s="1490"/>
      <c r="E676" s="1487"/>
      <c r="F676" s="1488"/>
      <c r="G676" s="1489"/>
      <c r="H676" s="1490"/>
      <c r="I676" s="1487"/>
      <c r="J676" s="1488"/>
      <c r="K676" s="1489"/>
      <c r="L676" s="1490"/>
      <c r="M676" s="1487"/>
      <c r="N676" s="1488"/>
      <c r="O676" s="1489"/>
      <c r="P676" s="1490"/>
      <c r="X676" s="1445" t="e">
        <f ca="1"/>
        <v>#NAME?</v>
      </c>
      <c r="Y676" s="1446" t="e">
        <f ca="1"/>
        <v>#NAME?</v>
      </c>
      <c r="Z676" s="1408"/>
    </row>
    <row r="677" spans="1:26">
      <c r="A677" s="1487"/>
      <c r="B677" s="1488"/>
      <c r="C677" s="1489"/>
      <c r="D677" s="1490"/>
      <c r="E677" s="1487"/>
      <c r="F677" s="1488"/>
      <c r="G677" s="1489"/>
      <c r="H677" s="1490"/>
      <c r="I677" s="1487"/>
      <c r="J677" s="1488"/>
      <c r="K677" s="1489"/>
      <c r="L677" s="1490"/>
      <c r="M677" s="1487"/>
      <c r="N677" s="1488"/>
      <c r="O677" s="1489"/>
      <c r="P677" s="1490"/>
      <c r="X677" s="1445" t="e">
        <f ca="1"/>
        <v>#NAME?</v>
      </c>
      <c r="Y677" s="1446" t="e">
        <f ca="1"/>
        <v>#NAME?</v>
      </c>
      <c r="Z677" s="1408"/>
    </row>
    <row r="678" spans="1:26">
      <c r="A678" s="1487"/>
      <c r="B678" s="1488"/>
      <c r="C678" s="1489"/>
      <c r="D678" s="1490"/>
      <c r="E678" s="1487"/>
      <c r="F678" s="1488"/>
      <c r="G678" s="1489"/>
      <c r="H678" s="1490"/>
      <c r="I678" s="1487"/>
      <c r="J678" s="1488"/>
      <c r="K678" s="1489"/>
      <c r="L678" s="1490"/>
      <c r="M678" s="1487"/>
      <c r="N678" s="1488"/>
      <c r="O678" s="1489"/>
      <c r="P678" s="1490"/>
      <c r="X678" s="1445" t="e">
        <f ca="1"/>
        <v>#NAME?</v>
      </c>
      <c r="Y678" s="1446" t="e">
        <f ca="1"/>
        <v>#NAME?</v>
      </c>
      <c r="Z678" s="1408"/>
    </row>
    <row r="679" spans="1:26">
      <c r="A679" s="1487"/>
      <c r="B679" s="1488"/>
      <c r="C679" s="1489"/>
      <c r="D679" s="1490"/>
      <c r="E679" s="1487"/>
      <c r="F679" s="1488"/>
      <c r="G679" s="1489"/>
      <c r="H679" s="1490"/>
      <c r="I679" s="1487"/>
      <c r="J679" s="1488"/>
      <c r="K679" s="1489"/>
      <c r="L679" s="1490"/>
      <c r="M679" s="1487"/>
      <c r="N679" s="1488"/>
      <c r="O679" s="1489"/>
      <c r="P679" s="1490"/>
      <c r="X679" s="1445" t="e">
        <f ca="1"/>
        <v>#NAME?</v>
      </c>
      <c r="Y679" s="1446" t="e">
        <f ca="1"/>
        <v>#NAME?</v>
      </c>
      <c r="Z679" s="1408"/>
    </row>
    <row r="680" spans="1:26">
      <c r="A680" s="1487"/>
      <c r="B680" s="1488"/>
      <c r="C680" s="1489"/>
      <c r="D680" s="1490"/>
      <c r="E680" s="1487"/>
      <c r="F680" s="1488"/>
      <c r="G680" s="1489"/>
      <c r="H680" s="1490"/>
      <c r="I680" s="1487"/>
      <c r="J680" s="1488"/>
      <c r="K680" s="1489"/>
      <c r="L680" s="1490"/>
      <c r="M680" s="1487"/>
      <c r="N680" s="1488"/>
      <c r="O680" s="1489"/>
      <c r="P680" s="1490"/>
      <c r="X680" s="1445" t="e">
        <f ca="1"/>
        <v>#NAME?</v>
      </c>
      <c r="Y680" s="1446" t="e">
        <f ca="1"/>
        <v>#NAME?</v>
      </c>
      <c r="Z680" s="1408"/>
    </row>
    <row r="681" spans="1:26">
      <c r="A681" s="1487"/>
      <c r="B681" s="1488"/>
      <c r="C681" s="1489"/>
      <c r="D681" s="1490"/>
      <c r="E681" s="1487"/>
      <c r="F681" s="1488"/>
      <c r="G681" s="1489"/>
      <c r="H681" s="1490"/>
      <c r="I681" s="1487"/>
      <c r="J681" s="1488"/>
      <c r="K681" s="1489"/>
      <c r="L681" s="1490"/>
      <c r="M681" s="1487"/>
      <c r="N681" s="1488"/>
      <c r="O681" s="1489"/>
      <c r="P681" s="1490"/>
      <c r="X681" s="1445" t="e">
        <f ca="1"/>
        <v>#NAME?</v>
      </c>
      <c r="Y681" s="1446" t="e">
        <f ca="1"/>
        <v>#NAME?</v>
      </c>
      <c r="Z681" s="1408"/>
    </row>
    <row r="682" spans="1:26">
      <c r="A682" s="1487"/>
      <c r="B682" s="1488"/>
      <c r="C682" s="1489"/>
      <c r="D682" s="1490"/>
      <c r="E682" s="1487"/>
      <c r="F682" s="1488"/>
      <c r="G682" s="1489"/>
      <c r="H682" s="1490"/>
      <c r="I682" s="1487"/>
      <c r="J682" s="1488"/>
      <c r="K682" s="1489"/>
      <c r="L682" s="1490"/>
      <c r="M682" s="1487"/>
      <c r="N682" s="1488"/>
      <c r="O682" s="1489"/>
      <c r="P682" s="1490"/>
      <c r="X682" s="1445" t="e">
        <f ca="1"/>
        <v>#NAME?</v>
      </c>
      <c r="Y682" s="1446" t="e">
        <f ca="1"/>
        <v>#NAME?</v>
      </c>
      <c r="Z682" s="1408"/>
    </row>
    <row r="683" spans="1:26">
      <c r="A683" s="1487"/>
      <c r="B683" s="1488"/>
      <c r="C683" s="1489"/>
      <c r="D683" s="1490"/>
      <c r="E683" s="1487"/>
      <c r="F683" s="1488"/>
      <c r="G683" s="1489"/>
      <c r="H683" s="1490"/>
      <c r="I683" s="1487"/>
      <c r="J683" s="1488"/>
      <c r="K683" s="1489"/>
      <c r="L683" s="1490"/>
      <c r="M683" s="1487"/>
      <c r="N683" s="1488"/>
      <c r="O683" s="1489"/>
      <c r="P683" s="1490"/>
      <c r="X683" s="1445" t="e">
        <f ca="1"/>
        <v>#NAME?</v>
      </c>
      <c r="Y683" s="1446" t="e">
        <f ca="1"/>
        <v>#NAME?</v>
      </c>
      <c r="Z683" s="1408"/>
    </row>
    <row r="684" spans="1:26">
      <c r="A684" s="1487"/>
      <c r="B684" s="1488"/>
      <c r="C684" s="1489"/>
      <c r="D684" s="1490"/>
      <c r="E684" s="1487"/>
      <c r="F684" s="1488"/>
      <c r="G684" s="1489"/>
      <c r="H684" s="1490"/>
      <c r="I684" s="1487"/>
      <c r="J684" s="1488"/>
      <c r="K684" s="1489"/>
      <c r="L684" s="1490"/>
      <c r="M684" s="1487"/>
      <c r="N684" s="1488"/>
      <c r="O684" s="1489"/>
      <c r="P684" s="1490"/>
      <c r="X684" s="1445" t="e">
        <f ca="1"/>
        <v>#NAME?</v>
      </c>
      <c r="Y684" s="1446" t="e">
        <f ca="1"/>
        <v>#NAME?</v>
      </c>
      <c r="Z684" s="1408"/>
    </row>
    <row r="685" spans="1:26">
      <c r="A685" s="1487"/>
      <c r="B685" s="1488"/>
      <c r="C685" s="1489"/>
      <c r="D685" s="1490"/>
      <c r="E685" s="1487"/>
      <c r="F685" s="1488"/>
      <c r="G685" s="1489"/>
      <c r="H685" s="1490"/>
      <c r="I685" s="1487"/>
      <c r="J685" s="1488"/>
      <c r="K685" s="1489"/>
      <c r="L685" s="1490"/>
      <c r="M685" s="1487"/>
      <c r="N685" s="1488"/>
      <c r="O685" s="1489"/>
      <c r="P685" s="1490"/>
      <c r="X685" s="1445" t="e">
        <f ca="1"/>
        <v>#NAME?</v>
      </c>
      <c r="Y685" s="1446" t="e">
        <f ca="1"/>
        <v>#NAME?</v>
      </c>
      <c r="Z685" s="1408"/>
    </row>
    <row r="686" spans="1:26">
      <c r="A686" s="1487"/>
      <c r="B686" s="1488"/>
      <c r="C686" s="1489"/>
      <c r="D686" s="1490"/>
      <c r="E686" s="1487"/>
      <c r="F686" s="1488"/>
      <c r="G686" s="1489"/>
      <c r="H686" s="1490"/>
      <c r="I686" s="1487"/>
      <c r="J686" s="1488"/>
      <c r="K686" s="1489"/>
      <c r="L686" s="1490"/>
      <c r="M686" s="1487"/>
      <c r="N686" s="1488"/>
      <c r="O686" s="1489"/>
      <c r="P686" s="1490"/>
      <c r="X686" s="1445" t="e">
        <f ca="1"/>
        <v>#NAME?</v>
      </c>
      <c r="Y686" s="1446" t="e">
        <f ca="1"/>
        <v>#NAME?</v>
      </c>
      <c r="Z686" s="1408"/>
    </row>
    <row r="687" spans="1:26">
      <c r="A687" s="1487"/>
      <c r="B687" s="1488"/>
      <c r="C687" s="1489"/>
      <c r="D687" s="1490"/>
      <c r="E687" s="1487"/>
      <c r="F687" s="1488"/>
      <c r="G687" s="1489"/>
      <c r="H687" s="1490"/>
      <c r="I687" s="1487"/>
      <c r="J687" s="1488"/>
      <c r="K687" s="1489"/>
      <c r="L687" s="1490"/>
      <c r="M687" s="1487"/>
      <c r="N687" s="1488"/>
      <c r="O687" s="1489"/>
      <c r="P687" s="1490"/>
      <c r="X687" s="1445" t="e">
        <f ca="1"/>
        <v>#NAME?</v>
      </c>
      <c r="Y687" s="1446" t="e">
        <f ca="1"/>
        <v>#NAME?</v>
      </c>
      <c r="Z687" s="1408"/>
    </row>
    <row r="688" spans="1:26">
      <c r="A688" s="1487"/>
      <c r="B688" s="1488"/>
      <c r="C688" s="1489"/>
      <c r="D688" s="1490"/>
      <c r="E688" s="1487"/>
      <c r="F688" s="1488"/>
      <c r="G688" s="1489"/>
      <c r="H688" s="1490"/>
      <c r="I688" s="1487"/>
      <c r="J688" s="1488"/>
      <c r="K688" s="1489"/>
      <c r="L688" s="1490"/>
      <c r="M688" s="1487"/>
      <c r="N688" s="1488"/>
      <c r="O688" s="1489"/>
      <c r="P688" s="1490"/>
      <c r="X688" s="1445" t="e">
        <f ca="1"/>
        <v>#NAME?</v>
      </c>
      <c r="Y688" s="1446" t="e">
        <f ca="1"/>
        <v>#NAME?</v>
      </c>
      <c r="Z688" s="1408"/>
    </row>
    <row r="689" spans="1:26">
      <c r="A689" s="1487"/>
      <c r="B689" s="1488"/>
      <c r="C689" s="1489"/>
      <c r="D689" s="1490"/>
      <c r="E689" s="1487"/>
      <c r="F689" s="1488"/>
      <c r="G689" s="1489"/>
      <c r="H689" s="1490"/>
      <c r="I689" s="1487"/>
      <c r="J689" s="1488"/>
      <c r="K689" s="1489"/>
      <c r="L689" s="1490"/>
      <c r="M689" s="1487"/>
      <c r="N689" s="1488"/>
      <c r="O689" s="1489"/>
      <c r="P689" s="1490"/>
      <c r="X689" s="1445" t="e">
        <f ca="1"/>
        <v>#NAME?</v>
      </c>
      <c r="Y689" s="1446" t="e">
        <f ca="1"/>
        <v>#NAME?</v>
      </c>
      <c r="Z689" s="1408"/>
    </row>
    <row r="690" spans="1:26">
      <c r="A690" s="1487"/>
      <c r="B690" s="1488"/>
      <c r="C690" s="1489"/>
      <c r="D690" s="1490"/>
      <c r="E690" s="1487"/>
      <c r="F690" s="1488"/>
      <c r="G690" s="1489"/>
      <c r="H690" s="1490"/>
      <c r="I690" s="1487"/>
      <c r="J690" s="1488"/>
      <c r="K690" s="1489"/>
      <c r="L690" s="1490"/>
      <c r="M690" s="1487"/>
      <c r="N690" s="1488"/>
      <c r="O690" s="1489"/>
      <c r="P690" s="1490"/>
      <c r="X690" s="1445" t="e">
        <f ca="1"/>
        <v>#NAME?</v>
      </c>
      <c r="Y690" s="1446" t="e">
        <f ca="1"/>
        <v>#NAME?</v>
      </c>
      <c r="Z690" s="1408"/>
    </row>
    <row r="691" spans="1:26">
      <c r="A691" s="1487"/>
      <c r="B691" s="1488"/>
      <c r="C691" s="1489"/>
      <c r="D691" s="1490"/>
      <c r="E691" s="1487"/>
      <c r="F691" s="1488"/>
      <c r="G691" s="1489"/>
      <c r="H691" s="1490"/>
      <c r="I691" s="1487"/>
      <c r="J691" s="1488"/>
      <c r="K691" s="1489"/>
      <c r="L691" s="1490"/>
      <c r="M691" s="1487"/>
      <c r="N691" s="1488"/>
      <c r="O691" s="1489"/>
      <c r="P691" s="1490"/>
      <c r="X691" s="1445" t="e">
        <f ca="1"/>
        <v>#NAME?</v>
      </c>
      <c r="Y691" s="1446" t="e">
        <f ca="1"/>
        <v>#NAME?</v>
      </c>
      <c r="Z691" s="1408"/>
    </row>
    <row r="692" spans="1:26">
      <c r="A692" s="1487"/>
      <c r="B692" s="1488"/>
      <c r="C692" s="1489"/>
      <c r="D692" s="1490"/>
      <c r="E692" s="1487"/>
      <c r="F692" s="1488"/>
      <c r="G692" s="1489"/>
      <c r="H692" s="1490"/>
      <c r="I692" s="1487"/>
      <c r="J692" s="1488"/>
      <c r="K692" s="1489"/>
      <c r="L692" s="1490"/>
      <c r="M692" s="1487"/>
      <c r="N692" s="1488"/>
      <c r="O692" s="1489"/>
      <c r="P692" s="1490"/>
      <c r="X692" s="1445" t="e">
        <f ca="1"/>
        <v>#NAME?</v>
      </c>
      <c r="Y692" s="1446" t="e">
        <f ca="1"/>
        <v>#NAME?</v>
      </c>
      <c r="Z692" s="1408"/>
    </row>
    <row r="693" spans="1:26">
      <c r="A693" s="1487"/>
      <c r="B693" s="1488"/>
      <c r="C693" s="1489"/>
      <c r="D693" s="1490"/>
      <c r="E693" s="1487"/>
      <c r="F693" s="1488"/>
      <c r="G693" s="1489"/>
      <c r="H693" s="1490"/>
      <c r="I693" s="1487"/>
      <c r="J693" s="1488"/>
      <c r="K693" s="1489"/>
      <c r="L693" s="1490"/>
      <c r="M693" s="1487"/>
      <c r="N693" s="1488"/>
      <c r="O693" s="1489"/>
      <c r="P693" s="1490"/>
      <c r="X693" s="1445" t="e">
        <f ca="1"/>
        <v>#NAME?</v>
      </c>
      <c r="Y693" s="1446" t="e">
        <f ca="1"/>
        <v>#NAME?</v>
      </c>
      <c r="Z693" s="1408"/>
    </row>
    <row r="694" spans="1:26">
      <c r="A694" s="1487"/>
      <c r="B694" s="1488"/>
      <c r="C694" s="1489"/>
      <c r="D694" s="1490"/>
      <c r="E694" s="1487"/>
      <c r="F694" s="1488"/>
      <c r="G694" s="1489"/>
      <c r="H694" s="1490"/>
      <c r="I694" s="1487"/>
      <c r="J694" s="1488"/>
      <c r="K694" s="1489"/>
      <c r="L694" s="1490"/>
      <c r="M694" s="1487"/>
      <c r="N694" s="1488"/>
      <c r="O694" s="1489"/>
      <c r="P694" s="1490"/>
      <c r="X694" s="1445" t="e">
        <f ca="1"/>
        <v>#NAME?</v>
      </c>
      <c r="Y694" s="1446" t="e">
        <f ca="1"/>
        <v>#NAME?</v>
      </c>
      <c r="Z694" s="1408"/>
    </row>
    <row r="695" spans="1:26">
      <c r="A695" s="1487"/>
      <c r="B695" s="1488"/>
      <c r="C695" s="1489"/>
      <c r="D695" s="1490"/>
      <c r="E695" s="1487"/>
      <c r="F695" s="1488"/>
      <c r="G695" s="1489"/>
      <c r="H695" s="1490"/>
      <c r="I695" s="1487"/>
      <c r="J695" s="1488"/>
      <c r="K695" s="1489"/>
      <c r="L695" s="1490"/>
      <c r="M695" s="1487"/>
      <c r="N695" s="1488"/>
      <c r="O695" s="1489"/>
      <c r="P695" s="1490"/>
      <c r="X695" s="1445" t="e">
        <f ca="1"/>
        <v>#NAME?</v>
      </c>
      <c r="Y695" s="1446" t="e">
        <f ca="1"/>
        <v>#NAME?</v>
      </c>
      <c r="Z695" s="1408"/>
    </row>
    <row r="696" spans="1:26">
      <c r="A696" s="1487"/>
      <c r="B696" s="1488"/>
      <c r="C696" s="1489"/>
      <c r="D696" s="1490"/>
      <c r="E696" s="1487"/>
      <c r="F696" s="1488"/>
      <c r="G696" s="1489"/>
      <c r="H696" s="1490"/>
      <c r="I696" s="1487"/>
      <c r="J696" s="1488"/>
      <c r="K696" s="1489"/>
      <c r="L696" s="1490"/>
      <c r="M696" s="1487"/>
      <c r="N696" s="1488"/>
      <c r="O696" s="1489"/>
      <c r="P696" s="1490"/>
      <c r="X696" s="1445" t="e">
        <f ca="1"/>
        <v>#NAME?</v>
      </c>
      <c r="Y696" s="1446" t="e">
        <f ca="1"/>
        <v>#NAME?</v>
      </c>
      <c r="Z696" s="1408"/>
    </row>
    <row r="697" spans="1:26">
      <c r="A697" s="1487"/>
      <c r="B697" s="1488"/>
      <c r="C697" s="1489"/>
      <c r="D697" s="1490"/>
      <c r="E697" s="1487"/>
      <c r="F697" s="1488"/>
      <c r="G697" s="1489"/>
      <c r="H697" s="1490"/>
      <c r="I697" s="1487"/>
      <c r="J697" s="1488"/>
      <c r="K697" s="1489"/>
      <c r="L697" s="1490"/>
      <c r="M697" s="1487"/>
      <c r="N697" s="1488"/>
      <c r="O697" s="1489"/>
      <c r="P697" s="1490"/>
      <c r="X697" s="1445" t="e">
        <f ca="1"/>
        <v>#NAME?</v>
      </c>
      <c r="Y697" s="1446" t="e">
        <f ca="1"/>
        <v>#NAME?</v>
      </c>
      <c r="Z697" s="1408"/>
    </row>
    <row r="698" spans="1:26">
      <c r="A698" s="1487"/>
      <c r="B698" s="1488"/>
      <c r="C698" s="1489"/>
      <c r="D698" s="1490"/>
      <c r="E698" s="1487"/>
      <c r="F698" s="1488"/>
      <c r="G698" s="1489"/>
      <c r="H698" s="1490"/>
      <c r="I698" s="1487"/>
      <c r="J698" s="1488"/>
      <c r="K698" s="1489"/>
      <c r="L698" s="1490"/>
      <c r="M698" s="1487"/>
      <c r="N698" s="1488"/>
      <c r="O698" s="1489"/>
      <c r="P698" s="1490"/>
      <c r="X698" s="1445" t="e">
        <f ca="1"/>
        <v>#NAME?</v>
      </c>
      <c r="Y698" s="1446" t="e">
        <f ca="1"/>
        <v>#NAME?</v>
      </c>
      <c r="Z698" s="1408"/>
    </row>
    <row r="699" spans="1:26">
      <c r="A699" s="1487"/>
      <c r="B699" s="1488"/>
      <c r="C699" s="1489"/>
      <c r="D699" s="1490"/>
      <c r="E699" s="1487"/>
      <c r="F699" s="1488"/>
      <c r="G699" s="1489"/>
      <c r="H699" s="1490"/>
      <c r="I699" s="1487"/>
      <c r="J699" s="1488"/>
      <c r="K699" s="1489"/>
      <c r="L699" s="1490"/>
      <c r="M699" s="1487"/>
      <c r="N699" s="1488"/>
      <c r="O699" s="1489"/>
      <c r="P699" s="1490"/>
      <c r="X699" s="1445" t="e">
        <f ca="1"/>
        <v>#NAME?</v>
      </c>
      <c r="Y699" s="1446" t="e">
        <f ca="1"/>
        <v>#NAME?</v>
      </c>
      <c r="Z699" s="1408"/>
    </row>
    <row r="700" spans="1:26">
      <c r="A700" s="1487"/>
      <c r="B700" s="1488"/>
      <c r="C700" s="1489"/>
      <c r="D700" s="1490"/>
      <c r="E700" s="1487"/>
      <c r="F700" s="1488"/>
      <c r="G700" s="1489"/>
      <c r="H700" s="1490"/>
      <c r="I700" s="1487"/>
      <c r="J700" s="1488"/>
      <c r="K700" s="1489"/>
      <c r="L700" s="1490"/>
      <c r="M700" s="1487"/>
      <c r="N700" s="1488"/>
      <c r="O700" s="1489"/>
      <c r="P700" s="1490"/>
      <c r="X700" s="1445" t="e">
        <f ca="1"/>
        <v>#NAME?</v>
      </c>
      <c r="Y700" s="1446" t="e">
        <f ca="1"/>
        <v>#NAME?</v>
      </c>
      <c r="Z700" s="1408"/>
    </row>
    <row r="701" spans="1:26">
      <c r="A701" s="1487"/>
      <c r="B701" s="1488"/>
      <c r="C701" s="1489"/>
      <c r="D701" s="1490"/>
      <c r="E701" s="1487"/>
      <c r="F701" s="1488"/>
      <c r="G701" s="1489"/>
      <c r="H701" s="1490"/>
      <c r="I701" s="1487"/>
      <c r="J701" s="1488"/>
      <c r="K701" s="1489"/>
      <c r="L701" s="1490"/>
      <c r="M701" s="1487"/>
      <c r="N701" s="1488"/>
      <c r="O701" s="1489"/>
      <c r="P701" s="1490"/>
      <c r="X701" s="1445" t="e">
        <f ca="1"/>
        <v>#NAME?</v>
      </c>
      <c r="Y701" s="1446" t="e">
        <f ca="1"/>
        <v>#NAME?</v>
      </c>
      <c r="Z701" s="1408"/>
    </row>
    <row r="702" spans="1:26">
      <c r="A702" s="1487"/>
      <c r="B702" s="1488"/>
      <c r="C702" s="1489"/>
      <c r="D702" s="1490"/>
      <c r="E702" s="1487"/>
      <c r="F702" s="1488"/>
      <c r="G702" s="1489"/>
      <c r="H702" s="1490"/>
      <c r="I702" s="1487"/>
      <c r="J702" s="1488"/>
      <c r="K702" s="1489"/>
      <c r="L702" s="1490"/>
      <c r="M702" s="1487"/>
      <c r="N702" s="1488"/>
      <c r="O702" s="1489"/>
      <c r="P702" s="1490"/>
      <c r="X702" s="1445" t="e">
        <f ca="1"/>
        <v>#NAME?</v>
      </c>
      <c r="Y702" s="1446" t="e">
        <f ca="1"/>
        <v>#NAME?</v>
      </c>
      <c r="Z702" s="1408"/>
    </row>
    <row r="703" spans="1:26">
      <c r="A703" s="1487"/>
      <c r="B703" s="1488"/>
      <c r="C703" s="1489"/>
      <c r="D703" s="1490"/>
      <c r="E703" s="1487"/>
      <c r="F703" s="1488"/>
      <c r="G703" s="1489"/>
      <c r="H703" s="1490"/>
      <c r="I703" s="1487"/>
      <c r="J703" s="1488"/>
      <c r="K703" s="1489"/>
      <c r="L703" s="1490"/>
      <c r="M703" s="1487"/>
      <c r="N703" s="1488"/>
      <c r="O703" s="1489"/>
      <c r="P703" s="1490"/>
      <c r="X703" s="1445" t="e">
        <f ca="1"/>
        <v>#NAME?</v>
      </c>
      <c r="Y703" s="1446" t="e">
        <f ca="1"/>
        <v>#NAME?</v>
      </c>
      <c r="Z703" s="1408"/>
    </row>
    <row r="704" spans="1:26">
      <c r="A704" s="1487"/>
      <c r="B704" s="1488"/>
      <c r="C704" s="1489"/>
      <c r="D704" s="1490"/>
      <c r="E704" s="1487"/>
      <c r="F704" s="1488"/>
      <c r="G704" s="1489"/>
      <c r="H704" s="1490"/>
      <c r="I704" s="1487"/>
      <c r="J704" s="1488"/>
      <c r="K704" s="1489"/>
      <c r="L704" s="1490"/>
      <c r="M704" s="1487"/>
      <c r="N704" s="1488"/>
      <c r="O704" s="1489"/>
      <c r="P704" s="1490"/>
      <c r="X704" s="1445" t="e">
        <f ca="1"/>
        <v>#NAME?</v>
      </c>
      <c r="Y704" s="1446" t="e">
        <f ca="1"/>
        <v>#NAME?</v>
      </c>
      <c r="Z704" s="1408"/>
    </row>
    <row r="705" spans="1:26">
      <c r="A705" s="1487"/>
      <c r="B705" s="1488"/>
      <c r="C705" s="1489"/>
      <c r="D705" s="1490"/>
      <c r="E705" s="1487"/>
      <c r="F705" s="1488"/>
      <c r="G705" s="1489"/>
      <c r="H705" s="1490"/>
      <c r="I705" s="1487"/>
      <c r="J705" s="1488"/>
      <c r="K705" s="1489"/>
      <c r="L705" s="1490"/>
      <c r="M705" s="1487"/>
      <c r="N705" s="1488"/>
      <c r="O705" s="1489"/>
      <c r="P705" s="1490"/>
      <c r="X705" s="1445" t="e">
        <f ca="1"/>
        <v>#NAME?</v>
      </c>
      <c r="Y705" s="1446" t="e">
        <f ca="1"/>
        <v>#NAME?</v>
      </c>
      <c r="Z705" s="1408"/>
    </row>
    <row r="706" spans="1:26">
      <c r="A706" s="1487"/>
      <c r="B706" s="1488"/>
      <c r="C706" s="1489"/>
      <c r="D706" s="1490"/>
      <c r="E706" s="1487"/>
      <c r="F706" s="1488"/>
      <c r="G706" s="1489"/>
      <c r="H706" s="1490"/>
      <c r="I706" s="1487"/>
      <c r="J706" s="1488"/>
      <c r="K706" s="1489"/>
      <c r="L706" s="1490"/>
      <c r="M706" s="1487"/>
      <c r="N706" s="1488"/>
      <c r="O706" s="1489"/>
      <c r="P706" s="1490"/>
      <c r="X706" s="1445" t="e">
        <f ca="1"/>
        <v>#NAME?</v>
      </c>
      <c r="Y706" s="1446" t="e">
        <f ca="1"/>
        <v>#NAME?</v>
      </c>
      <c r="Z706" s="1408"/>
    </row>
    <row r="707" spans="1:26">
      <c r="A707" s="1487"/>
      <c r="B707" s="1488"/>
      <c r="C707" s="1489"/>
      <c r="D707" s="1490"/>
      <c r="E707" s="1487"/>
      <c r="F707" s="1488"/>
      <c r="G707" s="1489"/>
      <c r="H707" s="1490"/>
      <c r="I707" s="1487"/>
      <c r="J707" s="1488"/>
      <c r="K707" s="1489"/>
      <c r="L707" s="1490"/>
      <c r="M707" s="1487"/>
      <c r="N707" s="1488"/>
      <c r="O707" s="1489"/>
      <c r="P707" s="1490"/>
      <c r="X707" s="1445" t="e">
        <f ca="1"/>
        <v>#NAME?</v>
      </c>
      <c r="Y707" s="1446" t="e">
        <f ca="1"/>
        <v>#NAME?</v>
      </c>
    </row>
    <row r="708" spans="1:26">
      <c r="A708" s="1487"/>
      <c r="B708" s="1488"/>
      <c r="C708" s="1489"/>
      <c r="D708" s="1490"/>
      <c r="E708" s="1487"/>
      <c r="F708" s="1488"/>
      <c r="G708" s="1489"/>
      <c r="H708" s="1490"/>
      <c r="I708" s="1487"/>
      <c r="J708" s="1488"/>
      <c r="K708" s="1489"/>
      <c r="L708" s="1490"/>
      <c r="M708" s="1487"/>
      <c r="N708" s="1488"/>
      <c r="O708" s="1489"/>
      <c r="P708" s="1490"/>
      <c r="X708" s="1445" t="e">
        <f ca="1"/>
        <v>#NAME?</v>
      </c>
      <c r="Y708" s="1446" t="e">
        <f ca="1"/>
        <v>#NAME?</v>
      </c>
    </row>
    <row r="709" spans="1:26">
      <c r="A709" s="1487"/>
      <c r="B709" s="1488"/>
      <c r="C709" s="1489"/>
      <c r="D709" s="1490"/>
      <c r="E709" s="1487"/>
      <c r="F709" s="1488"/>
      <c r="G709" s="1489"/>
      <c r="H709" s="1490"/>
      <c r="I709" s="1487"/>
      <c r="J709" s="1488"/>
      <c r="K709" s="1489"/>
      <c r="L709" s="1490"/>
      <c r="M709" s="1487"/>
      <c r="N709" s="1488"/>
      <c r="O709" s="1489"/>
      <c r="P709" s="1490"/>
      <c r="X709" s="1445" t="e">
        <f ca="1"/>
        <v>#NAME?</v>
      </c>
      <c r="Y709" s="1446" t="e">
        <f ca="1"/>
        <v>#NAME?</v>
      </c>
    </row>
    <row r="710" spans="1:26">
      <c r="A710" s="1487"/>
      <c r="B710" s="1488"/>
      <c r="C710" s="1489"/>
      <c r="D710" s="1490"/>
      <c r="E710" s="1487"/>
      <c r="F710" s="1488"/>
      <c r="G710" s="1489"/>
      <c r="H710" s="1490"/>
      <c r="I710" s="1487"/>
      <c r="J710" s="1488"/>
      <c r="K710" s="1489"/>
      <c r="L710" s="1490"/>
      <c r="M710" s="1487"/>
      <c r="N710" s="1488"/>
      <c r="O710" s="1489"/>
      <c r="P710" s="1490"/>
      <c r="X710" s="1445" t="e">
        <f ca="1"/>
        <v>#NAME?</v>
      </c>
      <c r="Y710" s="1446" t="e">
        <f ca="1"/>
        <v>#NAME?</v>
      </c>
    </row>
    <row r="711" spans="1:26">
      <c r="A711" s="1487"/>
      <c r="B711" s="1488"/>
      <c r="C711" s="1489"/>
      <c r="D711" s="1490"/>
      <c r="E711" s="1487"/>
      <c r="F711" s="1488"/>
      <c r="G711" s="1489"/>
      <c r="H711" s="1490"/>
      <c r="I711" s="1487"/>
      <c r="J711" s="1488"/>
      <c r="K711" s="1489"/>
      <c r="L711" s="1490"/>
      <c r="M711" s="1487"/>
      <c r="N711" s="1488"/>
      <c r="O711" s="1489"/>
      <c r="P711" s="1490"/>
      <c r="X711" s="1445" t="e">
        <f ca="1"/>
        <v>#NAME?</v>
      </c>
      <c r="Y711" s="1446" t="e">
        <f ca="1"/>
        <v>#NAME?</v>
      </c>
    </row>
    <row r="712" spans="1:26">
      <c r="A712" s="1487"/>
      <c r="B712" s="1488"/>
      <c r="C712" s="1489"/>
      <c r="D712" s="1490"/>
      <c r="E712" s="1487"/>
      <c r="F712" s="1488"/>
      <c r="G712" s="1489"/>
      <c r="H712" s="1490"/>
      <c r="I712" s="1487"/>
      <c r="J712" s="1488"/>
      <c r="K712" s="1489"/>
      <c r="L712" s="1490"/>
      <c r="M712" s="1487"/>
      <c r="N712" s="1488"/>
      <c r="O712" s="1489"/>
      <c r="P712" s="1490"/>
      <c r="X712" s="1445" t="e">
        <f ca="1"/>
        <v>#NAME?</v>
      </c>
      <c r="Y712" s="1446" t="e">
        <f ca="1"/>
        <v>#NAME?</v>
      </c>
    </row>
    <row r="713" spans="1:26">
      <c r="A713" s="1487"/>
      <c r="B713" s="1488"/>
      <c r="C713" s="1489"/>
      <c r="D713" s="1490"/>
      <c r="E713" s="1487"/>
      <c r="F713" s="1488"/>
      <c r="G713" s="1489"/>
      <c r="H713" s="1490"/>
      <c r="I713" s="1487"/>
      <c r="J713" s="1488"/>
      <c r="K713" s="1489"/>
      <c r="L713" s="1490"/>
      <c r="M713" s="1487"/>
      <c r="N713" s="1488"/>
      <c r="O713" s="1489"/>
      <c r="P713" s="1490"/>
      <c r="X713" s="1445" t="e">
        <f ca="1"/>
        <v>#NAME?</v>
      </c>
      <c r="Y713" s="1446" t="e">
        <f ca="1"/>
        <v>#NAME?</v>
      </c>
    </row>
    <row r="714" spans="1:26">
      <c r="A714" s="1487"/>
      <c r="B714" s="1488"/>
      <c r="C714" s="1489"/>
      <c r="D714" s="1490"/>
      <c r="E714" s="1487"/>
      <c r="F714" s="1488"/>
      <c r="G714" s="1489"/>
      <c r="H714" s="1490"/>
      <c r="I714" s="1487"/>
      <c r="J714" s="1488"/>
      <c r="K714" s="1489"/>
      <c r="L714" s="1490"/>
      <c r="M714" s="1487"/>
      <c r="N714" s="1488"/>
      <c r="O714" s="1489"/>
      <c r="P714" s="1490"/>
      <c r="X714" s="1445" t="e">
        <f ca="1"/>
        <v>#NAME?</v>
      </c>
      <c r="Y714" s="1446" t="e">
        <f ca="1"/>
        <v>#NAME?</v>
      </c>
    </row>
    <row r="715" spans="1:26">
      <c r="A715" s="1487"/>
      <c r="B715" s="1488"/>
      <c r="C715" s="1489"/>
      <c r="D715" s="1490"/>
      <c r="E715" s="1487"/>
      <c r="F715" s="1488"/>
      <c r="G715" s="1489"/>
      <c r="H715" s="1490"/>
      <c r="I715" s="1487"/>
      <c r="J715" s="1488"/>
      <c r="K715" s="1489"/>
      <c r="L715" s="1490"/>
      <c r="M715" s="1487"/>
      <c r="N715" s="1488"/>
      <c r="O715" s="1489"/>
      <c r="P715" s="1490"/>
      <c r="X715" s="1445" t="e">
        <f ca="1"/>
        <v>#NAME?</v>
      </c>
      <c r="Y715" s="1446" t="e">
        <f ca="1"/>
        <v>#NAME?</v>
      </c>
    </row>
    <row r="716" spans="1:26">
      <c r="A716" s="1487"/>
      <c r="B716" s="1488"/>
      <c r="C716" s="1489"/>
      <c r="D716" s="1490"/>
      <c r="E716" s="1487"/>
      <c r="F716" s="1488"/>
      <c r="G716" s="1489"/>
      <c r="H716" s="1490"/>
      <c r="I716" s="1487"/>
      <c r="J716" s="1488"/>
      <c r="K716" s="1489"/>
      <c r="L716" s="1490"/>
      <c r="M716" s="1487"/>
      <c r="N716" s="1488"/>
      <c r="O716" s="1489"/>
      <c r="P716" s="1490"/>
      <c r="X716" s="1445" t="e">
        <f ca="1"/>
        <v>#NAME?</v>
      </c>
      <c r="Y716" s="1446" t="e">
        <f ca="1"/>
        <v>#NAME?</v>
      </c>
    </row>
    <row r="717" spans="1:26">
      <c r="A717" s="1487"/>
      <c r="B717" s="1488"/>
      <c r="C717" s="1489"/>
      <c r="D717" s="1490"/>
      <c r="E717" s="1487"/>
      <c r="F717" s="1488"/>
      <c r="G717" s="1489"/>
      <c r="H717" s="1490"/>
      <c r="I717" s="1487"/>
      <c r="J717" s="1488"/>
      <c r="K717" s="1489"/>
      <c r="L717" s="1490"/>
      <c r="M717" s="1487"/>
      <c r="N717" s="1488"/>
      <c r="O717" s="1489"/>
      <c r="P717" s="1490"/>
      <c r="X717" s="1445" t="e">
        <f ca="1"/>
        <v>#NAME?</v>
      </c>
      <c r="Y717" s="1446" t="e">
        <f ca="1"/>
        <v>#NAME?</v>
      </c>
    </row>
    <row r="718" spans="1:26">
      <c r="A718" s="1487"/>
      <c r="B718" s="1488"/>
      <c r="C718" s="1489"/>
      <c r="D718" s="1490"/>
      <c r="E718" s="1487"/>
      <c r="F718" s="1488"/>
      <c r="G718" s="1489"/>
      <c r="H718" s="1490"/>
      <c r="I718" s="1487"/>
      <c r="J718" s="1488"/>
      <c r="K718" s="1489"/>
      <c r="L718" s="1490"/>
      <c r="M718" s="1487"/>
      <c r="N718" s="1488"/>
      <c r="O718" s="1489"/>
      <c r="P718" s="1490"/>
      <c r="X718" s="1445" t="e">
        <f ca="1"/>
        <v>#NAME?</v>
      </c>
      <c r="Y718" s="1446" t="e">
        <f ca="1"/>
        <v>#NAME?</v>
      </c>
    </row>
    <row r="719" spans="1:26">
      <c r="A719" s="1487"/>
      <c r="B719" s="1488"/>
      <c r="C719" s="1489"/>
      <c r="D719" s="1490"/>
      <c r="E719" s="1487"/>
      <c r="F719" s="1488"/>
      <c r="G719" s="1489"/>
      <c r="H719" s="1490"/>
      <c r="I719" s="1487"/>
      <c r="J719" s="1488"/>
      <c r="K719" s="1489"/>
      <c r="L719" s="1490"/>
      <c r="M719" s="1487"/>
      <c r="N719" s="1488"/>
      <c r="O719" s="1489"/>
      <c r="P719" s="1490"/>
      <c r="X719" s="1445" t="e">
        <f ca="1"/>
        <v>#NAME?</v>
      </c>
      <c r="Y719" s="1446" t="e">
        <f ca="1"/>
        <v>#NAME?</v>
      </c>
    </row>
    <row r="720" spans="1:26">
      <c r="A720" s="1487"/>
      <c r="B720" s="1488"/>
      <c r="C720" s="1489"/>
      <c r="D720" s="1490"/>
      <c r="E720" s="1487"/>
      <c r="F720" s="1488"/>
      <c r="G720" s="1489"/>
      <c r="H720" s="1490"/>
      <c r="I720" s="1487"/>
      <c r="J720" s="1488"/>
      <c r="K720" s="1489"/>
      <c r="L720" s="1490"/>
      <c r="M720" s="1487"/>
      <c r="N720" s="1488"/>
      <c r="O720" s="1489"/>
      <c r="P720" s="1490"/>
      <c r="X720" s="1445" t="e">
        <f ca="1"/>
        <v>#NAME?</v>
      </c>
      <c r="Y720" s="1446" t="e">
        <f ca="1"/>
        <v>#NAME?</v>
      </c>
    </row>
    <row r="721" spans="1:25">
      <c r="A721" s="1487"/>
      <c r="B721" s="1488"/>
      <c r="C721" s="1489"/>
      <c r="D721" s="1490"/>
      <c r="E721" s="1487"/>
      <c r="F721" s="1488"/>
      <c r="G721" s="1489"/>
      <c r="H721" s="1490"/>
      <c r="I721" s="1487"/>
      <c r="J721" s="1488"/>
      <c r="K721" s="1489"/>
      <c r="L721" s="1490"/>
      <c r="M721" s="1487"/>
      <c r="N721" s="1488"/>
      <c r="O721" s="1489"/>
      <c r="P721" s="1490"/>
      <c r="X721" s="1445" t="e">
        <f ca="1"/>
        <v>#NAME?</v>
      </c>
      <c r="Y721" s="1446" t="e">
        <f ca="1"/>
        <v>#NAME?</v>
      </c>
    </row>
    <row r="722" spans="1:25">
      <c r="A722" s="1487"/>
      <c r="B722" s="1488"/>
      <c r="C722" s="1489"/>
      <c r="D722" s="1490"/>
      <c r="E722" s="1487"/>
      <c r="F722" s="1488"/>
      <c r="G722" s="1489"/>
      <c r="H722" s="1490"/>
      <c r="I722" s="1487"/>
      <c r="J722" s="1488"/>
      <c r="K722" s="1489"/>
      <c r="L722" s="1490"/>
      <c r="M722" s="1487"/>
      <c r="N722" s="1488"/>
      <c r="O722" s="1489"/>
      <c r="P722" s="1490"/>
      <c r="X722" s="1445" t="e">
        <f ca="1"/>
        <v>#NAME?</v>
      </c>
      <c r="Y722" s="1446" t="e">
        <f ca="1"/>
        <v>#NAME?</v>
      </c>
    </row>
    <row r="723" spans="1:25">
      <c r="A723" s="1487"/>
      <c r="B723" s="1488"/>
      <c r="C723" s="1489"/>
      <c r="D723" s="1490"/>
      <c r="E723" s="1487"/>
      <c r="F723" s="1488"/>
      <c r="G723" s="1489"/>
      <c r="H723" s="1490"/>
      <c r="I723" s="1487"/>
      <c r="J723" s="1488"/>
      <c r="K723" s="1489"/>
      <c r="L723" s="1490"/>
      <c r="M723" s="1487"/>
      <c r="N723" s="1488"/>
      <c r="O723" s="1489"/>
      <c r="P723" s="1490"/>
      <c r="X723" s="1445" t="e">
        <f ca="1"/>
        <v>#NAME?</v>
      </c>
      <c r="Y723" s="1446" t="e">
        <f ca="1"/>
        <v>#NAME?</v>
      </c>
    </row>
    <row r="724" spans="1:25">
      <c r="A724" s="1487"/>
      <c r="B724" s="1488"/>
      <c r="C724" s="1489"/>
      <c r="D724" s="1490"/>
      <c r="E724" s="1487"/>
      <c r="F724" s="1488"/>
      <c r="G724" s="1489"/>
      <c r="H724" s="1490"/>
      <c r="I724" s="1487"/>
      <c r="J724" s="1488"/>
      <c r="K724" s="1489"/>
      <c r="L724" s="1490"/>
      <c r="M724" s="1487"/>
      <c r="N724" s="1488"/>
      <c r="O724" s="1489"/>
      <c r="P724" s="1490"/>
      <c r="X724" s="1445" t="e">
        <f ca="1"/>
        <v>#NAME?</v>
      </c>
      <c r="Y724" s="1446" t="e">
        <f ca="1"/>
        <v>#NAME?</v>
      </c>
    </row>
    <row r="725" spans="1:25">
      <c r="A725" s="1487"/>
      <c r="B725" s="1488"/>
      <c r="C725" s="1489"/>
      <c r="D725" s="1490"/>
      <c r="E725" s="1487"/>
      <c r="F725" s="1488"/>
      <c r="G725" s="1489"/>
      <c r="H725" s="1490"/>
      <c r="I725" s="1487"/>
      <c r="J725" s="1488"/>
      <c r="K725" s="1489"/>
      <c r="L725" s="1490"/>
      <c r="M725" s="1487"/>
      <c r="N725" s="1488"/>
      <c r="O725" s="1489"/>
      <c r="P725" s="1490"/>
      <c r="X725" s="1445" t="e">
        <f ca="1"/>
        <v>#NAME?</v>
      </c>
      <c r="Y725" s="1446" t="e">
        <f ca="1"/>
        <v>#NAME?</v>
      </c>
    </row>
    <row r="726" spans="1:25">
      <c r="A726" s="1487"/>
      <c r="B726" s="1488"/>
      <c r="C726" s="1489"/>
      <c r="D726" s="1490"/>
      <c r="E726" s="1487"/>
      <c r="F726" s="1488"/>
      <c r="G726" s="1489"/>
      <c r="H726" s="1490"/>
      <c r="I726" s="1487"/>
      <c r="J726" s="1488"/>
      <c r="K726" s="1489"/>
      <c r="L726" s="1490"/>
      <c r="M726" s="1487"/>
      <c r="N726" s="1488"/>
      <c r="O726" s="1489"/>
      <c r="P726" s="1490"/>
      <c r="X726" s="1445" t="e">
        <f ca="1"/>
        <v>#NAME?</v>
      </c>
      <c r="Y726" s="1446" t="e">
        <f ca="1"/>
        <v>#NAME?</v>
      </c>
    </row>
    <row r="727" spans="1:25">
      <c r="A727" s="1487"/>
      <c r="B727" s="1488"/>
      <c r="C727" s="1489"/>
      <c r="D727" s="1490"/>
      <c r="E727" s="1487"/>
      <c r="F727" s="1488"/>
      <c r="G727" s="1489"/>
      <c r="H727" s="1490"/>
      <c r="I727" s="1487"/>
      <c r="J727" s="1488"/>
      <c r="K727" s="1489"/>
      <c r="L727" s="1490"/>
      <c r="M727" s="1487"/>
      <c r="N727" s="1488"/>
      <c r="O727" s="1489"/>
      <c r="P727" s="1490"/>
      <c r="X727" s="1445" t="e">
        <f ca="1"/>
        <v>#NAME?</v>
      </c>
      <c r="Y727" s="1446" t="e">
        <f ca="1"/>
        <v>#NAME?</v>
      </c>
    </row>
    <row r="728" spans="1:25">
      <c r="A728" s="1487"/>
      <c r="B728" s="1488"/>
      <c r="C728" s="1489"/>
      <c r="D728" s="1490"/>
      <c r="E728" s="1487"/>
      <c r="F728" s="1488"/>
      <c r="G728" s="1489"/>
      <c r="H728" s="1490"/>
      <c r="I728" s="1487"/>
      <c r="J728" s="1488"/>
      <c r="K728" s="1489"/>
      <c r="L728" s="1490"/>
      <c r="M728" s="1487"/>
      <c r="N728" s="1488"/>
      <c r="O728" s="1489"/>
      <c r="P728" s="1490"/>
      <c r="X728" s="1445" t="e">
        <f ca="1"/>
        <v>#NAME?</v>
      </c>
      <c r="Y728" s="1446" t="e">
        <f ca="1"/>
        <v>#NAME?</v>
      </c>
    </row>
    <row r="729" spans="1:25">
      <c r="A729" s="1487"/>
      <c r="B729" s="1488"/>
      <c r="C729" s="1489"/>
      <c r="D729" s="1490"/>
      <c r="E729" s="1487"/>
      <c r="F729" s="1488"/>
      <c r="G729" s="1489"/>
      <c r="H729" s="1490"/>
      <c r="I729" s="1487"/>
      <c r="J729" s="1488"/>
      <c r="K729" s="1489"/>
      <c r="L729" s="1490"/>
      <c r="M729" s="1487"/>
      <c r="N729" s="1488"/>
      <c r="O729" s="1489"/>
      <c r="P729" s="1490"/>
      <c r="X729" s="1445" t="e">
        <f ca="1"/>
        <v>#NAME?</v>
      </c>
      <c r="Y729" s="1446" t="e">
        <f ca="1"/>
        <v>#NAME?</v>
      </c>
    </row>
    <row r="730" spans="1:25">
      <c r="A730" s="1487"/>
      <c r="B730" s="1488"/>
      <c r="C730" s="1489"/>
      <c r="D730" s="1490"/>
      <c r="E730" s="1487"/>
      <c r="F730" s="1488"/>
      <c r="G730" s="1489"/>
      <c r="H730" s="1490"/>
      <c r="I730" s="1487"/>
      <c r="J730" s="1488"/>
      <c r="K730" s="1489"/>
      <c r="L730" s="1490"/>
      <c r="M730" s="1487"/>
      <c r="N730" s="1488"/>
      <c r="O730" s="1489"/>
      <c r="P730" s="1490"/>
      <c r="X730" s="1445" t="e">
        <f ca="1"/>
        <v>#NAME?</v>
      </c>
      <c r="Y730" s="1446" t="e">
        <f ca="1"/>
        <v>#NAME?</v>
      </c>
    </row>
    <row r="731" spans="1:25">
      <c r="A731" s="1487"/>
      <c r="B731" s="1488"/>
      <c r="C731" s="1489"/>
      <c r="D731" s="1490"/>
      <c r="E731" s="1487"/>
      <c r="F731" s="1488"/>
      <c r="G731" s="1489"/>
      <c r="H731" s="1490"/>
      <c r="I731" s="1487"/>
      <c r="J731" s="1488"/>
      <c r="K731" s="1489"/>
      <c r="L731" s="1490"/>
      <c r="M731" s="1487"/>
      <c r="N731" s="1488"/>
      <c r="O731" s="1489"/>
      <c r="P731" s="1490"/>
      <c r="X731" s="1445" t="e">
        <f ca="1"/>
        <v>#NAME?</v>
      </c>
      <c r="Y731" s="1446" t="e">
        <f ca="1"/>
        <v>#NAME?</v>
      </c>
    </row>
    <row r="732" spans="1:25">
      <c r="A732" s="1487"/>
      <c r="B732" s="1488"/>
      <c r="C732" s="1489"/>
      <c r="D732" s="1490"/>
      <c r="E732" s="1487"/>
      <c r="F732" s="1488"/>
      <c r="G732" s="1489"/>
      <c r="H732" s="1490"/>
      <c r="I732" s="1487"/>
      <c r="J732" s="1488"/>
      <c r="K732" s="1489"/>
      <c r="L732" s="1490"/>
      <c r="M732" s="1487"/>
      <c r="N732" s="1488"/>
      <c r="O732" s="1489"/>
      <c r="P732" s="1490"/>
      <c r="X732" s="1445" t="e">
        <f ca="1"/>
        <v>#NAME?</v>
      </c>
      <c r="Y732" s="1446" t="e">
        <f ca="1"/>
        <v>#NAME?</v>
      </c>
    </row>
    <row r="733" spans="1:25">
      <c r="A733" s="1487"/>
      <c r="B733" s="1488"/>
      <c r="C733" s="1489"/>
      <c r="D733" s="1490"/>
      <c r="E733" s="1487"/>
      <c r="F733" s="1488"/>
      <c r="G733" s="1489"/>
      <c r="H733" s="1490"/>
      <c r="I733" s="1487"/>
      <c r="J733" s="1488"/>
      <c r="K733" s="1489"/>
      <c r="L733" s="1490"/>
      <c r="M733" s="1487"/>
      <c r="N733" s="1488"/>
      <c r="O733" s="1489"/>
      <c r="P733" s="1490"/>
      <c r="X733" s="1445" t="e">
        <f ca="1"/>
        <v>#NAME?</v>
      </c>
      <c r="Y733" s="1446" t="e">
        <f ca="1"/>
        <v>#NAME?</v>
      </c>
    </row>
    <row r="734" spans="1:25">
      <c r="A734" s="1487"/>
      <c r="B734" s="1488"/>
      <c r="C734" s="1489"/>
      <c r="D734" s="1490"/>
      <c r="E734" s="1487"/>
      <c r="F734" s="1488"/>
      <c r="G734" s="1489"/>
      <c r="H734" s="1490"/>
      <c r="I734" s="1487"/>
      <c r="J734" s="1488"/>
      <c r="K734" s="1489"/>
      <c r="L734" s="1490"/>
      <c r="M734" s="1487"/>
      <c r="N734" s="1488"/>
      <c r="O734" s="1489"/>
      <c r="P734" s="1490"/>
      <c r="X734" s="1445" t="e">
        <f ca="1"/>
        <v>#NAME?</v>
      </c>
      <c r="Y734" s="1446" t="e">
        <f ca="1"/>
        <v>#NAME?</v>
      </c>
    </row>
    <row r="735" spans="1:25">
      <c r="A735" s="1487"/>
      <c r="B735" s="1488"/>
      <c r="C735" s="1489"/>
      <c r="D735" s="1490"/>
      <c r="E735" s="1487"/>
      <c r="F735" s="1488"/>
      <c r="G735" s="1489"/>
      <c r="H735" s="1490"/>
      <c r="I735" s="1487"/>
      <c r="J735" s="1488"/>
      <c r="K735" s="1489"/>
      <c r="L735" s="1490"/>
      <c r="M735" s="1487"/>
      <c r="N735" s="1488"/>
      <c r="O735" s="1489"/>
      <c r="P735" s="1490"/>
      <c r="X735" s="1445" t="e">
        <f ca="1"/>
        <v>#NAME?</v>
      </c>
      <c r="Y735" s="1446" t="e">
        <f ca="1"/>
        <v>#NAME?</v>
      </c>
    </row>
    <row r="736" spans="1:25">
      <c r="A736" s="1487"/>
      <c r="B736" s="1488"/>
      <c r="C736" s="1489"/>
      <c r="D736" s="1490"/>
      <c r="E736" s="1487"/>
      <c r="F736" s="1488"/>
      <c r="G736" s="1489"/>
      <c r="H736" s="1490"/>
      <c r="I736" s="1487"/>
      <c r="J736" s="1488"/>
      <c r="K736" s="1489"/>
      <c r="L736" s="1490"/>
      <c r="M736" s="1487"/>
      <c r="N736" s="1488"/>
      <c r="O736" s="1489"/>
      <c r="P736" s="1490"/>
      <c r="X736" s="1445" t="e">
        <f ca="1"/>
        <v>#NAME?</v>
      </c>
      <c r="Y736" s="1446" t="e">
        <f ca="1"/>
        <v>#NAME?</v>
      </c>
    </row>
    <row r="737" spans="1:25">
      <c r="A737" s="1487"/>
      <c r="B737" s="1488"/>
      <c r="C737" s="1489"/>
      <c r="D737" s="1490"/>
      <c r="E737" s="1487"/>
      <c r="F737" s="1488"/>
      <c r="G737" s="1489"/>
      <c r="H737" s="1490"/>
      <c r="I737" s="1487"/>
      <c r="J737" s="1488"/>
      <c r="K737" s="1489"/>
      <c r="L737" s="1490"/>
      <c r="M737" s="1487"/>
      <c r="N737" s="1488"/>
      <c r="O737" s="1489"/>
      <c r="P737" s="1490"/>
      <c r="X737" s="1445" t="e">
        <f ca="1"/>
        <v>#NAME?</v>
      </c>
      <c r="Y737" s="1446" t="e">
        <f ca="1"/>
        <v>#NAME?</v>
      </c>
    </row>
    <row r="738" spans="1:25">
      <c r="A738" s="1487"/>
      <c r="B738" s="1488"/>
      <c r="C738" s="1489"/>
      <c r="D738" s="1490"/>
      <c r="E738" s="1487"/>
      <c r="F738" s="1488"/>
      <c r="G738" s="1489"/>
      <c r="H738" s="1490"/>
      <c r="I738" s="1487"/>
      <c r="J738" s="1488"/>
      <c r="K738" s="1489"/>
      <c r="L738" s="1490"/>
      <c r="M738" s="1487"/>
      <c r="N738" s="1488"/>
      <c r="O738" s="1489"/>
      <c r="P738" s="1490"/>
      <c r="X738" s="1445" t="e">
        <f ca="1"/>
        <v>#NAME?</v>
      </c>
      <c r="Y738" s="1446" t="e">
        <f ca="1"/>
        <v>#NAME?</v>
      </c>
    </row>
    <row r="739" spans="1:25">
      <c r="A739" s="1487"/>
      <c r="B739" s="1488"/>
      <c r="C739" s="1489"/>
      <c r="D739" s="1490"/>
      <c r="E739" s="1487"/>
      <c r="F739" s="1488"/>
      <c r="G739" s="1489"/>
      <c r="H739" s="1490"/>
      <c r="I739" s="1487"/>
      <c r="J739" s="1488"/>
      <c r="K739" s="1489"/>
      <c r="L739" s="1490"/>
      <c r="M739" s="1487"/>
      <c r="N739" s="1488"/>
      <c r="O739" s="1489"/>
      <c r="P739" s="1490"/>
      <c r="X739" s="1445" t="e">
        <f ca="1"/>
        <v>#NAME?</v>
      </c>
      <c r="Y739" s="1446" t="e">
        <f ca="1"/>
        <v>#NAME?</v>
      </c>
    </row>
    <row r="740" spans="1:25">
      <c r="A740" s="1487"/>
      <c r="B740" s="1488"/>
      <c r="C740" s="1489"/>
      <c r="D740" s="1490"/>
      <c r="E740" s="1487"/>
      <c r="F740" s="1488"/>
      <c r="G740" s="1489"/>
      <c r="H740" s="1490"/>
      <c r="I740" s="1487"/>
      <c r="J740" s="1488"/>
      <c r="K740" s="1489"/>
      <c r="L740" s="1490"/>
      <c r="M740" s="1487"/>
      <c r="N740" s="1488"/>
      <c r="O740" s="1489"/>
      <c r="P740" s="1490"/>
      <c r="X740" s="1445" t="e">
        <f ca="1"/>
        <v>#NAME?</v>
      </c>
      <c r="Y740" s="1446" t="e">
        <f ca="1"/>
        <v>#NAME?</v>
      </c>
    </row>
    <row r="741" spans="1:25">
      <c r="A741" s="1487"/>
      <c r="B741" s="1488"/>
      <c r="C741" s="1489"/>
      <c r="D741" s="1490"/>
      <c r="E741" s="1487"/>
      <c r="F741" s="1488"/>
      <c r="G741" s="1489"/>
      <c r="H741" s="1490"/>
      <c r="I741" s="1487"/>
      <c r="J741" s="1488"/>
      <c r="K741" s="1489"/>
      <c r="L741" s="1490"/>
      <c r="M741" s="1487"/>
      <c r="N741" s="1488"/>
      <c r="O741" s="1489"/>
      <c r="P741" s="1490"/>
      <c r="X741" s="1445" t="e">
        <f ca="1"/>
        <v>#NAME?</v>
      </c>
      <c r="Y741" s="1446" t="e">
        <f ca="1"/>
        <v>#NAME?</v>
      </c>
    </row>
    <row r="742" spans="1:25">
      <c r="A742" s="1487"/>
      <c r="B742" s="1488"/>
      <c r="C742" s="1489"/>
      <c r="D742" s="1490"/>
      <c r="E742" s="1487"/>
      <c r="F742" s="1488"/>
      <c r="G742" s="1489"/>
      <c r="H742" s="1490"/>
      <c r="I742" s="1487"/>
      <c r="J742" s="1488"/>
      <c r="K742" s="1489"/>
      <c r="L742" s="1490"/>
      <c r="M742" s="1487"/>
      <c r="N742" s="1488"/>
      <c r="O742" s="1489"/>
      <c r="P742" s="1490"/>
      <c r="X742" s="1445" t="e">
        <f ca="1"/>
        <v>#NAME?</v>
      </c>
      <c r="Y742" s="1446" t="e">
        <f ca="1"/>
        <v>#NAME?</v>
      </c>
    </row>
    <row r="743" spans="1:25">
      <c r="A743" s="1487"/>
      <c r="B743" s="1488"/>
      <c r="C743" s="1489"/>
      <c r="D743" s="1490"/>
      <c r="E743" s="1487"/>
      <c r="F743" s="1488"/>
      <c r="G743" s="1489"/>
      <c r="H743" s="1490"/>
      <c r="I743" s="1487"/>
      <c r="J743" s="1488"/>
      <c r="K743" s="1489"/>
      <c r="L743" s="1490"/>
      <c r="M743" s="1487"/>
      <c r="N743" s="1488"/>
      <c r="O743" s="1489"/>
      <c r="P743" s="1490"/>
      <c r="X743" s="1445" t="e">
        <f ca="1"/>
        <v>#NAME?</v>
      </c>
      <c r="Y743" s="1446" t="e">
        <f ca="1"/>
        <v>#NAME?</v>
      </c>
    </row>
    <row r="744" spans="1:25">
      <c r="A744" s="1487"/>
      <c r="B744" s="1488"/>
      <c r="C744" s="1489"/>
      <c r="D744" s="1490"/>
      <c r="E744" s="1487"/>
      <c r="F744" s="1488"/>
      <c r="G744" s="1489"/>
      <c r="H744" s="1490"/>
      <c r="I744" s="1487"/>
      <c r="J744" s="1488"/>
      <c r="K744" s="1489"/>
      <c r="L744" s="1490"/>
      <c r="M744" s="1487"/>
      <c r="N744" s="1488"/>
      <c r="O744" s="1489"/>
      <c r="P744" s="1490"/>
      <c r="X744" s="1445" t="e">
        <f ca="1"/>
        <v>#NAME?</v>
      </c>
      <c r="Y744" s="1446" t="e">
        <f ca="1"/>
        <v>#NAME?</v>
      </c>
    </row>
    <row r="745" spans="1:25">
      <c r="A745" s="1487"/>
      <c r="B745" s="1488"/>
      <c r="C745" s="1489"/>
      <c r="D745" s="1490"/>
      <c r="E745" s="1487"/>
      <c r="F745" s="1488"/>
      <c r="G745" s="1489"/>
      <c r="H745" s="1490"/>
      <c r="I745" s="1487"/>
      <c r="J745" s="1488"/>
      <c r="K745" s="1489"/>
      <c r="L745" s="1490"/>
      <c r="M745" s="1487"/>
      <c r="N745" s="1488"/>
      <c r="O745" s="1489"/>
      <c r="P745" s="1490"/>
      <c r="X745" s="1445" t="e">
        <f ca="1"/>
        <v>#NAME?</v>
      </c>
      <c r="Y745" s="1446" t="e">
        <f ca="1"/>
        <v>#NAME?</v>
      </c>
    </row>
    <row r="746" spans="1:25">
      <c r="A746" s="1487"/>
      <c r="B746" s="1488"/>
      <c r="C746" s="1489"/>
      <c r="D746" s="1490"/>
      <c r="E746" s="1487"/>
      <c r="F746" s="1488"/>
      <c r="G746" s="1489"/>
      <c r="H746" s="1490"/>
      <c r="I746" s="1487"/>
      <c r="J746" s="1488"/>
      <c r="K746" s="1489"/>
      <c r="L746" s="1490"/>
      <c r="M746" s="1487"/>
      <c r="N746" s="1488"/>
      <c r="O746" s="1489"/>
      <c r="P746" s="1490"/>
      <c r="X746" s="1445" t="e">
        <f ca="1"/>
        <v>#NAME?</v>
      </c>
      <c r="Y746" s="1446" t="e">
        <f ca="1"/>
        <v>#NAME?</v>
      </c>
    </row>
    <row r="747" spans="1:25">
      <c r="A747" s="1487"/>
      <c r="B747" s="1488"/>
      <c r="C747" s="1489"/>
      <c r="D747" s="1490"/>
      <c r="E747" s="1487"/>
      <c r="F747" s="1488"/>
      <c r="G747" s="1489"/>
      <c r="H747" s="1490"/>
      <c r="I747" s="1487"/>
      <c r="J747" s="1488"/>
      <c r="K747" s="1489"/>
      <c r="L747" s="1490"/>
      <c r="M747" s="1487"/>
      <c r="N747" s="1488"/>
      <c r="O747" s="1489"/>
      <c r="P747" s="1490"/>
      <c r="X747" s="1445" t="e">
        <f ca="1"/>
        <v>#NAME?</v>
      </c>
      <c r="Y747" s="1446" t="e">
        <f ca="1"/>
        <v>#NAME?</v>
      </c>
    </row>
    <row r="748" spans="1:25">
      <c r="A748" s="1487"/>
      <c r="B748" s="1488"/>
      <c r="C748" s="1489"/>
      <c r="D748" s="1490"/>
      <c r="E748" s="1487"/>
      <c r="F748" s="1488"/>
      <c r="G748" s="1489"/>
      <c r="H748" s="1490"/>
      <c r="I748" s="1487"/>
      <c r="J748" s="1488"/>
      <c r="K748" s="1489"/>
      <c r="L748" s="1490"/>
      <c r="M748" s="1487"/>
      <c r="N748" s="1488"/>
      <c r="O748" s="1489"/>
      <c r="P748" s="1490"/>
      <c r="X748" s="1445" t="e">
        <f ca="1"/>
        <v>#NAME?</v>
      </c>
      <c r="Y748" s="1446" t="e">
        <f ca="1"/>
        <v>#NAME?</v>
      </c>
    </row>
    <row r="749" spans="1:25">
      <c r="A749" s="1487"/>
      <c r="B749" s="1488"/>
      <c r="C749" s="1489"/>
      <c r="D749" s="1490"/>
      <c r="E749" s="1487"/>
      <c r="F749" s="1488"/>
      <c r="G749" s="1489"/>
      <c r="H749" s="1490"/>
      <c r="I749" s="1487"/>
      <c r="J749" s="1488"/>
      <c r="K749" s="1489"/>
      <c r="L749" s="1490"/>
      <c r="M749" s="1487"/>
      <c r="N749" s="1488"/>
      <c r="O749" s="1489"/>
      <c r="P749" s="1490"/>
      <c r="X749" s="1445" t="e">
        <f ca="1"/>
        <v>#NAME?</v>
      </c>
      <c r="Y749" s="1446" t="e">
        <f ca="1"/>
        <v>#NAME?</v>
      </c>
    </row>
    <row r="750" spans="1:25">
      <c r="A750" s="1487"/>
      <c r="B750" s="1488"/>
      <c r="C750" s="1489"/>
      <c r="D750" s="1490"/>
      <c r="E750" s="1487"/>
      <c r="F750" s="1488"/>
      <c r="G750" s="1489"/>
      <c r="H750" s="1490"/>
      <c r="I750" s="1487"/>
      <c r="J750" s="1488"/>
      <c r="K750" s="1489"/>
      <c r="L750" s="1490"/>
      <c r="M750" s="1487"/>
      <c r="N750" s="1488"/>
      <c r="O750" s="1489"/>
      <c r="P750" s="1490"/>
      <c r="X750" s="1445" t="e">
        <f ca="1"/>
        <v>#NAME?</v>
      </c>
      <c r="Y750" s="1446" t="e">
        <f ca="1"/>
        <v>#NAME?</v>
      </c>
    </row>
    <row r="751" spans="1:25">
      <c r="A751" s="1487"/>
      <c r="B751" s="1488"/>
      <c r="C751" s="1489"/>
      <c r="D751" s="1490"/>
      <c r="E751" s="1487"/>
      <c r="F751" s="1488"/>
      <c r="G751" s="1489"/>
      <c r="H751" s="1490"/>
      <c r="I751" s="1487"/>
      <c r="J751" s="1488"/>
      <c r="K751" s="1489"/>
      <c r="L751" s="1490"/>
      <c r="M751" s="1487"/>
      <c r="N751" s="1488"/>
      <c r="O751" s="1489"/>
      <c r="P751" s="1490"/>
      <c r="X751" s="1445" t="e">
        <f ca="1"/>
        <v>#NAME?</v>
      </c>
      <c r="Y751" s="1446" t="e">
        <f ca="1"/>
        <v>#NAME?</v>
      </c>
    </row>
    <row r="752" spans="1:25">
      <c r="A752" s="1487"/>
      <c r="B752" s="1488"/>
      <c r="C752" s="1489"/>
      <c r="D752" s="1490"/>
      <c r="E752" s="1487"/>
      <c r="F752" s="1488"/>
      <c r="G752" s="1489"/>
      <c r="H752" s="1490"/>
      <c r="I752" s="1487"/>
      <c r="J752" s="1488"/>
      <c r="K752" s="1489"/>
      <c r="L752" s="1490"/>
      <c r="M752" s="1487"/>
      <c r="N752" s="1488"/>
      <c r="O752" s="1489"/>
      <c r="P752" s="1490"/>
      <c r="X752" s="1445" t="e">
        <f ca="1"/>
        <v>#NAME?</v>
      </c>
      <c r="Y752" s="1446" t="e">
        <f ca="1"/>
        <v>#NAME?</v>
      </c>
    </row>
    <row r="753" spans="1:25">
      <c r="A753" s="1487"/>
      <c r="B753" s="1488"/>
      <c r="C753" s="1489"/>
      <c r="D753" s="1490"/>
      <c r="E753" s="1487"/>
      <c r="F753" s="1488"/>
      <c r="G753" s="1489"/>
      <c r="H753" s="1490"/>
      <c r="I753" s="1487"/>
      <c r="J753" s="1488"/>
      <c r="K753" s="1489"/>
      <c r="L753" s="1490"/>
      <c r="M753" s="1487"/>
      <c r="N753" s="1488"/>
      <c r="O753" s="1489"/>
      <c r="P753" s="1490"/>
      <c r="X753" s="1445" t="e">
        <f ca="1"/>
        <v>#NAME?</v>
      </c>
      <c r="Y753" s="1446" t="e">
        <f ca="1"/>
        <v>#NAME?</v>
      </c>
    </row>
    <row r="754" spans="1:25">
      <c r="A754" s="1487"/>
      <c r="B754" s="1488"/>
      <c r="C754" s="1489"/>
      <c r="D754" s="1490"/>
      <c r="E754" s="1487"/>
      <c r="F754" s="1488"/>
      <c r="G754" s="1489"/>
      <c r="H754" s="1490"/>
      <c r="I754" s="1487"/>
      <c r="J754" s="1488"/>
      <c r="K754" s="1489"/>
      <c r="L754" s="1490"/>
      <c r="M754" s="1487"/>
      <c r="N754" s="1488"/>
      <c r="O754" s="1489"/>
      <c r="P754" s="1490"/>
      <c r="X754" s="1445" t="e">
        <f ca="1"/>
        <v>#NAME?</v>
      </c>
      <c r="Y754" s="1446" t="e">
        <f ca="1"/>
        <v>#NAME?</v>
      </c>
    </row>
    <row r="755" spans="1:25">
      <c r="A755" s="1487"/>
      <c r="B755" s="1488"/>
      <c r="C755" s="1489"/>
      <c r="D755" s="1490"/>
      <c r="E755" s="1487"/>
      <c r="F755" s="1488"/>
      <c r="G755" s="1489"/>
      <c r="H755" s="1490"/>
      <c r="I755" s="1487"/>
      <c r="J755" s="1488"/>
      <c r="K755" s="1489"/>
      <c r="L755" s="1490"/>
      <c r="M755" s="1487"/>
      <c r="N755" s="1488"/>
      <c r="O755" s="1489"/>
      <c r="P755" s="1490"/>
      <c r="X755" s="1445" t="e">
        <f ca="1"/>
        <v>#NAME?</v>
      </c>
      <c r="Y755" s="1446" t="e">
        <f ca="1"/>
        <v>#NAME?</v>
      </c>
    </row>
    <row r="756" spans="1:25">
      <c r="A756" s="1487"/>
      <c r="B756" s="1488"/>
      <c r="C756" s="1489"/>
      <c r="D756" s="1490"/>
      <c r="E756" s="1487"/>
      <c r="F756" s="1488"/>
      <c r="G756" s="1489"/>
      <c r="H756" s="1490"/>
      <c r="I756" s="1487"/>
      <c r="J756" s="1488"/>
      <c r="K756" s="1489"/>
      <c r="L756" s="1490"/>
      <c r="M756" s="1487"/>
      <c r="N756" s="1488"/>
      <c r="O756" s="1489"/>
      <c r="P756" s="1490"/>
      <c r="X756" s="1445" t="e">
        <f ca="1"/>
        <v>#NAME?</v>
      </c>
      <c r="Y756" s="1446" t="e">
        <f ca="1"/>
        <v>#NAME?</v>
      </c>
    </row>
    <row r="757" spans="1:25">
      <c r="A757" s="1487"/>
      <c r="B757" s="1488"/>
      <c r="C757" s="1489"/>
      <c r="D757" s="1490"/>
      <c r="E757" s="1487"/>
      <c r="F757" s="1488"/>
      <c r="G757" s="1489"/>
      <c r="H757" s="1490"/>
      <c r="I757" s="1487"/>
      <c r="J757" s="1488"/>
      <c r="K757" s="1489"/>
      <c r="L757" s="1490"/>
      <c r="M757" s="1487"/>
      <c r="N757" s="1488"/>
      <c r="O757" s="1489"/>
      <c r="P757" s="1490"/>
      <c r="X757" s="1445" t="e">
        <f ca="1"/>
        <v>#NAME?</v>
      </c>
      <c r="Y757" s="1446" t="e">
        <f ca="1"/>
        <v>#NAME?</v>
      </c>
    </row>
    <row r="758" spans="1:25">
      <c r="A758" s="1487"/>
      <c r="B758" s="1488"/>
      <c r="C758" s="1489"/>
      <c r="D758" s="1490"/>
      <c r="E758" s="1487"/>
      <c r="F758" s="1488"/>
      <c r="G758" s="1489"/>
      <c r="H758" s="1490"/>
      <c r="I758" s="1487"/>
      <c r="J758" s="1488"/>
      <c r="K758" s="1489"/>
      <c r="L758" s="1490"/>
      <c r="M758" s="1487"/>
      <c r="N758" s="1488"/>
      <c r="O758" s="1489"/>
      <c r="P758" s="1490"/>
      <c r="X758" s="1445" t="e">
        <f ca="1"/>
        <v>#NAME?</v>
      </c>
      <c r="Y758" s="1446" t="e">
        <f ca="1"/>
        <v>#NAME?</v>
      </c>
    </row>
    <row r="759" spans="1:25">
      <c r="A759" s="1487"/>
      <c r="B759" s="1488"/>
      <c r="C759" s="1489"/>
      <c r="D759" s="1490"/>
      <c r="E759" s="1487"/>
      <c r="F759" s="1488"/>
      <c r="G759" s="1489"/>
      <c r="H759" s="1490"/>
      <c r="I759" s="1487"/>
      <c r="J759" s="1488"/>
      <c r="K759" s="1489"/>
      <c r="L759" s="1490"/>
      <c r="M759" s="1487"/>
      <c r="N759" s="1488"/>
      <c r="O759" s="1489"/>
      <c r="P759" s="1490"/>
      <c r="X759" s="1445" t="e">
        <f ca="1"/>
        <v>#NAME?</v>
      </c>
      <c r="Y759" s="1446" t="e">
        <f ca="1"/>
        <v>#NAME?</v>
      </c>
    </row>
    <row r="760" spans="1:25">
      <c r="A760" s="1487"/>
      <c r="B760" s="1488"/>
      <c r="C760" s="1489"/>
      <c r="D760" s="1490"/>
      <c r="E760" s="1487"/>
      <c r="F760" s="1488"/>
      <c r="G760" s="1489"/>
      <c r="H760" s="1490"/>
      <c r="I760" s="1487"/>
      <c r="J760" s="1488"/>
      <c r="K760" s="1489"/>
      <c r="L760" s="1490"/>
      <c r="M760" s="1487"/>
      <c r="N760" s="1488"/>
      <c r="O760" s="1489"/>
      <c r="P760" s="1490"/>
      <c r="X760" s="1445" t="e">
        <f ca="1"/>
        <v>#NAME?</v>
      </c>
      <c r="Y760" s="1446" t="e">
        <f ca="1"/>
        <v>#NAME?</v>
      </c>
    </row>
    <row r="761" spans="1:25">
      <c r="A761" s="1487"/>
      <c r="B761" s="1488"/>
      <c r="C761" s="1489"/>
      <c r="D761" s="1490"/>
      <c r="E761" s="1487"/>
      <c r="F761" s="1488"/>
      <c r="G761" s="1489"/>
      <c r="H761" s="1490"/>
      <c r="I761" s="1487"/>
      <c r="J761" s="1488"/>
      <c r="K761" s="1489"/>
      <c r="L761" s="1490"/>
      <c r="M761" s="1487"/>
      <c r="N761" s="1488"/>
      <c r="O761" s="1489"/>
      <c r="P761" s="1490"/>
      <c r="X761" s="1445" t="e">
        <f ca="1"/>
        <v>#NAME?</v>
      </c>
      <c r="Y761" s="1446" t="e">
        <f ca="1"/>
        <v>#NAME?</v>
      </c>
    </row>
    <row r="762" spans="1:25">
      <c r="A762" s="1487"/>
      <c r="B762" s="1488"/>
      <c r="C762" s="1489"/>
      <c r="D762" s="1490"/>
      <c r="E762" s="1487"/>
      <c r="F762" s="1488"/>
      <c r="G762" s="1489"/>
      <c r="H762" s="1490"/>
      <c r="I762" s="1487"/>
      <c r="J762" s="1488"/>
      <c r="K762" s="1489"/>
      <c r="L762" s="1490"/>
      <c r="M762" s="1487"/>
      <c r="N762" s="1488"/>
      <c r="O762" s="1489"/>
      <c r="P762" s="1490"/>
      <c r="X762" s="1445" t="e">
        <f ca="1"/>
        <v>#NAME?</v>
      </c>
      <c r="Y762" s="1446" t="e">
        <f ca="1"/>
        <v>#NAME?</v>
      </c>
    </row>
    <row r="763" spans="1:25">
      <c r="A763" s="1487"/>
      <c r="B763" s="1488"/>
      <c r="C763" s="1489"/>
      <c r="D763" s="1490"/>
      <c r="E763" s="1487"/>
      <c r="F763" s="1488"/>
      <c r="G763" s="1489"/>
      <c r="H763" s="1490"/>
      <c r="I763" s="1487"/>
      <c r="J763" s="1488"/>
      <c r="K763" s="1489"/>
      <c r="L763" s="1490"/>
      <c r="M763" s="1487"/>
      <c r="N763" s="1488"/>
      <c r="O763" s="1489"/>
      <c r="P763" s="1490"/>
      <c r="X763" s="1445" t="e">
        <f ca="1"/>
        <v>#NAME?</v>
      </c>
      <c r="Y763" s="1446" t="e">
        <f ca="1"/>
        <v>#NAME?</v>
      </c>
    </row>
    <row r="764" spans="1:25">
      <c r="A764" s="1487"/>
      <c r="B764" s="1488"/>
      <c r="C764" s="1489"/>
      <c r="D764" s="1490"/>
      <c r="E764" s="1487"/>
      <c r="F764" s="1488"/>
      <c r="G764" s="1489"/>
      <c r="H764" s="1490"/>
      <c r="I764" s="1487"/>
      <c r="J764" s="1488"/>
      <c r="K764" s="1489"/>
      <c r="L764" s="1490"/>
      <c r="M764" s="1487"/>
      <c r="N764" s="1488"/>
      <c r="O764" s="1489"/>
      <c r="P764" s="1490"/>
      <c r="X764" s="1445" t="e">
        <f ca="1"/>
        <v>#NAME?</v>
      </c>
      <c r="Y764" s="1446" t="e">
        <f ca="1"/>
        <v>#NAME?</v>
      </c>
    </row>
    <row r="765" spans="1:25">
      <c r="A765" s="1487"/>
      <c r="B765" s="1488"/>
      <c r="C765" s="1489"/>
      <c r="D765" s="1490"/>
      <c r="E765" s="1487"/>
      <c r="F765" s="1488"/>
      <c r="G765" s="1489"/>
      <c r="H765" s="1490"/>
      <c r="I765" s="1487"/>
      <c r="J765" s="1488"/>
      <c r="K765" s="1489"/>
      <c r="L765" s="1490"/>
      <c r="M765" s="1487"/>
      <c r="N765" s="1488"/>
      <c r="O765" s="1489"/>
      <c r="P765" s="1490"/>
      <c r="X765" s="1445" t="e">
        <f ca="1"/>
        <v>#NAME?</v>
      </c>
      <c r="Y765" s="1446" t="e">
        <f ca="1"/>
        <v>#NAME?</v>
      </c>
    </row>
    <row r="766" spans="1:25">
      <c r="A766" s="1487"/>
      <c r="B766" s="1488"/>
      <c r="C766" s="1489"/>
      <c r="D766" s="1490"/>
      <c r="E766" s="1487"/>
      <c r="F766" s="1488"/>
      <c r="G766" s="1489"/>
      <c r="H766" s="1490"/>
      <c r="I766" s="1487"/>
      <c r="J766" s="1488"/>
      <c r="K766" s="1489"/>
      <c r="L766" s="1490"/>
      <c r="M766" s="1487"/>
      <c r="N766" s="1488"/>
      <c r="O766" s="1489"/>
      <c r="P766" s="1490"/>
      <c r="X766" s="1445" t="e">
        <f ca="1"/>
        <v>#NAME?</v>
      </c>
      <c r="Y766" s="1446" t="e">
        <f ca="1"/>
        <v>#NAME?</v>
      </c>
    </row>
    <row r="767" spans="1:25">
      <c r="A767" s="1487"/>
      <c r="B767" s="1488"/>
      <c r="C767" s="1489"/>
      <c r="D767" s="1490"/>
      <c r="E767" s="1487"/>
      <c r="F767" s="1488"/>
      <c r="G767" s="1489"/>
      <c r="H767" s="1490"/>
      <c r="I767" s="1487"/>
      <c r="J767" s="1488"/>
      <c r="K767" s="1489"/>
      <c r="L767" s="1490"/>
      <c r="M767" s="1487"/>
      <c r="N767" s="1488"/>
      <c r="O767" s="1489"/>
      <c r="P767" s="1490"/>
      <c r="X767" s="1445" t="e">
        <f ca="1"/>
        <v>#NAME?</v>
      </c>
      <c r="Y767" s="1446" t="e">
        <f ca="1"/>
        <v>#NAME?</v>
      </c>
    </row>
    <row r="768" spans="1:25">
      <c r="A768" s="1487"/>
      <c r="B768" s="1488"/>
      <c r="C768" s="1489"/>
      <c r="D768" s="1490"/>
      <c r="E768" s="1487"/>
      <c r="F768" s="1488"/>
      <c r="G768" s="1489"/>
      <c r="H768" s="1490"/>
      <c r="I768" s="1487"/>
      <c r="J768" s="1488"/>
      <c r="K768" s="1489"/>
      <c r="L768" s="1490"/>
      <c r="M768" s="1487"/>
      <c r="N768" s="1488"/>
      <c r="O768" s="1489"/>
      <c r="P768" s="1490"/>
      <c r="X768" s="1445" t="e">
        <f ca="1"/>
        <v>#NAME?</v>
      </c>
      <c r="Y768" s="1446" t="e">
        <f ca="1"/>
        <v>#NAME?</v>
      </c>
    </row>
    <row r="769" spans="1:25">
      <c r="A769" s="1487"/>
      <c r="B769" s="1488"/>
      <c r="C769" s="1489"/>
      <c r="D769" s="1490"/>
      <c r="E769" s="1487"/>
      <c r="F769" s="1488"/>
      <c r="G769" s="1489"/>
      <c r="H769" s="1490"/>
      <c r="I769" s="1487"/>
      <c r="J769" s="1488"/>
      <c r="K769" s="1489"/>
      <c r="L769" s="1490"/>
      <c r="M769" s="1487"/>
      <c r="N769" s="1488"/>
      <c r="O769" s="1489"/>
      <c r="P769" s="1490"/>
      <c r="X769" s="1445" t="e">
        <f ca="1"/>
        <v>#NAME?</v>
      </c>
      <c r="Y769" s="1446" t="e">
        <f ca="1"/>
        <v>#NAME?</v>
      </c>
    </row>
    <row r="770" spans="1:25">
      <c r="A770" s="1487"/>
      <c r="B770" s="1488"/>
      <c r="C770" s="1489"/>
      <c r="D770" s="1490"/>
      <c r="E770" s="1487"/>
      <c r="F770" s="1488"/>
      <c r="G770" s="1489"/>
      <c r="H770" s="1490"/>
      <c r="I770" s="1487"/>
      <c r="J770" s="1488"/>
      <c r="K770" s="1489"/>
      <c r="L770" s="1490"/>
      <c r="M770" s="1487"/>
      <c r="N770" s="1488"/>
      <c r="O770" s="1489"/>
      <c r="P770" s="1490"/>
      <c r="X770" s="1445" t="e">
        <f ca="1"/>
        <v>#NAME?</v>
      </c>
      <c r="Y770" s="1446" t="e">
        <f ca="1"/>
        <v>#NAME?</v>
      </c>
    </row>
    <row r="771" spans="1:25">
      <c r="A771" s="1487"/>
      <c r="B771" s="1488"/>
      <c r="C771" s="1489"/>
      <c r="D771" s="1490"/>
      <c r="E771" s="1487"/>
      <c r="F771" s="1488"/>
      <c r="G771" s="1489"/>
      <c r="H771" s="1490"/>
      <c r="I771" s="1487"/>
      <c r="J771" s="1488"/>
      <c r="K771" s="1489"/>
      <c r="L771" s="1490"/>
      <c r="M771" s="1487"/>
      <c r="N771" s="1488"/>
      <c r="O771" s="1489"/>
      <c r="P771" s="1490"/>
      <c r="X771" s="1445" t="e">
        <f ca="1"/>
        <v>#NAME?</v>
      </c>
      <c r="Y771" s="1446" t="e">
        <f ca="1"/>
        <v>#NAME?</v>
      </c>
    </row>
    <row r="772" spans="1:25">
      <c r="A772" s="1487"/>
      <c r="B772" s="1488"/>
      <c r="C772" s="1489"/>
      <c r="D772" s="1490"/>
      <c r="E772" s="1487"/>
      <c r="F772" s="1488"/>
      <c r="G772" s="1489"/>
      <c r="H772" s="1490"/>
      <c r="I772" s="1487"/>
      <c r="J772" s="1488"/>
      <c r="K772" s="1489"/>
      <c r="L772" s="1490"/>
      <c r="M772" s="1487"/>
      <c r="N772" s="1488"/>
      <c r="O772" s="1489"/>
      <c r="P772" s="1490"/>
      <c r="X772" s="1445" t="e">
        <f ca="1"/>
        <v>#NAME?</v>
      </c>
      <c r="Y772" s="1446" t="e">
        <f ca="1"/>
        <v>#NAME?</v>
      </c>
    </row>
    <row r="773" spans="1:25">
      <c r="A773" s="1487"/>
      <c r="B773" s="1488"/>
      <c r="C773" s="1489"/>
      <c r="D773" s="1490"/>
      <c r="E773" s="1487"/>
      <c r="F773" s="1488"/>
      <c r="G773" s="1489"/>
      <c r="H773" s="1490"/>
      <c r="I773" s="1487"/>
      <c r="J773" s="1488"/>
      <c r="K773" s="1489"/>
      <c r="L773" s="1490"/>
      <c r="M773" s="1487"/>
      <c r="N773" s="1488"/>
      <c r="O773" s="1489"/>
      <c r="P773" s="1490"/>
      <c r="X773" s="1445" t="e">
        <f ca="1"/>
        <v>#NAME?</v>
      </c>
      <c r="Y773" s="1446" t="e">
        <f ca="1"/>
        <v>#NAME?</v>
      </c>
    </row>
    <row r="774" spans="1:25">
      <c r="A774" s="1487"/>
      <c r="B774" s="1488"/>
      <c r="C774" s="1489"/>
      <c r="D774" s="1490"/>
      <c r="E774" s="1487"/>
      <c r="F774" s="1488"/>
      <c r="G774" s="1489"/>
      <c r="H774" s="1490"/>
      <c r="I774" s="1487"/>
      <c r="J774" s="1488"/>
      <c r="K774" s="1489"/>
      <c r="L774" s="1490"/>
      <c r="M774" s="1487"/>
      <c r="N774" s="1488"/>
      <c r="O774" s="1489"/>
      <c r="P774" s="1490"/>
      <c r="X774" s="1445" t="e">
        <f ca="1"/>
        <v>#NAME?</v>
      </c>
      <c r="Y774" s="1446" t="e">
        <f ca="1"/>
        <v>#NAME?</v>
      </c>
    </row>
    <row r="775" spans="1:25">
      <c r="A775" s="1487"/>
      <c r="B775" s="1488"/>
      <c r="C775" s="1489"/>
      <c r="D775" s="1490"/>
      <c r="E775" s="1487"/>
      <c r="F775" s="1488"/>
      <c r="G775" s="1489"/>
      <c r="H775" s="1490"/>
      <c r="I775" s="1487"/>
      <c r="J775" s="1488"/>
      <c r="K775" s="1489"/>
      <c r="L775" s="1490"/>
      <c r="M775" s="1487"/>
      <c r="N775" s="1488"/>
      <c r="O775" s="1489"/>
      <c r="P775" s="1490"/>
      <c r="X775" s="1445" t="e">
        <f ca="1"/>
        <v>#NAME?</v>
      </c>
      <c r="Y775" s="1446" t="e">
        <f ca="1"/>
        <v>#NAME?</v>
      </c>
    </row>
    <row r="776" spans="1:25">
      <c r="A776" s="1487"/>
      <c r="B776" s="1488"/>
      <c r="C776" s="1489"/>
      <c r="D776" s="1490"/>
      <c r="E776" s="1487"/>
      <c r="F776" s="1488"/>
      <c r="G776" s="1489"/>
      <c r="H776" s="1490"/>
      <c r="I776" s="1487"/>
      <c r="J776" s="1488"/>
      <c r="K776" s="1489"/>
      <c r="L776" s="1490"/>
      <c r="M776" s="1487"/>
      <c r="N776" s="1488"/>
      <c r="O776" s="1489"/>
      <c r="P776" s="1490"/>
      <c r="X776" s="1445" t="e">
        <f ca="1"/>
        <v>#NAME?</v>
      </c>
      <c r="Y776" s="1446" t="e">
        <f ca="1"/>
        <v>#NAME?</v>
      </c>
    </row>
    <row r="777" spans="1:25">
      <c r="A777" s="1487"/>
      <c r="B777" s="1488"/>
      <c r="C777" s="1489"/>
      <c r="D777" s="1490"/>
      <c r="E777" s="1487"/>
      <c r="F777" s="1488"/>
      <c r="G777" s="1489"/>
      <c r="H777" s="1490"/>
      <c r="I777" s="1487"/>
      <c r="J777" s="1488"/>
      <c r="K777" s="1489"/>
      <c r="L777" s="1490"/>
      <c r="M777" s="1487"/>
      <c r="N777" s="1488"/>
      <c r="O777" s="1489"/>
      <c r="P777" s="1490"/>
      <c r="X777" s="1445" t="e">
        <f ca="1"/>
        <v>#NAME?</v>
      </c>
      <c r="Y777" s="1446" t="e">
        <f ca="1"/>
        <v>#NAME?</v>
      </c>
    </row>
    <row r="778" spans="1:25">
      <c r="A778" s="1487"/>
      <c r="B778" s="1488"/>
      <c r="C778" s="1489"/>
      <c r="D778" s="1490"/>
      <c r="E778" s="1487"/>
      <c r="F778" s="1488"/>
      <c r="G778" s="1489"/>
      <c r="H778" s="1490"/>
      <c r="I778" s="1487"/>
      <c r="J778" s="1488"/>
      <c r="K778" s="1489"/>
      <c r="L778" s="1490"/>
      <c r="M778" s="1487"/>
      <c r="N778" s="1488"/>
      <c r="O778" s="1489"/>
      <c r="P778" s="1490"/>
      <c r="X778" s="1445" t="e">
        <f ca="1"/>
        <v>#NAME?</v>
      </c>
      <c r="Y778" s="1446" t="e">
        <f ca="1"/>
        <v>#NAME?</v>
      </c>
    </row>
    <row r="779" spans="1:25">
      <c r="A779" s="1487"/>
      <c r="B779" s="1488"/>
      <c r="C779" s="1489"/>
      <c r="D779" s="1490"/>
      <c r="E779" s="1487"/>
      <c r="F779" s="1488"/>
      <c r="G779" s="1489"/>
      <c r="H779" s="1490"/>
      <c r="I779" s="1487"/>
      <c r="J779" s="1488"/>
      <c r="K779" s="1489"/>
      <c r="L779" s="1490"/>
      <c r="M779" s="1487"/>
      <c r="N779" s="1488"/>
      <c r="O779" s="1489"/>
      <c r="P779" s="1490"/>
      <c r="X779" s="1445" t="e">
        <f ca="1"/>
        <v>#NAME?</v>
      </c>
      <c r="Y779" s="1446" t="e">
        <f ca="1"/>
        <v>#NAME?</v>
      </c>
    </row>
    <row r="780" spans="1:25">
      <c r="A780" s="1487"/>
      <c r="B780" s="1488"/>
      <c r="C780" s="1489"/>
      <c r="D780" s="1490"/>
      <c r="E780" s="1487"/>
      <c r="F780" s="1488"/>
      <c r="G780" s="1489"/>
      <c r="H780" s="1490"/>
      <c r="I780" s="1487"/>
      <c r="J780" s="1488"/>
      <c r="K780" s="1489"/>
      <c r="L780" s="1490"/>
      <c r="M780" s="1487"/>
      <c r="N780" s="1488"/>
      <c r="O780" s="1489"/>
      <c r="P780" s="1490"/>
      <c r="X780" s="1445" t="e">
        <f ca="1"/>
        <v>#NAME?</v>
      </c>
      <c r="Y780" s="1446" t="e">
        <f ca="1"/>
        <v>#NAME?</v>
      </c>
    </row>
    <row r="781" spans="1:25">
      <c r="A781" s="1487"/>
      <c r="B781" s="1488"/>
      <c r="C781" s="1489"/>
      <c r="D781" s="1490"/>
      <c r="E781" s="1487"/>
      <c r="F781" s="1488"/>
      <c r="G781" s="1489"/>
      <c r="H781" s="1490"/>
      <c r="I781" s="1487"/>
      <c r="J781" s="1488"/>
      <c r="K781" s="1489"/>
      <c r="L781" s="1490"/>
      <c r="M781" s="1487"/>
      <c r="N781" s="1488"/>
      <c r="O781" s="1489"/>
      <c r="P781" s="1490"/>
      <c r="X781" s="1445" t="e">
        <f ca="1"/>
        <v>#NAME?</v>
      </c>
      <c r="Y781" s="1446" t="e">
        <f ca="1"/>
        <v>#NAME?</v>
      </c>
    </row>
    <row r="782" spans="1:25">
      <c r="A782" s="1487"/>
      <c r="B782" s="1488"/>
      <c r="C782" s="1489"/>
      <c r="D782" s="1490"/>
      <c r="E782" s="1487"/>
      <c r="F782" s="1488"/>
      <c r="G782" s="1489"/>
      <c r="H782" s="1490"/>
      <c r="I782" s="1487"/>
      <c r="J782" s="1488"/>
      <c r="K782" s="1489"/>
      <c r="L782" s="1490"/>
      <c r="M782" s="1487"/>
      <c r="N782" s="1488"/>
      <c r="O782" s="1489"/>
      <c r="P782" s="1490"/>
      <c r="X782" s="1445" t="e">
        <f ca="1"/>
        <v>#NAME?</v>
      </c>
      <c r="Y782" s="1446" t="e">
        <f ca="1"/>
        <v>#NAME?</v>
      </c>
    </row>
    <row r="783" spans="1:25">
      <c r="A783" s="1487"/>
      <c r="B783" s="1488"/>
      <c r="C783" s="1489"/>
      <c r="D783" s="1490"/>
      <c r="E783" s="1487"/>
      <c r="F783" s="1488"/>
      <c r="G783" s="1489"/>
      <c r="H783" s="1490"/>
      <c r="I783" s="1487"/>
      <c r="J783" s="1488"/>
      <c r="K783" s="1489"/>
      <c r="L783" s="1490"/>
      <c r="M783" s="1487"/>
      <c r="N783" s="1488"/>
      <c r="O783" s="1489"/>
      <c r="P783" s="1490"/>
      <c r="X783" s="1445" t="e">
        <f ca="1"/>
        <v>#NAME?</v>
      </c>
      <c r="Y783" s="1446" t="e">
        <f ca="1"/>
        <v>#NAME?</v>
      </c>
    </row>
    <row r="784" spans="1:25">
      <c r="A784" s="1487"/>
      <c r="B784" s="1488"/>
      <c r="C784" s="1489"/>
      <c r="D784" s="1490"/>
      <c r="E784" s="1487"/>
      <c r="F784" s="1488"/>
      <c r="G784" s="1489"/>
      <c r="H784" s="1490"/>
      <c r="I784" s="1487"/>
      <c r="J784" s="1488"/>
      <c r="K784" s="1489"/>
      <c r="L784" s="1490"/>
      <c r="M784" s="1487"/>
      <c r="N784" s="1488"/>
      <c r="O784" s="1489"/>
      <c r="P784" s="1490"/>
      <c r="X784" s="1445" t="e">
        <f ca="1"/>
        <v>#NAME?</v>
      </c>
      <c r="Y784" s="1446" t="e">
        <f ca="1"/>
        <v>#NAME?</v>
      </c>
    </row>
    <row r="785" spans="1:25">
      <c r="A785" s="1487"/>
      <c r="B785" s="1488"/>
      <c r="C785" s="1489"/>
      <c r="D785" s="1490"/>
      <c r="E785" s="1487"/>
      <c r="F785" s="1488"/>
      <c r="G785" s="1489"/>
      <c r="H785" s="1490"/>
      <c r="I785" s="1487"/>
      <c r="J785" s="1488"/>
      <c r="K785" s="1489"/>
      <c r="L785" s="1490"/>
      <c r="M785" s="1487"/>
      <c r="N785" s="1488"/>
      <c r="O785" s="1489"/>
      <c r="P785" s="1490"/>
      <c r="X785" s="1445" t="e">
        <f ca="1"/>
        <v>#NAME?</v>
      </c>
      <c r="Y785" s="1446" t="e">
        <f ca="1"/>
        <v>#NAME?</v>
      </c>
    </row>
    <row r="786" spans="1:25">
      <c r="A786" s="1487"/>
      <c r="B786" s="1488"/>
      <c r="C786" s="1489"/>
      <c r="D786" s="1490"/>
      <c r="E786" s="1487"/>
      <c r="F786" s="1488"/>
      <c r="G786" s="1489"/>
      <c r="H786" s="1490"/>
      <c r="I786" s="1487"/>
      <c r="J786" s="1488"/>
      <c r="K786" s="1489"/>
      <c r="L786" s="1490"/>
      <c r="M786" s="1487"/>
      <c r="N786" s="1488"/>
      <c r="O786" s="1489"/>
      <c r="P786" s="1490"/>
      <c r="X786" s="1445" t="e">
        <f ca="1"/>
        <v>#NAME?</v>
      </c>
      <c r="Y786" s="1446" t="e">
        <f ca="1"/>
        <v>#NAME?</v>
      </c>
    </row>
    <row r="787" spans="1:25">
      <c r="A787" s="1487"/>
      <c r="B787" s="1488"/>
      <c r="C787" s="1489"/>
      <c r="D787" s="1490"/>
      <c r="E787" s="1487"/>
      <c r="F787" s="1488"/>
      <c r="G787" s="1489"/>
      <c r="H787" s="1490"/>
      <c r="I787" s="1487"/>
      <c r="J787" s="1488"/>
      <c r="K787" s="1489"/>
      <c r="L787" s="1490"/>
      <c r="M787" s="1487"/>
      <c r="N787" s="1488"/>
      <c r="O787" s="1489"/>
      <c r="P787" s="1490"/>
      <c r="X787" s="1445" t="e">
        <f ca="1"/>
        <v>#NAME?</v>
      </c>
      <c r="Y787" s="1446" t="e">
        <f ca="1"/>
        <v>#NAME?</v>
      </c>
    </row>
    <row r="788" spans="1:25">
      <c r="A788" s="1487"/>
      <c r="B788" s="1488"/>
      <c r="C788" s="1489"/>
      <c r="D788" s="1490"/>
      <c r="E788" s="1487"/>
      <c r="F788" s="1488"/>
      <c r="G788" s="1489"/>
      <c r="H788" s="1490"/>
      <c r="I788" s="1487"/>
      <c r="J788" s="1488"/>
      <c r="K788" s="1489"/>
      <c r="L788" s="1490"/>
      <c r="M788" s="1487"/>
      <c r="N788" s="1488"/>
      <c r="O788" s="1489"/>
      <c r="P788" s="1490"/>
      <c r="X788" s="1445" t="e">
        <f ca="1"/>
        <v>#NAME?</v>
      </c>
      <c r="Y788" s="1446" t="e">
        <f ca="1"/>
        <v>#NAME?</v>
      </c>
    </row>
    <row r="789" spans="1:25">
      <c r="A789" s="1487"/>
      <c r="B789" s="1488"/>
      <c r="C789" s="1489"/>
      <c r="D789" s="1490"/>
      <c r="E789" s="1487"/>
      <c r="F789" s="1488"/>
      <c r="G789" s="1489"/>
      <c r="H789" s="1490"/>
      <c r="I789" s="1487"/>
      <c r="J789" s="1488"/>
      <c r="K789" s="1489"/>
      <c r="L789" s="1490"/>
      <c r="M789" s="1487"/>
      <c r="N789" s="1488"/>
      <c r="O789" s="1489"/>
      <c r="P789" s="1490"/>
      <c r="X789" s="1445" t="e">
        <f ca="1"/>
        <v>#NAME?</v>
      </c>
      <c r="Y789" s="1446" t="e">
        <f ca="1"/>
        <v>#NAME?</v>
      </c>
    </row>
    <row r="790" spans="1:25">
      <c r="A790" s="1487"/>
      <c r="B790" s="1488"/>
      <c r="C790" s="1489"/>
      <c r="D790" s="1490"/>
      <c r="E790" s="1487"/>
      <c r="F790" s="1488"/>
      <c r="G790" s="1489"/>
      <c r="H790" s="1490"/>
      <c r="I790" s="1487"/>
      <c r="J790" s="1488"/>
      <c r="K790" s="1489"/>
      <c r="L790" s="1490"/>
      <c r="M790" s="1487"/>
      <c r="N790" s="1488"/>
      <c r="O790" s="1489"/>
      <c r="P790" s="1490"/>
      <c r="X790" s="1445" t="e">
        <f ca="1"/>
        <v>#NAME?</v>
      </c>
      <c r="Y790" s="1446" t="e">
        <f ca="1"/>
        <v>#NAME?</v>
      </c>
    </row>
    <row r="791" spans="1:25">
      <c r="A791" s="1487"/>
      <c r="B791" s="1488"/>
      <c r="C791" s="1489"/>
      <c r="D791" s="1490"/>
      <c r="E791" s="1487"/>
      <c r="F791" s="1488"/>
      <c r="G791" s="1489"/>
      <c r="H791" s="1490"/>
      <c r="I791" s="1487"/>
      <c r="J791" s="1488"/>
      <c r="K791" s="1489"/>
      <c r="L791" s="1490"/>
      <c r="M791" s="1487"/>
      <c r="N791" s="1488"/>
      <c r="O791" s="1489"/>
      <c r="P791" s="1490"/>
      <c r="X791" s="1445" t="e">
        <f ca="1"/>
        <v>#NAME?</v>
      </c>
      <c r="Y791" s="1446" t="e">
        <f ca="1"/>
        <v>#NAME?</v>
      </c>
    </row>
    <row r="792" spans="1:25">
      <c r="A792" s="1487"/>
      <c r="B792" s="1488"/>
      <c r="C792" s="1489"/>
      <c r="D792" s="1490"/>
      <c r="E792" s="1487"/>
      <c r="F792" s="1488"/>
      <c r="G792" s="1489"/>
      <c r="H792" s="1490"/>
      <c r="I792" s="1487"/>
      <c r="J792" s="1488"/>
      <c r="K792" s="1489"/>
      <c r="L792" s="1490"/>
      <c r="M792" s="1487"/>
      <c r="N792" s="1488"/>
      <c r="O792" s="1489"/>
      <c r="P792" s="1490"/>
      <c r="X792" s="1445" t="e">
        <f ca="1"/>
        <v>#NAME?</v>
      </c>
      <c r="Y792" s="1446" t="e">
        <f ca="1"/>
        <v>#NAME?</v>
      </c>
    </row>
    <row r="793" spans="1:25">
      <c r="A793" s="1487"/>
      <c r="B793" s="1488"/>
      <c r="C793" s="1489"/>
      <c r="D793" s="1490"/>
      <c r="E793" s="1487"/>
      <c r="F793" s="1488"/>
      <c r="G793" s="1489"/>
      <c r="H793" s="1490"/>
      <c r="I793" s="1487"/>
      <c r="J793" s="1488"/>
      <c r="K793" s="1489"/>
      <c r="L793" s="1490"/>
      <c r="M793" s="1487"/>
      <c r="N793" s="1488"/>
      <c r="O793" s="1489"/>
      <c r="P793" s="1490"/>
      <c r="X793" s="1445" t="e">
        <f ca="1"/>
        <v>#NAME?</v>
      </c>
      <c r="Y793" s="1446" t="e">
        <f ca="1"/>
        <v>#NAME?</v>
      </c>
    </row>
    <row r="794" spans="1:25">
      <c r="A794" s="1487"/>
      <c r="B794" s="1488"/>
      <c r="C794" s="1489"/>
      <c r="D794" s="1490"/>
      <c r="E794" s="1487"/>
      <c r="F794" s="1488"/>
      <c r="G794" s="1489"/>
      <c r="H794" s="1490"/>
      <c r="I794" s="1487"/>
      <c r="J794" s="1488"/>
      <c r="K794" s="1489"/>
      <c r="L794" s="1490"/>
      <c r="M794" s="1487"/>
      <c r="N794" s="1488"/>
      <c r="O794" s="1489"/>
      <c r="P794" s="1490"/>
      <c r="X794" s="1445" t="e">
        <f ca="1"/>
        <v>#NAME?</v>
      </c>
      <c r="Y794" s="1446" t="e">
        <f ca="1"/>
        <v>#NAME?</v>
      </c>
    </row>
    <row r="795" spans="1:25">
      <c r="A795" s="1487"/>
      <c r="B795" s="1488"/>
      <c r="C795" s="1489"/>
      <c r="D795" s="1490"/>
      <c r="E795" s="1487"/>
      <c r="F795" s="1488"/>
      <c r="G795" s="1489"/>
      <c r="H795" s="1490"/>
      <c r="I795" s="1487"/>
      <c r="J795" s="1488"/>
      <c r="K795" s="1489"/>
      <c r="L795" s="1490"/>
      <c r="M795" s="1487"/>
      <c r="N795" s="1488"/>
      <c r="O795" s="1489"/>
      <c r="P795" s="1490"/>
      <c r="X795" s="1445" t="e">
        <f ca="1"/>
        <v>#NAME?</v>
      </c>
      <c r="Y795" s="1446" t="e">
        <f ca="1"/>
        <v>#NAME?</v>
      </c>
    </row>
    <row r="796" spans="1:25">
      <c r="A796" s="1487"/>
      <c r="B796" s="1488"/>
      <c r="C796" s="1489"/>
      <c r="D796" s="1490"/>
      <c r="E796" s="1487"/>
      <c r="F796" s="1488"/>
      <c r="G796" s="1489"/>
      <c r="H796" s="1490"/>
      <c r="I796" s="1487"/>
      <c r="J796" s="1488"/>
      <c r="K796" s="1489"/>
      <c r="L796" s="1490"/>
      <c r="M796" s="1487"/>
      <c r="N796" s="1488"/>
      <c r="O796" s="1489"/>
      <c r="P796" s="1490"/>
      <c r="X796" s="1445" t="e">
        <f ca="1"/>
        <v>#NAME?</v>
      </c>
      <c r="Y796" s="1446" t="e">
        <f ca="1"/>
        <v>#NAME?</v>
      </c>
    </row>
    <row r="797" spans="1:25">
      <c r="A797" s="1487"/>
      <c r="B797" s="1488"/>
      <c r="C797" s="1489"/>
      <c r="D797" s="1490"/>
      <c r="E797" s="1487"/>
      <c r="F797" s="1488"/>
      <c r="G797" s="1489"/>
      <c r="H797" s="1490"/>
      <c r="I797" s="1487"/>
      <c r="J797" s="1488"/>
      <c r="K797" s="1489"/>
      <c r="L797" s="1490"/>
      <c r="M797" s="1487"/>
      <c r="N797" s="1488"/>
      <c r="O797" s="1489"/>
      <c r="P797" s="1490"/>
      <c r="X797" s="1445" t="e">
        <f ca="1"/>
        <v>#NAME?</v>
      </c>
      <c r="Y797" s="1446" t="e">
        <f ca="1"/>
        <v>#NAME?</v>
      </c>
    </row>
    <row r="798" spans="1:25">
      <c r="A798" s="1487"/>
      <c r="B798" s="1488"/>
      <c r="C798" s="1489"/>
      <c r="D798" s="1490"/>
      <c r="E798" s="1487"/>
      <c r="F798" s="1488"/>
      <c r="G798" s="1489"/>
      <c r="H798" s="1490"/>
      <c r="I798" s="1487"/>
      <c r="J798" s="1488"/>
      <c r="K798" s="1489"/>
      <c r="L798" s="1490"/>
      <c r="M798" s="1487"/>
      <c r="N798" s="1488"/>
      <c r="O798" s="1489"/>
      <c r="P798" s="1490"/>
      <c r="X798" s="1445" t="e">
        <f ca="1"/>
        <v>#NAME?</v>
      </c>
      <c r="Y798" s="1446" t="e">
        <f ca="1"/>
        <v>#NAME?</v>
      </c>
    </row>
    <row r="799" spans="1:25">
      <c r="A799" s="1487"/>
      <c r="B799" s="1488"/>
      <c r="C799" s="1489"/>
      <c r="D799" s="1490"/>
      <c r="E799" s="1487"/>
      <c r="F799" s="1488"/>
      <c r="G799" s="1489"/>
      <c r="H799" s="1490"/>
      <c r="I799" s="1487"/>
      <c r="J799" s="1488"/>
      <c r="K799" s="1489"/>
      <c r="L799" s="1490"/>
      <c r="M799" s="1487"/>
      <c r="N799" s="1488"/>
      <c r="O799" s="1489"/>
      <c r="P799" s="1490"/>
      <c r="X799" s="1445" t="e">
        <f ca="1"/>
        <v>#NAME?</v>
      </c>
      <c r="Y799" s="1446" t="e">
        <f ca="1"/>
        <v>#NAME?</v>
      </c>
    </row>
    <row r="800" spans="1:25">
      <c r="A800" s="1487"/>
      <c r="B800" s="1488"/>
      <c r="C800" s="1489"/>
      <c r="D800" s="1490"/>
      <c r="E800" s="1487"/>
      <c r="F800" s="1488"/>
      <c r="G800" s="1489"/>
      <c r="H800" s="1490"/>
      <c r="I800" s="1487"/>
      <c r="J800" s="1488"/>
      <c r="K800" s="1489"/>
      <c r="L800" s="1490"/>
      <c r="M800" s="1487"/>
      <c r="N800" s="1488"/>
      <c r="O800" s="1489"/>
      <c r="P800" s="1490"/>
      <c r="X800" s="1445" t="e">
        <f ca="1"/>
        <v>#NAME?</v>
      </c>
      <c r="Y800" s="1446" t="e">
        <f ca="1"/>
        <v>#NAME?</v>
      </c>
    </row>
    <row r="801" spans="1:25">
      <c r="A801" s="1487"/>
      <c r="B801" s="1488"/>
      <c r="C801" s="1489"/>
      <c r="D801" s="1490"/>
      <c r="E801" s="1487"/>
      <c r="F801" s="1488"/>
      <c r="G801" s="1489"/>
      <c r="H801" s="1490"/>
      <c r="I801" s="1487"/>
      <c r="J801" s="1488"/>
      <c r="K801" s="1489"/>
      <c r="L801" s="1490"/>
      <c r="M801" s="1487"/>
      <c r="N801" s="1488"/>
      <c r="O801" s="1489"/>
      <c r="P801" s="1490"/>
      <c r="X801" s="1445" t="e">
        <f ca="1"/>
        <v>#NAME?</v>
      </c>
      <c r="Y801" s="1446" t="e">
        <f ca="1"/>
        <v>#NAME?</v>
      </c>
    </row>
    <row r="802" spans="1:25">
      <c r="A802" s="1487"/>
      <c r="B802" s="1488"/>
      <c r="C802" s="1489"/>
      <c r="D802" s="1490"/>
      <c r="E802" s="1487"/>
      <c r="F802" s="1488"/>
      <c r="G802" s="1489"/>
      <c r="H802" s="1490"/>
      <c r="I802" s="1487"/>
      <c r="J802" s="1488"/>
      <c r="K802" s="1489"/>
      <c r="L802" s="1490"/>
      <c r="M802" s="1487"/>
      <c r="N802" s="1488"/>
      <c r="O802" s="1489"/>
      <c r="P802" s="1490"/>
      <c r="X802" s="1445" t="e">
        <f ca="1"/>
        <v>#NAME?</v>
      </c>
      <c r="Y802" s="1446" t="e">
        <f ca="1"/>
        <v>#NAME?</v>
      </c>
    </row>
    <row r="803" spans="1:25">
      <c r="A803" s="1487"/>
      <c r="B803" s="1488"/>
      <c r="C803" s="1489"/>
      <c r="D803" s="1490"/>
      <c r="E803" s="1487"/>
      <c r="F803" s="1488"/>
      <c r="G803" s="1489"/>
      <c r="H803" s="1490"/>
      <c r="I803" s="1487"/>
      <c r="J803" s="1488"/>
      <c r="K803" s="1489"/>
      <c r="L803" s="1490"/>
      <c r="M803" s="1487"/>
      <c r="N803" s="1488"/>
      <c r="O803" s="1489"/>
      <c r="P803" s="1490"/>
      <c r="X803" s="1445" t="e">
        <f ca="1"/>
        <v>#NAME?</v>
      </c>
      <c r="Y803" s="1446" t="e">
        <f ca="1"/>
        <v>#NAME?</v>
      </c>
    </row>
    <row r="804" spans="1:25">
      <c r="A804" s="1487"/>
      <c r="B804" s="1488"/>
      <c r="C804" s="1489"/>
      <c r="D804" s="1490"/>
      <c r="E804" s="1487"/>
      <c r="F804" s="1488"/>
      <c r="G804" s="1489"/>
      <c r="H804" s="1490"/>
      <c r="I804" s="1487"/>
      <c r="J804" s="1488"/>
      <c r="K804" s="1489"/>
      <c r="L804" s="1490"/>
      <c r="M804" s="1487"/>
      <c r="N804" s="1488"/>
      <c r="O804" s="1489"/>
      <c r="P804" s="1490"/>
      <c r="X804" s="1445" t="e">
        <f ca="1"/>
        <v>#NAME?</v>
      </c>
      <c r="Y804" s="1446" t="e">
        <f ca="1"/>
        <v>#NAME?</v>
      </c>
    </row>
    <row r="805" spans="1:25">
      <c r="A805" s="1487"/>
      <c r="B805" s="1488"/>
      <c r="C805" s="1489"/>
      <c r="D805" s="1490"/>
      <c r="E805" s="1487"/>
      <c r="F805" s="1488"/>
      <c r="G805" s="1489"/>
      <c r="H805" s="1490"/>
      <c r="I805" s="1487"/>
      <c r="J805" s="1488"/>
      <c r="K805" s="1489"/>
      <c r="L805" s="1490"/>
      <c r="M805" s="1487"/>
      <c r="N805" s="1488"/>
      <c r="O805" s="1489"/>
      <c r="P805" s="1490"/>
      <c r="X805" s="1445" t="e">
        <f ca="1"/>
        <v>#NAME?</v>
      </c>
      <c r="Y805" s="1446" t="e">
        <f ca="1"/>
        <v>#NAME?</v>
      </c>
    </row>
    <row r="806" spans="1:25">
      <c r="A806" s="1487"/>
      <c r="B806" s="1488"/>
      <c r="C806" s="1489"/>
      <c r="D806" s="1490"/>
      <c r="E806" s="1487"/>
      <c r="F806" s="1488"/>
      <c r="G806" s="1489"/>
      <c r="H806" s="1490"/>
      <c r="I806" s="1487"/>
      <c r="J806" s="1488"/>
      <c r="K806" s="1489"/>
      <c r="L806" s="1490"/>
      <c r="M806" s="1487"/>
      <c r="N806" s="1488"/>
      <c r="O806" s="1489"/>
      <c r="P806" s="1490"/>
      <c r="X806" s="1445" t="e">
        <f ca="1"/>
        <v>#NAME?</v>
      </c>
      <c r="Y806" s="1446" t="e">
        <f ca="1"/>
        <v>#NAME?</v>
      </c>
    </row>
    <row r="807" spans="1:25">
      <c r="A807" s="1487"/>
      <c r="B807" s="1488"/>
      <c r="C807" s="1489"/>
      <c r="D807" s="1490"/>
      <c r="E807" s="1487"/>
      <c r="F807" s="1488"/>
      <c r="G807" s="1489"/>
      <c r="H807" s="1490"/>
      <c r="I807" s="1487"/>
      <c r="J807" s="1488"/>
      <c r="K807" s="1489"/>
      <c r="L807" s="1490"/>
      <c r="M807" s="1487"/>
      <c r="N807" s="1488"/>
      <c r="O807" s="1489"/>
      <c r="P807" s="1490"/>
      <c r="X807" s="1445" t="e">
        <f ca="1"/>
        <v>#NAME?</v>
      </c>
      <c r="Y807" s="1446" t="e">
        <f ca="1"/>
        <v>#NAME?</v>
      </c>
    </row>
    <row r="808" spans="1:25">
      <c r="A808" s="1487"/>
      <c r="B808" s="1488"/>
      <c r="C808" s="1489"/>
      <c r="D808" s="1490"/>
      <c r="E808" s="1487"/>
      <c r="F808" s="1488"/>
      <c r="G808" s="1489"/>
      <c r="H808" s="1490"/>
      <c r="I808" s="1487"/>
      <c r="J808" s="1488"/>
      <c r="K808" s="1489"/>
      <c r="L808" s="1490"/>
      <c r="M808" s="1487"/>
      <c r="N808" s="1488"/>
      <c r="O808" s="1489"/>
      <c r="P808" s="1490"/>
      <c r="X808" s="1445" t="e">
        <f ca="1"/>
        <v>#NAME?</v>
      </c>
      <c r="Y808" s="1446" t="e">
        <f ca="1"/>
        <v>#NAME?</v>
      </c>
    </row>
    <row r="809" spans="1:25">
      <c r="A809" s="1487"/>
      <c r="B809" s="1488"/>
      <c r="C809" s="1489"/>
      <c r="D809" s="1490"/>
      <c r="E809" s="1487"/>
      <c r="F809" s="1488"/>
      <c r="G809" s="1489"/>
      <c r="H809" s="1490"/>
      <c r="I809" s="1487"/>
      <c r="J809" s="1488"/>
      <c r="K809" s="1489"/>
      <c r="L809" s="1490"/>
      <c r="M809" s="1487"/>
      <c r="N809" s="1488"/>
      <c r="O809" s="1489"/>
      <c r="P809" s="1490"/>
      <c r="X809" s="1445" t="e">
        <f ca="1"/>
        <v>#NAME?</v>
      </c>
      <c r="Y809" s="1446" t="e">
        <f ca="1"/>
        <v>#NAME?</v>
      </c>
    </row>
    <row r="810" spans="1:25">
      <c r="A810" s="1487"/>
      <c r="B810" s="1488"/>
      <c r="C810" s="1489"/>
      <c r="D810" s="1490"/>
      <c r="E810" s="1487"/>
      <c r="F810" s="1488"/>
      <c r="G810" s="1489"/>
      <c r="H810" s="1490"/>
      <c r="I810" s="1487"/>
      <c r="J810" s="1488"/>
      <c r="K810" s="1489"/>
      <c r="L810" s="1490"/>
      <c r="M810" s="1487"/>
      <c r="N810" s="1488"/>
      <c r="O810" s="1489"/>
      <c r="P810" s="1490"/>
      <c r="X810" s="1445" t="e">
        <f ca="1"/>
        <v>#NAME?</v>
      </c>
      <c r="Y810" s="1446" t="e">
        <f ca="1"/>
        <v>#NAME?</v>
      </c>
    </row>
    <row r="811" spans="1:25">
      <c r="A811" s="1487"/>
      <c r="B811" s="1488"/>
      <c r="C811" s="1489"/>
      <c r="D811" s="1490"/>
      <c r="E811" s="1487"/>
      <c r="F811" s="1488"/>
      <c r="G811" s="1489"/>
      <c r="H811" s="1490"/>
      <c r="I811" s="1487"/>
      <c r="J811" s="1488"/>
      <c r="K811" s="1489"/>
      <c r="L811" s="1490"/>
      <c r="M811" s="1487"/>
      <c r="N811" s="1488"/>
      <c r="O811" s="1489"/>
      <c r="P811" s="1490"/>
      <c r="X811" s="1445" t="e">
        <f ca="1"/>
        <v>#NAME?</v>
      </c>
      <c r="Y811" s="1446" t="e">
        <f ca="1"/>
        <v>#NAME?</v>
      </c>
    </row>
    <row r="812" spans="1:25">
      <c r="A812" s="1487"/>
      <c r="B812" s="1488"/>
      <c r="C812" s="1489"/>
      <c r="D812" s="1490"/>
      <c r="E812" s="1487"/>
      <c r="F812" s="1488"/>
      <c r="G812" s="1489"/>
      <c r="H812" s="1490"/>
      <c r="I812" s="1487"/>
      <c r="J812" s="1488"/>
      <c r="K812" s="1489"/>
      <c r="L812" s="1490"/>
      <c r="M812" s="1487"/>
      <c r="N812" s="1488"/>
      <c r="O812" s="1489"/>
      <c r="P812" s="1490"/>
      <c r="X812" s="1445" t="e">
        <f ca="1"/>
        <v>#NAME?</v>
      </c>
      <c r="Y812" s="1446" t="e">
        <f ca="1"/>
        <v>#NAME?</v>
      </c>
    </row>
    <row r="813" spans="1:25">
      <c r="A813" s="1487"/>
      <c r="B813" s="1488"/>
      <c r="C813" s="1489"/>
      <c r="D813" s="1490"/>
      <c r="E813" s="1487"/>
      <c r="F813" s="1488"/>
      <c r="G813" s="1489"/>
      <c r="H813" s="1490"/>
      <c r="I813" s="1487"/>
      <c r="J813" s="1488"/>
      <c r="K813" s="1489"/>
      <c r="L813" s="1490"/>
      <c r="M813" s="1487"/>
      <c r="N813" s="1488"/>
      <c r="O813" s="1489"/>
      <c r="P813" s="1490"/>
      <c r="X813" s="1445" t="e">
        <f ca="1"/>
        <v>#NAME?</v>
      </c>
      <c r="Y813" s="1446" t="e">
        <f ca="1"/>
        <v>#NAME?</v>
      </c>
    </row>
    <row r="814" spans="1:25">
      <c r="A814" s="1487"/>
      <c r="B814" s="1488"/>
      <c r="C814" s="1489"/>
      <c r="D814" s="1490"/>
      <c r="E814" s="1487"/>
      <c r="F814" s="1488"/>
      <c r="G814" s="1489"/>
      <c r="H814" s="1490"/>
      <c r="I814" s="1487"/>
      <c r="J814" s="1488"/>
      <c r="K814" s="1489"/>
      <c r="L814" s="1490"/>
      <c r="M814" s="1487"/>
      <c r="N814" s="1488"/>
      <c r="O814" s="1489"/>
      <c r="P814" s="1490"/>
      <c r="X814" s="1445" t="e">
        <f ca="1"/>
        <v>#NAME?</v>
      </c>
      <c r="Y814" s="1446" t="e">
        <f ca="1"/>
        <v>#NAME?</v>
      </c>
    </row>
    <row r="815" spans="1:25">
      <c r="A815" s="1487"/>
      <c r="B815" s="1488"/>
      <c r="C815" s="1489"/>
      <c r="D815" s="1490"/>
      <c r="E815" s="1487"/>
      <c r="F815" s="1488"/>
      <c r="G815" s="1489"/>
      <c r="H815" s="1490"/>
      <c r="I815" s="1487"/>
      <c r="J815" s="1488"/>
      <c r="K815" s="1489"/>
      <c r="L815" s="1490"/>
      <c r="M815" s="1487"/>
      <c r="N815" s="1488"/>
      <c r="O815" s="1489"/>
      <c r="P815" s="1490"/>
      <c r="X815" s="1445" t="e">
        <f ca="1"/>
        <v>#NAME?</v>
      </c>
      <c r="Y815" s="1446" t="e">
        <f ca="1"/>
        <v>#NAME?</v>
      </c>
    </row>
    <row r="816" spans="1:25">
      <c r="A816" s="1487"/>
      <c r="B816" s="1488"/>
      <c r="C816" s="1489"/>
      <c r="D816" s="1490"/>
      <c r="E816" s="1487"/>
      <c r="F816" s="1488"/>
      <c r="G816" s="1489"/>
      <c r="H816" s="1490"/>
      <c r="I816" s="1487"/>
      <c r="J816" s="1488"/>
      <c r="K816" s="1489"/>
      <c r="L816" s="1490"/>
      <c r="M816" s="1487"/>
      <c r="N816" s="1488"/>
      <c r="O816" s="1489"/>
      <c r="P816" s="1490"/>
      <c r="X816" s="1445" t="e">
        <f ca="1"/>
        <v>#NAME?</v>
      </c>
      <c r="Y816" s="1446" t="e">
        <f ca="1"/>
        <v>#NAME?</v>
      </c>
    </row>
    <row r="817" spans="1:25">
      <c r="A817" s="1487"/>
      <c r="B817" s="1488"/>
      <c r="C817" s="1489"/>
      <c r="D817" s="1490"/>
      <c r="E817" s="1487"/>
      <c r="F817" s="1488"/>
      <c r="G817" s="1489"/>
      <c r="H817" s="1490"/>
      <c r="I817" s="1487"/>
      <c r="J817" s="1488"/>
      <c r="K817" s="1489"/>
      <c r="L817" s="1490"/>
      <c r="M817" s="1487"/>
      <c r="N817" s="1488"/>
      <c r="O817" s="1489"/>
      <c r="P817" s="1490"/>
      <c r="X817" s="1445" t="e">
        <f ca="1"/>
        <v>#NAME?</v>
      </c>
      <c r="Y817" s="1446" t="e">
        <f ca="1"/>
        <v>#NAME?</v>
      </c>
    </row>
    <row r="818" spans="1:25">
      <c r="A818" s="1487"/>
      <c r="B818" s="1488"/>
      <c r="C818" s="1489"/>
      <c r="D818" s="1490"/>
      <c r="E818" s="1487"/>
      <c r="F818" s="1488"/>
      <c r="G818" s="1489"/>
      <c r="H818" s="1490"/>
      <c r="I818" s="1487"/>
      <c r="J818" s="1488"/>
      <c r="K818" s="1489"/>
      <c r="L818" s="1490"/>
      <c r="M818" s="1487"/>
      <c r="N818" s="1488"/>
      <c r="O818" s="1489"/>
      <c r="P818" s="1490"/>
      <c r="X818" s="1445" t="e">
        <f ca="1"/>
        <v>#NAME?</v>
      </c>
      <c r="Y818" s="1446" t="e">
        <f ca="1"/>
        <v>#NAME?</v>
      </c>
    </row>
    <row r="819" spans="1:25">
      <c r="A819" s="1487"/>
      <c r="B819" s="1488"/>
      <c r="C819" s="1489"/>
      <c r="D819" s="1490"/>
      <c r="E819" s="1487"/>
      <c r="F819" s="1488"/>
      <c r="G819" s="1489"/>
      <c r="H819" s="1490"/>
      <c r="I819" s="1487"/>
      <c r="J819" s="1488"/>
      <c r="K819" s="1489"/>
      <c r="L819" s="1490"/>
      <c r="M819" s="1487"/>
      <c r="N819" s="1488"/>
      <c r="O819" s="1489"/>
      <c r="P819" s="1490"/>
      <c r="X819" s="1445" t="e">
        <f ca="1"/>
        <v>#NAME?</v>
      </c>
      <c r="Y819" s="1446" t="e">
        <f ca="1"/>
        <v>#NAME?</v>
      </c>
    </row>
    <row r="820" spans="1:25">
      <c r="A820" s="1487"/>
      <c r="B820" s="1488"/>
      <c r="C820" s="1489"/>
      <c r="D820" s="1490"/>
      <c r="E820" s="1487"/>
      <c r="F820" s="1488"/>
      <c r="G820" s="1489"/>
      <c r="H820" s="1490"/>
      <c r="I820" s="1487"/>
      <c r="J820" s="1488"/>
      <c r="K820" s="1489"/>
      <c r="L820" s="1490"/>
      <c r="M820" s="1487"/>
      <c r="N820" s="1488"/>
      <c r="O820" s="1489"/>
      <c r="P820" s="1490"/>
      <c r="X820" s="1445" t="e">
        <f ca="1"/>
        <v>#NAME?</v>
      </c>
      <c r="Y820" s="1446" t="e">
        <f ca="1"/>
        <v>#NAME?</v>
      </c>
    </row>
    <row r="821" spans="1:25">
      <c r="A821" s="1487"/>
      <c r="B821" s="1488"/>
      <c r="C821" s="1489"/>
      <c r="D821" s="1490"/>
      <c r="E821" s="1487"/>
      <c r="F821" s="1488"/>
      <c r="G821" s="1489"/>
      <c r="H821" s="1490"/>
      <c r="I821" s="1487"/>
      <c r="J821" s="1488"/>
      <c r="K821" s="1489"/>
      <c r="L821" s="1490"/>
      <c r="M821" s="1487"/>
      <c r="N821" s="1488"/>
      <c r="O821" s="1489"/>
      <c r="P821" s="1490"/>
      <c r="X821" s="1445" t="e">
        <f ca="1"/>
        <v>#NAME?</v>
      </c>
      <c r="Y821" s="1446" t="e">
        <f ca="1"/>
        <v>#NAME?</v>
      </c>
    </row>
    <row r="822" spans="1:25">
      <c r="A822" s="1487"/>
      <c r="B822" s="1488"/>
      <c r="C822" s="1489"/>
      <c r="D822" s="1490"/>
      <c r="E822" s="1487"/>
      <c r="F822" s="1488"/>
      <c r="G822" s="1489"/>
      <c r="H822" s="1490"/>
      <c r="I822" s="1487"/>
      <c r="J822" s="1488"/>
      <c r="K822" s="1489"/>
      <c r="L822" s="1490"/>
      <c r="M822" s="1487"/>
      <c r="N822" s="1488"/>
      <c r="O822" s="1489"/>
      <c r="P822" s="1490"/>
      <c r="X822" s="1445" t="e">
        <f ca="1"/>
        <v>#NAME?</v>
      </c>
      <c r="Y822" s="1446" t="e">
        <f ca="1"/>
        <v>#NAME?</v>
      </c>
    </row>
    <row r="823" spans="1:25">
      <c r="A823" s="1487"/>
      <c r="B823" s="1488"/>
      <c r="C823" s="1489"/>
      <c r="D823" s="1490"/>
      <c r="E823" s="1487"/>
      <c r="F823" s="1488"/>
      <c r="G823" s="1489"/>
      <c r="H823" s="1490"/>
      <c r="I823" s="1487"/>
      <c r="J823" s="1488"/>
      <c r="K823" s="1489"/>
      <c r="L823" s="1490"/>
      <c r="M823" s="1487"/>
      <c r="N823" s="1488"/>
      <c r="O823" s="1489"/>
      <c r="P823" s="1490"/>
      <c r="X823" s="1445" t="e">
        <f ca="1"/>
        <v>#NAME?</v>
      </c>
      <c r="Y823" s="1446" t="e">
        <f ca="1"/>
        <v>#NAME?</v>
      </c>
    </row>
    <row r="824" spans="1:25">
      <c r="A824" s="1487"/>
      <c r="B824" s="1488"/>
      <c r="C824" s="1489"/>
      <c r="D824" s="1490"/>
      <c r="E824" s="1487"/>
      <c r="F824" s="1488"/>
      <c r="G824" s="1489"/>
      <c r="H824" s="1490"/>
      <c r="I824" s="1487"/>
      <c r="J824" s="1488"/>
      <c r="K824" s="1489"/>
      <c r="L824" s="1490"/>
      <c r="M824" s="1487"/>
      <c r="N824" s="1488"/>
      <c r="O824" s="1489"/>
      <c r="P824" s="1490"/>
      <c r="X824" s="1445" t="e">
        <f ca="1"/>
        <v>#NAME?</v>
      </c>
      <c r="Y824" s="1446" t="e">
        <f ca="1"/>
        <v>#NAME?</v>
      </c>
    </row>
    <row r="825" spans="1:25">
      <c r="A825" s="1487"/>
      <c r="B825" s="1488"/>
      <c r="C825" s="1489"/>
      <c r="D825" s="1490"/>
      <c r="E825" s="1487"/>
      <c r="F825" s="1488"/>
      <c r="G825" s="1489"/>
      <c r="H825" s="1490"/>
      <c r="I825" s="1487"/>
      <c r="J825" s="1488"/>
      <c r="K825" s="1489"/>
      <c r="L825" s="1490"/>
      <c r="M825" s="1487"/>
      <c r="N825" s="1488"/>
      <c r="O825" s="1489"/>
      <c r="P825" s="1490"/>
      <c r="X825" s="1445" t="e">
        <f ca="1"/>
        <v>#NAME?</v>
      </c>
      <c r="Y825" s="1446" t="e">
        <f ca="1"/>
        <v>#NAME?</v>
      </c>
    </row>
    <row r="826" spans="1:25">
      <c r="A826" s="1487"/>
      <c r="B826" s="1488"/>
      <c r="C826" s="1489"/>
      <c r="D826" s="1490"/>
      <c r="E826" s="1487"/>
      <c r="F826" s="1488"/>
      <c r="G826" s="1489"/>
      <c r="H826" s="1490"/>
      <c r="I826" s="1487"/>
      <c r="J826" s="1488"/>
      <c r="K826" s="1489"/>
      <c r="L826" s="1490"/>
      <c r="M826" s="1487"/>
      <c r="N826" s="1488"/>
      <c r="O826" s="1489"/>
      <c r="P826" s="1490"/>
      <c r="X826" s="1445" t="e">
        <f ca="1"/>
        <v>#NAME?</v>
      </c>
      <c r="Y826" s="1446" t="e">
        <f ca="1"/>
        <v>#NAME?</v>
      </c>
    </row>
    <row r="827" spans="1:25">
      <c r="A827" s="1487"/>
      <c r="B827" s="1488"/>
      <c r="C827" s="1489"/>
      <c r="D827" s="1490"/>
      <c r="E827" s="1487"/>
      <c r="F827" s="1488"/>
      <c r="G827" s="1489"/>
      <c r="H827" s="1490"/>
      <c r="I827" s="1487"/>
      <c r="J827" s="1488"/>
      <c r="K827" s="1489"/>
      <c r="L827" s="1490"/>
      <c r="M827" s="1487"/>
      <c r="N827" s="1488"/>
      <c r="O827" s="1489"/>
      <c r="P827" s="1490"/>
      <c r="X827" s="1445" t="e">
        <f ca="1"/>
        <v>#NAME?</v>
      </c>
      <c r="Y827" s="1446" t="e">
        <f ca="1"/>
        <v>#NAME?</v>
      </c>
    </row>
    <row r="828" spans="1:25">
      <c r="A828" s="1487"/>
      <c r="B828" s="1488"/>
      <c r="C828" s="1489"/>
      <c r="D828" s="1490"/>
      <c r="E828" s="1487"/>
      <c r="F828" s="1488"/>
      <c r="G828" s="1489"/>
      <c r="H828" s="1490"/>
      <c r="I828" s="1487"/>
      <c r="J828" s="1488"/>
      <c r="K828" s="1489"/>
      <c r="L828" s="1490"/>
      <c r="M828" s="1487"/>
      <c r="N828" s="1488"/>
      <c r="O828" s="1489"/>
      <c r="P828" s="1490"/>
      <c r="X828" s="1445" t="e">
        <f ca="1"/>
        <v>#NAME?</v>
      </c>
      <c r="Y828" s="1446" t="e">
        <f ca="1"/>
        <v>#NAME?</v>
      </c>
    </row>
    <row r="829" spans="1:25">
      <c r="A829" s="1487"/>
      <c r="B829" s="1488"/>
      <c r="C829" s="1489"/>
      <c r="D829" s="1490"/>
      <c r="E829" s="1487"/>
      <c r="F829" s="1488"/>
      <c r="G829" s="1489"/>
      <c r="H829" s="1490"/>
      <c r="I829" s="1487"/>
      <c r="J829" s="1488"/>
      <c r="K829" s="1489"/>
      <c r="L829" s="1490"/>
      <c r="M829" s="1487"/>
      <c r="N829" s="1488"/>
      <c r="O829" s="1489"/>
      <c r="P829" s="1490"/>
      <c r="X829" s="1445" t="e">
        <f ca="1"/>
        <v>#NAME?</v>
      </c>
      <c r="Y829" s="1446" t="e">
        <f ca="1"/>
        <v>#NAME?</v>
      </c>
    </row>
    <row r="830" spans="1:25">
      <c r="A830" s="1487"/>
      <c r="B830" s="1488"/>
      <c r="C830" s="1489"/>
      <c r="D830" s="1490"/>
      <c r="E830" s="1487"/>
      <c r="F830" s="1488"/>
      <c r="G830" s="1489"/>
      <c r="H830" s="1490"/>
      <c r="I830" s="1487"/>
      <c r="J830" s="1488"/>
      <c r="K830" s="1489"/>
      <c r="L830" s="1490"/>
      <c r="M830" s="1487"/>
      <c r="N830" s="1488"/>
      <c r="O830" s="1489"/>
      <c r="P830" s="1490"/>
      <c r="X830" s="1445" t="e">
        <f ca="1"/>
        <v>#NAME?</v>
      </c>
      <c r="Y830" s="1446" t="e">
        <f ca="1"/>
        <v>#NAME?</v>
      </c>
    </row>
    <row r="831" spans="1:25">
      <c r="A831" s="1487"/>
      <c r="B831" s="1488"/>
      <c r="C831" s="1489"/>
      <c r="D831" s="1490"/>
      <c r="E831" s="1487"/>
      <c r="F831" s="1488"/>
      <c r="G831" s="1489"/>
      <c r="H831" s="1490"/>
      <c r="I831" s="1487"/>
      <c r="J831" s="1488"/>
      <c r="K831" s="1489"/>
      <c r="L831" s="1490"/>
      <c r="M831" s="1487"/>
      <c r="N831" s="1488"/>
      <c r="O831" s="1489"/>
      <c r="P831" s="1490"/>
      <c r="X831" s="1445" t="e">
        <f ca="1"/>
        <v>#NAME?</v>
      </c>
      <c r="Y831" s="1446" t="e">
        <f ca="1"/>
        <v>#NAME?</v>
      </c>
    </row>
    <row r="832" spans="1:25">
      <c r="A832" s="1487"/>
      <c r="B832" s="1488"/>
      <c r="C832" s="1489"/>
      <c r="D832" s="1490"/>
      <c r="E832" s="1487"/>
      <c r="F832" s="1488"/>
      <c r="G832" s="1489"/>
      <c r="H832" s="1490"/>
      <c r="I832" s="1487"/>
      <c r="J832" s="1488"/>
      <c r="K832" s="1489"/>
      <c r="L832" s="1490"/>
      <c r="M832" s="1487"/>
      <c r="N832" s="1488"/>
      <c r="O832" s="1489"/>
      <c r="P832" s="1490"/>
      <c r="X832" s="1445" t="e">
        <f ca="1"/>
        <v>#NAME?</v>
      </c>
      <c r="Y832" s="1446" t="e">
        <f ca="1"/>
        <v>#NAME?</v>
      </c>
    </row>
    <row r="833" spans="1:25">
      <c r="A833" s="1487"/>
      <c r="B833" s="1488"/>
      <c r="C833" s="1489"/>
      <c r="D833" s="1490"/>
      <c r="E833" s="1487"/>
      <c r="F833" s="1488"/>
      <c r="G833" s="1489"/>
      <c r="H833" s="1490"/>
      <c r="I833" s="1487"/>
      <c r="J833" s="1488"/>
      <c r="K833" s="1489"/>
      <c r="L833" s="1490"/>
      <c r="M833" s="1487"/>
      <c r="N833" s="1488"/>
      <c r="O833" s="1489"/>
      <c r="P833" s="1490"/>
      <c r="X833" s="1445" t="e">
        <f ca="1"/>
        <v>#NAME?</v>
      </c>
      <c r="Y833" s="1446" t="e">
        <f ca="1"/>
        <v>#NAME?</v>
      </c>
    </row>
    <row r="834" spans="1:25">
      <c r="A834" s="1487"/>
      <c r="B834" s="1488"/>
      <c r="C834" s="1489"/>
      <c r="D834" s="1490"/>
      <c r="E834" s="1487"/>
      <c r="F834" s="1488"/>
      <c r="G834" s="1489"/>
      <c r="H834" s="1490"/>
      <c r="I834" s="1487"/>
      <c r="J834" s="1488"/>
      <c r="K834" s="1489"/>
      <c r="L834" s="1490"/>
      <c r="M834" s="1487"/>
      <c r="N834" s="1488"/>
      <c r="O834" s="1489"/>
      <c r="P834" s="1490"/>
      <c r="X834" s="1445" t="e">
        <f ca="1"/>
        <v>#NAME?</v>
      </c>
      <c r="Y834" s="1446" t="e">
        <f ca="1"/>
        <v>#NAME?</v>
      </c>
    </row>
    <row r="835" spans="1:25">
      <c r="A835" s="1487"/>
      <c r="B835" s="1488"/>
      <c r="C835" s="1489"/>
      <c r="D835" s="1490"/>
      <c r="E835" s="1487"/>
      <c r="F835" s="1488"/>
      <c r="G835" s="1489"/>
      <c r="H835" s="1490"/>
      <c r="I835" s="1487"/>
      <c r="J835" s="1488"/>
      <c r="K835" s="1489"/>
      <c r="L835" s="1490"/>
      <c r="M835" s="1487"/>
      <c r="N835" s="1488"/>
      <c r="O835" s="1489"/>
      <c r="P835" s="1490"/>
      <c r="X835" s="1445" t="e">
        <f ca="1"/>
        <v>#NAME?</v>
      </c>
      <c r="Y835" s="1446" t="e">
        <f ca="1"/>
        <v>#NAME?</v>
      </c>
    </row>
    <row r="836" spans="1:25">
      <c r="A836" s="1487"/>
      <c r="B836" s="1488"/>
      <c r="C836" s="1489"/>
      <c r="D836" s="1490"/>
      <c r="E836" s="1487"/>
      <c r="F836" s="1488"/>
      <c r="G836" s="1489"/>
      <c r="H836" s="1490"/>
      <c r="I836" s="1487"/>
      <c r="J836" s="1488"/>
      <c r="K836" s="1489"/>
      <c r="L836" s="1490"/>
      <c r="M836" s="1487"/>
      <c r="N836" s="1488"/>
      <c r="O836" s="1489"/>
      <c r="P836" s="1490"/>
      <c r="X836" s="1445" t="e">
        <f ca="1"/>
        <v>#NAME?</v>
      </c>
      <c r="Y836" s="1446" t="e">
        <f ca="1"/>
        <v>#NAME?</v>
      </c>
    </row>
    <row r="837" spans="1:25">
      <c r="A837" s="1487"/>
      <c r="B837" s="1488"/>
      <c r="C837" s="1489"/>
      <c r="D837" s="1490"/>
      <c r="E837" s="1487"/>
      <c r="F837" s="1488"/>
      <c r="G837" s="1489"/>
      <c r="H837" s="1490"/>
      <c r="I837" s="1487"/>
      <c r="J837" s="1488"/>
      <c r="K837" s="1489"/>
      <c r="L837" s="1490"/>
      <c r="M837" s="1487"/>
      <c r="N837" s="1488"/>
      <c r="O837" s="1489"/>
      <c r="P837" s="1490"/>
      <c r="X837" s="1445" t="e">
        <f ca="1"/>
        <v>#NAME?</v>
      </c>
      <c r="Y837" s="1446" t="e">
        <f ca="1"/>
        <v>#NAME?</v>
      </c>
    </row>
    <row r="838" spans="1:25">
      <c r="A838" s="1487"/>
      <c r="B838" s="1488"/>
      <c r="C838" s="1489"/>
      <c r="D838" s="1490"/>
      <c r="E838" s="1487"/>
      <c r="F838" s="1488"/>
      <c r="G838" s="1489"/>
      <c r="H838" s="1490"/>
      <c r="I838" s="1487"/>
      <c r="J838" s="1488"/>
      <c r="K838" s="1489"/>
      <c r="L838" s="1490"/>
      <c r="M838" s="1487"/>
      <c r="N838" s="1488"/>
      <c r="O838" s="1489"/>
      <c r="P838" s="1490"/>
      <c r="X838" s="1445" t="e">
        <f ca="1"/>
        <v>#NAME?</v>
      </c>
      <c r="Y838" s="1446" t="e">
        <f ca="1"/>
        <v>#NAME?</v>
      </c>
    </row>
    <row r="839" spans="1:25">
      <c r="A839" s="1487"/>
      <c r="B839" s="1488"/>
      <c r="C839" s="1489"/>
      <c r="D839" s="1490"/>
      <c r="E839" s="1487"/>
      <c r="F839" s="1488"/>
      <c r="G839" s="1489"/>
      <c r="H839" s="1490"/>
      <c r="I839" s="1487"/>
      <c r="J839" s="1488"/>
      <c r="K839" s="1489"/>
      <c r="L839" s="1490"/>
      <c r="M839" s="1487"/>
      <c r="N839" s="1488"/>
      <c r="O839" s="1489"/>
      <c r="P839" s="1490"/>
      <c r="X839" s="1445" t="e">
        <f ca="1"/>
        <v>#NAME?</v>
      </c>
      <c r="Y839" s="1446" t="e">
        <f ca="1"/>
        <v>#NAME?</v>
      </c>
    </row>
    <row r="840" spans="1:25">
      <c r="A840" s="1487"/>
      <c r="B840" s="1488"/>
      <c r="C840" s="1489"/>
      <c r="D840" s="1490"/>
      <c r="E840" s="1487"/>
      <c r="F840" s="1488"/>
      <c r="G840" s="1489"/>
      <c r="H840" s="1490"/>
      <c r="I840" s="1487"/>
      <c r="J840" s="1488"/>
      <c r="K840" s="1489"/>
      <c r="L840" s="1490"/>
      <c r="M840" s="1487"/>
      <c r="N840" s="1488"/>
      <c r="O840" s="1489"/>
      <c r="P840" s="1490"/>
      <c r="X840" s="1445" t="e">
        <f ca="1"/>
        <v>#NAME?</v>
      </c>
      <c r="Y840" s="1446" t="e">
        <f ca="1"/>
        <v>#NAME?</v>
      </c>
    </row>
    <row r="841" spans="1:25">
      <c r="A841" s="1487"/>
      <c r="B841" s="1488"/>
      <c r="C841" s="1489"/>
      <c r="D841" s="1490"/>
      <c r="E841" s="1487"/>
      <c r="F841" s="1488"/>
      <c r="G841" s="1489"/>
      <c r="H841" s="1490"/>
      <c r="I841" s="1487"/>
      <c r="J841" s="1488"/>
      <c r="K841" s="1489"/>
      <c r="L841" s="1490"/>
      <c r="M841" s="1487"/>
      <c r="N841" s="1488"/>
      <c r="O841" s="1489"/>
      <c r="P841" s="1490"/>
      <c r="X841" s="1445" t="e">
        <f ca="1"/>
        <v>#NAME?</v>
      </c>
      <c r="Y841" s="1446" t="e">
        <f ca="1"/>
        <v>#NAME?</v>
      </c>
    </row>
    <row r="842" spans="1:25">
      <c r="A842" s="1487"/>
      <c r="B842" s="1488"/>
      <c r="C842" s="1489"/>
      <c r="D842" s="1490"/>
      <c r="E842" s="1487"/>
      <c r="F842" s="1488"/>
      <c r="G842" s="1489"/>
      <c r="H842" s="1490"/>
      <c r="I842" s="1487"/>
      <c r="J842" s="1488"/>
      <c r="K842" s="1489"/>
      <c r="L842" s="1490"/>
      <c r="M842" s="1487"/>
      <c r="N842" s="1488"/>
      <c r="O842" s="1489"/>
      <c r="P842" s="1490"/>
      <c r="X842" s="1445" t="e">
        <f ca="1"/>
        <v>#NAME?</v>
      </c>
      <c r="Y842" s="1446" t="e">
        <f ca="1"/>
        <v>#NAME?</v>
      </c>
    </row>
    <row r="843" spans="1:25">
      <c r="A843" s="1487"/>
      <c r="B843" s="1488"/>
      <c r="C843" s="1489"/>
      <c r="D843" s="1490"/>
      <c r="E843" s="1487"/>
      <c r="F843" s="1488"/>
      <c r="G843" s="1489"/>
      <c r="H843" s="1490"/>
      <c r="I843" s="1487"/>
      <c r="J843" s="1488"/>
      <c r="K843" s="1489"/>
      <c r="L843" s="1490"/>
      <c r="M843" s="1487"/>
      <c r="N843" s="1488"/>
      <c r="O843" s="1489"/>
      <c r="P843" s="1490"/>
      <c r="X843" s="1445" t="e">
        <f ca="1"/>
        <v>#NAME?</v>
      </c>
      <c r="Y843" s="1446" t="e">
        <f ca="1"/>
        <v>#NAME?</v>
      </c>
    </row>
    <row r="844" spans="1:25">
      <c r="A844" s="1487"/>
      <c r="B844" s="1488"/>
      <c r="C844" s="1489"/>
      <c r="D844" s="1490"/>
      <c r="E844" s="1487"/>
      <c r="F844" s="1488"/>
      <c r="G844" s="1489"/>
      <c r="H844" s="1490"/>
      <c r="I844" s="1487"/>
      <c r="J844" s="1488"/>
      <c r="K844" s="1489"/>
      <c r="L844" s="1490"/>
      <c r="M844" s="1487"/>
      <c r="N844" s="1488"/>
      <c r="O844" s="1489"/>
      <c r="P844" s="1490"/>
      <c r="X844" s="1445" t="e">
        <f ca="1"/>
        <v>#NAME?</v>
      </c>
      <c r="Y844" s="1446" t="e">
        <f ca="1"/>
        <v>#NAME?</v>
      </c>
    </row>
    <row r="845" spans="1:25">
      <c r="A845" s="1487"/>
      <c r="B845" s="1488"/>
      <c r="C845" s="1489"/>
      <c r="D845" s="1490"/>
      <c r="E845" s="1487"/>
      <c r="F845" s="1488"/>
      <c r="G845" s="1489"/>
      <c r="H845" s="1490"/>
      <c r="I845" s="1487"/>
      <c r="J845" s="1488"/>
      <c r="K845" s="1489"/>
      <c r="L845" s="1490"/>
      <c r="M845" s="1487"/>
      <c r="N845" s="1488"/>
      <c r="O845" s="1489"/>
      <c r="P845" s="1490"/>
      <c r="X845" s="1445" t="e">
        <f ca="1"/>
        <v>#NAME?</v>
      </c>
      <c r="Y845" s="1446" t="e">
        <f ca="1"/>
        <v>#NAME?</v>
      </c>
    </row>
    <row r="846" spans="1:25">
      <c r="A846" s="1487"/>
      <c r="B846" s="1488"/>
      <c r="C846" s="1489"/>
      <c r="D846" s="1490"/>
      <c r="E846" s="1487"/>
      <c r="F846" s="1488"/>
      <c r="G846" s="1489"/>
      <c r="H846" s="1490"/>
      <c r="I846" s="1487"/>
      <c r="J846" s="1488"/>
      <c r="K846" s="1489"/>
      <c r="L846" s="1490"/>
      <c r="M846" s="1487"/>
      <c r="N846" s="1488"/>
      <c r="O846" s="1489"/>
      <c r="P846" s="1490"/>
      <c r="X846" s="1445" t="e">
        <f ca="1"/>
        <v>#NAME?</v>
      </c>
      <c r="Y846" s="1446" t="e">
        <f ca="1"/>
        <v>#NAME?</v>
      </c>
    </row>
    <row r="847" spans="1:25">
      <c r="A847" s="1487"/>
      <c r="B847" s="1488"/>
      <c r="C847" s="1489"/>
      <c r="D847" s="1490"/>
      <c r="E847" s="1487"/>
      <c r="F847" s="1488"/>
      <c r="G847" s="1489"/>
      <c r="H847" s="1490"/>
      <c r="I847" s="1487"/>
      <c r="J847" s="1488"/>
      <c r="K847" s="1489"/>
      <c r="L847" s="1490"/>
      <c r="M847" s="1487"/>
      <c r="N847" s="1488"/>
      <c r="O847" s="1489"/>
      <c r="P847" s="1490"/>
      <c r="X847" s="1445" t="e">
        <f ca="1"/>
        <v>#NAME?</v>
      </c>
      <c r="Y847" s="1446" t="e">
        <f ca="1"/>
        <v>#NAME?</v>
      </c>
    </row>
    <row r="848" spans="1:25">
      <c r="A848" s="1487"/>
      <c r="B848" s="1488"/>
      <c r="C848" s="1489"/>
      <c r="D848" s="1490"/>
      <c r="E848" s="1487"/>
      <c r="F848" s="1488"/>
      <c r="G848" s="1489"/>
      <c r="H848" s="1490"/>
      <c r="I848" s="1487"/>
      <c r="J848" s="1488"/>
      <c r="K848" s="1489"/>
      <c r="L848" s="1490"/>
      <c r="M848" s="1487"/>
      <c r="N848" s="1488"/>
      <c r="O848" s="1489"/>
      <c r="P848" s="1490"/>
      <c r="X848" s="1445" t="e">
        <f ca="1"/>
        <v>#NAME?</v>
      </c>
      <c r="Y848" s="1446" t="e">
        <f ca="1"/>
        <v>#NAME?</v>
      </c>
    </row>
    <row r="849" spans="1:25">
      <c r="A849" s="1487"/>
      <c r="B849" s="1488"/>
      <c r="C849" s="1489"/>
      <c r="D849" s="1490"/>
      <c r="E849" s="1487"/>
      <c r="F849" s="1488"/>
      <c r="G849" s="1489"/>
      <c r="H849" s="1490"/>
      <c r="I849" s="1487"/>
      <c r="J849" s="1488"/>
      <c r="K849" s="1489"/>
      <c r="L849" s="1490"/>
      <c r="M849" s="1487"/>
      <c r="N849" s="1488"/>
      <c r="O849" s="1489"/>
      <c r="P849" s="1490"/>
      <c r="X849" s="1445" t="e">
        <f ca="1"/>
        <v>#NAME?</v>
      </c>
      <c r="Y849" s="1446" t="e">
        <f ca="1"/>
        <v>#NAME?</v>
      </c>
    </row>
    <row r="850" spans="1:25">
      <c r="A850" s="1487"/>
      <c r="B850" s="1488"/>
      <c r="C850" s="1489"/>
      <c r="D850" s="1490"/>
      <c r="E850" s="1487"/>
      <c r="F850" s="1488"/>
      <c r="G850" s="1489"/>
      <c r="H850" s="1490"/>
      <c r="I850" s="1487"/>
      <c r="J850" s="1488"/>
      <c r="K850" s="1489"/>
      <c r="L850" s="1490"/>
      <c r="M850" s="1487"/>
      <c r="N850" s="1488"/>
      <c r="O850" s="1489"/>
      <c r="P850" s="1490"/>
      <c r="X850" s="1445" t="e">
        <f ca="1"/>
        <v>#NAME?</v>
      </c>
      <c r="Y850" s="1446" t="e">
        <f ca="1"/>
        <v>#NAME?</v>
      </c>
    </row>
    <row r="851" spans="1:25">
      <c r="A851" s="1487"/>
      <c r="B851" s="1488"/>
      <c r="C851" s="1489"/>
      <c r="D851" s="1490"/>
      <c r="E851" s="1487"/>
      <c r="F851" s="1488"/>
      <c r="G851" s="1489"/>
      <c r="H851" s="1490"/>
      <c r="I851" s="1487"/>
      <c r="J851" s="1488"/>
      <c r="K851" s="1489"/>
      <c r="L851" s="1490"/>
      <c r="M851" s="1487"/>
      <c r="N851" s="1488"/>
      <c r="O851" s="1489"/>
      <c r="P851" s="1490"/>
      <c r="X851" s="1445" t="e">
        <f ca="1"/>
        <v>#NAME?</v>
      </c>
      <c r="Y851" s="1446" t="e">
        <f ca="1"/>
        <v>#NAME?</v>
      </c>
    </row>
    <row r="852" spans="1:25">
      <c r="A852" s="1487"/>
      <c r="B852" s="1488"/>
      <c r="C852" s="1489"/>
      <c r="D852" s="1490"/>
      <c r="E852" s="1487"/>
      <c r="F852" s="1488"/>
      <c r="G852" s="1489"/>
      <c r="H852" s="1490"/>
      <c r="I852" s="1487"/>
      <c r="J852" s="1488"/>
      <c r="K852" s="1489"/>
      <c r="L852" s="1490"/>
      <c r="M852" s="1487"/>
      <c r="N852" s="1488"/>
      <c r="O852" s="1489"/>
      <c r="P852" s="1490"/>
      <c r="X852" s="1445" t="e">
        <f ca="1"/>
        <v>#NAME?</v>
      </c>
      <c r="Y852" s="1446" t="e">
        <f ca="1"/>
        <v>#NAME?</v>
      </c>
    </row>
    <row r="853" spans="1:25">
      <c r="A853" s="1487"/>
      <c r="B853" s="1488"/>
      <c r="C853" s="1489"/>
      <c r="D853" s="1490"/>
      <c r="E853" s="1487"/>
      <c r="F853" s="1488"/>
      <c r="G853" s="1489"/>
      <c r="H853" s="1490"/>
      <c r="I853" s="1487"/>
      <c r="J853" s="1488"/>
      <c r="K853" s="1489"/>
      <c r="L853" s="1490"/>
      <c r="M853" s="1487"/>
      <c r="N853" s="1488"/>
      <c r="O853" s="1489"/>
      <c r="P853" s="1490"/>
      <c r="X853" s="1445" t="e">
        <f ca="1"/>
        <v>#NAME?</v>
      </c>
      <c r="Y853" s="1446" t="e">
        <f ca="1"/>
        <v>#NAME?</v>
      </c>
    </row>
    <row r="854" spans="1:25">
      <c r="A854" s="1487"/>
      <c r="B854" s="1488"/>
      <c r="C854" s="1489"/>
      <c r="D854" s="1490"/>
      <c r="E854" s="1487"/>
      <c r="F854" s="1488"/>
      <c r="G854" s="1489"/>
      <c r="H854" s="1490"/>
      <c r="I854" s="1487"/>
      <c r="J854" s="1488"/>
      <c r="K854" s="1489"/>
      <c r="L854" s="1490"/>
      <c r="M854" s="1487"/>
      <c r="N854" s="1488"/>
      <c r="O854" s="1489"/>
      <c r="P854" s="1490"/>
      <c r="X854" s="1445" t="e">
        <f ca="1"/>
        <v>#NAME?</v>
      </c>
      <c r="Y854" s="1446" t="e">
        <f ca="1"/>
        <v>#NAME?</v>
      </c>
    </row>
    <row r="855" spans="1:25">
      <c r="A855" s="1487"/>
      <c r="B855" s="1488"/>
      <c r="C855" s="1489"/>
      <c r="D855" s="1490"/>
      <c r="E855" s="1487"/>
      <c r="F855" s="1488"/>
      <c r="G855" s="1489"/>
      <c r="H855" s="1490"/>
      <c r="I855" s="1487"/>
      <c r="J855" s="1488"/>
      <c r="K855" s="1489"/>
      <c r="L855" s="1490"/>
      <c r="M855" s="1487"/>
      <c r="N855" s="1488"/>
      <c r="O855" s="1489"/>
      <c r="P855" s="1490"/>
      <c r="X855" s="1445" t="e">
        <f ca="1"/>
        <v>#NAME?</v>
      </c>
      <c r="Y855" s="1446" t="e">
        <f ca="1"/>
        <v>#NAME?</v>
      </c>
    </row>
    <row r="856" spans="1:25">
      <c r="A856" s="1487"/>
      <c r="B856" s="1488"/>
      <c r="C856" s="1489"/>
      <c r="D856" s="1490"/>
      <c r="E856" s="1487"/>
      <c r="F856" s="1488"/>
      <c r="G856" s="1489"/>
      <c r="H856" s="1490"/>
      <c r="I856" s="1487"/>
      <c r="J856" s="1488"/>
      <c r="K856" s="1489"/>
      <c r="L856" s="1490"/>
      <c r="M856" s="1487"/>
      <c r="N856" s="1488"/>
      <c r="O856" s="1489"/>
      <c r="P856" s="1490"/>
      <c r="X856" s="1445" t="e">
        <f ca="1"/>
        <v>#NAME?</v>
      </c>
      <c r="Y856" s="1446" t="e">
        <f ca="1"/>
        <v>#NAME?</v>
      </c>
    </row>
    <row r="857" spans="1:25">
      <c r="A857" s="1487"/>
      <c r="B857" s="1488"/>
      <c r="C857" s="1489"/>
      <c r="D857" s="1490"/>
      <c r="E857" s="1487"/>
      <c r="F857" s="1488"/>
      <c r="G857" s="1489"/>
      <c r="H857" s="1490"/>
      <c r="I857" s="1487"/>
      <c r="J857" s="1488"/>
      <c r="K857" s="1489"/>
      <c r="L857" s="1490"/>
      <c r="M857" s="1487"/>
      <c r="N857" s="1488"/>
      <c r="O857" s="1489"/>
      <c r="P857" s="1490"/>
      <c r="X857" s="1445" t="e">
        <f ca="1"/>
        <v>#NAME?</v>
      </c>
      <c r="Y857" s="1446" t="e">
        <f ca="1"/>
        <v>#NAME?</v>
      </c>
    </row>
    <row r="858" spans="1:25">
      <c r="A858" s="1487"/>
      <c r="B858" s="1488"/>
      <c r="C858" s="1489"/>
      <c r="D858" s="1490"/>
      <c r="E858" s="1487"/>
      <c r="F858" s="1488"/>
      <c r="G858" s="1489"/>
      <c r="H858" s="1490"/>
      <c r="I858" s="1487"/>
      <c r="J858" s="1488"/>
      <c r="K858" s="1489"/>
      <c r="L858" s="1490"/>
      <c r="M858" s="1487"/>
      <c r="N858" s="1488"/>
      <c r="O858" s="1489"/>
      <c r="P858" s="1490"/>
      <c r="X858" s="1445" t="e">
        <f ca="1"/>
        <v>#NAME?</v>
      </c>
      <c r="Y858" s="1446" t="e">
        <f ca="1"/>
        <v>#NAME?</v>
      </c>
    </row>
    <row r="859" spans="1:25">
      <c r="A859" s="1487"/>
      <c r="B859" s="1488"/>
      <c r="C859" s="1489"/>
      <c r="D859" s="1490"/>
      <c r="E859" s="1487"/>
      <c r="F859" s="1488"/>
      <c r="G859" s="1489"/>
      <c r="H859" s="1490"/>
      <c r="I859" s="1487"/>
      <c r="J859" s="1488"/>
      <c r="K859" s="1489"/>
      <c r="L859" s="1490"/>
      <c r="M859" s="1487"/>
      <c r="N859" s="1488"/>
      <c r="O859" s="1489"/>
      <c r="P859" s="1490"/>
      <c r="X859" s="1445" t="e">
        <f ca="1"/>
        <v>#NAME?</v>
      </c>
      <c r="Y859" s="1446" t="e">
        <f ca="1"/>
        <v>#NAME?</v>
      </c>
    </row>
    <row r="860" spans="1:25">
      <c r="A860" s="1487"/>
      <c r="B860" s="1488"/>
      <c r="C860" s="1489"/>
      <c r="D860" s="1490"/>
      <c r="E860" s="1487"/>
      <c r="F860" s="1488"/>
      <c r="G860" s="1489"/>
      <c r="H860" s="1490"/>
      <c r="I860" s="1487"/>
      <c r="J860" s="1488"/>
      <c r="K860" s="1489"/>
      <c r="L860" s="1490"/>
      <c r="M860" s="1487"/>
      <c r="N860" s="1488"/>
      <c r="O860" s="1489"/>
      <c r="P860" s="1490"/>
      <c r="X860" s="1445" t="e">
        <f ca="1"/>
        <v>#NAME?</v>
      </c>
      <c r="Y860" s="1446" t="e">
        <f ca="1"/>
        <v>#NAME?</v>
      </c>
    </row>
    <row r="861" spans="1:25">
      <c r="A861" s="1487"/>
      <c r="B861" s="1488"/>
      <c r="C861" s="1489"/>
      <c r="D861" s="1490"/>
      <c r="E861" s="1487"/>
      <c r="F861" s="1488"/>
      <c r="G861" s="1489"/>
      <c r="H861" s="1490"/>
      <c r="I861" s="1487"/>
      <c r="J861" s="1488"/>
      <c r="K861" s="1489"/>
      <c r="L861" s="1490"/>
      <c r="M861" s="1487"/>
      <c r="N861" s="1488"/>
      <c r="O861" s="1489"/>
      <c r="P861" s="1490"/>
      <c r="X861" s="1445" t="e">
        <f ca="1"/>
        <v>#NAME?</v>
      </c>
      <c r="Y861" s="1446" t="e">
        <f ca="1"/>
        <v>#NAME?</v>
      </c>
    </row>
    <row r="862" spans="1:25">
      <c r="A862" s="1487"/>
      <c r="B862" s="1488"/>
      <c r="C862" s="1489"/>
      <c r="D862" s="1490"/>
      <c r="E862" s="1487"/>
      <c r="F862" s="1488"/>
      <c r="G862" s="1489"/>
      <c r="H862" s="1490"/>
      <c r="I862" s="1487"/>
      <c r="J862" s="1488"/>
      <c r="K862" s="1489"/>
      <c r="L862" s="1490"/>
      <c r="M862" s="1487"/>
      <c r="N862" s="1488"/>
      <c r="O862" s="1489"/>
      <c r="P862" s="1490"/>
      <c r="X862" s="1445" t="e">
        <f ca="1"/>
        <v>#NAME?</v>
      </c>
      <c r="Y862" s="1446" t="e">
        <f ca="1"/>
        <v>#NAME?</v>
      </c>
    </row>
    <row r="863" spans="1:25">
      <c r="A863" s="1487"/>
      <c r="B863" s="1488"/>
      <c r="C863" s="1489"/>
      <c r="D863" s="1490"/>
      <c r="E863" s="1487"/>
      <c r="F863" s="1488"/>
      <c r="G863" s="1489"/>
      <c r="H863" s="1490"/>
      <c r="I863" s="1487"/>
      <c r="J863" s="1488"/>
      <c r="K863" s="1489"/>
      <c r="L863" s="1490"/>
      <c r="M863" s="1487"/>
      <c r="N863" s="1488"/>
      <c r="O863" s="1489"/>
      <c r="P863" s="1490"/>
      <c r="X863" s="1445" t="e">
        <f ca="1"/>
        <v>#NAME?</v>
      </c>
      <c r="Y863" s="1446" t="e">
        <f ca="1"/>
        <v>#NAME?</v>
      </c>
    </row>
    <row r="864" spans="1:25">
      <c r="A864" s="1487"/>
      <c r="B864" s="1488"/>
      <c r="C864" s="1489"/>
      <c r="D864" s="1490"/>
      <c r="E864" s="1487"/>
      <c r="F864" s="1488"/>
      <c r="G864" s="1489"/>
      <c r="H864" s="1490"/>
      <c r="I864" s="1487"/>
      <c r="J864" s="1488"/>
      <c r="K864" s="1489"/>
      <c r="L864" s="1490"/>
      <c r="M864" s="1487"/>
      <c r="N864" s="1488"/>
      <c r="O864" s="1489"/>
      <c r="P864" s="1490"/>
      <c r="X864" s="1445" t="e">
        <f ca="1"/>
        <v>#NAME?</v>
      </c>
      <c r="Y864" s="1446" t="e">
        <f ca="1"/>
        <v>#NAME?</v>
      </c>
    </row>
    <row r="865" spans="1:25">
      <c r="A865" s="1487"/>
      <c r="B865" s="1488"/>
      <c r="C865" s="1489"/>
      <c r="D865" s="1490"/>
      <c r="E865" s="1487"/>
      <c r="F865" s="1488"/>
      <c r="G865" s="1489"/>
      <c r="H865" s="1490"/>
      <c r="I865" s="1487"/>
      <c r="J865" s="1488"/>
      <c r="K865" s="1489"/>
      <c r="L865" s="1490"/>
      <c r="M865" s="1487"/>
      <c r="N865" s="1488"/>
      <c r="O865" s="1489"/>
      <c r="P865" s="1490"/>
      <c r="X865" s="1445" t="e">
        <f ca="1"/>
        <v>#NAME?</v>
      </c>
      <c r="Y865" s="1446" t="e">
        <f ca="1"/>
        <v>#NAME?</v>
      </c>
    </row>
    <row r="866" spans="1:25">
      <c r="A866" s="1487"/>
      <c r="B866" s="1488"/>
      <c r="C866" s="1489"/>
      <c r="D866" s="1490"/>
      <c r="E866" s="1487"/>
      <c r="F866" s="1488"/>
      <c r="G866" s="1489"/>
      <c r="H866" s="1490"/>
      <c r="I866" s="1487"/>
      <c r="J866" s="1488"/>
      <c r="K866" s="1489"/>
      <c r="L866" s="1490"/>
      <c r="M866" s="1487"/>
      <c r="N866" s="1488"/>
      <c r="O866" s="1489"/>
      <c r="P866" s="1490"/>
      <c r="X866" s="1445" t="e">
        <f ca="1"/>
        <v>#NAME?</v>
      </c>
      <c r="Y866" s="1446" t="e">
        <f ca="1"/>
        <v>#NAME?</v>
      </c>
    </row>
    <row r="867" spans="1:25">
      <c r="A867" s="1487"/>
      <c r="B867" s="1488"/>
      <c r="C867" s="1489"/>
      <c r="D867" s="1490"/>
      <c r="E867" s="1487"/>
      <c r="F867" s="1488"/>
      <c r="G867" s="1489"/>
      <c r="H867" s="1490"/>
      <c r="I867" s="1487"/>
      <c r="J867" s="1488"/>
      <c r="K867" s="1489"/>
      <c r="L867" s="1490"/>
      <c r="M867" s="1487"/>
      <c r="N867" s="1488"/>
      <c r="O867" s="1489"/>
      <c r="P867" s="1490"/>
      <c r="X867" s="1445" t="e">
        <f ca="1"/>
        <v>#NAME?</v>
      </c>
      <c r="Y867" s="1446" t="e">
        <f ca="1"/>
        <v>#NAME?</v>
      </c>
    </row>
    <row r="868" spans="1:25">
      <c r="A868" s="1487"/>
      <c r="B868" s="1488"/>
      <c r="C868" s="1489"/>
      <c r="D868" s="1490"/>
      <c r="E868" s="1487"/>
      <c r="F868" s="1488"/>
      <c r="G868" s="1489"/>
      <c r="H868" s="1490"/>
      <c r="I868" s="1487"/>
      <c r="J868" s="1488"/>
      <c r="K868" s="1489"/>
      <c r="L868" s="1490"/>
      <c r="M868" s="1487"/>
      <c r="N868" s="1488"/>
      <c r="O868" s="1489"/>
      <c r="P868" s="1490"/>
      <c r="X868" s="1445" t="e">
        <f ca="1"/>
        <v>#NAME?</v>
      </c>
      <c r="Y868" s="1446" t="e">
        <f ca="1"/>
        <v>#NAME?</v>
      </c>
    </row>
    <row r="869" spans="1:25">
      <c r="A869" s="1487"/>
      <c r="B869" s="1488"/>
      <c r="C869" s="1489"/>
      <c r="D869" s="1490"/>
      <c r="E869" s="1487"/>
      <c r="F869" s="1488"/>
      <c r="G869" s="1489"/>
      <c r="H869" s="1490"/>
      <c r="I869" s="1487"/>
      <c r="J869" s="1488"/>
      <c r="K869" s="1489"/>
      <c r="L869" s="1490"/>
      <c r="M869" s="1487"/>
      <c r="N869" s="1488"/>
      <c r="O869" s="1489"/>
      <c r="P869" s="1490"/>
      <c r="X869" s="1445" t="e">
        <f ca="1"/>
        <v>#NAME?</v>
      </c>
      <c r="Y869" s="1446" t="e">
        <f ca="1"/>
        <v>#NAME?</v>
      </c>
    </row>
    <row r="870" spans="1:25">
      <c r="A870" s="1487"/>
      <c r="B870" s="1488"/>
      <c r="C870" s="1489"/>
      <c r="D870" s="1490"/>
      <c r="E870" s="1487"/>
      <c r="F870" s="1488"/>
      <c r="G870" s="1489"/>
      <c r="H870" s="1490"/>
      <c r="I870" s="1487"/>
      <c r="J870" s="1488"/>
      <c r="K870" s="1489"/>
      <c r="L870" s="1490"/>
      <c r="M870" s="1487"/>
      <c r="N870" s="1488"/>
      <c r="O870" s="1489"/>
      <c r="P870" s="1490"/>
      <c r="X870" s="1445" t="e">
        <f ca="1"/>
        <v>#NAME?</v>
      </c>
      <c r="Y870" s="1446" t="e">
        <f ca="1"/>
        <v>#NAME?</v>
      </c>
    </row>
    <row r="871" spans="1:25">
      <c r="A871" s="1487"/>
      <c r="B871" s="1488"/>
      <c r="C871" s="1489"/>
      <c r="D871" s="1490"/>
      <c r="E871" s="1487"/>
      <c r="F871" s="1488"/>
      <c r="G871" s="1489"/>
      <c r="H871" s="1490"/>
      <c r="I871" s="1487"/>
      <c r="J871" s="1488"/>
      <c r="K871" s="1489"/>
      <c r="L871" s="1490"/>
      <c r="M871" s="1487"/>
      <c r="N871" s="1488"/>
      <c r="O871" s="1489"/>
      <c r="P871" s="1490"/>
      <c r="X871" s="1445" t="e">
        <f ca="1"/>
        <v>#NAME?</v>
      </c>
      <c r="Y871" s="1446" t="e">
        <f ca="1"/>
        <v>#NAME?</v>
      </c>
    </row>
    <row r="872" spans="1:25">
      <c r="A872" s="1487"/>
      <c r="B872" s="1488"/>
      <c r="C872" s="1489"/>
      <c r="D872" s="1490"/>
      <c r="E872" s="1487"/>
      <c r="F872" s="1488"/>
      <c r="G872" s="1489"/>
      <c r="H872" s="1490"/>
      <c r="I872" s="1487"/>
      <c r="J872" s="1488"/>
      <c r="K872" s="1489"/>
      <c r="L872" s="1490"/>
      <c r="M872" s="1487"/>
      <c r="N872" s="1488"/>
      <c r="O872" s="1489"/>
      <c r="P872" s="1490"/>
      <c r="X872" s="1445" t="e">
        <f ca="1"/>
        <v>#NAME?</v>
      </c>
      <c r="Y872" s="1446" t="e">
        <f ca="1"/>
        <v>#NAME?</v>
      </c>
    </row>
    <row r="873" spans="1:25">
      <c r="A873" s="1487"/>
      <c r="B873" s="1488"/>
      <c r="C873" s="1489"/>
      <c r="D873" s="1490"/>
      <c r="E873" s="1487"/>
      <c r="F873" s="1488"/>
      <c r="G873" s="1489"/>
      <c r="H873" s="1490"/>
      <c r="I873" s="1487"/>
      <c r="J873" s="1488"/>
      <c r="K873" s="1489"/>
      <c r="L873" s="1490"/>
      <c r="M873" s="1487"/>
      <c r="N873" s="1488"/>
      <c r="O873" s="1489"/>
      <c r="P873" s="1490"/>
      <c r="X873" s="1445" t="e">
        <f ca="1"/>
        <v>#NAME?</v>
      </c>
      <c r="Y873" s="1446" t="e">
        <f ca="1"/>
        <v>#NAME?</v>
      </c>
    </row>
    <row r="874" spans="1:25">
      <c r="A874" s="1487"/>
      <c r="B874" s="1488"/>
      <c r="C874" s="1489"/>
      <c r="D874" s="1490"/>
      <c r="E874" s="1487"/>
      <c r="F874" s="1488"/>
      <c r="G874" s="1489"/>
      <c r="H874" s="1490"/>
      <c r="I874" s="1487"/>
      <c r="J874" s="1488"/>
      <c r="K874" s="1489"/>
      <c r="L874" s="1490"/>
      <c r="M874" s="1487"/>
      <c r="N874" s="1488"/>
      <c r="O874" s="1489"/>
      <c r="P874" s="1490"/>
      <c r="X874" s="1445" t="e">
        <f ca="1"/>
        <v>#NAME?</v>
      </c>
      <c r="Y874" s="1446" t="e">
        <f ca="1"/>
        <v>#NAME?</v>
      </c>
    </row>
    <row r="875" spans="1:25">
      <c r="A875" s="1487"/>
      <c r="B875" s="1488"/>
      <c r="C875" s="1489"/>
      <c r="D875" s="1490"/>
      <c r="E875" s="1487"/>
      <c r="F875" s="1488"/>
      <c r="G875" s="1489"/>
      <c r="H875" s="1490"/>
      <c r="I875" s="1487"/>
      <c r="J875" s="1488"/>
      <c r="K875" s="1489"/>
      <c r="L875" s="1490"/>
      <c r="M875" s="1487"/>
      <c r="N875" s="1488"/>
      <c r="O875" s="1489"/>
      <c r="P875" s="1490"/>
      <c r="X875" s="1445" t="e">
        <f ca="1"/>
        <v>#NAME?</v>
      </c>
      <c r="Y875" s="1446" t="e">
        <f ca="1"/>
        <v>#NAME?</v>
      </c>
    </row>
    <row r="876" spans="1:25">
      <c r="A876" s="1487"/>
      <c r="B876" s="1488"/>
      <c r="C876" s="1489"/>
      <c r="D876" s="1490"/>
      <c r="E876" s="1487"/>
      <c r="F876" s="1488"/>
      <c r="G876" s="1489"/>
      <c r="H876" s="1490"/>
      <c r="I876" s="1487"/>
      <c r="J876" s="1488"/>
      <c r="K876" s="1489"/>
      <c r="L876" s="1490"/>
      <c r="M876" s="1487"/>
      <c r="N876" s="1488"/>
      <c r="O876" s="1489"/>
      <c r="P876" s="1490"/>
      <c r="X876" s="1445" t="e">
        <f ca="1"/>
        <v>#NAME?</v>
      </c>
      <c r="Y876" s="1446" t="e">
        <f ca="1"/>
        <v>#NAME?</v>
      </c>
    </row>
    <row r="877" spans="1:25">
      <c r="A877" s="1487"/>
      <c r="B877" s="1488"/>
      <c r="C877" s="1489"/>
      <c r="D877" s="1490"/>
      <c r="E877" s="1487"/>
      <c r="F877" s="1488"/>
      <c r="G877" s="1489"/>
      <c r="H877" s="1490"/>
      <c r="I877" s="1487"/>
      <c r="J877" s="1488"/>
      <c r="K877" s="1489"/>
      <c r="L877" s="1490"/>
      <c r="M877" s="1487"/>
      <c r="N877" s="1488"/>
      <c r="O877" s="1489"/>
      <c r="P877" s="1490"/>
      <c r="X877" s="1445" t="e">
        <f ca="1"/>
        <v>#NAME?</v>
      </c>
      <c r="Y877" s="1446" t="e">
        <f ca="1"/>
        <v>#NAME?</v>
      </c>
    </row>
    <row r="878" spans="1:25">
      <c r="A878" s="1487"/>
      <c r="B878" s="1488"/>
      <c r="C878" s="1489"/>
      <c r="D878" s="1490"/>
      <c r="E878" s="1487"/>
      <c r="F878" s="1488"/>
      <c r="G878" s="1489"/>
      <c r="H878" s="1490"/>
      <c r="I878" s="1487"/>
      <c r="J878" s="1488"/>
      <c r="K878" s="1489"/>
      <c r="L878" s="1490"/>
      <c r="M878" s="1487"/>
      <c r="N878" s="1488"/>
      <c r="O878" s="1489"/>
      <c r="P878" s="1490"/>
      <c r="X878" s="1445" t="e">
        <f ca="1"/>
        <v>#NAME?</v>
      </c>
      <c r="Y878" s="1446" t="e">
        <f ca="1"/>
        <v>#NAME?</v>
      </c>
    </row>
    <row r="879" spans="1:25">
      <c r="A879" s="1487"/>
      <c r="B879" s="1488"/>
      <c r="C879" s="1489"/>
      <c r="D879" s="1490"/>
      <c r="E879" s="1487"/>
      <c r="F879" s="1488"/>
      <c r="G879" s="1489"/>
      <c r="H879" s="1490"/>
      <c r="I879" s="1487"/>
      <c r="J879" s="1488"/>
      <c r="K879" s="1489"/>
      <c r="L879" s="1490"/>
      <c r="M879" s="1487"/>
      <c r="N879" s="1488"/>
      <c r="O879" s="1489"/>
      <c r="P879" s="1490"/>
      <c r="X879" s="1445" t="e">
        <f ca="1"/>
        <v>#NAME?</v>
      </c>
      <c r="Y879" s="1446" t="e">
        <f ca="1"/>
        <v>#NAME?</v>
      </c>
    </row>
    <row r="880" spans="1:25">
      <c r="A880" s="1487"/>
      <c r="B880" s="1488"/>
      <c r="C880" s="1489"/>
      <c r="D880" s="1490"/>
      <c r="E880" s="1487"/>
      <c r="F880" s="1488"/>
      <c r="G880" s="1489"/>
      <c r="H880" s="1490"/>
      <c r="I880" s="1487"/>
      <c r="J880" s="1488"/>
      <c r="K880" s="1489"/>
      <c r="L880" s="1490"/>
      <c r="M880" s="1487"/>
      <c r="N880" s="1488"/>
      <c r="O880" s="1489"/>
      <c r="P880" s="1490"/>
      <c r="X880" s="1445" t="e">
        <f ca="1"/>
        <v>#NAME?</v>
      </c>
      <c r="Y880" s="1446" t="e">
        <f ca="1"/>
        <v>#NAME?</v>
      </c>
    </row>
    <row r="881" spans="1:25">
      <c r="A881" s="1487"/>
      <c r="B881" s="1488"/>
      <c r="C881" s="1489"/>
      <c r="D881" s="1490"/>
      <c r="E881" s="1487"/>
      <c r="F881" s="1488"/>
      <c r="G881" s="1489"/>
      <c r="H881" s="1490"/>
      <c r="I881" s="1487"/>
      <c r="J881" s="1488"/>
      <c r="K881" s="1489"/>
      <c r="L881" s="1490"/>
      <c r="M881" s="1487"/>
      <c r="N881" s="1488"/>
      <c r="O881" s="1489"/>
      <c r="P881" s="1490"/>
      <c r="X881" s="1445" t="e">
        <f ca="1"/>
        <v>#NAME?</v>
      </c>
      <c r="Y881" s="1446" t="e">
        <f ca="1"/>
        <v>#NAME?</v>
      </c>
    </row>
    <row r="882" spans="1:25">
      <c r="A882" s="1487"/>
      <c r="B882" s="1488"/>
      <c r="C882" s="1489"/>
      <c r="D882" s="1490"/>
      <c r="E882" s="1487"/>
      <c r="F882" s="1488"/>
      <c r="G882" s="1489"/>
      <c r="H882" s="1490"/>
      <c r="I882" s="1487"/>
      <c r="J882" s="1488"/>
      <c r="K882" s="1489"/>
      <c r="L882" s="1490"/>
      <c r="M882" s="1487"/>
      <c r="N882" s="1488"/>
      <c r="O882" s="1489"/>
      <c r="P882" s="1490"/>
      <c r="X882" s="1445" t="e">
        <f ca="1"/>
        <v>#NAME?</v>
      </c>
      <c r="Y882" s="1446" t="e">
        <f ca="1"/>
        <v>#NAME?</v>
      </c>
    </row>
    <row r="883" spans="1:25">
      <c r="A883" s="1487"/>
      <c r="B883" s="1488"/>
      <c r="C883" s="1489"/>
      <c r="D883" s="1490"/>
      <c r="E883" s="1487"/>
      <c r="F883" s="1488"/>
      <c r="G883" s="1489"/>
      <c r="H883" s="1490"/>
      <c r="I883" s="1487"/>
      <c r="J883" s="1488"/>
      <c r="K883" s="1489"/>
      <c r="L883" s="1490"/>
      <c r="M883" s="1487"/>
      <c r="N883" s="1488"/>
      <c r="O883" s="1489"/>
      <c r="P883" s="1490"/>
      <c r="X883" s="1445" t="e">
        <f ca="1"/>
        <v>#NAME?</v>
      </c>
      <c r="Y883" s="1446" t="e">
        <f ca="1"/>
        <v>#NAME?</v>
      </c>
    </row>
    <row r="884" spans="1:25">
      <c r="A884" s="1487"/>
      <c r="B884" s="1488"/>
      <c r="C884" s="1489"/>
      <c r="D884" s="1490"/>
      <c r="E884" s="1487"/>
      <c r="F884" s="1488"/>
      <c r="G884" s="1489"/>
      <c r="H884" s="1490"/>
      <c r="I884" s="1487"/>
      <c r="J884" s="1488"/>
      <c r="K884" s="1489"/>
      <c r="L884" s="1490"/>
      <c r="M884" s="1487"/>
      <c r="N884" s="1488"/>
      <c r="O884" s="1489"/>
      <c r="P884" s="1490"/>
      <c r="X884" s="1445" t="e">
        <f ca="1"/>
        <v>#NAME?</v>
      </c>
      <c r="Y884" s="1446" t="e">
        <f ca="1"/>
        <v>#NAME?</v>
      </c>
    </row>
    <row r="885" spans="1:25">
      <c r="A885" s="1487"/>
      <c r="B885" s="1488"/>
      <c r="C885" s="1489"/>
      <c r="D885" s="1490"/>
      <c r="E885" s="1487"/>
      <c r="F885" s="1488"/>
      <c r="G885" s="1489"/>
      <c r="H885" s="1490"/>
      <c r="I885" s="1487"/>
      <c r="J885" s="1488"/>
      <c r="K885" s="1489"/>
      <c r="L885" s="1490"/>
      <c r="M885" s="1487"/>
      <c r="N885" s="1488"/>
      <c r="O885" s="1489"/>
      <c r="P885" s="1490"/>
      <c r="X885" s="1445" t="e">
        <f ca="1"/>
        <v>#NAME?</v>
      </c>
      <c r="Y885" s="1446" t="e">
        <f ca="1"/>
        <v>#NAME?</v>
      </c>
    </row>
    <row r="886" spans="1:25">
      <c r="A886" s="1487"/>
      <c r="B886" s="1488"/>
      <c r="C886" s="1489"/>
      <c r="D886" s="1490"/>
      <c r="E886" s="1487"/>
      <c r="F886" s="1488"/>
      <c r="G886" s="1489"/>
      <c r="H886" s="1490"/>
      <c r="I886" s="1487"/>
      <c r="J886" s="1488"/>
      <c r="K886" s="1489"/>
      <c r="L886" s="1490"/>
      <c r="M886" s="1487"/>
      <c r="N886" s="1488"/>
      <c r="O886" s="1489"/>
      <c r="P886" s="1490"/>
      <c r="X886" s="1445" t="e">
        <f ca="1"/>
        <v>#NAME?</v>
      </c>
      <c r="Y886" s="1446" t="e">
        <f ca="1"/>
        <v>#NAME?</v>
      </c>
    </row>
    <row r="887" spans="1:25">
      <c r="A887" s="1487"/>
      <c r="B887" s="1488"/>
      <c r="C887" s="1489"/>
      <c r="D887" s="1490"/>
      <c r="E887" s="1487"/>
      <c r="F887" s="1488"/>
      <c r="G887" s="1489"/>
      <c r="H887" s="1490"/>
      <c r="I887" s="1487"/>
      <c r="J887" s="1488"/>
      <c r="K887" s="1489"/>
      <c r="L887" s="1490"/>
      <c r="M887" s="1487"/>
      <c r="N887" s="1488"/>
      <c r="O887" s="1489"/>
      <c r="P887" s="1490"/>
      <c r="X887" s="1445" t="e">
        <f ca="1"/>
        <v>#NAME?</v>
      </c>
      <c r="Y887" s="1446" t="e">
        <f ca="1"/>
        <v>#NAME?</v>
      </c>
    </row>
    <row r="888" spans="1:25">
      <c r="A888" s="1487"/>
      <c r="B888" s="1488"/>
      <c r="C888" s="1489"/>
      <c r="D888" s="1490"/>
      <c r="E888" s="1487"/>
      <c r="F888" s="1488"/>
      <c r="G888" s="1489"/>
      <c r="H888" s="1490"/>
      <c r="I888" s="1487"/>
      <c r="J888" s="1488"/>
      <c r="K888" s="1489"/>
      <c r="L888" s="1490"/>
      <c r="M888" s="1487"/>
      <c r="N888" s="1488"/>
      <c r="O888" s="1489"/>
      <c r="P888" s="1490"/>
      <c r="X888" s="1445" t="e">
        <f ca="1"/>
        <v>#NAME?</v>
      </c>
      <c r="Y888" s="1446" t="e">
        <f ca="1"/>
        <v>#NAME?</v>
      </c>
    </row>
    <row r="889" spans="1:25">
      <c r="A889" s="1487"/>
      <c r="B889" s="1488"/>
      <c r="C889" s="1489"/>
      <c r="D889" s="1490"/>
      <c r="E889" s="1487"/>
      <c r="F889" s="1488"/>
      <c r="G889" s="1489"/>
      <c r="H889" s="1490"/>
      <c r="I889" s="1487"/>
      <c r="J889" s="1488"/>
      <c r="K889" s="1489"/>
      <c r="L889" s="1490"/>
      <c r="M889" s="1487"/>
      <c r="N889" s="1488"/>
      <c r="O889" s="1489"/>
      <c r="P889" s="1490"/>
      <c r="X889" s="1445" t="e">
        <f ca="1"/>
        <v>#NAME?</v>
      </c>
      <c r="Y889" s="1446" t="e">
        <f ca="1"/>
        <v>#NAME?</v>
      </c>
    </row>
    <row r="890" spans="1:25">
      <c r="A890" s="1487"/>
      <c r="B890" s="1488"/>
      <c r="C890" s="1489"/>
      <c r="D890" s="1490"/>
      <c r="E890" s="1487"/>
      <c r="F890" s="1488"/>
      <c r="G890" s="1489"/>
      <c r="H890" s="1490"/>
      <c r="I890" s="1487"/>
      <c r="J890" s="1488"/>
      <c r="K890" s="1489"/>
      <c r="L890" s="1490"/>
      <c r="M890" s="1487"/>
      <c r="N890" s="1488"/>
      <c r="O890" s="1489"/>
      <c r="P890" s="1490"/>
      <c r="X890" s="1445" t="e">
        <f ca="1"/>
        <v>#NAME?</v>
      </c>
      <c r="Y890" s="1446" t="e">
        <f ca="1"/>
        <v>#NAME?</v>
      </c>
    </row>
    <row r="891" spans="1:25">
      <c r="A891" s="1487"/>
      <c r="B891" s="1488"/>
      <c r="C891" s="1489"/>
      <c r="D891" s="1490"/>
      <c r="E891" s="1487"/>
      <c r="F891" s="1488"/>
      <c r="G891" s="1489"/>
      <c r="H891" s="1490"/>
      <c r="I891" s="1487"/>
      <c r="J891" s="1488"/>
      <c r="K891" s="1489"/>
      <c r="L891" s="1490"/>
      <c r="M891" s="1487"/>
      <c r="N891" s="1488"/>
      <c r="O891" s="1489"/>
      <c r="P891" s="1490"/>
      <c r="X891" s="1445" t="e">
        <f ca="1"/>
        <v>#NAME?</v>
      </c>
      <c r="Y891" s="1446" t="e">
        <f ca="1"/>
        <v>#NAME?</v>
      </c>
    </row>
    <row r="892" spans="1:25">
      <c r="A892" s="1487"/>
      <c r="B892" s="1488"/>
      <c r="C892" s="1489"/>
      <c r="D892" s="1490"/>
      <c r="E892" s="1487"/>
      <c r="F892" s="1488"/>
      <c r="G892" s="1489"/>
      <c r="H892" s="1490"/>
      <c r="I892" s="1487"/>
      <c r="J892" s="1488"/>
      <c r="K892" s="1489"/>
      <c r="L892" s="1490"/>
      <c r="M892" s="1487"/>
      <c r="N892" s="1488"/>
      <c r="O892" s="1489"/>
      <c r="P892" s="1490"/>
      <c r="X892" s="1445" t="e">
        <f ca="1"/>
        <v>#NAME?</v>
      </c>
      <c r="Y892" s="1446" t="e">
        <f ca="1"/>
        <v>#NAME?</v>
      </c>
    </row>
    <row r="893" spans="1:25">
      <c r="A893" s="1487"/>
      <c r="B893" s="1488"/>
      <c r="C893" s="1489"/>
      <c r="D893" s="1490"/>
      <c r="E893" s="1487"/>
      <c r="F893" s="1488"/>
      <c r="G893" s="1489"/>
      <c r="H893" s="1490"/>
      <c r="I893" s="1487"/>
      <c r="J893" s="1488"/>
      <c r="K893" s="1489"/>
      <c r="L893" s="1490"/>
      <c r="M893" s="1487"/>
      <c r="N893" s="1488"/>
      <c r="O893" s="1489"/>
      <c r="P893" s="1490"/>
      <c r="X893" s="1445" t="e">
        <f ca="1"/>
        <v>#NAME?</v>
      </c>
      <c r="Y893" s="1446" t="e">
        <f ca="1"/>
        <v>#NAME?</v>
      </c>
    </row>
    <row r="894" spans="1:25">
      <c r="A894" s="1487"/>
      <c r="B894" s="1488"/>
      <c r="C894" s="1489"/>
      <c r="D894" s="1490"/>
      <c r="E894" s="1487"/>
      <c r="F894" s="1488"/>
      <c r="G894" s="1489"/>
      <c r="H894" s="1490"/>
      <c r="I894" s="1487"/>
      <c r="J894" s="1488"/>
      <c r="K894" s="1489"/>
      <c r="L894" s="1490"/>
      <c r="M894" s="1487"/>
      <c r="N894" s="1488"/>
      <c r="O894" s="1489"/>
      <c r="P894" s="1490"/>
      <c r="X894" s="1445" t="e">
        <f ca="1"/>
        <v>#NAME?</v>
      </c>
      <c r="Y894" s="1446" t="e">
        <f ca="1"/>
        <v>#NAME?</v>
      </c>
    </row>
    <row r="895" spans="1:25">
      <c r="A895" s="1487"/>
      <c r="B895" s="1488"/>
      <c r="C895" s="1489"/>
      <c r="D895" s="1490"/>
      <c r="E895" s="1487"/>
      <c r="F895" s="1488"/>
      <c r="G895" s="1489"/>
      <c r="H895" s="1490"/>
      <c r="I895" s="1487"/>
      <c r="J895" s="1488"/>
      <c r="K895" s="1489"/>
      <c r="L895" s="1490"/>
      <c r="M895" s="1487"/>
      <c r="N895" s="1488"/>
      <c r="O895" s="1489"/>
      <c r="P895" s="1490"/>
      <c r="X895" s="1445" t="e">
        <f ca="1"/>
        <v>#NAME?</v>
      </c>
      <c r="Y895" s="1446" t="e">
        <f ca="1"/>
        <v>#NAME?</v>
      </c>
    </row>
    <row r="896" spans="1:25">
      <c r="A896" s="1487"/>
      <c r="B896" s="1488"/>
      <c r="C896" s="1489"/>
      <c r="D896" s="1490"/>
      <c r="E896" s="1487"/>
      <c r="F896" s="1488"/>
      <c r="G896" s="1489"/>
      <c r="H896" s="1490"/>
      <c r="I896" s="1487"/>
      <c r="J896" s="1488"/>
      <c r="K896" s="1489"/>
      <c r="L896" s="1490"/>
      <c r="M896" s="1487"/>
      <c r="N896" s="1488"/>
      <c r="O896" s="1489"/>
      <c r="P896" s="1490"/>
      <c r="X896" s="1445" t="e">
        <f ca="1"/>
        <v>#NAME?</v>
      </c>
      <c r="Y896" s="1446" t="e">
        <f ca="1"/>
        <v>#NAME?</v>
      </c>
    </row>
    <row r="897" spans="1:25">
      <c r="A897" s="1487"/>
      <c r="B897" s="1488"/>
      <c r="C897" s="1489"/>
      <c r="D897" s="1490"/>
      <c r="E897" s="1487"/>
      <c r="F897" s="1488"/>
      <c r="G897" s="1489"/>
      <c r="H897" s="1490"/>
      <c r="I897" s="1487"/>
      <c r="J897" s="1488"/>
      <c r="K897" s="1489"/>
      <c r="L897" s="1490"/>
      <c r="M897" s="1487"/>
      <c r="N897" s="1488"/>
      <c r="O897" s="1489"/>
      <c r="P897" s="1490"/>
      <c r="X897" s="1445" t="e">
        <f ca="1"/>
        <v>#NAME?</v>
      </c>
      <c r="Y897" s="1446" t="e">
        <f ca="1"/>
        <v>#NAME?</v>
      </c>
    </row>
    <row r="898" spans="1:25">
      <c r="A898" s="1487"/>
      <c r="B898" s="1488"/>
      <c r="C898" s="1489"/>
      <c r="D898" s="1490"/>
      <c r="E898" s="1487"/>
      <c r="F898" s="1488"/>
      <c r="G898" s="1489"/>
      <c r="H898" s="1490"/>
      <c r="I898" s="1487"/>
      <c r="J898" s="1488"/>
      <c r="K898" s="1489"/>
      <c r="L898" s="1490"/>
      <c r="M898" s="1487"/>
      <c r="N898" s="1488"/>
      <c r="O898" s="1489"/>
      <c r="P898" s="1490"/>
      <c r="X898" s="1445" t="e">
        <f ca="1"/>
        <v>#NAME?</v>
      </c>
      <c r="Y898" s="1446" t="e">
        <f ca="1"/>
        <v>#NAME?</v>
      </c>
    </row>
    <row r="899" spans="1:25">
      <c r="A899" s="1487"/>
      <c r="B899" s="1488"/>
      <c r="C899" s="1489"/>
      <c r="D899" s="1490"/>
      <c r="E899" s="1487"/>
      <c r="F899" s="1488"/>
      <c r="G899" s="1489"/>
      <c r="H899" s="1490"/>
      <c r="I899" s="1487"/>
      <c r="J899" s="1488"/>
      <c r="K899" s="1489"/>
      <c r="L899" s="1490"/>
      <c r="M899" s="1487"/>
      <c r="N899" s="1488"/>
      <c r="O899" s="1489"/>
      <c r="P899" s="1490"/>
      <c r="X899" s="1445" t="e">
        <f ca="1"/>
        <v>#NAME?</v>
      </c>
      <c r="Y899" s="1446" t="e">
        <f ca="1"/>
        <v>#NAME?</v>
      </c>
    </row>
    <row r="900" spans="1:25">
      <c r="A900" s="1487"/>
      <c r="B900" s="1488"/>
      <c r="C900" s="1489"/>
      <c r="D900" s="1490"/>
      <c r="E900" s="1487"/>
      <c r="F900" s="1488"/>
      <c r="G900" s="1489"/>
      <c r="H900" s="1490"/>
      <c r="I900" s="1487"/>
      <c r="J900" s="1488"/>
      <c r="K900" s="1489"/>
      <c r="L900" s="1490"/>
      <c r="M900" s="1487"/>
      <c r="N900" s="1488"/>
      <c r="O900" s="1489"/>
      <c r="P900" s="1490"/>
      <c r="X900" s="1445" t="e">
        <f ca="1"/>
        <v>#NAME?</v>
      </c>
      <c r="Y900" s="1446" t="e">
        <f ca="1"/>
        <v>#NAME?</v>
      </c>
    </row>
    <row r="901" spans="1:25">
      <c r="A901" s="1487"/>
      <c r="B901" s="1488"/>
      <c r="C901" s="1489"/>
      <c r="D901" s="1490"/>
      <c r="E901" s="1487"/>
      <c r="F901" s="1488"/>
      <c r="G901" s="1489"/>
      <c r="H901" s="1490"/>
      <c r="I901" s="1487"/>
      <c r="J901" s="1488"/>
      <c r="K901" s="1489"/>
      <c r="L901" s="1490"/>
      <c r="M901" s="1487"/>
      <c r="N901" s="1488"/>
      <c r="O901" s="1489"/>
      <c r="P901" s="1490"/>
      <c r="X901" s="1445" t="e">
        <f ca="1"/>
        <v>#NAME?</v>
      </c>
      <c r="Y901" s="1446" t="e">
        <f ca="1"/>
        <v>#NAME?</v>
      </c>
    </row>
    <row r="902" spans="1:25">
      <c r="A902" s="1487"/>
      <c r="B902" s="1488"/>
      <c r="C902" s="1489"/>
      <c r="D902" s="1490"/>
      <c r="E902" s="1487"/>
      <c r="F902" s="1488"/>
      <c r="G902" s="1489"/>
      <c r="H902" s="1490"/>
      <c r="I902" s="1487"/>
      <c r="J902" s="1488"/>
      <c r="K902" s="1489"/>
      <c r="L902" s="1490"/>
      <c r="M902" s="1487"/>
      <c r="N902" s="1488"/>
      <c r="O902" s="1489"/>
      <c r="P902" s="1490"/>
      <c r="X902" s="1445" t="e">
        <f ca="1"/>
        <v>#NAME?</v>
      </c>
      <c r="Y902" s="1446" t="e">
        <f ca="1"/>
        <v>#NAME?</v>
      </c>
    </row>
    <row r="903" spans="1:25">
      <c r="A903" s="1487"/>
      <c r="B903" s="1488"/>
      <c r="C903" s="1489"/>
      <c r="D903" s="1490"/>
      <c r="E903" s="1487"/>
      <c r="F903" s="1488"/>
      <c r="G903" s="1489"/>
      <c r="H903" s="1490"/>
      <c r="I903" s="1487"/>
      <c r="J903" s="1488"/>
      <c r="K903" s="1489"/>
      <c r="L903" s="1490"/>
      <c r="M903" s="1487"/>
      <c r="N903" s="1488"/>
      <c r="O903" s="1489"/>
      <c r="P903" s="1490"/>
      <c r="X903" s="1445" t="e">
        <f ca="1"/>
        <v>#NAME?</v>
      </c>
      <c r="Y903" s="1446" t="e">
        <f ca="1"/>
        <v>#NAME?</v>
      </c>
    </row>
    <row r="904" spans="1:25">
      <c r="A904" s="1487"/>
      <c r="B904" s="1488"/>
      <c r="C904" s="1489"/>
      <c r="D904" s="1490"/>
      <c r="E904" s="1487"/>
      <c r="F904" s="1488"/>
      <c r="G904" s="1489"/>
      <c r="H904" s="1490"/>
      <c r="I904" s="1487"/>
      <c r="J904" s="1488"/>
      <c r="K904" s="1489"/>
      <c r="L904" s="1490"/>
      <c r="M904" s="1487"/>
      <c r="N904" s="1488"/>
      <c r="O904" s="1489"/>
      <c r="P904" s="1490"/>
      <c r="X904" s="1445" t="e">
        <f ca="1"/>
        <v>#NAME?</v>
      </c>
      <c r="Y904" s="1446" t="e">
        <f ca="1"/>
        <v>#NAME?</v>
      </c>
    </row>
    <row r="905" spans="1:25">
      <c r="A905" s="1487"/>
      <c r="B905" s="1488"/>
      <c r="C905" s="1489"/>
      <c r="D905" s="1490"/>
      <c r="E905" s="1487"/>
      <c r="F905" s="1488"/>
      <c r="G905" s="1489"/>
      <c r="H905" s="1490"/>
      <c r="I905" s="1487"/>
      <c r="J905" s="1488"/>
      <c r="K905" s="1489"/>
      <c r="L905" s="1490"/>
      <c r="M905" s="1487"/>
      <c r="N905" s="1488"/>
      <c r="O905" s="1489"/>
      <c r="P905" s="1490"/>
      <c r="X905" s="1445" t="e">
        <f ca="1"/>
        <v>#NAME?</v>
      </c>
      <c r="Y905" s="1446" t="e">
        <f ca="1"/>
        <v>#NAME?</v>
      </c>
    </row>
    <row r="906" spans="1:25">
      <c r="A906" s="1487"/>
      <c r="B906" s="1488"/>
      <c r="C906" s="1489"/>
      <c r="D906" s="1490"/>
      <c r="E906" s="1487"/>
      <c r="F906" s="1488"/>
      <c r="G906" s="1489"/>
      <c r="H906" s="1490"/>
      <c r="I906" s="1487"/>
      <c r="J906" s="1488"/>
      <c r="K906" s="1489"/>
      <c r="L906" s="1490"/>
      <c r="M906" s="1487"/>
      <c r="N906" s="1488"/>
      <c r="O906" s="1489"/>
      <c r="P906" s="1490"/>
      <c r="X906" s="1445" t="e">
        <f ca="1"/>
        <v>#NAME?</v>
      </c>
      <c r="Y906" s="1446" t="e">
        <f ca="1"/>
        <v>#NAME?</v>
      </c>
    </row>
    <row r="907" spans="1:25">
      <c r="A907" s="1487"/>
      <c r="B907" s="1488"/>
      <c r="C907" s="1489"/>
      <c r="D907" s="1490"/>
      <c r="E907" s="1487"/>
      <c r="F907" s="1488"/>
      <c r="G907" s="1489"/>
      <c r="H907" s="1490"/>
      <c r="I907" s="1487"/>
      <c r="J907" s="1488"/>
      <c r="K907" s="1489"/>
      <c r="L907" s="1490"/>
      <c r="M907" s="1487"/>
      <c r="N907" s="1488"/>
      <c r="O907" s="1489"/>
      <c r="P907" s="1490"/>
      <c r="X907" s="1445" t="e">
        <f ca="1"/>
        <v>#NAME?</v>
      </c>
      <c r="Y907" s="1446" t="e">
        <f ca="1"/>
        <v>#NAME?</v>
      </c>
    </row>
    <row r="908" spans="1:25">
      <c r="A908" s="1487"/>
      <c r="B908" s="1488"/>
      <c r="C908" s="1489"/>
      <c r="D908" s="1490"/>
      <c r="E908" s="1487"/>
      <c r="F908" s="1488"/>
      <c r="G908" s="1489"/>
      <c r="H908" s="1490"/>
      <c r="I908" s="1487"/>
      <c r="J908" s="1488"/>
      <c r="K908" s="1489"/>
      <c r="L908" s="1490"/>
      <c r="M908" s="1487"/>
      <c r="N908" s="1488"/>
      <c r="O908" s="1489"/>
      <c r="P908" s="1490"/>
      <c r="X908" s="1445" t="e">
        <f ca="1"/>
        <v>#NAME?</v>
      </c>
      <c r="Y908" s="1446" t="e">
        <f ca="1"/>
        <v>#NAME?</v>
      </c>
    </row>
    <row r="909" spans="1:25">
      <c r="A909" s="1487"/>
      <c r="B909" s="1488"/>
      <c r="C909" s="1489"/>
      <c r="D909" s="1490"/>
      <c r="E909" s="1487"/>
      <c r="F909" s="1488"/>
      <c r="G909" s="1489"/>
      <c r="H909" s="1490"/>
      <c r="I909" s="1487"/>
      <c r="J909" s="1488"/>
      <c r="K909" s="1489"/>
      <c r="L909" s="1490"/>
      <c r="M909" s="1487"/>
      <c r="N909" s="1488"/>
      <c r="O909" s="1489"/>
      <c r="P909" s="1490"/>
      <c r="X909" s="1445" t="e">
        <f ca="1"/>
        <v>#NAME?</v>
      </c>
      <c r="Y909" s="1446" t="e">
        <f ca="1"/>
        <v>#NAME?</v>
      </c>
    </row>
    <row r="910" spans="1:25">
      <c r="A910" s="1487"/>
      <c r="B910" s="1488"/>
      <c r="C910" s="1489"/>
      <c r="D910" s="1490"/>
      <c r="E910" s="1487"/>
      <c r="F910" s="1488"/>
      <c r="G910" s="1489"/>
      <c r="H910" s="1490"/>
      <c r="I910" s="1487"/>
      <c r="J910" s="1488"/>
      <c r="K910" s="1489"/>
      <c r="L910" s="1490"/>
      <c r="M910" s="1487"/>
      <c r="N910" s="1488"/>
      <c r="O910" s="1489"/>
      <c r="P910" s="1490"/>
      <c r="X910" s="1445" t="e">
        <f ca="1"/>
        <v>#NAME?</v>
      </c>
      <c r="Y910" s="1446" t="e">
        <f ca="1"/>
        <v>#NAME?</v>
      </c>
    </row>
    <row r="911" spans="1:25">
      <c r="A911" s="1487"/>
      <c r="B911" s="1488"/>
      <c r="C911" s="1489"/>
      <c r="D911" s="1490"/>
      <c r="E911" s="1487"/>
      <c r="F911" s="1488"/>
      <c r="G911" s="1489"/>
      <c r="H911" s="1490"/>
      <c r="I911" s="1487"/>
      <c r="J911" s="1488"/>
      <c r="K911" s="1489"/>
      <c r="L911" s="1490"/>
      <c r="M911" s="1487"/>
      <c r="N911" s="1488"/>
      <c r="O911" s="1489"/>
      <c r="P911" s="1490"/>
      <c r="X911" s="1445" t="e">
        <f ca="1"/>
        <v>#NAME?</v>
      </c>
      <c r="Y911" s="1446" t="e">
        <f ca="1"/>
        <v>#NAME?</v>
      </c>
    </row>
    <row r="912" spans="1:25">
      <c r="A912" s="1487"/>
      <c r="B912" s="1488"/>
      <c r="C912" s="1489"/>
      <c r="D912" s="1490"/>
      <c r="E912" s="1487"/>
      <c r="F912" s="1488"/>
      <c r="G912" s="1489"/>
      <c r="H912" s="1490"/>
      <c r="I912" s="1487"/>
      <c r="J912" s="1488"/>
      <c r="K912" s="1489"/>
      <c r="L912" s="1490"/>
      <c r="M912" s="1487"/>
      <c r="N912" s="1488"/>
      <c r="O912" s="1489"/>
      <c r="P912" s="1490"/>
      <c r="X912" s="1445" t="e">
        <f ca="1"/>
        <v>#NAME?</v>
      </c>
      <c r="Y912" s="1446" t="e">
        <f ca="1"/>
        <v>#NAME?</v>
      </c>
    </row>
    <row r="913" spans="1:25">
      <c r="A913" s="1487"/>
      <c r="B913" s="1488"/>
      <c r="C913" s="1489"/>
      <c r="D913" s="1490"/>
      <c r="E913" s="1487"/>
      <c r="F913" s="1488"/>
      <c r="G913" s="1489"/>
      <c r="H913" s="1490"/>
      <c r="I913" s="1487"/>
      <c r="J913" s="1488"/>
      <c r="K913" s="1489"/>
      <c r="L913" s="1490"/>
      <c r="M913" s="1487"/>
      <c r="N913" s="1488"/>
      <c r="O913" s="1489"/>
      <c r="P913" s="1490"/>
      <c r="X913" s="1445" t="e">
        <f ca="1"/>
        <v>#NAME?</v>
      </c>
      <c r="Y913" s="1446" t="e">
        <f ca="1"/>
        <v>#NAME?</v>
      </c>
    </row>
    <row r="914" spans="1:25">
      <c r="A914" s="1487"/>
      <c r="B914" s="1488"/>
      <c r="C914" s="1489"/>
      <c r="D914" s="1490"/>
      <c r="E914" s="1487"/>
      <c r="F914" s="1488"/>
      <c r="G914" s="1489"/>
      <c r="H914" s="1490"/>
      <c r="I914" s="1487"/>
      <c r="J914" s="1488"/>
      <c r="K914" s="1489"/>
      <c r="L914" s="1490"/>
      <c r="M914" s="1487"/>
      <c r="N914" s="1488"/>
      <c r="O914" s="1489"/>
      <c r="P914" s="1490"/>
      <c r="X914" s="1445" t="e">
        <f ca="1"/>
        <v>#NAME?</v>
      </c>
      <c r="Y914" s="1446" t="e">
        <f ca="1"/>
        <v>#NAME?</v>
      </c>
    </row>
    <row r="915" spans="1:25">
      <c r="A915" s="1487"/>
      <c r="B915" s="1488"/>
      <c r="C915" s="1489"/>
      <c r="D915" s="1490"/>
      <c r="E915" s="1487"/>
      <c r="F915" s="1488"/>
      <c r="G915" s="1489"/>
      <c r="H915" s="1490"/>
      <c r="I915" s="1487"/>
      <c r="J915" s="1488"/>
      <c r="K915" s="1489"/>
      <c r="L915" s="1490"/>
      <c r="M915" s="1487"/>
      <c r="N915" s="1488"/>
      <c r="O915" s="1489"/>
      <c r="P915" s="1490"/>
      <c r="X915" s="1445" t="e">
        <f ca="1"/>
        <v>#NAME?</v>
      </c>
      <c r="Y915" s="1446" t="e">
        <f ca="1"/>
        <v>#NAME?</v>
      </c>
    </row>
    <row r="916" spans="1:25">
      <c r="A916" s="1487"/>
      <c r="B916" s="1488"/>
      <c r="C916" s="1489"/>
      <c r="D916" s="1490"/>
      <c r="E916" s="1487"/>
      <c r="F916" s="1488"/>
      <c r="G916" s="1489"/>
      <c r="H916" s="1490"/>
      <c r="I916" s="1487"/>
      <c r="J916" s="1488"/>
      <c r="K916" s="1489"/>
      <c r="L916" s="1490"/>
      <c r="M916" s="1487"/>
      <c r="N916" s="1488"/>
      <c r="O916" s="1489"/>
      <c r="P916" s="1490"/>
      <c r="X916" s="1445" t="e">
        <f ca="1"/>
        <v>#NAME?</v>
      </c>
      <c r="Y916" s="1446" t="e">
        <f ca="1"/>
        <v>#NAME?</v>
      </c>
    </row>
    <row r="917" spans="1:25">
      <c r="A917" s="1487"/>
      <c r="B917" s="1488"/>
      <c r="C917" s="1489"/>
      <c r="D917" s="1490"/>
      <c r="E917" s="1487"/>
      <c r="F917" s="1488"/>
      <c r="G917" s="1489"/>
      <c r="H917" s="1490"/>
      <c r="I917" s="1487"/>
      <c r="J917" s="1488"/>
      <c r="K917" s="1489"/>
      <c r="L917" s="1490"/>
      <c r="M917" s="1487"/>
      <c r="N917" s="1488"/>
      <c r="O917" s="1489"/>
      <c r="P917" s="1490"/>
      <c r="X917" s="1445" t="e">
        <f ca="1"/>
        <v>#NAME?</v>
      </c>
      <c r="Y917" s="1446" t="e">
        <f ca="1"/>
        <v>#NAME?</v>
      </c>
    </row>
    <row r="918" spans="1:25">
      <c r="A918" s="1487"/>
      <c r="B918" s="1488"/>
      <c r="C918" s="1489"/>
      <c r="D918" s="1490"/>
      <c r="E918" s="1487"/>
      <c r="F918" s="1488"/>
      <c r="G918" s="1489"/>
      <c r="H918" s="1490"/>
      <c r="I918" s="1487"/>
      <c r="J918" s="1488"/>
      <c r="K918" s="1489"/>
      <c r="L918" s="1490"/>
      <c r="M918" s="1487"/>
      <c r="N918" s="1488"/>
      <c r="O918" s="1489"/>
      <c r="P918" s="1490"/>
      <c r="X918" s="1445" t="e">
        <f ca="1"/>
        <v>#NAME?</v>
      </c>
      <c r="Y918" s="1446" t="e">
        <f ca="1"/>
        <v>#NAME?</v>
      </c>
    </row>
    <row r="919" spans="1:25">
      <c r="A919" s="1487"/>
      <c r="B919" s="1488"/>
      <c r="C919" s="1489"/>
      <c r="D919" s="1490"/>
      <c r="E919" s="1487"/>
      <c r="F919" s="1488"/>
      <c r="G919" s="1489"/>
      <c r="H919" s="1490"/>
      <c r="I919" s="1487"/>
      <c r="J919" s="1488"/>
      <c r="K919" s="1489"/>
      <c r="L919" s="1490"/>
      <c r="M919" s="1487"/>
      <c r="N919" s="1488"/>
      <c r="O919" s="1489"/>
      <c r="P919" s="1490"/>
      <c r="X919" s="1445" t="e">
        <f ca="1"/>
        <v>#NAME?</v>
      </c>
      <c r="Y919" s="1446" t="e">
        <f ca="1"/>
        <v>#NAME?</v>
      </c>
    </row>
    <row r="920" spans="1:25">
      <c r="A920" s="1487"/>
      <c r="B920" s="1488"/>
      <c r="C920" s="1489"/>
      <c r="D920" s="1490"/>
      <c r="E920" s="1487"/>
      <c r="F920" s="1488"/>
      <c r="G920" s="1489"/>
      <c r="H920" s="1490"/>
      <c r="I920" s="1487"/>
      <c r="J920" s="1488"/>
      <c r="K920" s="1489"/>
      <c r="L920" s="1490"/>
      <c r="M920" s="1487"/>
      <c r="N920" s="1488"/>
      <c r="O920" s="1489"/>
      <c r="P920" s="1490"/>
      <c r="X920" s="1445" t="e">
        <f ca="1"/>
        <v>#NAME?</v>
      </c>
      <c r="Y920" s="1446" t="e">
        <f ca="1"/>
        <v>#NAME?</v>
      </c>
    </row>
    <row r="921" spans="1:25">
      <c r="A921" s="1487"/>
      <c r="B921" s="1488"/>
      <c r="C921" s="1489"/>
      <c r="D921" s="1490"/>
      <c r="E921" s="1487"/>
      <c r="F921" s="1488"/>
      <c r="G921" s="1489"/>
      <c r="H921" s="1490"/>
      <c r="I921" s="1487"/>
      <c r="J921" s="1488"/>
      <c r="K921" s="1489"/>
      <c r="L921" s="1490"/>
      <c r="M921" s="1487"/>
      <c r="N921" s="1488"/>
      <c r="O921" s="1489"/>
      <c r="P921" s="1490"/>
      <c r="X921" s="1445" t="e">
        <f ca="1"/>
        <v>#NAME?</v>
      </c>
      <c r="Y921" s="1446" t="e">
        <f ca="1"/>
        <v>#NAME?</v>
      </c>
    </row>
    <row r="922" spans="1:25">
      <c r="A922" s="1487"/>
      <c r="B922" s="1488"/>
      <c r="C922" s="1489"/>
      <c r="D922" s="1490"/>
      <c r="E922" s="1487"/>
      <c r="F922" s="1488"/>
      <c r="G922" s="1489"/>
      <c r="H922" s="1490"/>
      <c r="I922" s="1487"/>
      <c r="J922" s="1488"/>
      <c r="K922" s="1489"/>
      <c r="L922" s="1490"/>
      <c r="M922" s="1487"/>
      <c r="N922" s="1488"/>
      <c r="O922" s="1489"/>
      <c r="P922" s="1490"/>
      <c r="X922" s="1445" t="e">
        <f ca="1"/>
        <v>#NAME?</v>
      </c>
      <c r="Y922" s="1446" t="e">
        <f ca="1"/>
        <v>#NAME?</v>
      </c>
    </row>
    <row r="923" spans="1:25">
      <c r="A923" s="1487"/>
      <c r="B923" s="1488"/>
      <c r="C923" s="1489"/>
      <c r="D923" s="1490"/>
      <c r="E923" s="1487"/>
      <c r="F923" s="1488"/>
      <c r="G923" s="1489"/>
      <c r="H923" s="1490"/>
      <c r="I923" s="1487"/>
      <c r="J923" s="1488"/>
      <c r="K923" s="1489"/>
      <c r="L923" s="1490"/>
      <c r="M923" s="1487"/>
      <c r="N923" s="1488"/>
      <c r="O923" s="1489"/>
      <c r="P923" s="1490"/>
      <c r="X923" s="1445" t="e">
        <f ca="1"/>
        <v>#NAME?</v>
      </c>
      <c r="Y923" s="1446" t="e">
        <f ca="1"/>
        <v>#NAME?</v>
      </c>
    </row>
    <row r="924" spans="1:25">
      <c r="A924" s="1487"/>
      <c r="B924" s="1488"/>
      <c r="C924" s="1489"/>
      <c r="D924" s="1490"/>
      <c r="E924" s="1487"/>
      <c r="F924" s="1488"/>
      <c r="G924" s="1489"/>
      <c r="H924" s="1490"/>
      <c r="I924" s="1487"/>
      <c r="J924" s="1488"/>
      <c r="K924" s="1489"/>
      <c r="L924" s="1490"/>
      <c r="M924" s="1487"/>
      <c r="N924" s="1488"/>
      <c r="O924" s="1489"/>
      <c r="P924" s="1490"/>
      <c r="X924" s="1445" t="e">
        <f ca="1"/>
        <v>#NAME?</v>
      </c>
      <c r="Y924" s="1446" t="e">
        <f ca="1"/>
        <v>#NAME?</v>
      </c>
    </row>
    <row r="925" spans="1:25">
      <c r="A925" s="1487"/>
      <c r="B925" s="1488"/>
      <c r="C925" s="1489"/>
      <c r="D925" s="1490"/>
      <c r="E925" s="1487"/>
      <c r="F925" s="1488"/>
      <c r="G925" s="1489"/>
      <c r="H925" s="1490"/>
      <c r="I925" s="1487"/>
      <c r="J925" s="1488"/>
      <c r="K925" s="1489"/>
      <c r="L925" s="1490"/>
      <c r="M925" s="1487"/>
      <c r="N925" s="1488"/>
      <c r="O925" s="1489"/>
      <c r="P925" s="1490"/>
      <c r="X925" s="1445" t="e">
        <f ca="1"/>
        <v>#NAME?</v>
      </c>
      <c r="Y925" s="1446" t="e">
        <f ca="1"/>
        <v>#NAME?</v>
      </c>
    </row>
    <row r="926" spans="1:25">
      <c r="A926" s="1487"/>
      <c r="B926" s="1488"/>
      <c r="C926" s="1489"/>
      <c r="D926" s="1490"/>
      <c r="E926" s="1487"/>
      <c r="F926" s="1488"/>
      <c r="G926" s="1489"/>
      <c r="H926" s="1490"/>
      <c r="I926" s="1487"/>
      <c r="J926" s="1488"/>
      <c r="K926" s="1489"/>
      <c r="L926" s="1490"/>
      <c r="M926" s="1487"/>
      <c r="N926" s="1488"/>
      <c r="O926" s="1489"/>
      <c r="P926" s="1490"/>
      <c r="X926" s="1445" t="e">
        <f ca="1"/>
        <v>#NAME?</v>
      </c>
      <c r="Y926" s="1446" t="e">
        <f ca="1"/>
        <v>#NAME?</v>
      </c>
    </row>
    <row r="927" spans="1:25">
      <c r="A927" s="1487"/>
      <c r="B927" s="1488"/>
      <c r="C927" s="1489"/>
      <c r="D927" s="1490"/>
      <c r="E927" s="1487"/>
      <c r="F927" s="1488"/>
      <c r="G927" s="1489"/>
      <c r="H927" s="1490"/>
      <c r="I927" s="1487"/>
      <c r="J927" s="1488"/>
      <c r="K927" s="1489"/>
      <c r="L927" s="1490"/>
      <c r="M927" s="1487"/>
      <c r="N927" s="1488"/>
      <c r="O927" s="1489"/>
      <c r="P927" s="1490"/>
      <c r="X927" s="1445" t="e">
        <f ca="1"/>
        <v>#NAME?</v>
      </c>
      <c r="Y927" s="1446" t="e">
        <f ca="1"/>
        <v>#NAME?</v>
      </c>
    </row>
    <row r="928" spans="1:25">
      <c r="A928" s="1487"/>
      <c r="B928" s="1488"/>
      <c r="C928" s="1489"/>
      <c r="D928" s="1490"/>
      <c r="E928" s="1487"/>
      <c r="F928" s="1488"/>
      <c r="G928" s="1489"/>
      <c r="H928" s="1490"/>
      <c r="I928" s="1487"/>
      <c r="J928" s="1488"/>
      <c r="K928" s="1489"/>
      <c r="L928" s="1490"/>
      <c r="M928" s="1487"/>
      <c r="N928" s="1488"/>
      <c r="O928" s="1489"/>
      <c r="P928" s="1490"/>
      <c r="X928" s="1445" t="e">
        <f ca="1"/>
        <v>#NAME?</v>
      </c>
      <c r="Y928" s="1446" t="e">
        <f ca="1"/>
        <v>#NAME?</v>
      </c>
    </row>
    <row r="929" spans="1:25">
      <c r="A929" s="1487"/>
      <c r="B929" s="1488"/>
      <c r="C929" s="1489"/>
      <c r="D929" s="1490"/>
      <c r="E929" s="1487"/>
      <c r="F929" s="1488"/>
      <c r="G929" s="1489"/>
      <c r="H929" s="1490"/>
      <c r="I929" s="1487"/>
      <c r="J929" s="1488"/>
      <c r="K929" s="1489"/>
      <c r="L929" s="1490"/>
      <c r="M929" s="1487"/>
      <c r="N929" s="1488"/>
      <c r="O929" s="1489"/>
      <c r="P929" s="1490"/>
      <c r="X929" s="1445" t="e">
        <f ca="1"/>
        <v>#NAME?</v>
      </c>
      <c r="Y929" s="1446" t="e">
        <f ca="1"/>
        <v>#NAME?</v>
      </c>
    </row>
    <row r="930" spans="1:25">
      <c r="A930" s="1487"/>
      <c r="B930" s="1488"/>
      <c r="C930" s="1489"/>
      <c r="D930" s="1490"/>
      <c r="E930" s="1487"/>
      <c r="F930" s="1488"/>
      <c r="G930" s="1489"/>
      <c r="H930" s="1490"/>
      <c r="I930" s="1487"/>
      <c r="J930" s="1488"/>
      <c r="K930" s="1489"/>
      <c r="L930" s="1490"/>
      <c r="M930" s="1487"/>
      <c r="N930" s="1488"/>
      <c r="O930" s="1489"/>
      <c r="P930" s="1490"/>
      <c r="X930" s="1445" t="e">
        <f ca="1"/>
        <v>#NAME?</v>
      </c>
      <c r="Y930" s="1446" t="e">
        <f ca="1"/>
        <v>#NAME?</v>
      </c>
    </row>
    <row r="931" spans="1:25">
      <c r="A931" s="1487"/>
      <c r="B931" s="1488"/>
      <c r="C931" s="1489"/>
      <c r="D931" s="1490"/>
      <c r="E931" s="1487"/>
      <c r="F931" s="1488"/>
      <c r="G931" s="1489"/>
      <c r="H931" s="1490"/>
      <c r="I931" s="1487"/>
      <c r="J931" s="1488"/>
      <c r="K931" s="1489"/>
      <c r="L931" s="1490"/>
      <c r="M931" s="1487"/>
      <c r="N931" s="1488"/>
      <c r="O931" s="1489"/>
      <c r="P931" s="1490"/>
      <c r="X931" s="1445" t="e">
        <f ca="1"/>
        <v>#NAME?</v>
      </c>
      <c r="Y931" s="1446" t="e">
        <f ca="1"/>
        <v>#NAME?</v>
      </c>
    </row>
    <row r="932" spans="1:25">
      <c r="A932" s="1487"/>
      <c r="B932" s="1488"/>
      <c r="C932" s="1489"/>
      <c r="D932" s="1490"/>
      <c r="E932" s="1487"/>
      <c r="F932" s="1488"/>
      <c r="G932" s="1489"/>
      <c r="H932" s="1490"/>
      <c r="I932" s="1487"/>
      <c r="J932" s="1488"/>
      <c r="K932" s="1489"/>
      <c r="L932" s="1490"/>
      <c r="M932" s="1487"/>
      <c r="N932" s="1488"/>
      <c r="O932" s="1489"/>
      <c r="P932" s="1490"/>
      <c r="X932" s="1445" t="e">
        <f ca="1"/>
        <v>#NAME?</v>
      </c>
      <c r="Y932" s="1446" t="e">
        <f ca="1"/>
        <v>#NAME?</v>
      </c>
    </row>
    <row r="933" spans="1:25">
      <c r="A933" s="1487"/>
      <c r="B933" s="1488"/>
      <c r="C933" s="1489"/>
      <c r="D933" s="1490"/>
      <c r="E933" s="1487"/>
      <c r="F933" s="1488"/>
      <c r="G933" s="1489"/>
      <c r="H933" s="1490"/>
      <c r="I933" s="1487"/>
      <c r="J933" s="1488"/>
      <c r="K933" s="1489"/>
      <c r="L933" s="1490"/>
      <c r="M933" s="1487"/>
      <c r="N933" s="1488"/>
      <c r="O933" s="1489"/>
      <c r="P933" s="1490"/>
      <c r="X933" s="1445" t="e">
        <f ca="1"/>
        <v>#NAME?</v>
      </c>
      <c r="Y933" s="1446" t="e">
        <f ca="1"/>
        <v>#NAME?</v>
      </c>
    </row>
    <row r="934" spans="1:25">
      <c r="A934" s="1487"/>
      <c r="B934" s="1488"/>
      <c r="C934" s="1489"/>
      <c r="D934" s="1490"/>
      <c r="E934" s="1487"/>
      <c r="F934" s="1488"/>
      <c r="G934" s="1489"/>
      <c r="H934" s="1490"/>
      <c r="I934" s="1487"/>
      <c r="J934" s="1488"/>
      <c r="K934" s="1489"/>
      <c r="L934" s="1490"/>
      <c r="M934" s="1487"/>
      <c r="N934" s="1488"/>
      <c r="O934" s="1489"/>
      <c r="P934" s="1490"/>
      <c r="X934" s="1445" t="e">
        <f ca="1"/>
        <v>#NAME?</v>
      </c>
      <c r="Y934" s="1446" t="e">
        <f ca="1"/>
        <v>#NAME?</v>
      </c>
    </row>
    <row r="935" spans="1:25">
      <c r="A935" s="1487"/>
      <c r="B935" s="1488"/>
      <c r="C935" s="1489"/>
      <c r="D935" s="1490"/>
      <c r="E935" s="1487"/>
      <c r="F935" s="1488"/>
      <c r="G935" s="1489"/>
      <c r="H935" s="1490"/>
      <c r="I935" s="1487"/>
      <c r="J935" s="1488"/>
      <c r="K935" s="1489"/>
      <c r="L935" s="1490"/>
      <c r="M935" s="1487"/>
      <c r="N935" s="1488"/>
      <c r="O935" s="1489"/>
      <c r="P935" s="1490"/>
      <c r="X935" s="1445" t="e">
        <f ca="1"/>
        <v>#NAME?</v>
      </c>
      <c r="Y935" s="1446" t="e">
        <f ca="1"/>
        <v>#NAME?</v>
      </c>
    </row>
    <row r="936" spans="1:25">
      <c r="A936" s="1487"/>
      <c r="B936" s="1488"/>
      <c r="C936" s="1489"/>
      <c r="D936" s="1490"/>
      <c r="E936" s="1487"/>
      <c r="F936" s="1488"/>
      <c r="G936" s="1489"/>
      <c r="H936" s="1490"/>
      <c r="I936" s="1487"/>
      <c r="J936" s="1488"/>
      <c r="K936" s="1489"/>
      <c r="L936" s="1490"/>
      <c r="M936" s="1487"/>
      <c r="N936" s="1488"/>
      <c r="O936" s="1489"/>
      <c r="P936" s="1490"/>
      <c r="X936" s="1445" t="e">
        <f ca="1"/>
        <v>#NAME?</v>
      </c>
      <c r="Y936" s="1446" t="e">
        <f ca="1"/>
        <v>#NAME?</v>
      </c>
    </row>
    <row r="937" spans="1:25">
      <c r="A937" s="1487"/>
      <c r="B937" s="1488"/>
      <c r="C937" s="1489"/>
      <c r="D937" s="1490"/>
      <c r="E937" s="1487"/>
      <c r="F937" s="1488"/>
      <c r="G937" s="1489"/>
      <c r="H937" s="1490"/>
      <c r="I937" s="1487"/>
      <c r="J937" s="1488"/>
      <c r="K937" s="1489"/>
      <c r="L937" s="1490"/>
      <c r="M937" s="1487"/>
      <c r="N937" s="1488"/>
      <c r="O937" s="1489"/>
      <c r="P937" s="1490"/>
      <c r="X937" s="1445" t="e">
        <f ca="1"/>
        <v>#NAME?</v>
      </c>
      <c r="Y937" s="1446" t="e">
        <f ca="1"/>
        <v>#NAME?</v>
      </c>
    </row>
    <row r="938" spans="1:25">
      <c r="A938" s="1487"/>
      <c r="B938" s="1488"/>
      <c r="C938" s="1489"/>
      <c r="D938" s="1490"/>
      <c r="E938" s="1487"/>
      <c r="F938" s="1488"/>
      <c r="G938" s="1489"/>
      <c r="H938" s="1490"/>
      <c r="I938" s="1487"/>
      <c r="J938" s="1488"/>
      <c r="K938" s="1489"/>
      <c r="L938" s="1490"/>
      <c r="M938" s="1487"/>
      <c r="N938" s="1488"/>
      <c r="O938" s="1489"/>
      <c r="P938" s="1490"/>
      <c r="X938" s="1445" t="e">
        <f ca="1"/>
        <v>#NAME?</v>
      </c>
      <c r="Y938" s="1446" t="e">
        <f ca="1"/>
        <v>#NAME?</v>
      </c>
    </row>
    <row r="939" spans="1:25">
      <c r="A939" s="1487"/>
      <c r="B939" s="1488"/>
      <c r="C939" s="1489"/>
      <c r="D939" s="1490"/>
      <c r="E939" s="1487"/>
      <c r="F939" s="1488"/>
      <c r="G939" s="1489"/>
      <c r="H939" s="1490"/>
      <c r="I939" s="1487"/>
      <c r="J939" s="1488"/>
      <c r="K939" s="1489"/>
      <c r="L939" s="1490"/>
      <c r="M939" s="1487"/>
      <c r="N939" s="1488"/>
      <c r="O939" s="1489"/>
      <c r="P939" s="1490"/>
      <c r="X939" s="1445" t="e">
        <f ca="1"/>
        <v>#NAME?</v>
      </c>
      <c r="Y939" s="1446" t="e">
        <f ca="1"/>
        <v>#NAME?</v>
      </c>
    </row>
    <row r="940" spans="1:25">
      <c r="A940" s="1487"/>
      <c r="B940" s="1488"/>
      <c r="C940" s="1489"/>
      <c r="D940" s="1490"/>
      <c r="E940" s="1487"/>
      <c r="F940" s="1488"/>
      <c r="G940" s="1489"/>
      <c r="H940" s="1490"/>
      <c r="I940" s="1487"/>
      <c r="J940" s="1488"/>
      <c r="K940" s="1489"/>
      <c r="L940" s="1490"/>
      <c r="M940" s="1487"/>
      <c r="N940" s="1488"/>
      <c r="O940" s="1489"/>
      <c r="P940" s="1490"/>
      <c r="X940" s="1445" t="e">
        <f ca="1"/>
        <v>#NAME?</v>
      </c>
      <c r="Y940" s="1446" t="e">
        <f ca="1"/>
        <v>#NAME?</v>
      </c>
    </row>
    <row r="941" spans="1:25">
      <c r="A941" s="1487"/>
      <c r="B941" s="1488"/>
      <c r="C941" s="1489"/>
      <c r="D941" s="1490"/>
      <c r="E941" s="1487"/>
      <c r="F941" s="1488"/>
      <c r="G941" s="1489"/>
      <c r="H941" s="1490"/>
      <c r="I941" s="1487"/>
      <c r="J941" s="1488"/>
      <c r="K941" s="1489"/>
      <c r="L941" s="1490"/>
      <c r="M941" s="1487"/>
      <c r="N941" s="1488"/>
      <c r="O941" s="1489"/>
      <c r="P941" s="1490"/>
      <c r="X941" s="1445" t="e">
        <f ca="1"/>
        <v>#NAME?</v>
      </c>
      <c r="Y941" s="1446" t="e">
        <f ca="1"/>
        <v>#NAME?</v>
      </c>
    </row>
    <row r="942" spans="1:25">
      <c r="A942" s="1487"/>
      <c r="B942" s="1488"/>
      <c r="C942" s="1489"/>
      <c r="D942" s="1490"/>
      <c r="E942" s="1487"/>
      <c r="F942" s="1488"/>
      <c r="G942" s="1489"/>
      <c r="H942" s="1490"/>
      <c r="I942" s="1487"/>
      <c r="J942" s="1488"/>
      <c r="K942" s="1489"/>
      <c r="L942" s="1490"/>
      <c r="M942" s="1487"/>
      <c r="N942" s="1488"/>
      <c r="O942" s="1489"/>
      <c r="P942" s="1490"/>
      <c r="X942" s="1445" t="e">
        <f ca="1"/>
        <v>#NAME?</v>
      </c>
      <c r="Y942" s="1446" t="e">
        <f ca="1"/>
        <v>#NAME?</v>
      </c>
    </row>
    <row r="943" spans="1:25">
      <c r="A943" s="1487"/>
      <c r="B943" s="1488"/>
      <c r="C943" s="1489"/>
      <c r="D943" s="1490"/>
      <c r="E943" s="1487"/>
      <c r="F943" s="1488"/>
      <c r="G943" s="1489"/>
      <c r="H943" s="1490"/>
      <c r="I943" s="1487"/>
      <c r="J943" s="1488"/>
      <c r="K943" s="1489"/>
      <c r="L943" s="1490"/>
      <c r="M943" s="1487"/>
      <c r="N943" s="1488"/>
      <c r="O943" s="1489"/>
      <c r="P943" s="1490"/>
      <c r="X943" s="1445" t="e">
        <f ca="1"/>
        <v>#NAME?</v>
      </c>
      <c r="Y943" s="1446" t="e">
        <f ca="1"/>
        <v>#NAME?</v>
      </c>
    </row>
    <row r="944" spans="1:25">
      <c r="A944" s="1487"/>
      <c r="B944" s="1488"/>
      <c r="C944" s="1489"/>
      <c r="D944" s="1490"/>
      <c r="E944" s="1487"/>
      <c r="F944" s="1488"/>
      <c r="G944" s="1489"/>
      <c r="H944" s="1490"/>
      <c r="I944" s="1487"/>
      <c r="J944" s="1488"/>
      <c r="K944" s="1489"/>
      <c r="L944" s="1490"/>
      <c r="M944" s="1487"/>
      <c r="N944" s="1488"/>
      <c r="O944" s="1489"/>
      <c r="P944" s="1490"/>
      <c r="X944" s="1445" t="e">
        <f ca="1"/>
        <v>#NAME?</v>
      </c>
      <c r="Y944" s="1446" t="e">
        <f ca="1"/>
        <v>#NAME?</v>
      </c>
    </row>
    <row r="945" spans="1:25">
      <c r="A945" s="1487"/>
      <c r="B945" s="1488"/>
      <c r="C945" s="1489"/>
      <c r="D945" s="1490"/>
      <c r="E945" s="1487"/>
      <c r="F945" s="1488"/>
      <c r="G945" s="1489"/>
      <c r="H945" s="1490"/>
      <c r="I945" s="1487"/>
      <c r="J945" s="1488"/>
      <c r="K945" s="1489"/>
      <c r="L945" s="1490"/>
      <c r="M945" s="1487"/>
      <c r="N945" s="1488"/>
      <c r="O945" s="1489"/>
      <c r="P945" s="1490"/>
      <c r="X945" s="1445" t="e">
        <f ca="1"/>
        <v>#NAME?</v>
      </c>
      <c r="Y945" s="1446" t="e">
        <f ca="1"/>
        <v>#NAME?</v>
      </c>
    </row>
    <row r="946" spans="1:25">
      <c r="A946" s="1487"/>
      <c r="B946" s="1488"/>
      <c r="C946" s="1489"/>
      <c r="D946" s="1490"/>
      <c r="E946" s="1487"/>
      <c r="F946" s="1488"/>
      <c r="G946" s="1489"/>
      <c r="H946" s="1490"/>
      <c r="I946" s="1487"/>
      <c r="J946" s="1488"/>
      <c r="K946" s="1489"/>
      <c r="L946" s="1490"/>
      <c r="M946" s="1487"/>
      <c r="N946" s="1488"/>
      <c r="O946" s="1489"/>
      <c r="P946" s="1490"/>
      <c r="X946" s="1445" t="e">
        <f ca="1"/>
        <v>#NAME?</v>
      </c>
      <c r="Y946" s="1446" t="e">
        <f ca="1"/>
        <v>#NAME?</v>
      </c>
    </row>
    <row r="947" spans="1:25">
      <c r="A947" s="1487"/>
      <c r="B947" s="1488"/>
      <c r="C947" s="1489"/>
      <c r="D947" s="1490"/>
      <c r="E947" s="1487"/>
      <c r="F947" s="1488"/>
      <c r="G947" s="1489"/>
      <c r="H947" s="1490"/>
      <c r="I947" s="1487"/>
      <c r="J947" s="1488"/>
      <c r="K947" s="1489"/>
      <c r="L947" s="1490"/>
      <c r="M947" s="1487"/>
      <c r="N947" s="1488"/>
      <c r="O947" s="1489"/>
      <c r="P947" s="1490"/>
      <c r="X947" s="1445" t="e">
        <f ca="1"/>
        <v>#NAME?</v>
      </c>
      <c r="Y947" s="1446" t="e">
        <f ca="1"/>
        <v>#NAME?</v>
      </c>
    </row>
    <row r="948" spans="1:25">
      <c r="A948" s="1487"/>
      <c r="B948" s="1488"/>
      <c r="C948" s="1489"/>
      <c r="D948" s="1490"/>
      <c r="E948" s="1487"/>
      <c r="F948" s="1488"/>
      <c r="G948" s="1489"/>
      <c r="H948" s="1490"/>
      <c r="I948" s="1487"/>
      <c r="J948" s="1488"/>
      <c r="K948" s="1489"/>
      <c r="L948" s="1490"/>
      <c r="M948" s="1487"/>
      <c r="N948" s="1488"/>
      <c r="O948" s="1489"/>
      <c r="P948" s="1490"/>
      <c r="X948" s="1445" t="e">
        <f ca="1"/>
        <v>#NAME?</v>
      </c>
      <c r="Y948" s="1446" t="e">
        <f ca="1"/>
        <v>#NAME?</v>
      </c>
    </row>
    <row r="949" spans="1:25">
      <c r="A949" s="1487"/>
      <c r="B949" s="1488"/>
      <c r="C949" s="1489"/>
      <c r="D949" s="1490"/>
      <c r="E949" s="1487"/>
      <c r="F949" s="1488"/>
      <c r="G949" s="1489"/>
      <c r="H949" s="1490"/>
      <c r="I949" s="1487"/>
      <c r="J949" s="1488"/>
      <c r="K949" s="1489"/>
      <c r="L949" s="1490"/>
      <c r="M949" s="1487"/>
      <c r="N949" s="1488"/>
      <c r="O949" s="1489"/>
      <c r="P949" s="1490"/>
      <c r="X949" s="1445" t="e">
        <f ca="1"/>
        <v>#NAME?</v>
      </c>
      <c r="Y949" s="1446" t="e">
        <f ca="1"/>
        <v>#NAME?</v>
      </c>
    </row>
    <row r="950" spans="1:25">
      <c r="A950" s="1487"/>
      <c r="B950" s="1488"/>
      <c r="C950" s="1489"/>
      <c r="D950" s="1490"/>
      <c r="E950" s="1487"/>
      <c r="F950" s="1488"/>
      <c r="G950" s="1489"/>
      <c r="H950" s="1490"/>
      <c r="I950" s="1487"/>
      <c r="J950" s="1488"/>
      <c r="K950" s="1489"/>
      <c r="L950" s="1490"/>
      <c r="M950" s="1487"/>
      <c r="N950" s="1488"/>
      <c r="O950" s="1489"/>
      <c r="P950" s="1490"/>
      <c r="X950" s="1445" t="e">
        <f ca="1"/>
        <v>#NAME?</v>
      </c>
      <c r="Y950" s="1446" t="e">
        <f ca="1"/>
        <v>#NAME?</v>
      </c>
    </row>
    <row r="951" spans="1:25">
      <c r="A951" s="1487"/>
      <c r="B951" s="1488"/>
      <c r="C951" s="1489"/>
      <c r="D951" s="1490"/>
      <c r="E951" s="1487"/>
      <c r="F951" s="1488"/>
      <c r="G951" s="1489"/>
      <c r="H951" s="1490"/>
      <c r="I951" s="1487"/>
      <c r="J951" s="1488"/>
      <c r="K951" s="1489"/>
      <c r="L951" s="1490"/>
      <c r="M951" s="1487"/>
      <c r="N951" s="1488"/>
      <c r="O951" s="1489"/>
      <c r="P951" s="1490"/>
      <c r="X951" s="1445" t="e">
        <f ca="1"/>
        <v>#NAME?</v>
      </c>
      <c r="Y951" s="1446" t="e">
        <f ca="1"/>
        <v>#NAME?</v>
      </c>
    </row>
    <row r="952" spans="1:25">
      <c r="A952" s="1487"/>
      <c r="B952" s="1488"/>
      <c r="C952" s="1489"/>
      <c r="D952" s="1490"/>
      <c r="E952" s="1487"/>
      <c r="F952" s="1488"/>
      <c r="G952" s="1489"/>
      <c r="H952" s="1490"/>
      <c r="I952" s="1487"/>
      <c r="J952" s="1488"/>
      <c r="K952" s="1489"/>
      <c r="L952" s="1490"/>
      <c r="M952" s="1487"/>
      <c r="N952" s="1488"/>
      <c r="O952" s="1489"/>
      <c r="P952" s="1490"/>
      <c r="X952" s="1445" t="e">
        <f ca="1"/>
        <v>#NAME?</v>
      </c>
      <c r="Y952" s="1446" t="e">
        <f ca="1"/>
        <v>#NAME?</v>
      </c>
    </row>
    <row r="953" spans="1:25">
      <c r="A953" s="1487"/>
      <c r="B953" s="1488"/>
      <c r="C953" s="1489"/>
      <c r="D953" s="1490"/>
      <c r="E953" s="1487"/>
      <c r="F953" s="1488"/>
      <c r="G953" s="1489"/>
      <c r="H953" s="1490"/>
      <c r="I953" s="1487"/>
      <c r="J953" s="1488"/>
      <c r="K953" s="1489"/>
      <c r="L953" s="1490"/>
      <c r="M953" s="1487"/>
      <c r="N953" s="1488"/>
      <c r="O953" s="1489"/>
      <c r="P953" s="1490"/>
      <c r="X953" s="1445" t="e">
        <f ca="1"/>
        <v>#NAME?</v>
      </c>
      <c r="Y953" s="1446" t="e">
        <f ca="1"/>
        <v>#NAME?</v>
      </c>
    </row>
    <row r="954" spans="1:25">
      <c r="A954" s="1487"/>
      <c r="B954" s="1488"/>
      <c r="C954" s="1489"/>
      <c r="D954" s="1490"/>
      <c r="E954" s="1487"/>
      <c r="F954" s="1488"/>
      <c r="G954" s="1489"/>
      <c r="H954" s="1490"/>
      <c r="I954" s="1487"/>
      <c r="J954" s="1488"/>
      <c r="K954" s="1489"/>
      <c r="L954" s="1490"/>
      <c r="M954" s="1487"/>
      <c r="N954" s="1488"/>
      <c r="O954" s="1489"/>
      <c r="P954" s="1490"/>
      <c r="X954" s="1445" t="e">
        <f ca="1"/>
        <v>#NAME?</v>
      </c>
      <c r="Y954" s="1446" t="e">
        <f ca="1"/>
        <v>#NAME?</v>
      </c>
    </row>
    <row r="955" spans="1:25">
      <c r="A955" s="1487"/>
      <c r="B955" s="1488"/>
      <c r="C955" s="1489"/>
      <c r="D955" s="1490"/>
      <c r="E955" s="1487"/>
      <c r="F955" s="1488"/>
      <c r="G955" s="1489"/>
      <c r="H955" s="1490"/>
      <c r="I955" s="1487"/>
      <c r="J955" s="1488"/>
      <c r="K955" s="1489"/>
      <c r="L955" s="1490"/>
      <c r="M955" s="1487"/>
      <c r="N955" s="1488"/>
      <c r="O955" s="1489"/>
      <c r="P955" s="1490"/>
      <c r="X955" s="1445" t="e">
        <f ca="1"/>
        <v>#NAME?</v>
      </c>
      <c r="Y955" s="1446" t="e">
        <f ca="1"/>
        <v>#NAME?</v>
      </c>
    </row>
    <row r="956" spans="1:25">
      <c r="A956" s="1487"/>
      <c r="B956" s="1488"/>
      <c r="C956" s="1489"/>
      <c r="D956" s="1490"/>
      <c r="E956" s="1487"/>
      <c r="F956" s="1488"/>
      <c r="G956" s="1489"/>
      <c r="H956" s="1490"/>
      <c r="I956" s="1487"/>
      <c r="J956" s="1488"/>
      <c r="K956" s="1489"/>
      <c r="L956" s="1490"/>
      <c r="M956" s="1487"/>
      <c r="N956" s="1488"/>
      <c r="O956" s="1489"/>
      <c r="P956" s="1490"/>
      <c r="X956" s="1445" t="e">
        <f ca="1"/>
        <v>#NAME?</v>
      </c>
      <c r="Y956" s="1446" t="e">
        <f ca="1"/>
        <v>#NAME?</v>
      </c>
    </row>
    <row r="957" spans="1:25">
      <c r="A957" s="1487"/>
      <c r="B957" s="1488"/>
      <c r="C957" s="1489"/>
      <c r="D957" s="1490"/>
      <c r="E957" s="1487"/>
      <c r="F957" s="1488"/>
      <c r="G957" s="1489"/>
      <c r="H957" s="1490"/>
      <c r="I957" s="1487"/>
      <c r="J957" s="1488"/>
      <c r="K957" s="1489"/>
      <c r="L957" s="1490"/>
      <c r="M957" s="1487"/>
      <c r="N957" s="1488"/>
      <c r="O957" s="1489"/>
      <c r="P957" s="1490"/>
      <c r="X957" s="1445" t="e">
        <f ca="1"/>
        <v>#NAME?</v>
      </c>
      <c r="Y957" s="1446" t="e">
        <f ca="1"/>
        <v>#NAME?</v>
      </c>
    </row>
    <row r="958" spans="1:25">
      <c r="A958" s="1487"/>
      <c r="B958" s="1488"/>
      <c r="C958" s="1489"/>
      <c r="D958" s="1490"/>
      <c r="E958" s="1487"/>
      <c r="F958" s="1488"/>
      <c r="G958" s="1489"/>
      <c r="H958" s="1490"/>
      <c r="I958" s="1487"/>
      <c r="J958" s="1488"/>
      <c r="K958" s="1489"/>
      <c r="L958" s="1490"/>
      <c r="M958" s="1487"/>
      <c r="N958" s="1488"/>
      <c r="O958" s="1489"/>
      <c r="P958" s="1490"/>
      <c r="X958" s="1445" t="e">
        <f ca="1"/>
        <v>#NAME?</v>
      </c>
      <c r="Y958" s="1446" t="e">
        <f ca="1"/>
        <v>#NAME?</v>
      </c>
    </row>
    <row r="959" spans="1:25">
      <c r="A959" s="1487"/>
      <c r="B959" s="1488"/>
      <c r="C959" s="1489"/>
      <c r="D959" s="1490"/>
      <c r="E959" s="1487"/>
      <c r="F959" s="1488"/>
      <c r="G959" s="1489"/>
      <c r="H959" s="1490"/>
      <c r="I959" s="1487"/>
      <c r="J959" s="1488"/>
      <c r="K959" s="1489"/>
      <c r="L959" s="1490"/>
      <c r="M959" s="1487"/>
      <c r="N959" s="1488"/>
      <c r="O959" s="1489"/>
      <c r="P959" s="1490"/>
      <c r="X959" s="1445" t="e">
        <f ca="1"/>
        <v>#NAME?</v>
      </c>
      <c r="Y959" s="1446" t="e">
        <f ca="1"/>
        <v>#NAME?</v>
      </c>
    </row>
    <row r="960" spans="1:25">
      <c r="A960" s="1487"/>
      <c r="B960" s="1488"/>
      <c r="C960" s="1489"/>
      <c r="D960" s="1490"/>
      <c r="E960" s="1487"/>
      <c r="F960" s="1488"/>
      <c r="G960" s="1489"/>
      <c r="H960" s="1490"/>
      <c r="I960" s="1487"/>
      <c r="J960" s="1488"/>
      <c r="K960" s="1489"/>
      <c r="L960" s="1490"/>
      <c r="M960" s="1487"/>
      <c r="N960" s="1488"/>
      <c r="O960" s="1489"/>
      <c r="P960" s="1490"/>
      <c r="X960" s="1445" t="e">
        <f ca="1"/>
        <v>#NAME?</v>
      </c>
      <c r="Y960" s="1446" t="e">
        <f ca="1"/>
        <v>#NAME?</v>
      </c>
    </row>
    <row r="961" spans="1:25">
      <c r="A961" s="1487"/>
      <c r="B961" s="1488"/>
      <c r="C961" s="1489"/>
      <c r="D961" s="1490"/>
      <c r="E961" s="1487"/>
      <c r="F961" s="1488"/>
      <c r="G961" s="1489"/>
      <c r="H961" s="1490"/>
      <c r="I961" s="1487"/>
      <c r="J961" s="1488"/>
      <c r="K961" s="1489"/>
      <c r="L961" s="1490"/>
      <c r="M961" s="1487"/>
      <c r="N961" s="1488"/>
      <c r="O961" s="1489"/>
      <c r="P961" s="1490"/>
      <c r="X961" s="1445" t="e">
        <f ca="1"/>
        <v>#NAME?</v>
      </c>
      <c r="Y961" s="1446" t="e">
        <f ca="1"/>
        <v>#NAME?</v>
      </c>
    </row>
    <row r="962" spans="1:25">
      <c r="A962" s="1487"/>
      <c r="B962" s="1488"/>
      <c r="C962" s="1489"/>
      <c r="D962" s="1490"/>
      <c r="E962" s="1487"/>
      <c r="F962" s="1488"/>
      <c r="G962" s="1489"/>
      <c r="H962" s="1490"/>
      <c r="I962" s="1487"/>
      <c r="J962" s="1488"/>
      <c r="K962" s="1489"/>
      <c r="L962" s="1490"/>
      <c r="M962" s="1487"/>
      <c r="N962" s="1488"/>
      <c r="O962" s="1489"/>
      <c r="P962" s="1490"/>
      <c r="X962" s="1445" t="e">
        <f ca="1"/>
        <v>#NAME?</v>
      </c>
      <c r="Y962" s="1446" t="e">
        <f ca="1"/>
        <v>#NAME?</v>
      </c>
    </row>
    <row r="963" spans="1:25">
      <c r="A963" s="1487"/>
      <c r="B963" s="1488"/>
      <c r="C963" s="1489"/>
      <c r="D963" s="1490"/>
      <c r="E963" s="1487"/>
      <c r="F963" s="1488"/>
      <c r="G963" s="1489"/>
      <c r="H963" s="1490"/>
      <c r="I963" s="1487"/>
      <c r="J963" s="1488"/>
      <c r="K963" s="1489"/>
      <c r="L963" s="1490"/>
      <c r="M963" s="1487"/>
      <c r="N963" s="1488"/>
      <c r="O963" s="1489"/>
      <c r="P963" s="1490"/>
      <c r="X963" s="1445" t="e">
        <f ca="1"/>
        <v>#NAME?</v>
      </c>
      <c r="Y963" s="1446" t="e">
        <f ca="1"/>
        <v>#NAME?</v>
      </c>
    </row>
    <row r="964" spans="1:25">
      <c r="A964" s="1487"/>
      <c r="B964" s="1488"/>
      <c r="C964" s="1489"/>
      <c r="D964" s="1490"/>
      <c r="E964" s="1487"/>
      <c r="F964" s="1488"/>
      <c r="G964" s="1489"/>
      <c r="H964" s="1490"/>
      <c r="I964" s="1487"/>
      <c r="J964" s="1488"/>
      <c r="K964" s="1489"/>
      <c r="L964" s="1490"/>
      <c r="M964" s="1487"/>
      <c r="N964" s="1488"/>
      <c r="O964" s="1489"/>
      <c r="P964" s="1490"/>
      <c r="X964" s="1445" t="e">
        <f ca="1"/>
        <v>#NAME?</v>
      </c>
      <c r="Y964" s="1446" t="e">
        <f ca="1"/>
        <v>#NAME?</v>
      </c>
    </row>
    <row r="965" spans="1:25">
      <c r="A965" s="1487"/>
      <c r="B965" s="1488"/>
      <c r="C965" s="1489"/>
      <c r="D965" s="1490"/>
      <c r="E965" s="1487"/>
      <c r="F965" s="1488"/>
      <c r="G965" s="1489"/>
      <c r="H965" s="1490"/>
      <c r="I965" s="1487"/>
      <c r="J965" s="1488"/>
      <c r="K965" s="1489"/>
      <c r="L965" s="1490"/>
      <c r="M965" s="1487"/>
      <c r="N965" s="1488"/>
      <c r="O965" s="1489"/>
      <c r="P965" s="1490"/>
      <c r="X965" s="1445" t="e">
        <f ca="1"/>
        <v>#NAME?</v>
      </c>
      <c r="Y965" s="1446" t="e">
        <f ca="1"/>
        <v>#NAME?</v>
      </c>
    </row>
    <row r="966" spans="1:25">
      <c r="A966" s="1487"/>
      <c r="B966" s="1488"/>
      <c r="C966" s="1489"/>
      <c r="D966" s="1490"/>
      <c r="E966" s="1487"/>
      <c r="F966" s="1488"/>
      <c r="G966" s="1489"/>
      <c r="H966" s="1490"/>
      <c r="I966" s="1487"/>
      <c r="J966" s="1488"/>
      <c r="K966" s="1489"/>
      <c r="L966" s="1490"/>
      <c r="M966" s="1487"/>
      <c r="N966" s="1488"/>
      <c r="O966" s="1489"/>
      <c r="P966" s="1490"/>
      <c r="X966" s="1445" t="e">
        <f ca="1"/>
        <v>#NAME?</v>
      </c>
      <c r="Y966" s="1446" t="e">
        <f ca="1"/>
        <v>#NAME?</v>
      </c>
    </row>
    <row r="967" spans="1:25">
      <c r="A967" s="1487"/>
      <c r="B967" s="1488"/>
      <c r="C967" s="1489"/>
      <c r="D967" s="1490"/>
      <c r="E967" s="1487"/>
      <c r="F967" s="1488"/>
      <c r="G967" s="1489"/>
      <c r="H967" s="1490"/>
      <c r="I967" s="1487"/>
      <c r="J967" s="1488"/>
      <c r="K967" s="1489"/>
      <c r="L967" s="1490"/>
      <c r="M967" s="1487"/>
      <c r="N967" s="1488"/>
      <c r="O967" s="1489"/>
      <c r="P967" s="1490"/>
      <c r="X967" s="1445" t="e">
        <f ca="1"/>
        <v>#NAME?</v>
      </c>
      <c r="Y967" s="1446" t="e">
        <f ca="1"/>
        <v>#NAME?</v>
      </c>
    </row>
    <row r="968" spans="1:25">
      <c r="A968" s="1487"/>
      <c r="B968" s="1488"/>
      <c r="C968" s="1489"/>
      <c r="D968" s="1490"/>
      <c r="E968" s="1487"/>
      <c r="F968" s="1488"/>
      <c r="G968" s="1489"/>
      <c r="H968" s="1490"/>
      <c r="I968" s="1487"/>
      <c r="J968" s="1488"/>
      <c r="K968" s="1489"/>
      <c r="L968" s="1490"/>
      <c r="M968" s="1487"/>
      <c r="N968" s="1488"/>
      <c r="O968" s="1489"/>
      <c r="P968" s="1490"/>
      <c r="X968" s="1445" t="e">
        <f ca="1"/>
        <v>#NAME?</v>
      </c>
      <c r="Y968" s="1446" t="e">
        <f ca="1"/>
        <v>#NAME?</v>
      </c>
    </row>
    <row r="969" spans="1:25">
      <c r="A969" s="1487"/>
      <c r="B969" s="1488"/>
      <c r="C969" s="1489"/>
      <c r="D969" s="1490"/>
      <c r="E969" s="1487"/>
      <c r="F969" s="1488"/>
      <c r="G969" s="1489"/>
      <c r="H969" s="1490"/>
      <c r="I969" s="1487"/>
      <c r="J969" s="1488"/>
      <c r="K969" s="1489"/>
      <c r="L969" s="1490"/>
      <c r="M969" s="1487"/>
      <c r="N969" s="1488"/>
      <c r="O969" s="1489"/>
      <c r="P969" s="1490"/>
      <c r="X969" s="1445" t="e">
        <f ca="1"/>
        <v>#NAME?</v>
      </c>
      <c r="Y969" s="1446" t="e">
        <f ca="1"/>
        <v>#NAME?</v>
      </c>
    </row>
    <row r="970" spans="1:25">
      <c r="A970" s="1487"/>
      <c r="B970" s="1488"/>
      <c r="C970" s="1489"/>
      <c r="D970" s="1490"/>
      <c r="E970" s="1487"/>
      <c r="F970" s="1488"/>
      <c r="G970" s="1489"/>
      <c r="H970" s="1490"/>
      <c r="I970" s="1487"/>
      <c r="J970" s="1488"/>
      <c r="K970" s="1489"/>
      <c r="L970" s="1490"/>
      <c r="M970" s="1487"/>
      <c r="N970" s="1488"/>
      <c r="O970" s="1489"/>
      <c r="P970" s="1490"/>
      <c r="X970" s="1445" t="e">
        <f ca="1"/>
        <v>#NAME?</v>
      </c>
      <c r="Y970" s="1446" t="e">
        <f ca="1"/>
        <v>#NAME?</v>
      </c>
    </row>
    <row r="971" spans="1:25">
      <c r="A971" s="1487"/>
      <c r="B971" s="1488"/>
      <c r="C971" s="1489"/>
      <c r="D971" s="1490"/>
      <c r="E971" s="1487"/>
      <c r="F971" s="1488"/>
      <c r="G971" s="1489"/>
      <c r="H971" s="1490"/>
      <c r="I971" s="1487"/>
      <c r="J971" s="1488"/>
      <c r="K971" s="1489"/>
      <c r="L971" s="1490"/>
      <c r="M971" s="1487"/>
      <c r="N971" s="1488"/>
      <c r="O971" s="1489"/>
      <c r="P971" s="1490"/>
      <c r="X971" s="1445" t="e">
        <f ca="1"/>
        <v>#NAME?</v>
      </c>
      <c r="Y971" s="1446" t="e">
        <f ca="1"/>
        <v>#NAME?</v>
      </c>
    </row>
    <row r="972" spans="1:25">
      <c r="A972" s="1487"/>
      <c r="B972" s="1488"/>
      <c r="C972" s="1489"/>
      <c r="D972" s="1490"/>
      <c r="E972" s="1487"/>
      <c r="F972" s="1488"/>
      <c r="G972" s="1489"/>
      <c r="H972" s="1490"/>
      <c r="I972" s="1487"/>
      <c r="J972" s="1488"/>
      <c r="K972" s="1489"/>
      <c r="L972" s="1490"/>
      <c r="M972" s="1487"/>
      <c r="N972" s="1488"/>
      <c r="O972" s="1489"/>
      <c r="P972" s="1490"/>
      <c r="X972" s="1445" t="e">
        <f ca="1"/>
        <v>#NAME?</v>
      </c>
      <c r="Y972" s="1446" t="e">
        <f ca="1"/>
        <v>#NAME?</v>
      </c>
    </row>
    <row r="973" spans="1:25">
      <c r="A973" s="1487"/>
      <c r="B973" s="1488"/>
      <c r="C973" s="1489"/>
      <c r="D973" s="1490"/>
      <c r="E973" s="1487"/>
      <c r="F973" s="1488"/>
      <c r="G973" s="1489"/>
      <c r="H973" s="1490"/>
      <c r="I973" s="1487"/>
      <c r="J973" s="1488"/>
      <c r="K973" s="1489"/>
      <c r="L973" s="1490"/>
      <c r="M973" s="1487"/>
      <c r="N973" s="1488"/>
      <c r="O973" s="1489"/>
      <c r="P973" s="1490"/>
      <c r="X973" s="1445" t="e">
        <f ca="1"/>
        <v>#NAME?</v>
      </c>
      <c r="Y973" s="1446" t="e">
        <f ca="1"/>
        <v>#NAME?</v>
      </c>
    </row>
    <row r="974" spans="1:25">
      <c r="A974" s="1487"/>
      <c r="B974" s="1488"/>
      <c r="C974" s="1489"/>
      <c r="D974" s="1490"/>
      <c r="E974" s="1487"/>
      <c r="F974" s="1488"/>
      <c r="G974" s="1489"/>
      <c r="H974" s="1490"/>
      <c r="I974" s="1487"/>
      <c r="J974" s="1488"/>
      <c r="K974" s="1489"/>
      <c r="L974" s="1490"/>
      <c r="M974" s="1487"/>
      <c r="N974" s="1488"/>
      <c r="O974" s="1489"/>
      <c r="P974" s="1490"/>
      <c r="X974" s="1445" t="e">
        <f ca="1"/>
        <v>#NAME?</v>
      </c>
      <c r="Y974" s="1446" t="e">
        <f ca="1"/>
        <v>#NAME?</v>
      </c>
    </row>
    <row r="975" spans="1:25">
      <c r="A975" s="1487"/>
      <c r="B975" s="1488"/>
      <c r="C975" s="1489"/>
      <c r="D975" s="1490"/>
      <c r="E975" s="1487"/>
      <c r="F975" s="1488"/>
      <c r="G975" s="1489"/>
      <c r="H975" s="1490"/>
      <c r="I975" s="1487"/>
      <c r="J975" s="1488"/>
      <c r="K975" s="1489"/>
      <c r="L975" s="1490"/>
      <c r="M975" s="1487"/>
      <c r="N975" s="1488"/>
      <c r="O975" s="1489"/>
      <c r="P975" s="1490"/>
      <c r="X975" s="1445" t="e">
        <f ca="1"/>
        <v>#NAME?</v>
      </c>
      <c r="Y975" s="1446" t="e">
        <f ca="1"/>
        <v>#NAME?</v>
      </c>
    </row>
    <row r="976" spans="1:25">
      <c r="A976" s="1487"/>
      <c r="B976" s="1488"/>
      <c r="C976" s="1489"/>
      <c r="D976" s="1490"/>
      <c r="E976" s="1487"/>
      <c r="F976" s="1488"/>
      <c r="G976" s="1489"/>
      <c r="H976" s="1490"/>
      <c r="I976" s="1487"/>
      <c r="J976" s="1488"/>
      <c r="K976" s="1489"/>
      <c r="L976" s="1490"/>
      <c r="M976" s="1487"/>
      <c r="N976" s="1488"/>
      <c r="O976" s="1489"/>
      <c r="P976" s="1490"/>
      <c r="X976" s="1445" t="e">
        <f ca="1"/>
        <v>#NAME?</v>
      </c>
      <c r="Y976" s="1446" t="e">
        <f ca="1"/>
        <v>#NAME?</v>
      </c>
    </row>
    <row r="977" spans="1:25">
      <c r="A977" s="1487"/>
      <c r="B977" s="1488"/>
      <c r="C977" s="1489"/>
      <c r="D977" s="1490"/>
      <c r="E977" s="1487"/>
      <c r="F977" s="1488"/>
      <c r="G977" s="1489"/>
      <c r="H977" s="1490"/>
      <c r="I977" s="1487"/>
      <c r="J977" s="1488"/>
      <c r="K977" s="1489"/>
      <c r="L977" s="1490"/>
      <c r="M977" s="1487"/>
      <c r="N977" s="1488"/>
      <c r="O977" s="1489"/>
      <c r="P977" s="1490"/>
      <c r="X977" s="1445" t="e">
        <f ca="1"/>
        <v>#NAME?</v>
      </c>
      <c r="Y977" s="1446" t="e">
        <f ca="1"/>
        <v>#NAME?</v>
      </c>
    </row>
    <row r="978" spans="1:25">
      <c r="A978" s="1487"/>
      <c r="B978" s="1488"/>
      <c r="C978" s="1489"/>
      <c r="D978" s="1490"/>
      <c r="E978" s="1487"/>
      <c r="F978" s="1488"/>
      <c r="G978" s="1489"/>
      <c r="H978" s="1490"/>
      <c r="I978" s="1487"/>
      <c r="J978" s="1488"/>
      <c r="K978" s="1489"/>
      <c r="L978" s="1490"/>
      <c r="M978" s="1487"/>
      <c r="N978" s="1488"/>
      <c r="O978" s="1489"/>
      <c r="P978" s="1490"/>
      <c r="X978" s="1445" t="e">
        <f ca="1"/>
        <v>#NAME?</v>
      </c>
      <c r="Y978" s="1446" t="e">
        <f ca="1"/>
        <v>#NAME?</v>
      </c>
    </row>
    <row r="979" spans="1:25">
      <c r="A979" s="1487"/>
      <c r="B979" s="1488"/>
      <c r="C979" s="1489"/>
      <c r="D979" s="1490"/>
      <c r="E979" s="1487"/>
      <c r="F979" s="1488"/>
      <c r="G979" s="1489"/>
      <c r="H979" s="1490"/>
      <c r="I979" s="1487"/>
      <c r="J979" s="1488"/>
      <c r="K979" s="1489"/>
      <c r="L979" s="1490"/>
      <c r="M979" s="1487"/>
      <c r="N979" s="1488"/>
      <c r="O979" s="1489"/>
      <c r="P979" s="1490"/>
      <c r="X979" s="1445" t="e">
        <f ca="1"/>
        <v>#NAME?</v>
      </c>
      <c r="Y979" s="1446" t="e">
        <f ca="1"/>
        <v>#NAME?</v>
      </c>
    </row>
    <row r="980" spans="1:25">
      <c r="A980" s="1487"/>
      <c r="B980" s="1488"/>
      <c r="C980" s="1489"/>
      <c r="D980" s="1490"/>
      <c r="E980" s="1487"/>
      <c r="F980" s="1488"/>
      <c r="G980" s="1489"/>
      <c r="H980" s="1490"/>
      <c r="I980" s="1487"/>
      <c r="J980" s="1488"/>
      <c r="K980" s="1489"/>
      <c r="L980" s="1490"/>
      <c r="M980" s="1487"/>
      <c r="N980" s="1488"/>
      <c r="O980" s="1489"/>
      <c r="P980" s="1490"/>
      <c r="X980" s="1445" t="e">
        <f ca="1"/>
        <v>#NAME?</v>
      </c>
      <c r="Y980" s="1446" t="e">
        <f ca="1"/>
        <v>#NAME?</v>
      </c>
    </row>
    <row r="981" spans="1:25">
      <c r="A981" s="1487"/>
      <c r="B981" s="1488"/>
      <c r="C981" s="1489"/>
      <c r="D981" s="1490"/>
      <c r="E981" s="1487"/>
      <c r="F981" s="1488"/>
      <c r="G981" s="1489"/>
      <c r="H981" s="1490"/>
      <c r="I981" s="1487"/>
      <c r="J981" s="1488"/>
      <c r="K981" s="1489"/>
      <c r="L981" s="1490"/>
      <c r="M981" s="1487"/>
      <c r="N981" s="1488"/>
      <c r="O981" s="1489"/>
      <c r="P981" s="1490"/>
      <c r="X981" s="1445" t="e">
        <f ca="1"/>
        <v>#NAME?</v>
      </c>
      <c r="Y981" s="1446" t="e">
        <f ca="1"/>
        <v>#NAME?</v>
      </c>
    </row>
    <row r="982" spans="1:25">
      <c r="A982" s="1487"/>
      <c r="B982" s="1488"/>
      <c r="C982" s="1489"/>
      <c r="D982" s="1490"/>
      <c r="E982" s="1487"/>
      <c r="F982" s="1488"/>
      <c r="G982" s="1489"/>
      <c r="H982" s="1490"/>
      <c r="I982" s="1487"/>
      <c r="J982" s="1488"/>
      <c r="K982" s="1489"/>
      <c r="L982" s="1490"/>
      <c r="M982" s="1487"/>
      <c r="N982" s="1488"/>
      <c r="O982" s="1489"/>
      <c r="P982" s="1490"/>
      <c r="X982" s="1445" t="e">
        <f ca="1"/>
        <v>#NAME?</v>
      </c>
      <c r="Y982" s="1446" t="e">
        <f ca="1"/>
        <v>#NAME?</v>
      </c>
    </row>
    <row r="983" spans="1:25">
      <c r="A983" s="1487"/>
      <c r="B983" s="1488"/>
      <c r="C983" s="1489"/>
      <c r="D983" s="1490"/>
      <c r="E983" s="1487"/>
      <c r="F983" s="1488"/>
      <c r="G983" s="1489"/>
      <c r="H983" s="1490"/>
      <c r="I983" s="1487"/>
      <c r="J983" s="1488"/>
      <c r="K983" s="1489"/>
      <c r="L983" s="1490"/>
      <c r="M983" s="1487"/>
      <c r="N983" s="1488"/>
      <c r="O983" s="1489"/>
      <c r="P983" s="1490"/>
      <c r="X983" s="1445" t="e">
        <f ca="1"/>
        <v>#NAME?</v>
      </c>
      <c r="Y983" s="1446" t="e">
        <f ca="1"/>
        <v>#NAME?</v>
      </c>
    </row>
    <row r="984" spans="1:25">
      <c r="A984" s="1487"/>
      <c r="B984" s="1488"/>
      <c r="C984" s="1489"/>
      <c r="D984" s="1490"/>
      <c r="E984" s="1487"/>
      <c r="F984" s="1488"/>
      <c r="G984" s="1489"/>
      <c r="H984" s="1490"/>
      <c r="I984" s="1487"/>
      <c r="J984" s="1488"/>
      <c r="K984" s="1489"/>
      <c r="L984" s="1490"/>
      <c r="M984" s="1487"/>
      <c r="N984" s="1488"/>
      <c r="O984" s="1489"/>
      <c r="P984" s="1490"/>
      <c r="X984" s="1445" t="e">
        <f ca="1"/>
        <v>#NAME?</v>
      </c>
      <c r="Y984" s="1446" t="e">
        <f ca="1"/>
        <v>#NAME?</v>
      </c>
    </row>
    <row r="985" spans="1:25">
      <c r="A985" s="1487"/>
      <c r="B985" s="1488"/>
      <c r="C985" s="1489"/>
      <c r="D985" s="1490"/>
      <c r="E985" s="1487"/>
      <c r="F985" s="1488"/>
      <c r="G985" s="1489"/>
      <c r="H985" s="1490"/>
      <c r="I985" s="1487"/>
      <c r="J985" s="1488"/>
      <c r="K985" s="1489"/>
      <c r="L985" s="1490"/>
      <c r="M985" s="1487"/>
      <c r="N985" s="1488"/>
      <c r="O985" s="1489"/>
      <c r="P985" s="1490"/>
      <c r="X985" s="1445" t="e">
        <f ca="1"/>
        <v>#NAME?</v>
      </c>
      <c r="Y985" s="1446" t="e">
        <f ca="1"/>
        <v>#NAME?</v>
      </c>
    </row>
    <row r="986" spans="1:25">
      <c r="A986" s="1487"/>
      <c r="B986" s="1488"/>
      <c r="C986" s="1489"/>
      <c r="D986" s="1490"/>
      <c r="E986" s="1487"/>
      <c r="F986" s="1488"/>
      <c r="G986" s="1489"/>
      <c r="H986" s="1490"/>
      <c r="I986" s="1487"/>
      <c r="J986" s="1488"/>
      <c r="K986" s="1489"/>
      <c r="L986" s="1490"/>
      <c r="M986" s="1487"/>
      <c r="N986" s="1488"/>
      <c r="O986" s="1489"/>
      <c r="P986" s="1490"/>
      <c r="X986" s="1445" t="e">
        <f ca="1"/>
        <v>#NAME?</v>
      </c>
      <c r="Y986" s="1446" t="e">
        <f ca="1"/>
        <v>#NAME?</v>
      </c>
    </row>
    <row r="987" spans="1:25">
      <c r="A987" s="1487"/>
      <c r="B987" s="1488"/>
      <c r="C987" s="1489"/>
      <c r="D987" s="1490"/>
      <c r="E987" s="1487"/>
      <c r="F987" s="1488"/>
      <c r="G987" s="1489"/>
      <c r="H987" s="1490"/>
      <c r="I987" s="1487"/>
      <c r="J987" s="1488"/>
      <c r="K987" s="1489"/>
      <c r="L987" s="1490"/>
      <c r="M987" s="1487"/>
      <c r="N987" s="1488"/>
      <c r="O987" s="1489"/>
      <c r="P987" s="1490"/>
      <c r="X987" s="1445" t="e">
        <f ca="1"/>
        <v>#NAME?</v>
      </c>
      <c r="Y987" s="1446" t="e">
        <f ca="1"/>
        <v>#NAME?</v>
      </c>
    </row>
    <row r="988" spans="1:25">
      <c r="A988" s="1487"/>
      <c r="B988" s="1488"/>
      <c r="C988" s="1489"/>
      <c r="D988" s="1490"/>
      <c r="E988" s="1487"/>
      <c r="F988" s="1488"/>
      <c r="G988" s="1489"/>
      <c r="H988" s="1490"/>
      <c r="I988" s="1487"/>
      <c r="J988" s="1488"/>
      <c r="K988" s="1489"/>
      <c r="L988" s="1490"/>
      <c r="M988" s="1487"/>
      <c r="N988" s="1488"/>
      <c r="O988" s="1489"/>
      <c r="P988" s="1490"/>
      <c r="X988" s="1445" t="e">
        <f ca="1"/>
        <v>#NAME?</v>
      </c>
      <c r="Y988" s="1446" t="e">
        <f ca="1"/>
        <v>#NAME?</v>
      </c>
    </row>
    <row r="989" spans="1:25">
      <c r="A989" s="1487"/>
      <c r="B989" s="1488"/>
      <c r="C989" s="1489"/>
      <c r="D989" s="1490"/>
      <c r="E989" s="1487"/>
      <c r="F989" s="1488"/>
      <c r="G989" s="1489"/>
      <c r="H989" s="1490"/>
      <c r="I989" s="1487"/>
      <c r="J989" s="1488"/>
      <c r="K989" s="1489"/>
      <c r="L989" s="1490"/>
      <c r="M989" s="1487"/>
      <c r="N989" s="1488"/>
      <c r="O989" s="1489"/>
      <c r="P989" s="1490"/>
      <c r="X989" s="1445" t="e">
        <f ca="1"/>
        <v>#NAME?</v>
      </c>
      <c r="Y989" s="1446" t="e">
        <f ca="1"/>
        <v>#NAME?</v>
      </c>
    </row>
    <row r="990" spans="1:25">
      <c r="A990" s="1487"/>
      <c r="B990" s="1488"/>
      <c r="C990" s="1489"/>
      <c r="D990" s="1490"/>
      <c r="E990" s="1487"/>
      <c r="F990" s="1488"/>
      <c r="G990" s="1489"/>
      <c r="H990" s="1490"/>
      <c r="I990" s="1487"/>
      <c r="J990" s="1488"/>
      <c r="K990" s="1489"/>
      <c r="L990" s="1490"/>
      <c r="M990" s="1487"/>
      <c r="N990" s="1488"/>
      <c r="O990" s="1489"/>
      <c r="P990" s="1490"/>
      <c r="X990" s="1445" t="e">
        <f ca="1"/>
        <v>#NAME?</v>
      </c>
      <c r="Y990" s="1446" t="e">
        <f ca="1"/>
        <v>#NAME?</v>
      </c>
    </row>
    <row r="991" spans="1:25">
      <c r="A991" s="1487"/>
      <c r="B991" s="1488"/>
      <c r="C991" s="1489"/>
      <c r="D991" s="1490"/>
      <c r="E991" s="1487"/>
      <c r="F991" s="1488"/>
      <c r="G991" s="1489"/>
      <c r="H991" s="1490"/>
      <c r="I991" s="1487"/>
      <c r="J991" s="1488"/>
      <c r="K991" s="1489"/>
      <c r="L991" s="1490"/>
      <c r="M991" s="1487"/>
      <c r="N991" s="1488"/>
      <c r="O991" s="1489"/>
      <c r="P991" s="1490"/>
      <c r="X991" s="1445" t="e">
        <f ca="1"/>
        <v>#NAME?</v>
      </c>
      <c r="Y991" s="1446" t="e">
        <f ca="1"/>
        <v>#NAME?</v>
      </c>
    </row>
    <row r="992" spans="1:25">
      <c r="A992" s="1487"/>
      <c r="B992" s="1488"/>
      <c r="C992" s="1489"/>
      <c r="D992" s="1490"/>
      <c r="E992" s="1487"/>
      <c r="F992" s="1488"/>
      <c r="G992" s="1489"/>
      <c r="H992" s="1490"/>
      <c r="I992" s="1487"/>
      <c r="J992" s="1488"/>
      <c r="K992" s="1489"/>
      <c r="L992" s="1490"/>
      <c r="M992" s="1487"/>
      <c r="N992" s="1488"/>
      <c r="O992" s="1489"/>
      <c r="P992" s="1490"/>
      <c r="X992" s="1445" t="e">
        <f ca="1"/>
        <v>#NAME?</v>
      </c>
      <c r="Y992" s="1446" t="e">
        <f ca="1"/>
        <v>#NAME?</v>
      </c>
    </row>
    <row r="993" spans="1:25">
      <c r="A993" s="1487"/>
      <c r="B993" s="1488"/>
      <c r="C993" s="1489"/>
      <c r="D993" s="1490"/>
      <c r="E993" s="1487"/>
      <c r="F993" s="1488"/>
      <c r="G993" s="1489"/>
      <c r="H993" s="1490"/>
      <c r="I993" s="1487"/>
      <c r="J993" s="1488"/>
      <c r="K993" s="1489"/>
      <c r="L993" s="1490"/>
      <c r="M993" s="1487"/>
      <c r="N993" s="1488"/>
      <c r="O993" s="1489"/>
      <c r="P993" s="1490"/>
      <c r="X993" s="1445" t="e">
        <f ca="1"/>
        <v>#NAME?</v>
      </c>
      <c r="Y993" s="1446" t="e">
        <f ca="1"/>
        <v>#NAME?</v>
      </c>
    </row>
    <row r="994" spans="1:25">
      <c r="A994" s="1487"/>
      <c r="B994" s="1488"/>
      <c r="C994" s="1489"/>
      <c r="D994" s="1490"/>
      <c r="E994" s="1487"/>
      <c r="F994" s="1488"/>
      <c r="G994" s="1489"/>
      <c r="H994" s="1490"/>
      <c r="I994" s="1487"/>
      <c r="J994" s="1488"/>
      <c r="K994" s="1489"/>
      <c r="L994" s="1490"/>
      <c r="M994" s="1487"/>
      <c r="N994" s="1488"/>
      <c r="O994" s="1489"/>
      <c r="P994" s="1490"/>
      <c r="X994" s="1445" t="e">
        <f ca="1"/>
        <v>#NAME?</v>
      </c>
      <c r="Y994" s="1446" t="e">
        <f ca="1"/>
        <v>#NAME?</v>
      </c>
    </row>
    <row r="995" spans="1:25">
      <c r="A995" s="1487"/>
      <c r="B995" s="1488"/>
      <c r="C995" s="1489"/>
      <c r="D995" s="1490"/>
      <c r="E995" s="1487"/>
      <c r="F995" s="1488"/>
      <c r="G995" s="1489"/>
      <c r="H995" s="1490"/>
      <c r="I995" s="1487"/>
      <c r="J995" s="1488"/>
      <c r="K995" s="1489"/>
      <c r="L995" s="1490"/>
      <c r="M995" s="1487"/>
      <c r="N995" s="1488"/>
      <c r="O995" s="1489"/>
      <c r="P995" s="1490"/>
      <c r="X995" s="1445" t="e">
        <f ca="1"/>
        <v>#NAME?</v>
      </c>
      <c r="Y995" s="1446" t="e">
        <f ca="1"/>
        <v>#NAME?</v>
      </c>
    </row>
    <row r="996" spans="1:25">
      <c r="A996" s="1487"/>
      <c r="B996" s="1488"/>
      <c r="C996" s="1489"/>
      <c r="D996" s="1490"/>
      <c r="E996" s="1487"/>
      <c r="F996" s="1488"/>
      <c r="G996" s="1489"/>
      <c r="H996" s="1490"/>
      <c r="I996" s="1487"/>
      <c r="J996" s="1488"/>
      <c r="K996" s="1489"/>
      <c r="L996" s="1490"/>
      <c r="M996" s="1487"/>
      <c r="N996" s="1488"/>
      <c r="O996" s="1489"/>
      <c r="P996" s="1490"/>
      <c r="X996" s="1445" t="e">
        <f ca="1"/>
        <v>#NAME?</v>
      </c>
      <c r="Y996" s="1446" t="e">
        <f ca="1"/>
        <v>#NAME?</v>
      </c>
    </row>
    <row r="997" spans="1:25">
      <c r="A997" s="1487"/>
      <c r="B997" s="1488"/>
      <c r="C997" s="1489"/>
      <c r="D997" s="1490"/>
      <c r="E997" s="1487"/>
      <c r="F997" s="1488"/>
      <c r="G997" s="1489"/>
      <c r="H997" s="1490"/>
      <c r="I997" s="1487"/>
      <c r="J997" s="1488"/>
      <c r="K997" s="1489"/>
      <c r="L997" s="1490"/>
      <c r="M997" s="1487"/>
      <c r="N997" s="1488"/>
      <c r="O997" s="1489"/>
      <c r="P997" s="1490"/>
      <c r="X997" s="1445" t="e">
        <f ca="1"/>
        <v>#NAME?</v>
      </c>
      <c r="Y997" s="1446" t="e">
        <f ca="1"/>
        <v>#NAME?</v>
      </c>
    </row>
    <row r="998" spans="1:25">
      <c r="A998" s="1487"/>
      <c r="B998" s="1488"/>
      <c r="C998" s="1489"/>
      <c r="D998" s="1490"/>
      <c r="E998" s="1487"/>
      <c r="F998" s="1488"/>
      <c r="G998" s="1489"/>
      <c r="H998" s="1490"/>
      <c r="I998" s="1487"/>
      <c r="J998" s="1488"/>
      <c r="K998" s="1489"/>
      <c r="L998" s="1490"/>
      <c r="M998" s="1487"/>
      <c r="N998" s="1488"/>
      <c r="O998" s="1489"/>
      <c r="P998" s="1490"/>
      <c r="X998" s="1445" t="e">
        <f ca="1"/>
        <v>#NAME?</v>
      </c>
      <c r="Y998" s="1446" t="e">
        <f ca="1"/>
        <v>#NAME?</v>
      </c>
    </row>
    <row r="999" spans="1:25">
      <c r="A999" s="1487"/>
      <c r="B999" s="1488"/>
      <c r="C999" s="1489"/>
      <c r="D999" s="1490"/>
      <c r="E999" s="1487"/>
      <c r="F999" s="1488"/>
      <c r="G999" s="1489"/>
      <c r="H999" s="1490"/>
      <c r="I999" s="1487"/>
      <c r="J999" s="1488"/>
      <c r="K999" s="1489"/>
      <c r="L999" s="1490"/>
      <c r="M999" s="1487"/>
      <c r="N999" s="1488"/>
      <c r="O999" s="1489"/>
      <c r="P999" s="1490"/>
      <c r="X999" s="1445" t="e">
        <f ca="1"/>
        <v>#NAME?</v>
      </c>
      <c r="Y999" s="1446" t="e">
        <f ca="1"/>
        <v>#NAME?</v>
      </c>
    </row>
    <row r="1000" spans="1:25">
      <c r="A1000" s="1487"/>
      <c r="B1000" s="1488"/>
      <c r="C1000" s="1489"/>
      <c r="D1000" s="1490"/>
      <c r="E1000" s="1487"/>
      <c r="F1000" s="1488"/>
      <c r="G1000" s="1489"/>
      <c r="H1000" s="1490"/>
      <c r="I1000" s="1487"/>
      <c r="J1000" s="1488"/>
      <c r="K1000" s="1489"/>
      <c r="L1000" s="1490"/>
      <c r="M1000" s="1487"/>
      <c r="N1000" s="1488"/>
      <c r="O1000" s="1489"/>
      <c r="P1000" s="1490"/>
      <c r="X1000" s="1445" t="e">
        <f ca="1"/>
        <v>#NAME?</v>
      </c>
      <c r="Y1000" s="1446" t="e">
        <f ca="1"/>
        <v>#NAME?</v>
      </c>
    </row>
    <row r="1001" spans="1:25">
      <c r="A1001" s="1487"/>
      <c r="B1001" s="1488"/>
      <c r="C1001" s="1489"/>
      <c r="D1001" s="1490"/>
      <c r="E1001" s="1487"/>
      <c r="F1001" s="1488"/>
      <c r="G1001" s="1489"/>
      <c r="H1001" s="1490"/>
      <c r="I1001" s="1487"/>
      <c r="J1001" s="1488"/>
      <c r="K1001" s="1489"/>
      <c r="L1001" s="1490"/>
      <c r="M1001" s="1487"/>
      <c r="N1001" s="1488"/>
      <c r="O1001" s="1489"/>
      <c r="P1001" s="1490"/>
      <c r="X1001" s="1445" t="e">
        <f ca="1"/>
        <v>#NAME?</v>
      </c>
      <c r="Y1001" s="1446" t="e">
        <f ca="1"/>
        <v>#NAME?</v>
      </c>
    </row>
    <row r="1002" spans="1:25">
      <c r="A1002" s="1487"/>
      <c r="B1002" s="1488"/>
      <c r="C1002" s="1489"/>
      <c r="D1002" s="1490"/>
      <c r="E1002" s="1487"/>
      <c r="F1002" s="1488"/>
      <c r="G1002" s="1489"/>
      <c r="H1002" s="1490"/>
      <c r="I1002" s="1487"/>
      <c r="J1002" s="1488"/>
      <c r="K1002" s="1489"/>
      <c r="L1002" s="1490"/>
      <c r="M1002" s="1487"/>
      <c r="N1002" s="1488"/>
      <c r="O1002" s="1489"/>
      <c r="P1002" s="1490"/>
      <c r="X1002" s="1445" t="e">
        <f ca="1"/>
        <v>#NAME?</v>
      </c>
      <c r="Y1002" s="1446" t="e">
        <f ca="1"/>
        <v>#NAME?</v>
      </c>
    </row>
    <row r="1003" spans="1:25">
      <c r="A1003" s="1487"/>
      <c r="B1003" s="1488"/>
      <c r="C1003" s="1489"/>
      <c r="D1003" s="1490"/>
      <c r="E1003" s="1487"/>
      <c r="F1003" s="1488"/>
      <c r="G1003" s="1489"/>
      <c r="H1003" s="1490"/>
      <c r="I1003" s="1487"/>
      <c r="J1003" s="1488"/>
      <c r="K1003" s="1489"/>
      <c r="L1003" s="1490"/>
      <c r="M1003" s="1487"/>
      <c r="N1003" s="1488"/>
      <c r="O1003" s="1489"/>
      <c r="P1003" s="1490"/>
      <c r="X1003" s="1445" t="e">
        <f ca="1"/>
        <v>#NAME?</v>
      </c>
      <c r="Y1003" s="1446" t="e">
        <f ca="1"/>
        <v>#NAME?</v>
      </c>
    </row>
    <row r="1004" spans="1:25">
      <c r="A1004" s="1487"/>
      <c r="B1004" s="1488"/>
      <c r="C1004" s="1489"/>
      <c r="D1004" s="1490"/>
      <c r="E1004" s="1487"/>
      <c r="F1004" s="1488"/>
      <c r="G1004" s="1489"/>
      <c r="H1004" s="1490"/>
      <c r="I1004" s="1487"/>
      <c r="J1004" s="1488"/>
      <c r="K1004" s="1489"/>
      <c r="L1004" s="1490"/>
      <c r="M1004" s="1487"/>
      <c r="N1004" s="1488"/>
      <c r="O1004" s="1489"/>
      <c r="P1004" s="1490"/>
      <c r="X1004" s="1445" t="e">
        <f ca="1"/>
        <v>#NAME?</v>
      </c>
      <c r="Y1004" s="1446" t="e">
        <f ca="1"/>
        <v>#NAME?</v>
      </c>
    </row>
    <row r="1005" spans="1:25">
      <c r="A1005" s="1487"/>
      <c r="B1005" s="1488"/>
      <c r="C1005" s="1489"/>
      <c r="D1005" s="1490"/>
      <c r="E1005" s="1487"/>
      <c r="F1005" s="1488"/>
      <c r="G1005" s="1489"/>
      <c r="H1005" s="1490"/>
      <c r="I1005" s="1487"/>
      <c r="J1005" s="1488"/>
      <c r="K1005" s="1489"/>
      <c r="L1005" s="1490"/>
      <c r="M1005" s="1487"/>
      <c r="N1005" s="1488"/>
      <c r="O1005" s="1489"/>
      <c r="P1005" s="1490"/>
      <c r="X1005" s="1445" t="e">
        <f ca="1"/>
        <v>#NAME?</v>
      </c>
      <c r="Y1005" s="1446" t="e">
        <f ca="1"/>
        <v>#NAME?</v>
      </c>
    </row>
    <row r="1006" spans="1:25">
      <c r="A1006" s="1487"/>
      <c r="B1006" s="1488"/>
      <c r="C1006" s="1489"/>
      <c r="D1006" s="1490"/>
      <c r="E1006" s="1487"/>
      <c r="F1006" s="1488"/>
      <c r="G1006" s="1489"/>
      <c r="H1006" s="1490"/>
      <c r="I1006" s="1487"/>
      <c r="J1006" s="1488"/>
      <c r="K1006" s="1489"/>
      <c r="L1006" s="1490"/>
      <c r="M1006" s="1487"/>
      <c r="N1006" s="1488"/>
      <c r="O1006" s="1489"/>
      <c r="P1006" s="1490"/>
      <c r="X1006" s="1445" t="e">
        <f ca="1"/>
        <v>#NAME?</v>
      </c>
      <c r="Y1006" s="1446" t="e">
        <f ca="1"/>
        <v>#NAME?</v>
      </c>
    </row>
    <row r="1007" spans="1:25">
      <c r="A1007" s="1487"/>
      <c r="B1007" s="1488"/>
      <c r="C1007" s="1489"/>
      <c r="D1007" s="1490"/>
      <c r="E1007" s="1487"/>
      <c r="F1007" s="1488"/>
      <c r="G1007" s="1489"/>
      <c r="H1007" s="1490"/>
      <c r="I1007" s="1487"/>
      <c r="J1007" s="1488"/>
      <c r="K1007" s="1489"/>
      <c r="L1007" s="1490"/>
      <c r="M1007" s="1487"/>
      <c r="N1007" s="1488"/>
      <c r="O1007" s="1489"/>
      <c r="P1007" s="1490"/>
      <c r="X1007" s="1445" t="e">
        <f ca="1"/>
        <v>#NAME?</v>
      </c>
      <c r="Y1007" s="1446" t="e">
        <f ca="1"/>
        <v>#NAME?</v>
      </c>
    </row>
    <row r="1008" spans="1:25">
      <c r="A1008" s="1487"/>
      <c r="B1008" s="1488"/>
      <c r="C1008" s="1489"/>
      <c r="D1008" s="1490"/>
      <c r="E1008" s="1487"/>
      <c r="F1008" s="1488"/>
      <c r="G1008" s="1489"/>
      <c r="H1008" s="1490"/>
      <c r="I1008" s="1487"/>
      <c r="J1008" s="1488"/>
      <c r="K1008" s="1489"/>
      <c r="L1008" s="1490"/>
      <c r="M1008" s="1487"/>
      <c r="N1008" s="1488"/>
      <c r="O1008" s="1489"/>
      <c r="P1008" s="1490"/>
      <c r="X1008" s="1445" t="e">
        <f ca="1"/>
        <v>#NAME?</v>
      </c>
      <c r="Y1008" s="1446" t="e">
        <f ca="1"/>
        <v>#NAME?</v>
      </c>
    </row>
    <row r="1009" spans="1:25">
      <c r="A1009" s="1487"/>
      <c r="B1009" s="1488"/>
      <c r="C1009" s="1489"/>
      <c r="D1009" s="1490"/>
      <c r="E1009" s="1487"/>
      <c r="F1009" s="1488"/>
      <c r="G1009" s="1489"/>
      <c r="H1009" s="1490"/>
      <c r="I1009" s="1487"/>
      <c r="J1009" s="1488"/>
      <c r="K1009" s="1489"/>
      <c r="L1009" s="1490"/>
      <c r="M1009" s="1487"/>
      <c r="N1009" s="1488"/>
      <c r="O1009" s="1489"/>
      <c r="P1009" s="1490"/>
      <c r="X1009" s="1445" t="e">
        <f ca="1"/>
        <v>#NAME?</v>
      </c>
      <c r="Y1009" s="1446" t="e">
        <f ca="1"/>
        <v>#NAME?</v>
      </c>
    </row>
    <row r="1010" spans="1:25">
      <c r="A1010" s="1487"/>
      <c r="B1010" s="1488"/>
      <c r="C1010" s="1489"/>
      <c r="D1010" s="1490"/>
      <c r="E1010" s="1487"/>
      <c r="F1010" s="1488"/>
      <c r="G1010" s="1489"/>
      <c r="H1010" s="1490"/>
      <c r="I1010" s="1487"/>
      <c r="J1010" s="1488"/>
      <c r="K1010" s="1489"/>
      <c r="L1010" s="1490"/>
      <c r="M1010" s="1487"/>
      <c r="N1010" s="1488"/>
      <c r="O1010" s="1489"/>
      <c r="P1010" s="1490"/>
      <c r="X1010" s="1445" t="e">
        <f ca="1"/>
        <v>#NAME?</v>
      </c>
      <c r="Y1010" s="1446" t="e">
        <f ca="1"/>
        <v>#NAME?</v>
      </c>
    </row>
    <row r="1011" spans="1:25">
      <c r="A1011" s="1487"/>
      <c r="B1011" s="1488"/>
      <c r="C1011" s="1489"/>
      <c r="D1011" s="1490"/>
      <c r="E1011" s="1487"/>
      <c r="F1011" s="1488"/>
      <c r="G1011" s="1489"/>
      <c r="H1011" s="1490"/>
      <c r="I1011" s="1487"/>
      <c r="J1011" s="1488"/>
      <c r="K1011" s="1489"/>
      <c r="L1011" s="1490"/>
      <c r="M1011" s="1487"/>
      <c r="N1011" s="1488"/>
      <c r="O1011" s="1489"/>
      <c r="P1011" s="1490"/>
      <c r="X1011" s="1445" t="e">
        <f ca="1"/>
        <v>#NAME?</v>
      </c>
      <c r="Y1011" s="1446" t="e">
        <f ca="1"/>
        <v>#NAME?</v>
      </c>
    </row>
    <row r="1012" spans="1:25">
      <c r="A1012" s="1487"/>
      <c r="B1012" s="1488"/>
      <c r="C1012" s="1489"/>
      <c r="D1012" s="1490"/>
      <c r="E1012" s="1487"/>
      <c r="F1012" s="1488"/>
      <c r="G1012" s="1489"/>
      <c r="H1012" s="1490"/>
      <c r="I1012" s="1487"/>
      <c r="J1012" s="1488"/>
      <c r="K1012" s="1489"/>
      <c r="L1012" s="1490"/>
      <c r="M1012" s="1487"/>
      <c r="N1012" s="1488"/>
      <c r="O1012" s="1489"/>
      <c r="P1012" s="1490"/>
      <c r="X1012" s="1445" t="e">
        <f ca="1"/>
        <v>#NAME?</v>
      </c>
      <c r="Y1012" s="1446" t="e">
        <f ca="1"/>
        <v>#NAME?</v>
      </c>
    </row>
    <row r="1013" spans="1:25">
      <c r="A1013" s="1487"/>
      <c r="B1013" s="1488"/>
      <c r="C1013" s="1489"/>
      <c r="D1013" s="1490"/>
      <c r="E1013" s="1487"/>
      <c r="F1013" s="1488"/>
      <c r="G1013" s="1489"/>
      <c r="H1013" s="1490"/>
      <c r="I1013" s="1487"/>
      <c r="J1013" s="1488"/>
      <c r="K1013" s="1489"/>
      <c r="L1013" s="1490"/>
      <c r="M1013" s="1487"/>
      <c r="N1013" s="1488"/>
      <c r="O1013" s="1489"/>
      <c r="P1013" s="1490"/>
      <c r="X1013" s="1445" t="e">
        <f ca="1"/>
        <v>#NAME?</v>
      </c>
      <c r="Y1013" s="1446" t="e">
        <f ca="1"/>
        <v>#NAME?</v>
      </c>
    </row>
    <row r="1014" spans="1:25">
      <c r="A1014" s="1487"/>
      <c r="B1014" s="1488"/>
      <c r="C1014" s="1489"/>
      <c r="D1014" s="1490"/>
      <c r="E1014" s="1487"/>
      <c r="F1014" s="1488"/>
      <c r="G1014" s="1489"/>
      <c r="H1014" s="1490"/>
      <c r="I1014" s="1487"/>
      <c r="J1014" s="1488"/>
      <c r="K1014" s="1489"/>
      <c r="L1014" s="1490"/>
      <c r="M1014" s="1487"/>
      <c r="N1014" s="1488"/>
      <c r="O1014" s="1489"/>
      <c r="P1014" s="1490"/>
      <c r="X1014" s="1445" t="e">
        <f ca="1"/>
        <v>#NAME?</v>
      </c>
      <c r="Y1014" s="1446" t="e">
        <f ca="1"/>
        <v>#NAME?</v>
      </c>
    </row>
    <row r="1015" spans="1:25">
      <c r="A1015" s="1487"/>
      <c r="B1015" s="1488"/>
      <c r="C1015" s="1489"/>
      <c r="D1015" s="1490"/>
      <c r="E1015" s="1487"/>
      <c r="F1015" s="1488"/>
      <c r="G1015" s="1489"/>
      <c r="H1015" s="1490"/>
      <c r="I1015" s="1487"/>
      <c r="J1015" s="1488"/>
      <c r="K1015" s="1489"/>
      <c r="L1015" s="1490"/>
      <c r="M1015" s="1487"/>
      <c r="N1015" s="1488"/>
      <c r="O1015" s="1489"/>
      <c r="P1015" s="1490"/>
      <c r="X1015" s="1445" t="e">
        <f ca="1"/>
        <v>#NAME?</v>
      </c>
      <c r="Y1015" s="1446" t="e">
        <f ca="1"/>
        <v>#NAME?</v>
      </c>
    </row>
    <row r="1016" spans="1:25">
      <c r="A1016" s="1487"/>
      <c r="B1016" s="1488"/>
      <c r="C1016" s="1489"/>
      <c r="D1016" s="1490"/>
      <c r="E1016" s="1487"/>
      <c r="F1016" s="1488"/>
      <c r="G1016" s="1489"/>
      <c r="H1016" s="1490"/>
      <c r="I1016" s="1487"/>
      <c r="J1016" s="1488"/>
      <c r="K1016" s="1489"/>
      <c r="L1016" s="1490"/>
      <c r="M1016" s="1487"/>
      <c r="N1016" s="1488"/>
      <c r="O1016" s="1489"/>
      <c r="P1016" s="1490"/>
      <c r="X1016" s="1445" t="e">
        <f ca="1"/>
        <v>#NAME?</v>
      </c>
      <c r="Y1016" s="1446" t="e">
        <f ca="1"/>
        <v>#NAME?</v>
      </c>
    </row>
    <row r="1017" spans="1:25">
      <c r="A1017" s="1487"/>
      <c r="B1017" s="1488"/>
      <c r="C1017" s="1489"/>
      <c r="D1017" s="1490"/>
      <c r="E1017" s="1487"/>
      <c r="F1017" s="1488"/>
      <c r="G1017" s="1489"/>
      <c r="H1017" s="1490"/>
      <c r="I1017" s="1487"/>
      <c r="J1017" s="1488"/>
      <c r="K1017" s="1489"/>
      <c r="L1017" s="1490"/>
      <c r="M1017" s="1487"/>
      <c r="N1017" s="1488"/>
      <c r="O1017" s="1489"/>
      <c r="P1017" s="1490"/>
      <c r="X1017" s="1445" t="e">
        <f ca="1"/>
        <v>#NAME?</v>
      </c>
      <c r="Y1017" s="1446" t="e">
        <f ca="1"/>
        <v>#NAME?</v>
      </c>
    </row>
    <row r="1018" spans="1:25">
      <c r="A1018" s="1487"/>
      <c r="B1018" s="1488"/>
      <c r="C1018" s="1489"/>
      <c r="D1018" s="1490"/>
      <c r="E1018" s="1487"/>
      <c r="F1018" s="1488"/>
      <c r="G1018" s="1489"/>
      <c r="H1018" s="1490"/>
      <c r="I1018" s="1487"/>
      <c r="J1018" s="1488"/>
      <c r="K1018" s="1489"/>
      <c r="L1018" s="1490"/>
      <c r="M1018" s="1487"/>
      <c r="N1018" s="1488"/>
      <c r="O1018" s="1489"/>
      <c r="P1018" s="1490"/>
      <c r="X1018" s="1445" t="e">
        <f ca="1"/>
        <v>#NAME?</v>
      </c>
      <c r="Y1018" s="1446" t="e">
        <f ca="1"/>
        <v>#NAME?</v>
      </c>
    </row>
    <row r="1019" spans="1:25">
      <c r="A1019" s="1487"/>
      <c r="B1019" s="1488"/>
      <c r="C1019" s="1489"/>
      <c r="D1019" s="1490"/>
      <c r="E1019" s="1487"/>
      <c r="F1019" s="1488"/>
      <c r="G1019" s="1489"/>
      <c r="H1019" s="1490"/>
      <c r="I1019" s="1487"/>
      <c r="J1019" s="1488"/>
      <c r="K1019" s="1489"/>
      <c r="L1019" s="1490"/>
      <c r="M1019" s="1487"/>
      <c r="N1019" s="1488"/>
      <c r="O1019" s="1489"/>
      <c r="P1019" s="1490"/>
      <c r="X1019" s="1445" t="e">
        <f ca="1"/>
        <v>#NAME?</v>
      </c>
      <c r="Y1019" s="1446" t="e">
        <f ca="1"/>
        <v>#NAME?</v>
      </c>
    </row>
    <row r="1020" spans="1:25">
      <c r="A1020" s="1487"/>
      <c r="B1020" s="1488"/>
      <c r="C1020" s="1489"/>
      <c r="D1020" s="1490"/>
      <c r="E1020" s="1487"/>
      <c r="F1020" s="1488"/>
      <c r="G1020" s="1489"/>
      <c r="H1020" s="1490"/>
      <c r="I1020" s="1487"/>
      <c r="J1020" s="1488"/>
      <c r="K1020" s="1489"/>
      <c r="L1020" s="1490"/>
      <c r="M1020" s="1487"/>
      <c r="N1020" s="1488"/>
      <c r="O1020" s="1489"/>
      <c r="P1020" s="1490"/>
      <c r="X1020" s="1445" t="e">
        <f ca="1"/>
        <v>#NAME?</v>
      </c>
      <c r="Y1020" s="1446" t="e">
        <f ca="1"/>
        <v>#NAME?</v>
      </c>
    </row>
    <row r="1021" spans="1:25">
      <c r="A1021" s="1487"/>
      <c r="B1021" s="1488"/>
      <c r="C1021" s="1489"/>
      <c r="D1021" s="1490"/>
      <c r="E1021" s="1487"/>
      <c r="F1021" s="1488"/>
      <c r="G1021" s="1489"/>
      <c r="H1021" s="1490"/>
      <c r="I1021" s="1487"/>
      <c r="J1021" s="1488"/>
      <c r="K1021" s="1489"/>
      <c r="L1021" s="1490"/>
      <c r="M1021" s="1487"/>
      <c r="N1021" s="1488"/>
      <c r="O1021" s="1489"/>
      <c r="P1021" s="1490"/>
      <c r="X1021" s="1445" t="e">
        <f ca="1"/>
        <v>#NAME?</v>
      </c>
      <c r="Y1021" s="1446" t="e">
        <f ca="1"/>
        <v>#NAME?</v>
      </c>
    </row>
    <row r="1022" spans="1:25">
      <c r="A1022" s="1487"/>
      <c r="B1022" s="1488"/>
      <c r="C1022" s="1489"/>
      <c r="D1022" s="1490"/>
      <c r="E1022" s="1487"/>
      <c r="F1022" s="1488"/>
      <c r="G1022" s="1489"/>
      <c r="H1022" s="1490"/>
      <c r="I1022" s="1487"/>
      <c r="J1022" s="1488"/>
      <c r="K1022" s="1489"/>
      <c r="L1022" s="1490"/>
      <c r="M1022" s="1487"/>
      <c r="N1022" s="1488"/>
      <c r="O1022" s="1489"/>
      <c r="P1022" s="1490"/>
      <c r="X1022" s="1445" t="e">
        <f ca="1"/>
        <v>#NAME?</v>
      </c>
      <c r="Y1022" s="1446" t="e">
        <f ca="1"/>
        <v>#NAME?</v>
      </c>
    </row>
    <row r="1023" spans="1:25">
      <c r="A1023" s="1487"/>
      <c r="B1023" s="1488"/>
      <c r="C1023" s="1489"/>
      <c r="D1023" s="1490"/>
      <c r="E1023" s="1487"/>
      <c r="F1023" s="1488"/>
      <c r="G1023" s="1489"/>
      <c r="H1023" s="1490"/>
      <c r="I1023" s="1487"/>
      <c r="J1023" s="1488"/>
      <c r="K1023" s="1489"/>
      <c r="L1023" s="1490"/>
      <c r="M1023" s="1487"/>
      <c r="N1023" s="1488"/>
      <c r="O1023" s="1489"/>
      <c r="P1023" s="1490"/>
      <c r="X1023" s="1445" t="e">
        <f ca="1"/>
        <v>#NAME?</v>
      </c>
      <c r="Y1023" s="1446" t="e">
        <f ca="1"/>
        <v>#NAME?</v>
      </c>
    </row>
    <row r="1024" spans="1:25">
      <c r="A1024" s="1487"/>
      <c r="B1024" s="1488"/>
      <c r="C1024" s="1489"/>
      <c r="D1024" s="1490"/>
      <c r="E1024" s="1487"/>
      <c r="F1024" s="1488"/>
      <c r="G1024" s="1489"/>
      <c r="H1024" s="1490"/>
      <c r="I1024" s="1487"/>
      <c r="J1024" s="1488"/>
      <c r="K1024" s="1489"/>
      <c r="L1024" s="1490"/>
      <c r="M1024" s="1487"/>
      <c r="N1024" s="1488"/>
      <c r="O1024" s="1489"/>
      <c r="P1024" s="1490"/>
      <c r="X1024" s="1445" t="e">
        <f ca="1"/>
        <v>#NAME?</v>
      </c>
      <c r="Y1024" s="1446" t="e">
        <f ca="1"/>
        <v>#NAME?</v>
      </c>
    </row>
    <row r="1025" spans="1:25">
      <c r="A1025" s="1487"/>
      <c r="B1025" s="1488"/>
      <c r="C1025" s="1489"/>
      <c r="D1025" s="1490"/>
      <c r="E1025" s="1487"/>
      <c r="F1025" s="1488"/>
      <c r="G1025" s="1489"/>
      <c r="H1025" s="1490"/>
      <c r="I1025" s="1487"/>
      <c r="J1025" s="1488"/>
      <c r="K1025" s="1489"/>
      <c r="L1025" s="1490"/>
      <c r="M1025" s="1487"/>
      <c r="N1025" s="1488"/>
      <c r="O1025" s="1489"/>
      <c r="P1025" s="1490"/>
      <c r="X1025" s="1445" t="e">
        <f ca="1"/>
        <v>#NAME?</v>
      </c>
      <c r="Y1025" s="1446" t="e">
        <f ca="1"/>
        <v>#NAME?</v>
      </c>
    </row>
    <row r="1026" spans="1:25">
      <c r="A1026" s="1487"/>
      <c r="B1026" s="1488"/>
      <c r="C1026" s="1489"/>
      <c r="D1026" s="1490"/>
      <c r="E1026" s="1487"/>
      <c r="F1026" s="1488"/>
      <c r="G1026" s="1489"/>
      <c r="H1026" s="1490"/>
      <c r="I1026" s="1487"/>
      <c r="J1026" s="1488"/>
      <c r="K1026" s="1489"/>
      <c r="L1026" s="1490"/>
      <c r="M1026" s="1487"/>
      <c r="N1026" s="1488"/>
      <c r="O1026" s="1489"/>
      <c r="P1026" s="1490"/>
      <c r="X1026" s="1445" t="e">
        <f ca="1"/>
        <v>#NAME?</v>
      </c>
      <c r="Y1026" s="1446" t="e">
        <f ca="1"/>
        <v>#NAME?</v>
      </c>
    </row>
    <row r="1027" spans="1:25">
      <c r="A1027" s="1487"/>
      <c r="B1027" s="1488"/>
      <c r="C1027" s="1489"/>
      <c r="D1027" s="1490"/>
      <c r="E1027" s="1487"/>
      <c r="F1027" s="1488"/>
      <c r="G1027" s="1489"/>
      <c r="H1027" s="1490"/>
      <c r="I1027" s="1487"/>
      <c r="J1027" s="1488"/>
      <c r="K1027" s="1489"/>
      <c r="L1027" s="1490"/>
      <c r="M1027" s="1487"/>
      <c r="N1027" s="1488"/>
      <c r="O1027" s="1489"/>
      <c r="P1027" s="1490"/>
      <c r="X1027" s="1445" t="e">
        <f ca="1"/>
        <v>#NAME?</v>
      </c>
      <c r="Y1027" s="1446" t="e">
        <f ca="1"/>
        <v>#NAME?</v>
      </c>
    </row>
    <row r="1028" spans="1:25">
      <c r="A1028" s="1487"/>
      <c r="B1028" s="1488"/>
      <c r="C1028" s="1489"/>
      <c r="D1028" s="1490"/>
      <c r="E1028" s="1487"/>
      <c r="F1028" s="1488"/>
      <c r="G1028" s="1489"/>
      <c r="H1028" s="1490"/>
      <c r="I1028" s="1487"/>
      <c r="J1028" s="1488"/>
      <c r="K1028" s="1489"/>
      <c r="L1028" s="1490"/>
      <c r="M1028" s="1487"/>
      <c r="N1028" s="1488"/>
      <c r="O1028" s="1489"/>
      <c r="P1028" s="1490"/>
      <c r="X1028" s="1445" t="e">
        <f ca="1"/>
        <v>#NAME?</v>
      </c>
      <c r="Y1028" s="1446" t="e">
        <f ca="1"/>
        <v>#NAME?</v>
      </c>
    </row>
    <row r="1029" spans="1:25">
      <c r="A1029" s="1487"/>
      <c r="B1029" s="1488"/>
      <c r="C1029" s="1489"/>
      <c r="D1029" s="1490"/>
      <c r="E1029" s="1487"/>
      <c r="F1029" s="1488"/>
      <c r="G1029" s="1489"/>
      <c r="H1029" s="1490"/>
      <c r="I1029" s="1487"/>
      <c r="J1029" s="1488"/>
      <c r="K1029" s="1489"/>
      <c r="L1029" s="1490"/>
      <c r="M1029" s="1487"/>
      <c r="N1029" s="1488"/>
      <c r="O1029" s="1489"/>
      <c r="P1029" s="1490"/>
      <c r="X1029" s="1445" t="e">
        <f ca="1"/>
        <v>#NAME?</v>
      </c>
      <c r="Y1029" s="1446" t="e">
        <f ca="1"/>
        <v>#NAME?</v>
      </c>
    </row>
    <row r="1030" spans="1:25">
      <c r="A1030" s="1487"/>
      <c r="B1030" s="1488"/>
      <c r="C1030" s="1489"/>
      <c r="D1030" s="1490"/>
      <c r="E1030" s="1487"/>
      <c r="F1030" s="1488"/>
      <c r="G1030" s="1489"/>
      <c r="H1030" s="1490"/>
      <c r="I1030" s="1487"/>
      <c r="J1030" s="1488"/>
      <c r="K1030" s="1489"/>
      <c r="L1030" s="1490"/>
      <c r="M1030" s="1487"/>
      <c r="N1030" s="1488"/>
      <c r="O1030" s="1489"/>
      <c r="P1030" s="1490"/>
      <c r="X1030" s="1445" t="e">
        <f ca="1"/>
        <v>#NAME?</v>
      </c>
      <c r="Y1030" s="1446" t="e">
        <f ca="1"/>
        <v>#NAME?</v>
      </c>
    </row>
    <row r="1031" spans="1:25" ht="13.5" thickBot="1">
      <c r="A1031" s="1494"/>
      <c r="B1031" s="1495"/>
      <c r="C1031" s="1496"/>
      <c r="D1031" s="1497"/>
      <c r="E1031" s="1494"/>
      <c r="F1031" s="1495"/>
      <c r="G1031" s="1496"/>
      <c r="H1031" s="1497"/>
      <c r="I1031" s="1494"/>
      <c r="J1031" s="1495"/>
      <c r="K1031" s="1496"/>
      <c r="L1031" s="1497"/>
      <c r="M1031" s="1494"/>
      <c r="N1031" s="1495"/>
      <c r="O1031" s="1496"/>
      <c r="P1031" s="1497"/>
      <c r="X1031" s="1447" t="e">
        <f ca="1"/>
        <v>#NAME?</v>
      </c>
      <c r="Y1031" s="1448" t="e">
        <f ca="1"/>
        <v>#NAME?</v>
      </c>
    </row>
  </sheetData>
  <sheetProtection algorithmName="SHA-512" hashValue="NoM+rOC3iLMZ4MOT337/ChzeiNe0+QusJXx8cAi7TR7rsMGRg007ov+PoWA6bgVAAlXk+wBQ4LqdBauedJz8dw==" saltValue="82HmuMB0ffIYF1SZz3vXgg==" spinCount="100000" sheet="1" objects="1" scenarios="1"/>
  <mergeCells count="11">
    <mergeCell ref="O28:P28"/>
    <mergeCell ref="D1:N1"/>
    <mergeCell ref="B4:P4"/>
    <mergeCell ref="A27:P27"/>
    <mergeCell ref="A28:B28"/>
    <mergeCell ref="C28:D28"/>
    <mergeCell ref="E28:F28"/>
    <mergeCell ref="G28:H28"/>
    <mergeCell ref="I28:J28"/>
    <mergeCell ref="K28:L28"/>
    <mergeCell ref="M28:N28"/>
  </mergeCells>
  <dataValidations count="1">
    <dataValidation type="list" allowBlank="1" showInputMessage="1" showErrorMessage="1" sqref="R18" xr:uid="{00000000-0002-0000-1500-000000000000}">
      <formula1>$R$8:$R$14</formula1>
    </dataValidation>
  </dataValidations>
  <printOptions horizontalCentered="1"/>
  <pageMargins left="0.25" right="0.25" top="0.25" bottom="0.25" header="0.5" footer="0.5"/>
  <pageSetup scale="67" orientation="landscape" verticalDpi="599" r:id="rId1"/>
  <headerFooter alignWithMargins="0"/>
  <drawing r:id="rId2"/>
  <legacyDrawing r:id="rId3"/>
  <controls>
    <mc:AlternateContent xmlns:mc="http://schemas.openxmlformats.org/markup-compatibility/2006">
      <mc:Choice Requires="x14">
        <control shapeId="67585" r:id="rId4" name="Label1">
          <controlPr defaultSize="0" autoFill="0" autoLine="0" r:id="rId5">
            <anchor moveWithCells="1">
              <from>
                <xdr:col>8</xdr:col>
                <xdr:colOff>180975</xdr:colOff>
                <xdr:row>1</xdr:row>
                <xdr:rowOff>247650</xdr:rowOff>
              </from>
              <to>
                <xdr:col>15</xdr:col>
                <xdr:colOff>104775</xdr:colOff>
                <xdr:row>1</xdr:row>
                <xdr:rowOff>676275</xdr:rowOff>
              </to>
            </anchor>
          </controlPr>
        </control>
      </mc:Choice>
      <mc:Fallback>
        <control shapeId="67585" r:id="rId4" name="Label1"/>
      </mc:Fallback>
    </mc:AlternateContent>
    <mc:AlternateContent xmlns:mc="http://schemas.openxmlformats.org/markup-compatibility/2006">
      <mc:Choice Requires="x14">
        <control shapeId="67586" r:id="rId6" name="cbLoadData">
          <controlPr autoLine="0" r:id="rId7">
            <anchor moveWithCells="1">
              <from>
                <xdr:col>3</xdr:col>
                <xdr:colOff>0</xdr:colOff>
                <xdr:row>1</xdr:row>
                <xdr:rowOff>371475</xdr:rowOff>
              </from>
              <to>
                <xdr:col>5</xdr:col>
                <xdr:colOff>0</xdr:colOff>
                <xdr:row>1</xdr:row>
                <xdr:rowOff>752475</xdr:rowOff>
              </to>
            </anchor>
          </controlPr>
        </control>
      </mc:Choice>
      <mc:Fallback>
        <control shapeId="67586" r:id="rId6" name="cbLoadData"/>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pageSetUpPr fitToPage="1"/>
  </sheetPr>
  <dimension ref="A1:R42"/>
  <sheetViews>
    <sheetView showGridLines="0" zoomScale="80" zoomScaleNormal="80" workbookViewId="0">
      <selection activeCell="L19" sqref="L19:L24"/>
    </sheetView>
  </sheetViews>
  <sheetFormatPr defaultRowHeight="12.75"/>
  <cols>
    <col min="1" max="1" width="14.140625" style="1277" bestFit="1" customWidth="1"/>
    <col min="2" max="2" width="7.140625" style="1277" bestFit="1" customWidth="1"/>
    <col min="3" max="3" width="7.7109375" style="1277" customWidth="1"/>
    <col min="4" max="4" width="11.28515625" style="1277" customWidth="1"/>
    <col min="5" max="5" width="9.28515625" style="1277" bestFit="1" customWidth="1"/>
    <col min="6" max="6" width="10.140625" style="1277" bestFit="1" customWidth="1"/>
    <col min="7" max="8" width="7.28515625" style="1277" customWidth="1"/>
    <col min="9" max="9" width="9.7109375" style="1277" bestFit="1" customWidth="1"/>
    <col min="10" max="10" width="12.85546875" style="1277" bestFit="1" customWidth="1"/>
    <col min="11" max="11" width="7.140625" style="1277" bestFit="1" customWidth="1"/>
    <col min="12" max="12" width="11.140625" style="1277" bestFit="1" customWidth="1"/>
    <col min="13" max="13" width="13.140625" style="1277" bestFit="1" customWidth="1"/>
    <col min="14" max="15" width="7.28515625" style="1277" customWidth="1"/>
    <col min="16" max="16" width="9" style="1277" customWidth="1"/>
    <col min="17" max="16384" width="9.140625" style="1277"/>
  </cols>
  <sheetData>
    <row r="1" spans="1:18" ht="13.5" thickTop="1">
      <c r="A1" s="1274"/>
      <c r="B1" s="1275"/>
      <c r="C1" s="1275"/>
      <c r="D1" s="1275"/>
      <c r="E1" s="1275"/>
      <c r="F1" s="1275"/>
      <c r="G1" s="1275"/>
      <c r="H1" s="1275"/>
      <c r="I1" s="1275"/>
      <c r="J1" s="1275"/>
      <c r="K1" s="1275"/>
      <c r="L1" s="1275"/>
      <c r="M1" s="1275"/>
      <c r="N1" s="1275"/>
      <c r="O1" s="1276"/>
    </row>
    <row r="2" spans="1:18" s="1281" customFormat="1" ht="13.9" customHeight="1">
      <c r="A2" s="1278" t="s">
        <v>2709</v>
      </c>
      <c r="B2" s="1279"/>
      <c r="C2" s="1279"/>
      <c r="D2" s="1279"/>
      <c r="E2" s="1279"/>
      <c r="F2" s="1279"/>
      <c r="G2" s="1279"/>
      <c r="H2" s="1279"/>
      <c r="I2" s="1279"/>
      <c r="J2" s="1279"/>
      <c r="K2" s="1279"/>
      <c r="L2" s="1279"/>
      <c r="M2" s="1279"/>
      <c r="N2" s="1279"/>
      <c r="O2" s="1280"/>
    </row>
    <row r="3" spans="1:18" s="1281" customFormat="1" ht="13.9" customHeight="1">
      <c r="A3" s="1278" t="s">
        <v>2710</v>
      </c>
      <c r="B3" s="1279"/>
      <c r="C3" s="1279"/>
      <c r="D3" s="1279"/>
      <c r="E3" s="1279"/>
      <c r="F3" s="1279"/>
      <c r="G3" s="1279"/>
      <c r="H3" s="1279"/>
      <c r="I3" s="1279"/>
      <c r="J3" s="1279"/>
      <c r="K3" s="1279"/>
      <c r="L3" s="1279"/>
      <c r="M3" s="1279"/>
      <c r="N3" s="1279"/>
      <c r="O3" s="1280"/>
    </row>
    <row r="4" spans="1:18" s="1281" customFormat="1" ht="13.9" customHeight="1">
      <c r="A4" s="1278" t="s">
        <v>2711</v>
      </c>
      <c r="B4" s="1279"/>
      <c r="C4" s="1279"/>
      <c r="D4" s="1279"/>
      <c r="E4" s="1279"/>
      <c r="F4" s="1279"/>
      <c r="G4" s="1279"/>
      <c r="H4" s="1279"/>
      <c r="I4" s="1279"/>
      <c r="J4" s="1279"/>
      <c r="K4" s="1279"/>
      <c r="L4" s="1279"/>
      <c r="M4" s="1279"/>
      <c r="N4" s="1279"/>
      <c r="O4" s="1280"/>
    </row>
    <row r="5" spans="1:18" s="1281" customFormat="1" ht="13.9" customHeight="1" thickBot="1">
      <c r="A5" s="1282"/>
      <c r="B5" s="1283"/>
      <c r="C5" s="1283"/>
      <c r="D5" s="1283"/>
      <c r="E5" s="1283"/>
      <c r="F5" s="1283"/>
      <c r="G5" s="1283"/>
      <c r="H5" s="1283"/>
      <c r="I5" s="1283"/>
      <c r="J5" s="1283"/>
      <c r="K5" s="1283"/>
      <c r="L5" s="1283"/>
      <c r="M5" s="1283"/>
      <c r="N5" s="1283"/>
      <c r="O5" s="1284"/>
    </row>
    <row r="6" spans="1:18" s="1281" customFormat="1" ht="13.9" customHeight="1" thickTop="1"/>
    <row r="7" spans="1:18" s="1281" customFormat="1" ht="13.9" customHeight="1">
      <c r="A7" s="1285" t="s">
        <v>3420</v>
      </c>
      <c r="B7" s="1286"/>
      <c r="C7" s="1286"/>
      <c r="D7" s="1286"/>
      <c r="E7" s="1286"/>
      <c r="F7" s="1286"/>
      <c r="G7" s="1286"/>
      <c r="H7" s="1286"/>
      <c r="I7" s="1286"/>
      <c r="J7" s="1286"/>
      <c r="K7" s="1286"/>
      <c r="L7" s="1286"/>
      <c r="M7" s="1286"/>
      <c r="N7" s="1286"/>
      <c r="O7" s="1286"/>
    </row>
    <row r="8" spans="1:18" s="1281" customFormat="1" ht="13.9" customHeight="1">
      <c r="A8" s="1287"/>
      <c r="B8" s="1288"/>
      <c r="C8" s="1288"/>
      <c r="D8" s="1288"/>
      <c r="E8" s="1288"/>
      <c r="F8" s="1288"/>
      <c r="G8" s="1288"/>
      <c r="H8" s="1288"/>
      <c r="I8" s="1288"/>
      <c r="J8" s="1288"/>
      <c r="K8" s="1288"/>
      <c r="L8" s="1288"/>
      <c r="M8" s="1288"/>
      <c r="N8" s="1288"/>
      <c r="O8" s="1288"/>
    </row>
    <row r="9" spans="1:18" s="1281" customFormat="1" ht="13.9" customHeight="1">
      <c r="A9" s="1289" t="s">
        <v>2798</v>
      </c>
      <c r="B9" s="1290" t="str">
        <f>IF('Pay Values'!B3="","",'Pay Values'!B3)</f>
        <v/>
      </c>
      <c r="E9" s="1287"/>
      <c r="F9" s="1289" t="s">
        <v>2713</v>
      </c>
      <c r="H9" s="1290" t="str">
        <f>IF('Pay Values'!I3="","",'Pay Values'!I3)</f>
        <v/>
      </c>
      <c r="J9" s="1289" t="s">
        <v>2714</v>
      </c>
      <c r="K9" s="1287"/>
      <c r="L9" s="1676" t="str">
        <f>IF('Pay Values'!B5="","",'Pay Values'!B5)</f>
        <v/>
      </c>
      <c r="M9" s="1676"/>
      <c r="N9" s="1676"/>
      <c r="O9" s="1676"/>
    </row>
    <row r="10" spans="1:18" s="1281" customFormat="1" ht="13.9" customHeight="1">
      <c r="E10" s="1287"/>
      <c r="K10" s="1287"/>
      <c r="L10" s="1676"/>
      <c r="M10" s="1676"/>
      <c r="N10" s="1676"/>
      <c r="O10" s="1676"/>
    </row>
    <row r="11" spans="1:18" s="1281" customFormat="1" ht="13.9" customHeight="1">
      <c r="A11" s="1289" t="s">
        <v>2715</v>
      </c>
      <c r="B11" s="1290" t="str">
        <f>IF('Pay Values'!B4="","",'Pay Values'!B4)</f>
        <v/>
      </c>
      <c r="E11" s="1287"/>
      <c r="F11" s="1289" t="s">
        <v>2716</v>
      </c>
      <c r="H11" s="1290" t="str">
        <f>IF('Pay Values'!I5="","",'Pay Values'!I5)</f>
        <v/>
      </c>
      <c r="J11" s="1289" t="s">
        <v>2717</v>
      </c>
      <c r="K11" s="1287"/>
      <c r="L11" s="1676" t="e">
        <f>IF('Pay Values'!C6="","",'Pay Values'!C6)</f>
        <v>#N/A</v>
      </c>
      <c r="M11" s="1676"/>
      <c r="N11" s="1676"/>
      <c r="O11" s="1676"/>
      <c r="P11" s="1291"/>
    </row>
    <row r="12" spans="1:18" s="1281" customFormat="1" ht="13.9" customHeight="1">
      <c r="B12" s="1290"/>
      <c r="E12" s="1287"/>
      <c r="F12" s="1287"/>
      <c r="G12" s="1287"/>
      <c r="H12" s="1287"/>
      <c r="I12" s="1287"/>
      <c r="J12" s="1287"/>
      <c r="K12" s="1287"/>
      <c r="L12" s="1676"/>
      <c r="M12" s="1676"/>
      <c r="N12" s="1676"/>
      <c r="O12" s="1676"/>
      <c r="P12" s="1291"/>
    </row>
    <row r="13" spans="1:18" s="1281" customFormat="1" ht="13.9" customHeight="1">
      <c r="A13" s="1289" t="s">
        <v>2718</v>
      </c>
      <c r="B13" s="1290" t="e">
        <f>IF(Calculations!E147="","",Calculations!E147)</f>
        <v>#N/A</v>
      </c>
      <c r="E13" s="1287"/>
      <c r="F13" s="1289" t="s">
        <v>2719</v>
      </c>
      <c r="J13" s="1289" t="s">
        <v>2796</v>
      </c>
      <c r="K13" s="1287"/>
      <c r="L13" s="1281" t="s">
        <v>2797</v>
      </c>
      <c r="M13" s="1287"/>
      <c r="N13" s="1287"/>
      <c r="O13" s="1287"/>
      <c r="P13" s="1291"/>
    </row>
    <row r="14" spans="1:18" s="1281" customFormat="1" ht="13.9" customHeight="1">
      <c r="A14" s="1292" t="s">
        <v>2720</v>
      </c>
      <c r="B14" s="1287"/>
      <c r="E14" s="1287"/>
      <c r="J14" s="1291"/>
      <c r="P14" s="1291"/>
    </row>
    <row r="15" spans="1:18" s="1281" customFormat="1" ht="13.9" customHeight="1">
      <c r="A15" s="1289" t="s">
        <v>2721</v>
      </c>
      <c r="B15" s="1290" t="str">
        <f>IF('Pay Values'!B46="","",'Pay Values'!B46)</f>
        <v/>
      </c>
      <c r="E15" s="1287"/>
      <c r="F15" s="1293"/>
      <c r="H15" s="1290"/>
      <c r="I15" s="1294"/>
      <c r="J15" s="1287"/>
      <c r="K15" s="1498"/>
      <c r="L15" s="1318"/>
      <c r="M15" s="1498"/>
      <c r="N15" s="1499"/>
      <c r="O15" s="1498"/>
      <c r="P15" s="1291"/>
    </row>
    <row r="16" spans="1:18" s="1281" customFormat="1" ht="13.9" customHeight="1" thickBot="1">
      <c r="A16" s="1287"/>
      <c r="B16" s="1287"/>
      <c r="C16" s="1287"/>
      <c r="D16" s="1287"/>
      <c r="E16" s="1287"/>
      <c r="F16" s="1287"/>
      <c r="G16" s="1287"/>
      <c r="H16" s="1287"/>
      <c r="I16" s="1287"/>
      <c r="J16" s="1287"/>
      <c r="K16" s="1291"/>
      <c r="L16" s="1291"/>
      <c r="M16" s="1291"/>
      <c r="N16" s="1528"/>
      <c r="O16" s="1528"/>
      <c r="P16" s="1291"/>
      <c r="Q16" s="1291"/>
      <c r="R16" s="1291"/>
    </row>
    <row r="17" spans="1:18" s="1281" customFormat="1" ht="15" customHeight="1" thickBot="1">
      <c r="A17" s="1697" t="s">
        <v>3394</v>
      </c>
      <c r="B17" s="1698"/>
      <c r="C17" s="1698"/>
      <c r="D17" s="1698"/>
      <c r="E17" s="1699"/>
      <c r="F17" s="1529"/>
      <c r="G17" s="1529"/>
      <c r="H17" s="1529"/>
      <c r="I17" s="1697" t="s">
        <v>3406</v>
      </c>
      <c r="J17" s="1698"/>
      <c r="K17" s="1698"/>
      <c r="L17" s="1698"/>
      <c r="M17" s="1699"/>
      <c r="N17" s="1529"/>
      <c r="O17" s="1529"/>
      <c r="Q17" s="1331"/>
      <c r="R17" s="1331"/>
    </row>
    <row r="18" spans="1:18" s="1281" customFormat="1" ht="13.9" customHeight="1" thickBot="1">
      <c r="A18" s="1525" t="s">
        <v>3395</v>
      </c>
      <c r="B18" s="1526" t="s">
        <v>3396</v>
      </c>
      <c r="C18" s="1526" t="s">
        <v>3397</v>
      </c>
      <c r="D18" s="1526" t="s">
        <v>3398</v>
      </c>
      <c r="E18" s="1526" t="s">
        <v>3399</v>
      </c>
      <c r="F18" s="1291"/>
      <c r="G18" s="1291"/>
      <c r="H18" s="1291"/>
      <c r="I18" s="1525" t="s">
        <v>3395</v>
      </c>
      <c r="J18" s="1526" t="s">
        <v>3396</v>
      </c>
      <c r="K18" s="1526" t="s">
        <v>3397</v>
      </c>
      <c r="L18" s="1526" t="s">
        <v>3398</v>
      </c>
      <c r="M18" s="1526" t="s">
        <v>3407</v>
      </c>
      <c r="N18" s="1530"/>
      <c r="O18" s="1530"/>
      <c r="Q18" s="1349"/>
      <c r="R18" s="1349"/>
    </row>
    <row r="19" spans="1:18" s="1281" customFormat="1" ht="13.9" customHeight="1" thickBot="1">
      <c r="A19" s="1525" t="s">
        <v>3400</v>
      </c>
      <c r="B19" s="1539">
        <f>B28</f>
        <v>0</v>
      </c>
      <c r="C19" s="1539">
        <f>B29</f>
        <v>0</v>
      </c>
      <c r="D19" s="1540"/>
      <c r="E19" s="1539" t="str">
        <f t="shared" ref="E19:E24" si="0">IF(D19="","",((2*D19)/(3.14159*(B19/25.4)*(C19/25.4)))*6.89476)</f>
        <v/>
      </c>
      <c r="F19" s="1531"/>
      <c r="G19" s="1291"/>
      <c r="H19" s="1291"/>
      <c r="I19" s="1525" t="s">
        <v>3400</v>
      </c>
      <c r="J19" s="1539">
        <f>I28</f>
        <v>0</v>
      </c>
      <c r="K19" s="1539">
        <f>I29</f>
        <v>0</v>
      </c>
      <c r="L19" s="1540"/>
      <c r="M19" s="1539" t="str">
        <f t="shared" ref="M19:M24" si="1">IF(L19="","",(0.356*((L19*4.448)/((K19/1000)*0.0191)))*0.00006618)</f>
        <v/>
      </c>
      <c r="N19" s="1532"/>
      <c r="O19" s="1532"/>
      <c r="Q19" s="1349"/>
      <c r="R19" s="1349"/>
    </row>
    <row r="20" spans="1:18" s="1281" customFormat="1" ht="13.9" customHeight="1" thickBot="1">
      <c r="A20" s="1525" t="s">
        <v>3401</v>
      </c>
      <c r="B20" s="1539">
        <f>C28</f>
        <v>0</v>
      </c>
      <c r="C20" s="1539">
        <f>C29</f>
        <v>0</v>
      </c>
      <c r="D20" s="1540"/>
      <c r="E20" s="1539" t="str">
        <f t="shared" si="0"/>
        <v/>
      </c>
      <c r="F20" s="1531"/>
      <c r="G20" s="1291"/>
      <c r="H20" s="1291"/>
      <c r="I20" s="1525" t="s">
        <v>3401</v>
      </c>
      <c r="J20" s="1539">
        <f>J28</f>
        <v>0</v>
      </c>
      <c r="K20" s="1539">
        <f>J29</f>
        <v>0</v>
      </c>
      <c r="L20" s="1540"/>
      <c r="M20" s="1539" t="str">
        <f t="shared" si="1"/>
        <v/>
      </c>
      <c r="N20" s="1532"/>
      <c r="O20" s="1532"/>
      <c r="Q20" s="1331"/>
      <c r="R20" s="1331"/>
    </row>
    <row r="21" spans="1:18" s="1281" customFormat="1" ht="13.9" customHeight="1" thickBot="1">
      <c r="A21" s="1525" t="s">
        <v>3402</v>
      </c>
      <c r="B21" s="1539">
        <f>D28</f>
        <v>0</v>
      </c>
      <c r="C21" s="1539">
        <f>D29</f>
        <v>0</v>
      </c>
      <c r="D21" s="1540"/>
      <c r="E21" s="1539" t="str">
        <f t="shared" si="0"/>
        <v/>
      </c>
      <c r="F21" s="1291"/>
      <c r="G21" s="1291"/>
      <c r="H21" s="1291"/>
      <c r="I21" s="1525" t="s">
        <v>3402</v>
      </c>
      <c r="J21" s="1539">
        <f>K28</f>
        <v>0</v>
      </c>
      <c r="K21" s="1539">
        <f>K29</f>
        <v>0</v>
      </c>
      <c r="L21" s="1540"/>
      <c r="M21" s="1539" t="str">
        <f t="shared" si="1"/>
        <v/>
      </c>
      <c r="N21" s="1532"/>
      <c r="O21" s="1532"/>
      <c r="Q21" s="1355"/>
      <c r="R21" s="1291"/>
    </row>
    <row r="22" spans="1:18" s="1281" customFormat="1" ht="13.9" customHeight="1" thickBot="1">
      <c r="A22" s="1525" t="s">
        <v>3403</v>
      </c>
      <c r="B22" s="1539">
        <f>E28</f>
        <v>0</v>
      </c>
      <c r="C22" s="1539">
        <f>E29</f>
        <v>0</v>
      </c>
      <c r="D22" s="1540"/>
      <c r="E22" s="1539" t="str">
        <f t="shared" si="0"/>
        <v/>
      </c>
      <c r="F22" s="1291"/>
      <c r="G22" s="1291"/>
      <c r="H22" s="1291"/>
      <c r="I22" s="1525" t="s">
        <v>3403</v>
      </c>
      <c r="J22" s="1539">
        <f>L28</f>
        <v>0</v>
      </c>
      <c r="K22" s="1539">
        <f>L29</f>
        <v>0</v>
      </c>
      <c r="L22" s="1540"/>
      <c r="M22" s="1539" t="str">
        <f t="shared" si="1"/>
        <v/>
      </c>
      <c r="N22" s="1532"/>
      <c r="O22" s="1532"/>
      <c r="Q22" s="1356"/>
      <c r="R22" s="1291"/>
    </row>
    <row r="23" spans="1:18" s="1281" customFormat="1" ht="13.9" customHeight="1" thickBot="1">
      <c r="A23" s="1525" t="s">
        <v>3404</v>
      </c>
      <c r="B23" s="1539">
        <f>F28</f>
        <v>0</v>
      </c>
      <c r="C23" s="1539">
        <f>F29</f>
        <v>0</v>
      </c>
      <c r="D23" s="1540"/>
      <c r="E23" s="1539" t="str">
        <f t="shared" si="0"/>
        <v/>
      </c>
      <c r="F23" s="1533"/>
      <c r="G23" s="1291"/>
      <c r="H23" s="1291"/>
      <c r="I23" s="1525" t="s">
        <v>3404</v>
      </c>
      <c r="J23" s="1539">
        <f>M28</f>
        <v>0</v>
      </c>
      <c r="K23" s="1539">
        <f>M29</f>
        <v>0</v>
      </c>
      <c r="L23" s="1540"/>
      <c r="M23" s="1539" t="str">
        <f t="shared" si="1"/>
        <v/>
      </c>
      <c r="N23" s="1532"/>
      <c r="O23" s="1532"/>
      <c r="Q23" s="1356"/>
      <c r="R23" s="1291"/>
    </row>
    <row r="24" spans="1:18" s="1281" customFormat="1" ht="13.9" customHeight="1" thickBot="1">
      <c r="A24" s="1525" t="s">
        <v>3405</v>
      </c>
      <c r="B24" s="1539">
        <f>G28</f>
        <v>0</v>
      </c>
      <c r="C24" s="1539">
        <f>G29</f>
        <v>0</v>
      </c>
      <c r="D24" s="1540"/>
      <c r="E24" s="1539" t="str">
        <f t="shared" si="0"/>
        <v/>
      </c>
      <c r="F24" s="1531"/>
      <c r="G24" s="1291"/>
      <c r="H24" s="1291"/>
      <c r="I24" s="1525" t="s">
        <v>3405</v>
      </c>
      <c r="J24" s="1539">
        <f>N28</f>
        <v>0</v>
      </c>
      <c r="K24" s="1539">
        <f>N29</f>
        <v>0</v>
      </c>
      <c r="L24" s="1540"/>
      <c r="M24" s="1539" t="str">
        <f t="shared" si="1"/>
        <v/>
      </c>
      <c r="N24" s="1532"/>
      <c r="O24" s="1532"/>
      <c r="Q24" s="1316"/>
    </row>
    <row r="25" spans="1:18" s="1281" customFormat="1" ht="13.9" customHeight="1">
      <c r="A25" s="1527"/>
      <c r="B25"/>
      <c r="C25"/>
      <c r="D25"/>
      <c r="E25"/>
      <c r="I25" s="1527"/>
      <c r="J25"/>
      <c r="K25"/>
      <c r="L25"/>
      <c r="M25"/>
      <c r="N25" s="1287"/>
      <c r="O25" s="1287"/>
    </row>
    <row r="26" spans="1:18" ht="13.5" thickBot="1">
      <c r="M26" s="1281"/>
      <c r="N26" s="1281"/>
    </row>
    <row r="27" spans="1:18" ht="13.5" thickTop="1">
      <c r="A27" s="1534" t="s">
        <v>943</v>
      </c>
      <c r="B27" s="1535" t="s">
        <v>3408</v>
      </c>
      <c r="C27" s="1536" t="s">
        <v>3409</v>
      </c>
      <c r="D27" s="1536" t="s">
        <v>3410</v>
      </c>
      <c r="E27" s="1536" t="s">
        <v>3411</v>
      </c>
      <c r="F27" s="1536" t="s">
        <v>3412</v>
      </c>
      <c r="G27" s="1537" t="s">
        <v>3413</v>
      </c>
      <c r="H27" s="1538" t="s">
        <v>1733</v>
      </c>
      <c r="I27" s="1535" t="s">
        <v>3414</v>
      </c>
      <c r="J27" s="1536" t="s">
        <v>3415</v>
      </c>
      <c r="K27" s="1536" t="s">
        <v>3416</v>
      </c>
      <c r="L27" s="1536" t="s">
        <v>3417</v>
      </c>
      <c r="M27" s="1536" t="s">
        <v>3418</v>
      </c>
      <c r="N27" s="1537" t="s">
        <v>3419</v>
      </c>
      <c r="O27" s="1538" t="s">
        <v>1733</v>
      </c>
    </row>
    <row r="28" spans="1:18" s="1287" customFormat="1">
      <c r="A28" s="1370" t="s">
        <v>2747</v>
      </c>
      <c r="B28" s="1372"/>
      <c r="C28" s="1373">
        <f>$B$28</f>
        <v>0</v>
      </c>
      <c r="D28" s="1373">
        <f>$B$28</f>
        <v>0</v>
      </c>
      <c r="E28" s="1373">
        <f>$B$28</f>
        <v>0</v>
      </c>
      <c r="F28" s="1373">
        <f>$B$28</f>
        <v>0</v>
      </c>
      <c r="G28" s="1373">
        <f>$B$28</f>
        <v>0</v>
      </c>
      <c r="H28" s="1374">
        <f>AVERAGE(B28:G28)</f>
        <v>0</v>
      </c>
      <c r="I28" s="1373"/>
      <c r="J28" s="1373"/>
      <c r="K28" s="1373"/>
      <c r="L28" s="1373"/>
      <c r="M28" s="1373"/>
      <c r="N28" s="1373"/>
      <c r="O28" s="1374" t="e">
        <f>AVERAGE(I28:N28)</f>
        <v>#DIV/0!</v>
      </c>
    </row>
    <row r="29" spans="1:18" s="1287" customFormat="1">
      <c r="A29" s="1370" t="s">
        <v>2748</v>
      </c>
      <c r="B29" s="1372"/>
      <c r="C29" s="1375"/>
      <c r="D29" s="1375"/>
      <c r="E29" s="1375"/>
      <c r="F29" s="1375"/>
      <c r="G29" s="1376"/>
      <c r="H29" s="1374" t="e">
        <f>AVERAGE(B29:G29)</f>
        <v>#DIV/0!</v>
      </c>
      <c r="I29" s="1372"/>
      <c r="J29" s="1375"/>
      <c r="K29" s="1375"/>
      <c r="L29" s="1375"/>
      <c r="M29" s="1375"/>
      <c r="N29" s="1376"/>
      <c r="O29" s="1374" t="e">
        <f>AVERAGE(I29:N29)</f>
        <v>#DIV/0!</v>
      </c>
    </row>
    <row r="30" spans="1:18" s="1287" customFormat="1">
      <c r="A30" s="1370" t="s">
        <v>2749</v>
      </c>
      <c r="B30" s="1372"/>
      <c r="C30" s="1375"/>
      <c r="D30" s="1375"/>
      <c r="E30" s="1375"/>
      <c r="F30" s="1375"/>
      <c r="G30" s="1376"/>
      <c r="H30" s="1374"/>
      <c r="I30" s="1372"/>
      <c r="J30" s="1375"/>
      <c r="K30" s="1375"/>
      <c r="L30" s="1375"/>
      <c r="M30" s="1375"/>
      <c r="N30" s="1376"/>
      <c r="O30" s="1374"/>
    </row>
    <row r="31" spans="1:18" s="1287" customFormat="1">
      <c r="A31" s="1370" t="s">
        <v>2731</v>
      </c>
      <c r="B31" s="1377"/>
      <c r="C31" s="1378"/>
      <c r="D31" s="1378"/>
      <c r="E31" s="1378"/>
      <c r="F31" s="1378"/>
      <c r="G31" s="1379"/>
      <c r="H31" s="1374"/>
      <c r="I31" s="1377"/>
      <c r="J31" s="1378"/>
      <c r="K31" s="1378"/>
      <c r="L31" s="1378"/>
      <c r="M31" s="1378"/>
      <c r="N31" s="1379"/>
      <c r="O31" s="1374"/>
    </row>
    <row r="32" spans="1:18" s="1287" customFormat="1">
      <c r="A32" s="1370" t="s">
        <v>2750</v>
      </c>
      <c r="B32" s="1377"/>
      <c r="C32" s="1378"/>
      <c r="D32" s="1378"/>
      <c r="E32" s="1378"/>
      <c r="F32" s="1378"/>
      <c r="G32" s="1379"/>
      <c r="H32" s="1380"/>
      <c r="I32" s="1377"/>
      <c r="J32" s="1378"/>
      <c r="K32" s="1378"/>
      <c r="L32" s="1378"/>
      <c r="M32" s="1378"/>
      <c r="N32" s="1379"/>
      <c r="O32" s="1380"/>
    </row>
    <row r="33" spans="1:15" s="1287" customFormat="1">
      <c r="A33" s="1370" t="s">
        <v>2751</v>
      </c>
      <c r="B33" s="1381" t="str">
        <f t="shared" ref="B33:G33" si="2">IF(B31="","",B31-B32)</f>
        <v/>
      </c>
      <c r="C33" s="1373" t="str">
        <f t="shared" si="2"/>
        <v/>
      </c>
      <c r="D33" s="1373" t="str">
        <f t="shared" si="2"/>
        <v/>
      </c>
      <c r="E33" s="1373" t="str">
        <f t="shared" si="2"/>
        <v/>
      </c>
      <c r="F33" s="1373" t="str">
        <f t="shared" si="2"/>
        <v/>
      </c>
      <c r="G33" s="1382" t="str">
        <f t="shared" si="2"/>
        <v/>
      </c>
      <c r="H33" s="1380"/>
      <c r="I33" s="1381" t="str">
        <f t="shared" ref="I33:N33" si="3">IF(I31="","",I31-I32)</f>
        <v/>
      </c>
      <c r="J33" s="1373" t="str">
        <f t="shared" si="3"/>
        <v/>
      </c>
      <c r="K33" s="1373" t="str">
        <f t="shared" si="3"/>
        <v/>
      </c>
      <c r="L33" s="1373" t="str">
        <f t="shared" si="3"/>
        <v/>
      </c>
      <c r="M33" s="1373" t="str">
        <f t="shared" si="3"/>
        <v/>
      </c>
      <c r="N33" s="1382" t="str">
        <f t="shared" si="3"/>
        <v/>
      </c>
      <c r="O33" s="1380"/>
    </row>
    <row r="34" spans="1:15" s="1287" customFormat="1">
      <c r="A34" s="1370" t="s">
        <v>2752</v>
      </c>
      <c r="B34" s="1383" t="str">
        <f t="shared" ref="B34:G34" si="4">IF(B33="","",(B30/B33))</f>
        <v/>
      </c>
      <c r="C34" s="1384" t="str">
        <f t="shared" si="4"/>
        <v/>
      </c>
      <c r="D34" s="1384" t="str">
        <f t="shared" si="4"/>
        <v/>
      </c>
      <c r="E34" s="1384" t="str">
        <f t="shared" si="4"/>
        <v/>
      </c>
      <c r="F34" s="1384" t="str">
        <f t="shared" si="4"/>
        <v/>
      </c>
      <c r="G34" s="1385" t="str">
        <f t="shared" si="4"/>
        <v/>
      </c>
      <c r="H34" s="1374"/>
      <c r="I34" s="1383" t="str">
        <f t="shared" ref="I34:N34" si="5">IF(I33="","",(I30/I33))</f>
        <v/>
      </c>
      <c r="J34" s="1384" t="str">
        <f t="shared" si="5"/>
        <v/>
      </c>
      <c r="K34" s="1384" t="str">
        <f t="shared" si="5"/>
        <v/>
      </c>
      <c r="L34" s="1384" t="str">
        <f t="shared" si="5"/>
        <v/>
      </c>
      <c r="M34" s="1384" t="str">
        <f t="shared" si="5"/>
        <v/>
      </c>
      <c r="N34" s="1385" t="str">
        <f t="shared" si="5"/>
        <v/>
      </c>
      <c r="O34" s="1374"/>
    </row>
    <row r="35" spans="1:15" s="1287" customFormat="1">
      <c r="A35" s="1370" t="s">
        <v>2046</v>
      </c>
      <c r="B35" s="1386"/>
      <c r="C35" s="1523"/>
      <c r="D35" s="1523"/>
      <c r="E35" s="1523"/>
      <c r="F35" s="1523"/>
      <c r="G35" s="1522"/>
      <c r="H35" s="1374"/>
      <c r="I35" s="1386"/>
      <c r="J35" s="1523"/>
      <c r="K35" s="1523"/>
      <c r="L35" s="1523"/>
      <c r="M35" s="1523"/>
      <c r="N35" s="1522"/>
      <c r="O35" s="1374"/>
    </row>
    <row r="36" spans="1:15" s="1287" customFormat="1" ht="13.5" thickBot="1">
      <c r="A36" s="1370" t="s">
        <v>2738</v>
      </c>
      <c r="B36" s="1387" t="str">
        <f t="shared" ref="B36:G36" si="6">IF(B34="","",(100*(B35-B34)/B35))</f>
        <v/>
      </c>
      <c r="C36" s="1388" t="str">
        <f t="shared" si="6"/>
        <v/>
      </c>
      <c r="D36" s="1388" t="str">
        <f t="shared" si="6"/>
        <v/>
      </c>
      <c r="E36" s="1388" t="str">
        <f t="shared" si="6"/>
        <v/>
      </c>
      <c r="F36" s="1388" t="str">
        <f t="shared" si="6"/>
        <v/>
      </c>
      <c r="G36" s="1389" t="str">
        <f t="shared" si="6"/>
        <v/>
      </c>
      <c r="H36" s="1390" t="e">
        <f>AVERAGE(B36:G36)</f>
        <v>#DIV/0!</v>
      </c>
      <c r="I36" s="1387" t="str">
        <f t="shared" ref="I36:N36" si="7">IF(I34="","",(100*(I35-I34)/I35))</f>
        <v/>
      </c>
      <c r="J36" s="1388" t="str">
        <f t="shared" si="7"/>
        <v/>
      </c>
      <c r="K36" s="1388" t="str">
        <f t="shared" si="7"/>
        <v/>
      </c>
      <c r="L36" s="1388" t="str">
        <f t="shared" si="7"/>
        <v/>
      </c>
      <c r="M36" s="1388" t="str">
        <f t="shared" si="7"/>
        <v/>
      </c>
      <c r="N36" s="1389" t="str">
        <f t="shared" si="7"/>
        <v/>
      </c>
      <c r="O36" s="1390" t="e">
        <f>AVERAGE(I36:N36)</f>
        <v>#DIV/0!</v>
      </c>
    </row>
    <row r="37" spans="1:15" s="1287" customFormat="1" ht="13.5" thickTop="1"/>
    <row r="38" spans="1:15" s="1287" customFormat="1"/>
    <row r="39" spans="1:15" s="1287" customFormat="1"/>
    <row r="40" spans="1:15" s="1287" customFormat="1"/>
    <row r="41" spans="1:15" s="1287" customFormat="1"/>
    <row r="42" spans="1:15" s="1287" customFormat="1"/>
  </sheetData>
  <mergeCells count="4">
    <mergeCell ref="I17:M17"/>
    <mergeCell ref="L9:O10"/>
    <mergeCell ref="L11:O12"/>
    <mergeCell ref="A17:E17"/>
  </mergeCells>
  <printOptions horizontalCentered="1"/>
  <pageMargins left="0" right="0" top="0.5" bottom="0.5" header="0.5" footer="0.5"/>
  <pageSetup scale="90" orientation="portrait" horizontalDpi="4294967292" verticalDpi="4294967292" r:id="rId1"/>
  <headerFooter alignWithMargins="0"/>
  <rowBreaks count="1" manualBreakCount="1">
    <brk id="61" max="65535" man="1"/>
  </rowBreaks>
  <drawing r:id="rId2"/>
  <legacyDrawing r:id="rId3"/>
  <controls>
    <mc:AlternateContent xmlns:mc="http://schemas.openxmlformats.org/markup-compatibility/2006">
      <mc:Choice Requires="x14">
        <control shapeId="43009" r:id="rId4" name="ComboBox1">
          <controlPr defaultSize="0" autoLine="0" linkedCell="Calculations!AR1" listFillRange="Calculations!AQ1:AQ4" r:id="rId5">
            <anchor moveWithCells="1">
              <from>
                <xdr:col>7</xdr:col>
                <xdr:colOff>38100</xdr:colOff>
                <xdr:row>11</xdr:row>
                <xdr:rowOff>152400</xdr:rowOff>
              </from>
              <to>
                <xdr:col>8</xdr:col>
                <xdr:colOff>428625</xdr:colOff>
                <xdr:row>13</xdr:row>
                <xdr:rowOff>19050</xdr:rowOff>
              </to>
            </anchor>
          </controlPr>
        </control>
      </mc:Choice>
      <mc:Fallback>
        <control shapeId="43009" r:id="rId4" name="ComboBox1"/>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9"/>
  <dimension ref="B1:C31"/>
  <sheetViews>
    <sheetView workbookViewId="0"/>
  </sheetViews>
  <sheetFormatPr defaultRowHeight="12.75"/>
  <cols>
    <col min="2" max="2" width="24" bestFit="1" customWidth="1"/>
    <col min="3" max="3" width="45.7109375" customWidth="1"/>
  </cols>
  <sheetData>
    <row r="1" spans="2:3" ht="14.25" thickTop="1" thickBot="1">
      <c r="B1" s="1030" t="s">
        <v>149</v>
      </c>
      <c r="C1" s="1030" t="s">
        <v>1438</v>
      </c>
    </row>
    <row r="2" spans="2:3" ht="14.25" thickTop="1" thickBot="1">
      <c r="B2" s="1197"/>
      <c r="C2" s="1198"/>
    </row>
    <row r="3" spans="2:3" ht="14.25" thickTop="1" thickBot="1">
      <c r="B3" s="1197"/>
      <c r="C3" s="1198"/>
    </row>
    <row r="4" spans="2:3" ht="14.25" thickTop="1" thickBot="1">
      <c r="B4" s="1197"/>
      <c r="C4" s="1198"/>
    </row>
    <row r="5" spans="2:3" ht="14.25" thickTop="1" thickBot="1">
      <c r="B5" s="1197"/>
      <c r="C5" s="1198"/>
    </row>
    <row r="6" spans="2:3" ht="14.25" thickTop="1" thickBot="1">
      <c r="B6" s="1197"/>
      <c r="C6" s="1198"/>
    </row>
    <row r="7" spans="2:3" ht="14.25" thickTop="1" thickBot="1">
      <c r="B7" s="1199"/>
      <c r="C7" s="1200"/>
    </row>
    <row r="8" spans="2:3" ht="14.25" thickTop="1" thickBot="1">
      <c r="B8" s="1199"/>
      <c r="C8" s="1200"/>
    </row>
    <row r="9" spans="2:3" ht="14.25" thickTop="1" thickBot="1">
      <c r="B9" s="1199"/>
      <c r="C9" s="1200"/>
    </row>
    <row r="10" spans="2:3" ht="14.25" thickTop="1" thickBot="1">
      <c r="B10" s="1199"/>
      <c r="C10" s="1200"/>
    </row>
    <row r="11" spans="2:3" ht="14.25" thickTop="1" thickBot="1">
      <c r="B11" s="1199"/>
      <c r="C11" s="1200"/>
    </row>
    <row r="12" spans="2:3" ht="14.25" thickTop="1" thickBot="1">
      <c r="B12" s="1199"/>
      <c r="C12" s="1200"/>
    </row>
    <row r="13" spans="2:3" ht="14.25" thickTop="1" thickBot="1">
      <c r="B13" s="1199"/>
      <c r="C13" s="1200"/>
    </row>
    <row r="14" spans="2:3" ht="14.25" thickTop="1" thickBot="1">
      <c r="B14" s="1199"/>
      <c r="C14" s="1200"/>
    </row>
    <row r="15" spans="2:3" ht="14.25" thickTop="1" thickBot="1">
      <c r="B15" s="1199"/>
      <c r="C15" s="1200"/>
    </row>
    <row r="16" spans="2:3" ht="14.25" thickTop="1" thickBot="1">
      <c r="B16" s="1199"/>
      <c r="C16" s="1200"/>
    </row>
    <row r="17" spans="2:3" ht="14.25" thickTop="1" thickBot="1">
      <c r="B17" s="1199"/>
      <c r="C17" s="1200"/>
    </row>
    <row r="18" spans="2:3" ht="14.25" thickTop="1" thickBot="1">
      <c r="B18" s="1199"/>
      <c r="C18" s="1200"/>
    </row>
    <row r="19" spans="2:3" ht="14.25" thickTop="1" thickBot="1">
      <c r="B19" s="1199"/>
      <c r="C19" s="1200"/>
    </row>
    <row r="20" spans="2:3" ht="14.25" thickTop="1" thickBot="1">
      <c r="B20" s="1199"/>
      <c r="C20" s="1200"/>
    </row>
    <row r="21" spans="2:3" ht="14.25" thickTop="1" thickBot="1">
      <c r="B21" s="1199"/>
      <c r="C21" s="1200"/>
    </row>
    <row r="22" spans="2:3" ht="14.25" thickTop="1" thickBot="1">
      <c r="B22" s="1199"/>
      <c r="C22" s="1200"/>
    </row>
    <row r="23" spans="2:3" ht="14.25" thickTop="1" thickBot="1">
      <c r="B23" s="1199"/>
      <c r="C23" s="1200"/>
    </row>
    <row r="24" spans="2:3" ht="14.25" thickTop="1" thickBot="1">
      <c r="B24" s="1199"/>
      <c r="C24" s="1200"/>
    </row>
    <row r="25" spans="2:3" ht="14.25" thickTop="1" thickBot="1">
      <c r="B25" s="1199"/>
      <c r="C25" s="1200"/>
    </row>
    <row r="26" spans="2:3" ht="14.25" thickTop="1" thickBot="1">
      <c r="B26" s="1199"/>
      <c r="C26" s="1200"/>
    </row>
    <row r="27" spans="2:3" ht="14.25" thickTop="1" thickBot="1">
      <c r="B27" s="1199"/>
      <c r="C27" s="1200"/>
    </row>
    <row r="28" spans="2:3" ht="14.25" thickTop="1" thickBot="1">
      <c r="B28" s="1199"/>
      <c r="C28" s="1200"/>
    </row>
    <row r="29" spans="2:3" ht="14.25" thickTop="1" thickBot="1">
      <c r="B29" s="1199"/>
      <c r="C29" s="1200"/>
    </row>
    <row r="30" spans="2:3" ht="14.25" thickTop="1" thickBot="1">
      <c r="B30" s="1201"/>
      <c r="C30" s="1202"/>
    </row>
    <row r="31" spans="2:3" ht="13.5" thickTop="1"/>
  </sheetData>
  <sheetProtection algorithmName="SHA-512" hashValue="WmXiZxmFKIlmgAqINFGhmyNjoebRyyN4yqqeNZ+Z71rQzFPwjeczaYGpJGNVRyEbshFuTk1ME3UucXFnera1aw==" saltValue="6p9X+eqY1Ckn0rFnzcf1kg==" spinCount="100000" sheet="1" objects="1" scenarios="1"/>
  <phoneticPr fontId="31" type="noConversion"/>
  <pageMargins left="0.75" right="0.75" top="1" bottom="1" header="0.5" footer="0.5"/>
  <pageSetup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8">
    <tabColor indexed="13"/>
    <pageSetUpPr fitToPage="1"/>
  </sheetPr>
  <dimension ref="A1:U124"/>
  <sheetViews>
    <sheetView zoomScale="75" workbookViewId="0">
      <selection activeCell="R111" sqref="R111:R124"/>
    </sheetView>
  </sheetViews>
  <sheetFormatPr defaultRowHeight="15" customHeight="1"/>
  <cols>
    <col min="3" max="3" width="14" customWidth="1"/>
    <col min="4" max="4" width="12" bestFit="1" customWidth="1"/>
    <col min="5" max="5" width="10.85546875" bestFit="1" customWidth="1"/>
    <col min="6" max="6" width="10.85546875" customWidth="1"/>
    <col min="7" max="7" width="10.140625" bestFit="1" customWidth="1"/>
    <col min="8" max="8" width="12.5703125" bestFit="1" customWidth="1"/>
    <col min="9" max="10" width="10.42578125" bestFit="1" customWidth="1"/>
    <col min="12" max="12" width="6.28515625" customWidth="1"/>
    <col min="14" max="14" width="12.7109375" bestFit="1" customWidth="1"/>
    <col min="15" max="15" width="34.5703125" customWidth="1"/>
    <col min="16" max="16" width="9.140625" style="715"/>
    <col min="17" max="17" width="10.5703125" bestFit="1" customWidth="1"/>
    <col min="18" max="18" width="48.28515625" style="912" customWidth="1"/>
  </cols>
  <sheetData>
    <row r="1" spans="1:21" ht="15" customHeight="1">
      <c r="A1" s="689"/>
      <c r="B1" s="688"/>
      <c r="C1" s="1711"/>
      <c r="D1" s="1711"/>
      <c r="E1" s="1711"/>
      <c r="F1" s="1711"/>
      <c r="G1" s="1711"/>
      <c r="H1" s="1711"/>
      <c r="I1" s="1711"/>
      <c r="J1" s="688"/>
      <c r="K1" s="688"/>
      <c r="L1" s="953" t="s">
        <v>1173</v>
      </c>
      <c r="M1" s="707" t="s">
        <v>1082</v>
      </c>
      <c r="N1" s="707" t="s">
        <v>73</v>
      </c>
      <c r="O1" s="707" t="s">
        <v>1083</v>
      </c>
      <c r="P1" s="714" t="s">
        <v>74</v>
      </c>
      <c r="Q1" s="707" t="s">
        <v>75</v>
      </c>
      <c r="R1" s="911" t="s">
        <v>727</v>
      </c>
    </row>
    <row r="2" spans="1:21" ht="15" customHeight="1">
      <c r="A2" s="688"/>
      <c r="B2" s="688"/>
      <c r="C2" s="1712"/>
      <c r="D2" s="1712"/>
      <c r="E2" s="1712"/>
      <c r="F2" s="1712"/>
      <c r="G2" s="1712"/>
      <c r="H2" s="1712"/>
      <c r="I2" s="1712"/>
      <c r="J2" s="688"/>
      <c r="K2" s="688"/>
      <c r="L2" s="954" t="s">
        <v>1174</v>
      </c>
      <c r="M2" t="s">
        <v>2067</v>
      </c>
      <c r="N2" t="s">
        <v>1084</v>
      </c>
      <c r="O2" t="s">
        <v>87</v>
      </c>
      <c r="P2" s="717">
        <v>12</v>
      </c>
      <c r="Q2" t="s">
        <v>76</v>
      </c>
      <c r="S2" s="705"/>
      <c r="T2" s="705"/>
      <c r="U2" s="705"/>
    </row>
    <row r="3" spans="1:21" ht="15" customHeight="1">
      <c r="A3" s="688"/>
      <c r="B3" s="688"/>
      <c r="C3" s="688"/>
      <c r="D3" s="688"/>
      <c r="E3" s="688"/>
      <c r="F3" s="688"/>
      <c r="G3" s="688"/>
      <c r="H3" s="688"/>
      <c r="I3" s="688"/>
      <c r="J3" s="688"/>
      <c r="K3" s="688"/>
      <c r="L3" s="954" t="s">
        <v>1175</v>
      </c>
      <c r="M3" t="s">
        <v>77</v>
      </c>
      <c r="N3" t="s">
        <v>1083</v>
      </c>
      <c r="O3" t="s">
        <v>1123</v>
      </c>
      <c r="P3" s="716" t="s">
        <v>76</v>
      </c>
      <c r="Q3" s="705" t="s">
        <v>76</v>
      </c>
      <c r="R3" s="913"/>
      <c r="S3" s="380"/>
      <c r="T3" s="380"/>
      <c r="U3" s="380"/>
    </row>
    <row r="4" spans="1:21" ht="15" customHeight="1" thickBot="1">
      <c r="A4" s="688"/>
      <c r="B4" s="688"/>
      <c r="C4" s="1723"/>
      <c r="D4" s="1723"/>
      <c r="E4" s="1715"/>
      <c r="F4" s="1715"/>
      <c r="G4" s="1715"/>
      <c r="H4" s="688"/>
      <c r="I4" s="688"/>
      <c r="J4" s="688"/>
      <c r="K4" s="688"/>
      <c r="L4" s="954" t="s">
        <v>1176</v>
      </c>
      <c r="M4" t="s">
        <v>78</v>
      </c>
      <c r="N4" t="s">
        <v>1085</v>
      </c>
      <c r="O4" s="675" t="s">
        <v>2042</v>
      </c>
      <c r="P4" s="717">
        <v>1.2</v>
      </c>
      <c r="Q4" t="s">
        <v>76</v>
      </c>
    </row>
    <row r="5" spans="1:21" ht="15" customHeight="1" thickTop="1" thickBot="1">
      <c r="A5" s="688"/>
      <c r="B5" s="688"/>
      <c r="C5" s="1724" t="s">
        <v>1631</v>
      </c>
      <c r="D5" s="1725"/>
      <c r="E5" s="1716" t="s">
        <v>2067</v>
      </c>
      <c r="F5" s="1717"/>
      <c r="G5" s="1718"/>
      <c r="H5" s="688"/>
      <c r="I5" s="688"/>
      <c r="J5" s="688"/>
      <c r="K5" s="688"/>
      <c r="L5" s="954" t="s">
        <v>1177</v>
      </c>
      <c r="M5" t="s">
        <v>2068</v>
      </c>
      <c r="N5" t="s">
        <v>1084</v>
      </c>
      <c r="O5" t="s">
        <v>2040</v>
      </c>
      <c r="P5" s="717">
        <v>15</v>
      </c>
      <c r="Q5" s="705" t="s">
        <v>76</v>
      </c>
      <c r="R5" s="912" t="s">
        <v>1836</v>
      </c>
    </row>
    <row r="6" spans="1:21" ht="15" customHeight="1" thickTop="1">
      <c r="A6" s="688"/>
      <c r="B6" s="688"/>
      <c r="C6" s="1713"/>
      <c r="D6" s="1713"/>
      <c r="E6" s="1719"/>
      <c r="F6" s="1719"/>
      <c r="G6" s="1719"/>
      <c r="H6" s="688"/>
      <c r="I6" s="688"/>
      <c r="J6" s="688"/>
      <c r="K6" s="688"/>
      <c r="L6" s="954" t="s">
        <v>150</v>
      </c>
      <c r="M6" t="s">
        <v>2069</v>
      </c>
      <c r="N6" t="s">
        <v>1084</v>
      </c>
      <c r="O6" t="s">
        <v>88</v>
      </c>
      <c r="P6" s="717">
        <v>15</v>
      </c>
      <c r="Q6" s="705" t="s">
        <v>76</v>
      </c>
      <c r="R6" s="912" t="s">
        <v>1836</v>
      </c>
    </row>
    <row r="7" spans="1:21" ht="15" customHeight="1" thickBot="1">
      <c r="A7" s="688"/>
      <c r="B7" s="688"/>
      <c r="C7" s="688"/>
      <c r="D7" s="688"/>
      <c r="E7" s="688"/>
      <c r="F7" s="688"/>
      <c r="G7" s="688"/>
      <c r="H7" s="688"/>
      <c r="I7" s="688"/>
      <c r="J7" s="688"/>
      <c r="K7" s="688"/>
      <c r="L7" s="954" t="s">
        <v>151</v>
      </c>
      <c r="M7" t="s">
        <v>2070</v>
      </c>
      <c r="N7" t="s">
        <v>1084</v>
      </c>
      <c r="O7" t="s">
        <v>89</v>
      </c>
      <c r="P7" s="717">
        <v>15</v>
      </c>
      <c r="Q7" s="705" t="s">
        <v>76</v>
      </c>
      <c r="R7" s="912" t="s">
        <v>1836</v>
      </c>
    </row>
    <row r="8" spans="1:21" ht="15" customHeight="1" thickTop="1">
      <c r="A8" s="688"/>
      <c r="B8" s="688"/>
      <c r="C8" s="1720" t="s">
        <v>1123</v>
      </c>
      <c r="D8" s="1721"/>
      <c r="E8" s="1721"/>
      <c r="F8" s="1722"/>
      <c r="G8" s="687" t="s">
        <v>2042</v>
      </c>
      <c r="H8" s="1726" t="s">
        <v>78</v>
      </c>
      <c r="I8" s="1727"/>
      <c r="J8" s="688"/>
      <c r="K8" s="688"/>
      <c r="L8" s="954" t="s">
        <v>152</v>
      </c>
      <c r="M8" t="s">
        <v>2071</v>
      </c>
      <c r="N8" t="s">
        <v>1084</v>
      </c>
      <c r="O8" t="s">
        <v>90</v>
      </c>
      <c r="P8" s="717">
        <v>15</v>
      </c>
      <c r="Q8" s="705" t="s">
        <v>76</v>
      </c>
      <c r="R8" s="912" t="s">
        <v>1836</v>
      </c>
    </row>
    <row r="9" spans="1:21" ht="15" customHeight="1">
      <c r="A9" s="688"/>
      <c r="B9" s="688"/>
      <c r="C9" s="1714" t="s">
        <v>2040</v>
      </c>
      <c r="D9" s="1709"/>
      <c r="E9" s="1709" t="s">
        <v>1078</v>
      </c>
      <c r="F9" s="1709"/>
      <c r="G9" s="676" t="s">
        <v>1682</v>
      </c>
      <c r="H9" s="1709" t="s">
        <v>2041</v>
      </c>
      <c r="I9" s="1745"/>
      <c r="J9" s="688"/>
      <c r="K9" s="688"/>
      <c r="L9" s="954" t="s">
        <v>153</v>
      </c>
      <c r="M9" t="s">
        <v>1872</v>
      </c>
      <c r="N9" t="s">
        <v>1084</v>
      </c>
      <c r="O9" t="s">
        <v>91</v>
      </c>
      <c r="P9" s="717">
        <v>15</v>
      </c>
      <c r="Q9" s="705" t="s">
        <v>76</v>
      </c>
      <c r="R9" s="912" t="s">
        <v>1836</v>
      </c>
    </row>
    <row r="10" spans="1:21" ht="15" customHeight="1">
      <c r="A10" s="688"/>
      <c r="B10" s="688"/>
      <c r="C10" s="1707" t="s">
        <v>2068</v>
      </c>
      <c r="D10" s="1708"/>
      <c r="E10" s="1710" t="s">
        <v>2073</v>
      </c>
      <c r="F10" s="1708"/>
      <c r="G10" s="690" t="s">
        <v>2079</v>
      </c>
      <c r="H10" s="1710" t="s">
        <v>1305</v>
      </c>
      <c r="I10" s="1743"/>
      <c r="J10" s="688"/>
      <c r="K10" s="688"/>
      <c r="L10" s="954" t="s">
        <v>154</v>
      </c>
      <c r="M10" t="s">
        <v>2072</v>
      </c>
      <c r="N10" t="s">
        <v>1084</v>
      </c>
      <c r="O10" t="s">
        <v>92</v>
      </c>
      <c r="P10" s="717">
        <v>15</v>
      </c>
      <c r="Q10" s="705" t="s">
        <v>76</v>
      </c>
      <c r="R10" s="912" t="s">
        <v>1836</v>
      </c>
    </row>
    <row r="11" spans="1:21" ht="15" customHeight="1">
      <c r="A11" s="688"/>
      <c r="B11" s="688"/>
      <c r="C11" s="1707" t="s">
        <v>2069</v>
      </c>
      <c r="D11" s="1708"/>
      <c r="E11" s="1710" t="s">
        <v>2074</v>
      </c>
      <c r="F11" s="1708"/>
      <c r="G11" s="690" t="s">
        <v>2080</v>
      </c>
      <c r="H11" s="1710" t="s">
        <v>1306</v>
      </c>
      <c r="I11" s="1743"/>
      <c r="J11" s="688"/>
      <c r="K11" s="688"/>
      <c r="L11" s="954" t="s">
        <v>155</v>
      </c>
      <c r="M11" t="s">
        <v>2073</v>
      </c>
      <c r="N11" t="s">
        <v>1084</v>
      </c>
      <c r="O11" t="s">
        <v>1078</v>
      </c>
      <c r="P11" s="717">
        <v>9</v>
      </c>
      <c r="Q11" s="705" t="s">
        <v>76</v>
      </c>
    </row>
    <row r="12" spans="1:21" ht="15" customHeight="1">
      <c r="A12" s="688"/>
      <c r="B12" s="688"/>
      <c r="C12" s="1707" t="s">
        <v>2070</v>
      </c>
      <c r="D12" s="1708"/>
      <c r="E12" s="1710" t="s">
        <v>2075</v>
      </c>
      <c r="F12" s="1708"/>
      <c r="G12" s="690" t="s">
        <v>2081</v>
      </c>
      <c r="H12" s="1710" t="s">
        <v>1307</v>
      </c>
      <c r="I12" s="1743"/>
      <c r="J12" s="688"/>
      <c r="K12" s="688"/>
      <c r="L12" s="954" t="s">
        <v>156</v>
      </c>
      <c r="M12" t="s">
        <v>2074</v>
      </c>
      <c r="N12" t="s">
        <v>1084</v>
      </c>
      <c r="O12" t="s">
        <v>93</v>
      </c>
      <c r="P12" s="717">
        <v>9</v>
      </c>
      <c r="Q12" s="705" t="s">
        <v>76</v>
      </c>
    </row>
    <row r="13" spans="1:21" ht="15" customHeight="1">
      <c r="A13" s="688"/>
      <c r="B13" s="688"/>
      <c r="C13" s="1707" t="s">
        <v>2071</v>
      </c>
      <c r="D13" s="1708"/>
      <c r="E13" s="1710" t="s">
        <v>2076</v>
      </c>
      <c r="F13" s="1708"/>
      <c r="G13" s="690" t="s">
        <v>2082</v>
      </c>
      <c r="H13" s="1710" t="s">
        <v>1308</v>
      </c>
      <c r="I13" s="1743"/>
      <c r="J13" s="688"/>
      <c r="K13" s="688"/>
      <c r="L13" s="954" t="s">
        <v>157</v>
      </c>
      <c r="M13" t="s">
        <v>2075</v>
      </c>
      <c r="N13" t="s">
        <v>1084</v>
      </c>
      <c r="O13" t="s">
        <v>94</v>
      </c>
      <c r="P13" s="717">
        <v>9</v>
      </c>
      <c r="Q13" s="705" t="s">
        <v>76</v>
      </c>
    </row>
    <row r="14" spans="1:21" ht="15" customHeight="1">
      <c r="A14" s="688"/>
      <c r="B14" s="688"/>
      <c r="C14" s="1707" t="s">
        <v>1872</v>
      </c>
      <c r="D14" s="1708"/>
      <c r="E14" s="1710" t="s">
        <v>2077</v>
      </c>
      <c r="F14" s="1708"/>
      <c r="G14" s="690" t="s">
        <v>2083</v>
      </c>
      <c r="H14" s="1710" t="s">
        <v>1309</v>
      </c>
      <c r="I14" s="1743"/>
      <c r="J14" s="688"/>
      <c r="K14" s="688"/>
      <c r="L14" s="954" t="s">
        <v>158</v>
      </c>
      <c r="M14" t="s">
        <v>2076</v>
      </c>
      <c r="N14" t="s">
        <v>1084</v>
      </c>
      <c r="O14" t="s">
        <v>95</v>
      </c>
      <c r="P14" s="717">
        <v>9</v>
      </c>
      <c r="Q14" s="705" t="s">
        <v>76</v>
      </c>
    </row>
    <row r="15" spans="1:21" ht="15" customHeight="1" thickBot="1">
      <c r="A15" s="688"/>
      <c r="B15" s="688"/>
      <c r="C15" s="1730" t="s">
        <v>2072</v>
      </c>
      <c r="D15" s="1731"/>
      <c r="E15" s="1742" t="s">
        <v>2078</v>
      </c>
      <c r="F15" s="1731"/>
      <c r="G15" s="703" t="s">
        <v>2084</v>
      </c>
      <c r="H15" s="1742" t="s">
        <v>1310</v>
      </c>
      <c r="I15" s="1744"/>
      <c r="J15" s="688"/>
      <c r="K15" s="688"/>
      <c r="L15" s="954" t="s">
        <v>159</v>
      </c>
      <c r="M15" t="s">
        <v>2077</v>
      </c>
      <c r="N15" t="s">
        <v>1084</v>
      </c>
      <c r="O15" t="s">
        <v>96</v>
      </c>
      <c r="P15" s="717">
        <v>9</v>
      </c>
      <c r="Q15" s="705" t="s">
        <v>76</v>
      </c>
    </row>
    <row r="16" spans="1:21" ht="15" customHeight="1" thickTop="1" thickBot="1">
      <c r="A16" s="688"/>
      <c r="B16" s="688"/>
      <c r="C16" s="688"/>
      <c r="D16" s="688"/>
      <c r="E16" s="688"/>
      <c r="F16" s="688"/>
      <c r="G16" s="688"/>
      <c r="H16" s="688"/>
      <c r="I16" s="688"/>
      <c r="J16" s="688"/>
      <c r="K16" s="688"/>
      <c r="L16" s="954" t="s">
        <v>160</v>
      </c>
      <c r="M16" t="s">
        <v>2078</v>
      </c>
      <c r="N16" t="s">
        <v>1084</v>
      </c>
      <c r="O16" t="s">
        <v>97</v>
      </c>
      <c r="P16" s="717">
        <v>9</v>
      </c>
      <c r="Q16" s="705" t="s">
        <v>76</v>
      </c>
    </row>
    <row r="17" spans="1:18" ht="15" customHeight="1" thickTop="1" thickBot="1">
      <c r="A17" s="688"/>
      <c r="B17" s="688"/>
      <c r="C17" s="688"/>
      <c r="D17" s="1732" t="s">
        <v>2043</v>
      </c>
      <c r="E17" s="1733"/>
      <c r="F17" s="1733"/>
      <c r="G17" s="1734"/>
      <c r="H17" s="688"/>
      <c r="I17" s="688"/>
      <c r="J17" s="688"/>
      <c r="K17" s="688"/>
      <c r="L17" s="954" t="s">
        <v>161</v>
      </c>
      <c r="M17" t="s">
        <v>2079</v>
      </c>
      <c r="N17" t="s">
        <v>1085</v>
      </c>
      <c r="O17" s="675" t="s">
        <v>1682</v>
      </c>
      <c r="P17" s="717">
        <v>2.1</v>
      </c>
      <c r="Q17" t="s">
        <v>1682</v>
      </c>
    </row>
    <row r="18" spans="1:18" ht="15" customHeight="1" thickTop="1" thickBot="1">
      <c r="A18" s="688"/>
      <c r="B18" s="688"/>
      <c r="C18" s="688"/>
      <c r="D18" s="677" t="s">
        <v>1735</v>
      </c>
      <c r="E18" s="678" t="s">
        <v>2044</v>
      </c>
      <c r="F18" s="678" t="s">
        <v>1707</v>
      </c>
      <c r="G18" s="679" t="s">
        <v>1708</v>
      </c>
      <c r="H18" s="688"/>
      <c r="I18" s="688"/>
      <c r="J18" s="688"/>
      <c r="K18" s="688"/>
      <c r="L18" s="954" t="s">
        <v>162</v>
      </c>
      <c r="M18" t="s">
        <v>2080</v>
      </c>
      <c r="N18" t="s">
        <v>1085</v>
      </c>
      <c r="O18" s="675" t="s">
        <v>98</v>
      </c>
      <c r="P18" s="717">
        <v>2.1</v>
      </c>
      <c r="Q18" t="s">
        <v>1682</v>
      </c>
    </row>
    <row r="19" spans="1:18" ht="15" customHeight="1" thickTop="1" thickBot="1">
      <c r="A19" s="688"/>
      <c r="B19" s="688"/>
      <c r="C19" s="688"/>
      <c r="D19" s="691" t="s">
        <v>1311</v>
      </c>
      <c r="E19" s="692" t="s">
        <v>1312</v>
      </c>
      <c r="F19" s="692" t="s">
        <v>1313</v>
      </c>
      <c r="G19" s="693" t="s">
        <v>1314</v>
      </c>
      <c r="H19" s="688"/>
      <c r="I19" s="688"/>
      <c r="J19" s="688"/>
      <c r="K19" s="688"/>
      <c r="L19" s="954" t="s">
        <v>163</v>
      </c>
      <c r="M19" t="s">
        <v>2081</v>
      </c>
      <c r="N19" t="s">
        <v>1085</v>
      </c>
      <c r="O19" s="675" t="s">
        <v>99</v>
      </c>
      <c r="P19" s="717">
        <v>2.1</v>
      </c>
      <c r="Q19" t="s">
        <v>1682</v>
      </c>
    </row>
    <row r="20" spans="1:18" ht="15" customHeight="1" thickTop="1">
      <c r="A20" s="688"/>
      <c r="B20" s="688"/>
      <c r="C20" s="688"/>
      <c r="D20" s="688"/>
      <c r="E20" s="688"/>
      <c r="F20" s="688"/>
      <c r="G20" s="688"/>
      <c r="H20" s="688"/>
      <c r="I20" s="688"/>
      <c r="J20" s="688"/>
      <c r="K20" s="688"/>
      <c r="L20" s="954" t="s">
        <v>164</v>
      </c>
      <c r="M20" t="s">
        <v>2082</v>
      </c>
      <c r="N20" t="s">
        <v>1085</v>
      </c>
      <c r="O20" s="675" t="s">
        <v>100</v>
      </c>
      <c r="P20" s="717">
        <v>2.1</v>
      </c>
      <c r="Q20" t="s">
        <v>1682</v>
      </c>
    </row>
    <row r="21" spans="1:18" ht="15" customHeight="1">
      <c r="A21" s="688"/>
      <c r="B21" s="688"/>
      <c r="C21" s="688"/>
      <c r="D21" s="688"/>
      <c r="E21" s="688"/>
      <c r="F21" s="688"/>
      <c r="G21" s="688"/>
      <c r="H21" s="688"/>
      <c r="I21" s="688"/>
      <c r="J21" s="688"/>
      <c r="K21" s="688"/>
      <c r="L21" s="954" t="s">
        <v>165</v>
      </c>
      <c r="M21" t="s">
        <v>2083</v>
      </c>
      <c r="N21" t="s">
        <v>1085</v>
      </c>
      <c r="O21" s="675" t="s">
        <v>101</v>
      </c>
      <c r="P21" s="717">
        <v>2.1</v>
      </c>
      <c r="Q21" t="s">
        <v>1682</v>
      </c>
    </row>
    <row r="22" spans="1:18" ht="15" customHeight="1" thickBot="1">
      <c r="A22" s="688"/>
      <c r="B22" s="688"/>
      <c r="C22" s="688"/>
      <c r="D22" s="688"/>
      <c r="E22" s="688"/>
      <c r="F22" s="688"/>
      <c r="G22" s="688"/>
      <c r="H22" s="688"/>
      <c r="I22" s="713"/>
      <c r="J22" s="688"/>
      <c r="K22" s="688"/>
      <c r="L22" s="954" t="s">
        <v>166</v>
      </c>
      <c r="M22" t="s">
        <v>2084</v>
      </c>
      <c r="N22" t="s">
        <v>1085</v>
      </c>
      <c r="O22" s="675" t="s">
        <v>102</v>
      </c>
      <c r="P22" s="717">
        <v>2.1</v>
      </c>
      <c r="Q22" t="s">
        <v>1682</v>
      </c>
    </row>
    <row r="23" spans="1:18" ht="15" customHeight="1" thickTop="1" thickBot="1">
      <c r="A23" s="688"/>
      <c r="B23" s="1732" t="s">
        <v>2045</v>
      </c>
      <c r="C23" s="1733"/>
      <c r="D23" s="1733"/>
      <c r="E23" s="1737"/>
      <c r="F23" s="1738"/>
      <c r="G23" s="688"/>
      <c r="H23" s="1700" t="s">
        <v>2066</v>
      </c>
      <c r="I23" s="1702"/>
      <c r="J23" s="688"/>
      <c r="K23" s="688"/>
      <c r="L23" s="954" t="s">
        <v>167</v>
      </c>
      <c r="M23" t="s">
        <v>1305</v>
      </c>
      <c r="N23" t="s">
        <v>1085</v>
      </c>
      <c r="O23" t="s">
        <v>2041</v>
      </c>
      <c r="P23" s="717">
        <v>1.2</v>
      </c>
      <c r="Q23" t="s">
        <v>76</v>
      </c>
    </row>
    <row r="24" spans="1:18" ht="15" customHeight="1" thickTop="1" thickBot="1">
      <c r="A24" s="688"/>
      <c r="B24" s="1705" t="s">
        <v>952</v>
      </c>
      <c r="C24" s="1706"/>
      <c r="D24" s="1739" t="s">
        <v>1882</v>
      </c>
      <c r="E24" s="1740"/>
      <c r="F24" s="1741"/>
      <c r="G24" s="688"/>
      <c r="H24" s="1735" t="s">
        <v>2053</v>
      </c>
      <c r="I24" s="1736"/>
      <c r="J24" s="710"/>
      <c r="K24" s="688"/>
      <c r="L24" s="954" t="s">
        <v>168</v>
      </c>
      <c r="M24" t="s">
        <v>1306</v>
      </c>
      <c r="N24" t="s">
        <v>1085</v>
      </c>
      <c r="O24" t="s">
        <v>103</v>
      </c>
      <c r="P24" s="717">
        <v>1.2</v>
      </c>
      <c r="Q24" t="s">
        <v>76</v>
      </c>
    </row>
    <row r="25" spans="1:18" ht="15" customHeight="1" thickTop="1">
      <c r="A25" s="688"/>
      <c r="B25" s="1728" t="s">
        <v>2050</v>
      </c>
      <c r="C25" s="1729"/>
      <c r="D25" s="730" t="s">
        <v>1316</v>
      </c>
      <c r="E25" s="916"/>
      <c r="F25" s="917"/>
      <c r="G25" s="688"/>
      <c r="H25" s="711" t="s">
        <v>2059</v>
      </c>
      <c r="I25" s="729" t="s">
        <v>1182</v>
      </c>
      <c r="J25" s="712"/>
      <c r="K25" s="688"/>
      <c r="L25" s="954" t="s">
        <v>169</v>
      </c>
      <c r="M25" t="s">
        <v>1307</v>
      </c>
      <c r="N25" t="s">
        <v>1085</v>
      </c>
      <c r="O25" t="s">
        <v>104</v>
      </c>
      <c r="P25" s="717">
        <v>1.2</v>
      </c>
      <c r="Q25" t="s">
        <v>76</v>
      </c>
    </row>
    <row r="26" spans="1:18" ht="15" customHeight="1">
      <c r="A26" s="688"/>
      <c r="B26" s="1705" t="s">
        <v>2047</v>
      </c>
      <c r="C26" s="1706"/>
      <c r="D26" s="730" t="s">
        <v>1317</v>
      </c>
      <c r="E26" s="918"/>
      <c r="F26" s="919"/>
      <c r="G26" s="688"/>
      <c r="H26" s="682" t="s">
        <v>2054</v>
      </c>
      <c r="I26" s="730" t="s">
        <v>1183</v>
      </c>
      <c r="J26" s="712"/>
      <c r="K26" s="688"/>
      <c r="L26" s="954" t="s">
        <v>170</v>
      </c>
      <c r="M26" t="s">
        <v>1308</v>
      </c>
      <c r="N26" t="s">
        <v>1085</v>
      </c>
      <c r="O26" t="s">
        <v>105</v>
      </c>
      <c r="P26" s="717">
        <v>1.2</v>
      </c>
      <c r="Q26" t="s">
        <v>76</v>
      </c>
    </row>
    <row r="27" spans="1:18" ht="15" customHeight="1">
      <c r="A27" s="688"/>
      <c r="B27" s="1705" t="s">
        <v>2046</v>
      </c>
      <c r="C27" s="1706"/>
      <c r="D27" s="730" t="s">
        <v>1318</v>
      </c>
      <c r="E27" s="918"/>
      <c r="F27" s="919"/>
      <c r="G27" s="688"/>
      <c r="H27" s="683" t="s">
        <v>2058</v>
      </c>
      <c r="I27" s="730" t="s">
        <v>1184</v>
      </c>
      <c r="J27" s="712"/>
      <c r="K27" s="688"/>
      <c r="L27" s="954" t="s">
        <v>171</v>
      </c>
      <c r="M27" t="s">
        <v>1309</v>
      </c>
      <c r="N27" t="s">
        <v>1085</v>
      </c>
      <c r="O27" t="s">
        <v>106</v>
      </c>
      <c r="P27" s="717">
        <v>1.2</v>
      </c>
      <c r="Q27" t="s">
        <v>76</v>
      </c>
    </row>
    <row r="28" spans="1:18" ht="15" customHeight="1">
      <c r="A28" s="688"/>
      <c r="B28" s="1705" t="s">
        <v>1642</v>
      </c>
      <c r="C28" s="1706"/>
      <c r="D28" s="730" t="s">
        <v>1319</v>
      </c>
      <c r="E28" s="918"/>
      <c r="F28" s="919"/>
      <c r="G28" s="688"/>
      <c r="H28" s="684" t="s">
        <v>2055</v>
      </c>
      <c r="I28" s="730" t="s">
        <v>1185</v>
      </c>
      <c r="J28" s="712"/>
      <c r="K28" s="688"/>
      <c r="L28" s="954" t="s">
        <v>172</v>
      </c>
      <c r="M28" t="s">
        <v>1310</v>
      </c>
      <c r="N28" t="s">
        <v>1085</v>
      </c>
      <c r="O28" t="s">
        <v>107</v>
      </c>
      <c r="P28" s="717">
        <v>1.2</v>
      </c>
      <c r="Q28" t="s">
        <v>76</v>
      </c>
    </row>
    <row r="29" spans="1:18" ht="15" customHeight="1">
      <c r="A29" s="688"/>
      <c r="B29" s="1705" t="s">
        <v>2049</v>
      </c>
      <c r="C29" s="1706"/>
      <c r="D29" s="730" t="s">
        <v>1320</v>
      </c>
      <c r="E29" s="918"/>
      <c r="F29" s="919"/>
      <c r="G29" s="688"/>
      <c r="H29" s="684" t="s">
        <v>2056</v>
      </c>
      <c r="I29" s="730" t="s">
        <v>1186</v>
      </c>
      <c r="J29" s="712"/>
      <c r="K29" s="688"/>
      <c r="L29" s="954" t="s">
        <v>173</v>
      </c>
      <c r="M29" t="s">
        <v>735</v>
      </c>
      <c r="N29" t="s">
        <v>1083</v>
      </c>
      <c r="O29" t="s">
        <v>2043</v>
      </c>
      <c r="P29" s="717" t="s">
        <v>76</v>
      </c>
      <c r="Q29" t="s">
        <v>76</v>
      </c>
    </row>
    <row r="30" spans="1:18" ht="15" customHeight="1">
      <c r="A30" s="688"/>
      <c r="B30" s="1705" t="s">
        <v>1643</v>
      </c>
      <c r="C30" s="1706"/>
      <c r="D30" s="730" t="s">
        <v>1321</v>
      </c>
      <c r="E30" s="918"/>
      <c r="F30" s="919"/>
      <c r="G30" s="688"/>
      <c r="H30" s="684" t="s">
        <v>2057</v>
      </c>
      <c r="I30" s="730" t="s">
        <v>1187</v>
      </c>
      <c r="J30" s="712"/>
      <c r="K30" s="688"/>
      <c r="L30" s="954" t="s">
        <v>174</v>
      </c>
      <c r="M30" t="s">
        <v>1311</v>
      </c>
      <c r="N30" t="s">
        <v>1085</v>
      </c>
      <c r="O30" s="675" t="s">
        <v>1735</v>
      </c>
      <c r="P30" s="717">
        <v>8</v>
      </c>
      <c r="Q30" t="s">
        <v>76</v>
      </c>
      <c r="R30" s="914" t="s">
        <v>1831</v>
      </c>
    </row>
    <row r="31" spans="1:18" ht="15" customHeight="1">
      <c r="A31" s="688"/>
      <c r="B31" s="1705" t="s">
        <v>1731</v>
      </c>
      <c r="C31" s="1706"/>
      <c r="D31" s="915" t="s">
        <v>1178</v>
      </c>
      <c r="E31" s="918"/>
      <c r="F31" s="919"/>
      <c r="G31" s="688"/>
      <c r="H31" s="684" t="s">
        <v>2060</v>
      </c>
      <c r="I31" s="730" t="s">
        <v>1188</v>
      </c>
      <c r="J31" s="712"/>
      <c r="K31" s="688"/>
      <c r="L31" s="954" t="s">
        <v>175</v>
      </c>
      <c r="M31" t="s">
        <v>1312</v>
      </c>
      <c r="N31" t="s">
        <v>1085</v>
      </c>
      <c r="O31" s="675" t="s">
        <v>2044</v>
      </c>
      <c r="P31" s="717">
        <v>4</v>
      </c>
      <c r="Q31" t="s">
        <v>76</v>
      </c>
      <c r="R31" s="914" t="s">
        <v>1832</v>
      </c>
    </row>
    <row r="32" spans="1:18" ht="15" customHeight="1">
      <c r="A32" s="688"/>
      <c r="B32" s="1705" t="s">
        <v>2048</v>
      </c>
      <c r="C32" s="1706"/>
      <c r="D32" s="730" t="s">
        <v>1179</v>
      </c>
      <c r="E32" s="918"/>
      <c r="F32" s="919"/>
      <c r="G32" s="688"/>
      <c r="H32" s="684" t="s">
        <v>1977</v>
      </c>
      <c r="I32" s="730" t="s">
        <v>1189</v>
      </c>
      <c r="J32" s="712"/>
      <c r="K32" s="688"/>
      <c r="L32" s="954" t="s">
        <v>176</v>
      </c>
      <c r="M32" t="s">
        <v>1313</v>
      </c>
      <c r="N32" t="s">
        <v>1084</v>
      </c>
      <c r="O32" s="675" t="s">
        <v>1707</v>
      </c>
      <c r="P32" s="717">
        <v>5</v>
      </c>
      <c r="Q32" t="s">
        <v>76</v>
      </c>
    </row>
    <row r="33" spans="1:18" ht="15" customHeight="1">
      <c r="A33" s="688"/>
      <c r="B33" s="1705" t="s">
        <v>2051</v>
      </c>
      <c r="C33" s="1706"/>
      <c r="D33" s="730" t="s">
        <v>1180</v>
      </c>
      <c r="E33" s="918"/>
      <c r="F33" s="919"/>
      <c r="G33" s="688"/>
      <c r="H33" s="684" t="s">
        <v>1841</v>
      </c>
      <c r="I33" s="730" t="s">
        <v>1190</v>
      </c>
      <c r="J33" s="712"/>
      <c r="K33" s="688"/>
      <c r="L33" s="954" t="s">
        <v>177</v>
      </c>
      <c r="M33" t="s">
        <v>1314</v>
      </c>
      <c r="N33" t="s">
        <v>1085</v>
      </c>
      <c r="O33" s="675" t="s">
        <v>1708</v>
      </c>
      <c r="P33" s="717">
        <v>6.2</v>
      </c>
      <c r="Q33" t="s">
        <v>1708</v>
      </c>
    </row>
    <row r="34" spans="1:18" ht="15" customHeight="1" thickBot="1">
      <c r="A34" s="688"/>
      <c r="B34" s="1703" t="s">
        <v>2052</v>
      </c>
      <c r="C34" s="1704"/>
      <c r="D34" s="720" t="s">
        <v>1181</v>
      </c>
      <c r="E34" s="920"/>
      <c r="F34" s="921"/>
      <c r="G34" s="688"/>
      <c r="H34" s="684" t="s">
        <v>1842</v>
      </c>
      <c r="I34" s="730" t="s">
        <v>1191</v>
      </c>
      <c r="J34" s="712"/>
      <c r="K34" s="688"/>
      <c r="L34" s="954" t="s">
        <v>178</v>
      </c>
      <c r="M34" t="s">
        <v>1079</v>
      </c>
      <c r="N34" t="s">
        <v>1083</v>
      </c>
      <c r="O34" t="s">
        <v>2045</v>
      </c>
      <c r="P34" s="717" t="s">
        <v>76</v>
      </c>
      <c r="Q34" t="s">
        <v>76</v>
      </c>
    </row>
    <row r="35" spans="1:18" ht="15" customHeight="1" thickTop="1">
      <c r="A35" s="688"/>
      <c r="B35" s="688"/>
      <c r="C35" s="688"/>
      <c r="D35" s="688"/>
      <c r="E35" s="688"/>
      <c r="F35" s="688"/>
      <c r="G35" s="688"/>
      <c r="H35" s="684" t="s">
        <v>1843</v>
      </c>
      <c r="I35" s="730" t="s">
        <v>1192</v>
      </c>
      <c r="J35" s="712"/>
      <c r="K35" s="688"/>
      <c r="L35" s="954" t="s">
        <v>179</v>
      </c>
      <c r="M35" s="675" t="s">
        <v>1315</v>
      </c>
      <c r="N35" t="s">
        <v>1084</v>
      </c>
      <c r="O35" t="s">
        <v>952</v>
      </c>
      <c r="P35" s="717">
        <v>30</v>
      </c>
      <c r="Q35" t="s">
        <v>76</v>
      </c>
      <c r="R35" s="914" t="s">
        <v>1834</v>
      </c>
    </row>
    <row r="36" spans="1:18" ht="15" customHeight="1" thickBot="1">
      <c r="A36" s="688"/>
      <c r="B36" s="688"/>
      <c r="C36" s="688"/>
      <c r="D36" s="688"/>
      <c r="E36" s="688"/>
      <c r="F36" s="688"/>
      <c r="G36" s="688"/>
      <c r="H36" s="684" t="s">
        <v>1844</v>
      </c>
      <c r="I36" s="730" t="s">
        <v>1193</v>
      </c>
      <c r="J36" s="712"/>
      <c r="K36" s="688"/>
      <c r="L36" s="954" t="s">
        <v>180</v>
      </c>
      <c r="M36" s="675" t="s">
        <v>1316</v>
      </c>
      <c r="N36" t="s">
        <v>1085</v>
      </c>
      <c r="O36" t="s">
        <v>2050</v>
      </c>
      <c r="P36" s="717">
        <v>1.1000000000000001</v>
      </c>
      <c r="Q36" t="s">
        <v>1682</v>
      </c>
    </row>
    <row r="37" spans="1:18" ht="15" customHeight="1" thickTop="1">
      <c r="A37" s="688"/>
      <c r="B37" s="1700" t="s">
        <v>2061</v>
      </c>
      <c r="C37" s="1701"/>
      <c r="D37" s="1701"/>
      <c r="E37" s="1702"/>
      <c r="F37" s="688"/>
      <c r="G37" s="688"/>
      <c r="H37" s="684" t="s">
        <v>1845</v>
      </c>
      <c r="I37" s="730" t="s">
        <v>1194</v>
      </c>
      <c r="J37" s="712"/>
      <c r="K37" s="688"/>
      <c r="L37" s="954" t="s">
        <v>181</v>
      </c>
      <c r="M37" s="675" t="s">
        <v>1317</v>
      </c>
      <c r="N37" t="s">
        <v>1085</v>
      </c>
      <c r="O37" t="s">
        <v>2047</v>
      </c>
      <c r="P37" s="717">
        <v>3.1</v>
      </c>
      <c r="Q37" s="705" t="s">
        <v>130</v>
      </c>
    </row>
    <row r="38" spans="1:18" ht="15" customHeight="1" thickBot="1">
      <c r="A38" s="688"/>
      <c r="B38" s="680" t="s">
        <v>2065</v>
      </c>
      <c r="C38" s="686" t="s">
        <v>2062</v>
      </c>
      <c r="D38" s="686" t="s">
        <v>2063</v>
      </c>
      <c r="E38" s="681" t="s">
        <v>2064</v>
      </c>
      <c r="F38" s="688"/>
      <c r="G38" s="688"/>
      <c r="H38" s="685" t="s">
        <v>863</v>
      </c>
      <c r="I38" s="720" t="s">
        <v>1195</v>
      </c>
      <c r="J38" s="712"/>
      <c r="K38" s="688"/>
      <c r="L38" s="954" t="s">
        <v>182</v>
      </c>
      <c r="M38" s="675" t="s">
        <v>1318</v>
      </c>
      <c r="N38" t="s">
        <v>1085</v>
      </c>
      <c r="O38" t="s">
        <v>2046</v>
      </c>
      <c r="P38" s="717">
        <v>1.3</v>
      </c>
      <c r="Q38" t="s">
        <v>76</v>
      </c>
    </row>
    <row r="39" spans="1:18" ht="15" customHeight="1" thickTop="1">
      <c r="A39" s="688"/>
      <c r="B39" s="694" t="s">
        <v>1196</v>
      </c>
      <c r="C39" s="695" t="s">
        <v>1197</v>
      </c>
      <c r="D39" s="695" t="s">
        <v>1198</v>
      </c>
      <c r="E39" s="696" t="s">
        <v>1199</v>
      </c>
      <c r="F39" s="688"/>
      <c r="G39" s="688"/>
      <c r="H39" s="688"/>
      <c r="I39" s="688"/>
      <c r="J39" s="688"/>
      <c r="K39" s="688"/>
      <c r="L39" s="954" t="s">
        <v>183</v>
      </c>
      <c r="M39" s="675" t="s">
        <v>1319</v>
      </c>
      <c r="N39" t="s">
        <v>1085</v>
      </c>
      <c r="O39" t="s">
        <v>1642</v>
      </c>
      <c r="P39" s="717">
        <v>2.1</v>
      </c>
      <c r="Q39" t="s">
        <v>1682</v>
      </c>
    </row>
    <row r="40" spans="1:18" ht="15" customHeight="1" thickBot="1">
      <c r="A40" s="688"/>
      <c r="B40" s="697" t="s">
        <v>751</v>
      </c>
      <c r="C40" s="690" t="s">
        <v>57</v>
      </c>
      <c r="D40" s="690" t="s">
        <v>56</v>
      </c>
      <c r="E40" s="698" t="s">
        <v>1200</v>
      </c>
      <c r="F40" s="688"/>
      <c r="G40" s="688"/>
      <c r="H40" s="688"/>
      <c r="I40" s="688"/>
      <c r="J40" s="688"/>
      <c r="K40" s="688"/>
      <c r="L40" s="954" t="s">
        <v>184</v>
      </c>
      <c r="M40" s="675" t="s">
        <v>1320</v>
      </c>
      <c r="N40" t="s">
        <v>1085</v>
      </c>
      <c r="O40" t="s">
        <v>2049</v>
      </c>
      <c r="P40" s="717">
        <v>1.1000000000000001</v>
      </c>
      <c r="Q40" t="s">
        <v>1682</v>
      </c>
    </row>
    <row r="41" spans="1:18" ht="15" customHeight="1" thickTop="1">
      <c r="A41" s="688"/>
      <c r="B41" s="697" t="s">
        <v>58</v>
      </c>
      <c r="C41" s="690" t="s">
        <v>59</v>
      </c>
      <c r="D41" s="690" t="s">
        <v>60</v>
      </c>
      <c r="E41" s="698" t="s">
        <v>61</v>
      </c>
      <c r="F41" s="688"/>
      <c r="G41" s="688"/>
      <c r="H41" s="718" t="s">
        <v>128</v>
      </c>
      <c r="I41" s="719"/>
      <c r="J41" s="688"/>
      <c r="K41" s="688"/>
      <c r="L41" s="954" t="s">
        <v>185</v>
      </c>
      <c r="M41" s="675" t="s">
        <v>1321</v>
      </c>
      <c r="N41" t="s">
        <v>1085</v>
      </c>
      <c r="O41" t="s">
        <v>1643</v>
      </c>
      <c r="P41" s="717">
        <v>2.1</v>
      </c>
      <c r="Q41" t="s">
        <v>1682</v>
      </c>
    </row>
    <row r="42" spans="1:18" ht="15" customHeight="1" thickBot="1">
      <c r="A42" s="688"/>
      <c r="B42" s="699" t="s">
        <v>776</v>
      </c>
      <c r="C42" s="700" t="s">
        <v>64</v>
      </c>
      <c r="D42" s="700" t="s">
        <v>63</v>
      </c>
      <c r="E42" s="701" t="s">
        <v>62</v>
      </c>
      <c r="F42" s="688"/>
      <c r="G42" s="688"/>
      <c r="H42" s="720" t="s">
        <v>129</v>
      </c>
      <c r="I42" s="688"/>
      <c r="J42" s="688"/>
      <c r="K42" s="688"/>
      <c r="L42" s="954" t="s">
        <v>186</v>
      </c>
      <c r="M42" s="675" t="s">
        <v>1178</v>
      </c>
      <c r="N42" t="s">
        <v>1085</v>
      </c>
      <c r="O42" t="s">
        <v>1731</v>
      </c>
      <c r="P42" s="717">
        <v>2.1</v>
      </c>
      <c r="Q42" t="s">
        <v>1682</v>
      </c>
    </row>
    <row r="43" spans="1:18" ht="15" customHeight="1" thickTop="1">
      <c r="A43" s="688"/>
      <c r="B43" s="697" t="s">
        <v>65</v>
      </c>
      <c r="C43" s="690" t="s">
        <v>66</v>
      </c>
      <c r="D43" s="690" t="s">
        <v>67</v>
      </c>
      <c r="E43" s="698" t="s">
        <v>68</v>
      </c>
      <c r="F43" s="688"/>
      <c r="G43" s="688"/>
      <c r="H43" s="688"/>
      <c r="I43" s="688"/>
      <c r="J43" s="688"/>
      <c r="K43" s="688"/>
      <c r="L43" s="954" t="s">
        <v>187</v>
      </c>
      <c r="M43" s="675" t="s">
        <v>1179</v>
      </c>
      <c r="N43" t="s">
        <v>1085</v>
      </c>
      <c r="O43" t="s">
        <v>2048</v>
      </c>
      <c r="P43" s="717">
        <v>1.1000000000000001</v>
      </c>
      <c r="Q43" t="s">
        <v>76</v>
      </c>
    </row>
    <row r="44" spans="1:18" ht="15" customHeight="1" thickBot="1">
      <c r="A44" s="688"/>
      <c r="B44" s="702" t="s">
        <v>69</v>
      </c>
      <c r="C44" s="703" t="s">
        <v>70</v>
      </c>
      <c r="D44" s="703" t="s">
        <v>71</v>
      </c>
      <c r="E44" s="704" t="s">
        <v>72</v>
      </c>
      <c r="F44" s="688"/>
      <c r="G44" s="688"/>
      <c r="H44" s="688"/>
      <c r="I44" s="731"/>
      <c r="J44" s="731"/>
      <c r="K44" s="688"/>
      <c r="L44" s="954" t="s">
        <v>188</v>
      </c>
      <c r="M44" s="675" t="s">
        <v>1180</v>
      </c>
      <c r="N44" t="s">
        <v>1085</v>
      </c>
      <c r="O44" t="s">
        <v>2051</v>
      </c>
      <c r="P44" s="717">
        <v>1.1000000000000001</v>
      </c>
      <c r="Q44" t="s">
        <v>1682</v>
      </c>
    </row>
    <row r="45" spans="1:18" ht="15" customHeight="1" thickTop="1">
      <c r="A45" s="688"/>
      <c r="B45" s="688"/>
      <c r="C45" s="688"/>
      <c r="D45" s="688"/>
      <c r="E45" s="688"/>
      <c r="F45" s="688"/>
      <c r="G45" s="688"/>
      <c r="H45" s="688"/>
      <c r="I45" s="688"/>
      <c r="J45" s="688"/>
      <c r="K45" s="688"/>
      <c r="L45" s="954" t="s">
        <v>189</v>
      </c>
      <c r="M45" s="675" t="s">
        <v>1181</v>
      </c>
      <c r="N45" t="s">
        <v>1085</v>
      </c>
      <c r="O45" t="s">
        <v>2052</v>
      </c>
      <c r="P45" s="717">
        <v>1.3</v>
      </c>
      <c r="Q45" t="s">
        <v>1682</v>
      </c>
    </row>
    <row r="46" spans="1:18" ht="15" customHeight="1">
      <c r="A46" s="688"/>
      <c r="B46" s="688"/>
      <c r="C46" s="688"/>
      <c r="D46" s="688"/>
      <c r="E46" s="688"/>
      <c r="F46" s="688"/>
      <c r="G46" s="688"/>
      <c r="H46" s="688"/>
      <c r="I46" s="688"/>
      <c r="J46" s="688"/>
      <c r="K46" s="688"/>
      <c r="L46" s="954" t="s">
        <v>190</v>
      </c>
      <c r="M46" s="675" t="s">
        <v>79</v>
      </c>
      <c r="N46" t="s">
        <v>1083</v>
      </c>
      <c r="O46" s="1038" t="s">
        <v>1754</v>
      </c>
      <c r="P46" s="717" t="s">
        <v>76</v>
      </c>
      <c r="Q46" t="s">
        <v>76</v>
      </c>
      <c r="R46" s="912" t="s">
        <v>1835</v>
      </c>
    </row>
    <row r="47" spans="1:18" ht="15" customHeight="1">
      <c r="B47" s="585"/>
      <c r="L47" s="954" t="s">
        <v>191</v>
      </c>
      <c r="M47" s="675" t="s">
        <v>1182</v>
      </c>
      <c r="N47" t="s">
        <v>1085</v>
      </c>
      <c r="O47" s="675" t="s">
        <v>2472</v>
      </c>
      <c r="P47" s="717">
        <v>3.1</v>
      </c>
      <c r="Q47" t="s">
        <v>1682</v>
      </c>
    </row>
    <row r="48" spans="1:18" ht="15" customHeight="1">
      <c r="B48" s="585"/>
      <c r="L48" s="954" t="s">
        <v>192</v>
      </c>
      <c r="M48" s="675" t="s">
        <v>1183</v>
      </c>
      <c r="N48" t="s">
        <v>1085</v>
      </c>
      <c r="O48" s="1233" t="s">
        <v>2054</v>
      </c>
      <c r="P48" s="717">
        <v>3.1</v>
      </c>
      <c r="Q48" t="s">
        <v>1682</v>
      </c>
    </row>
    <row r="49" spans="2:17" ht="15" customHeight="1">
      <c r="B49" s="585"/>
      <c r="L49" s="954" t="s">
        <v>193</v>
      </c>
      <c r="M49" s="675" t="s">
        <v>1184</v>
      </c>
      <c r="N49" t="s">
        <v>1085</v>
      </c>
      <c r="O49" s="675" t="s">
        <v>2058</v>
      </c>
      <c r="P49" s="717">
        <v>3.1</v>
      </c>
      <c r="Q49" t="s">
        <v>1682</v>
      </c>
    </row>
    <row r="50" spans="2:17" ht="15" customHeight="1">
      <c r="B50" s="585"/>
      <c r="L50" s="954" t="s">
        <v>194</v>
      </c>
      <c r="M50" s="675" t="s">
        <v>1185</v>
      </c>
      <c r="N50" t="s">
        <v>1085</v>
      </c>
      <c r="O50" s="675" t="s">
        <v>2473</v>
      </c>
      <c r="P50" s="717">
        <v>3.1</v>
      </c>
      <c r="Q50" t="s">
        <v>1682</v>
      </c>
    </row>
    <row r="51" spans="2:17" ht="15" customHeight="1">
      <c r="B51" s="585"/>
      <c r="L51" s="954" t="s">
        <v>195</v>
      </c>
      <c r="M51" s="675" t="s">
        <v>1186</v>
      </c>
      <c r="N51" t="s">
        <v>1085</v>
      </c>
      <c r="O51" s="675" t="s">
        <v>2474</v>
      </c>
      <c r="P51" s="717">
        <v>3.1</v>
      </c>
      <c r="Q51" t="s">
        <v>1682</v>
      </c>
    </row>
    <row r="52" spans="2:17" ht="15" customHeight="1">
      <c r="B52" s="585"/>
      <c r="L52" s="954" t="s">
        <v>196</v>
      </c>
      <c r="M52" s="675" t="s">
        <v>1187</v>
      </c>
      <c r="N52" t="s">
        <v>1085</v>
      </c>
      <c r="O52" s="675" t="s">
        <v>2475</v>
      </c>
      <c r="P52" s="717">
        <v>3.1</v>
      </c>
      <c r="Q52" t="s">
        <v>1682</v>
      </c>
    </row>
    <row r="53" spans="2:17" ht="15" customHeight="1">
      <c r="B53" s="585"/>
      <c r="L53" s="954" t="s">
        <v>197</v>
      </c>
      <c r="M53" s="675" t="s">
        <v>1188</v>
      </c>
      <c r="N53" t="s">
        <v>1085</v>
      </c>
      <c r="O53" s="675" t="s">
        <v>2476</v>
      </c>
      <c r="P53" s="717">
        <v>3.1</v>
      </c>
      <c r="Q53" t="s">
        <v>1682</v>
      </c>
    </row>
    <row r="54" spans="2:17" ht="15" customHeight="1">
      <c r="B54" s="585"/>
      <c r="L54" s="954" t="s">
        <v>198</v>
      </c>
      <c r="M54" s="675" t="s">
        <v>1189</v>
      </c>
      <c r="N54" t="s">
        <v>1085</v>
      </c>
      <c r="O54" s="675" t="s">
        <v>1977</v>
      </c>
      <c r="P54" s="717">
        <v>3.1</v>
      </c>
      <c r="Q54" t="s">
        <v>1682</v>
      </c>
    </row>
    <row r="55" spans="2:17" ht="15" customHeight="1">
      <c r="B55" s="585"/>
      <c r="L55" s="954" t="s">
        <v>199</v>
      </c>
      <c r="M55" s="675" t="s">
        <v>1190</v>
      </c>
      <c r="N55" t="s">
        <v>1085</v>
      </c>
      <c r="O55" s="675" t="s">
        <v>1841</v>
      </c>
      <c r="P55" s="717">
        <v>3.1</v>
      </c>
      <c r="Q55" t="s">
        <v>1682</v>
      </c>
    </row>
    <row r="56" spans="2:17" ht="15" customHeight="1">
      <c r="B56" s="585"/>
      <c r="L56" s="954" t="s">
        <v>200</v>
      </c>
      <c r="M56" s="675" t="s">
        <v>1191</v>
      </c>
      <c r="N56" t="s">
        <v>1085</v>
      </c>
      <c r="O56" s="675" t="s">
        <v>1842</v>
      </c>
      <c r="P56" s="717">
        <v>3.1</v>
      </c>
      <c r="Q56" t="s">
        <v>1682</v>
      </c>
    </row>
    <row r="57" spans="2:17" ht="15" customHeight="1">
      <c r="B57" s="585"/>
      <c r="L57" s="954" t="s">
        <v>201</v>
      </c>
      <c r="M57" s="675" t="s">
        <v>1192</v>
      </c>
      <c r="N57" t="s">
        <v>1085</v>
      </c>
      <c r="O57" s="675" t="s">
        <v>1843</v>
      </c>
      <c r="P57" s="717">
        <v>3.1</v>
      </c>
      <c r="Q57" t="s">
        <v>1682</v>
      </c>
    </row>
    <row r="58" spans="2:17" ht="15" customHeight="1">
      <c r="B58" s="585"/>
      <c r="L58" s="954" t="s">
        <v>202</v>
      </c>
      <c r="M58" s="675" t="s">
        <v>1193</v>
      </c>
      <c r="N58" t="s">
        <v>1085</v>
      </c>
      <c r="O58" s="675" t="s">
        <v>1844</v>
      </c>
      <c r="P58" s="717">
        <v>3.1</v>
      </c>
      <c r="Q58" t="s">
        <v>1682</v>
      </c>
    </row>
    <row r="59" spans="2:17" ht="15" customHeight="1">
      <c r="B59" s="585"/>
      <c r="L59" s="954" t="s">
        <v>203</v>
      </c>
      <c r="M59" s="675" t="s">
        <v>1194</v>
      </c>
      <c r="N59" t="s">
        <v>1085</v>
      </c>
      <c r="O59" s="675" t="s">
        <v>1845</v>
      </c>
      <c r="P59" s="717">
        <v>3.1</v>
      </c>
      <c r="Q59" t="s">
        <v>1682</v>
      </c>
    </row>
    <row r="60" spans="2:17" ht="15" customHeight="1">
      <c r="B60" s="585"/>
      <c r="L60" s="954" t="s">
        <v>204</v>
      </c>
      <c r="M60" s="675" t="s">
        <v>1195</v>
      </c>
      <c r="N60" t="s">
        <v>1085</v>
      </c>
      <c r="O60" s="675" t="s">
        <v>863</v>
      </c>
      <c r="P60" s="717">
        <v>3.1</v>
      </c>
      <c r="Q60" t="s">
        <v>1682</v>
      </c>
    </row>
    <row r="61" spans="2:17" ht="15" customHeight="1">
      <c r="B61" s="585"/>
      <c r="L61" s="954" t="s">
        <v>205</v>
      </c>
      <c r="M61" s="706" t="s">
        <v>1080</v>
      </c>
      <c r="N61" s="705" t="s">
        <v>1083</v>
      </c>
      <c r="O61" s="705" t="s">
        <v>2061</v>
      </c>
      <c r="P61" s="716" t="s">
        <v>76</v>
      </c>
      <c r="Q61" s="705" t="s">
        <v>76</v>
      </c>
    </row>
    <row r="62" spans="2:17" ht="15" customHeight="1">
      <c r="B62" s="585"/>
      <c r="L62" s="954" t="s">
        <v>206</v>
      </c>
      <c r="M62" s="675" t="s">
        <v>1196</v>
      </c>
      <c r="N62" t="s">
        <v>1084</v>
      </c>
      <c r="O62" s="675" t="s">
        <v>2065</v>
      </c>
      <c r="P62" s="717">
        <v>7</v>
      </c>
      <c r="Q62" s="705" t="s">
        <v>76</v>
      </c>
    </row>
    <row r="63" spans="2:17" ht="15" customHeight="1">
      <c r="B63" s="585"/>
      <c r="L63" s="954" t="s">
        <v>207</v>
      </c>
      <c r="M63" s="675" t="s">
        <v>751</v>
      </c>
      <c r="N63" t="s">
        <v>1084</v>
      </c>
      <c r="O63" s="675" t="s">
        <v>108</v>
      </c>
      <c r="P63" s="717">
        <v>7</v>
      </c>
      <c r="Q63" s="705" t="s">
        <v>76</v>
      </c>
    </row>
    <row r="64" spans="2:17" ht="15" customHeight="1">
      <c r="B64" s="585"/>
      <c r="L64" s="954" t="s">
        <v>208</v>
      </c>
      <c r="M64" s="675" t="s">
        <v>58</v>
      </c>
      <c r="N64" t="s">
        <v>1084</v>
      </c>
      <c r="O64" s="675" t="s">
        <v>109</v>
      </c>
      <c r="P64" s="717">
        <v>7</v>
      </c>
      <c r="Q64" s="705" t="s">
        <v>76</v>
      </c>
    </row>
    <row r="65" spans="2:17" ht="15" customHeight="1">
      <c r="B65" s="585"/>
      <c r="L65" s="954" t="s">
        <v>209</v>
      </c>
      <c r="M65" s="675" t="s">
        <v>776</v>
      </c>
      <c r="N65" t="s">
        <v>1084</v>
      </c>
      <c r="O65" s="675" t="s">
        <v>110</v>
      </c>
      <c r="P65" s="717">
        <v>7</v>
      </c>
      <c r="Q65" s="705" t="s">
        <v>76</v>
      </c>
    </row>
    <row r="66" spans="2:17" ht="15" customHeight="1">
      <c r="B66" s="585"/>
      <c r="L66" s="954" t="s">
        <v>210</v>
      </c>
      <c r="M66" s="675" t="s">
        <v>65</v>
      </c>
      <c r="N66" t="s">
        <v>1084</v>
      </c>
      <c r="O66" s="675" t="s">
        <v>111</v>
      </c>
      <c r="P66" s="717">
        <v>7</v>
      </c>
      <c r="Q66" s="705" t="s">
        <v>76</v>
      </c>
    </row>
    <row r="67" spans="2:17" ht="15" customHeight="1">
      <c r="B67" s="585"/>
      <c r="L67" s="954" t="s">
        <v>211</v>
      </c>
      <c r="M67" s="675" t="s">
        <v>69</v>
      </c>
      <c r="N67" t="s">
        <v>1084</v>
      </c>
      <c r="O67" s="675" t="s">
        <v>112</v>
      </c>
      <c r="P67" s="717">
        <v>7</v>
      </c>
      <c r="Q67" s="705" t="s">
        <v>76</v>
      </c>
    </row>
    <row r="68" spans="2:17" ht="15" customHeight="1">
      <c r="B68" s="585"/>
      <c r="L68" s="954" t="s">
        <v>212</v>
      </c>
      <c r="M68" s="675" t="s">
        <v>1197</v>
      </c>
      <c r="N68" t="s">
        <v>1084</v>
      </c>
      <c r="O68" s="675" t="s">
        <v>2062</v>
      </c>
      <c r="P68" s="717">
        <v>13</v>
      </c>
      <c r="Q68" s="705" t="s">
        <v>76</v>
      </c>
    </row>
    <row r="69" spans="2:17" ht="15" customHeight="1">
      <c r="L69" s="954" t="s">
        <v>213</v>
      </c>
      <c r="M69" s="675" t="s">
        <v>57</v>
      </c>
      <c r="N69" t="s">
        <v>1084</v>
      </c>
      <c r="O69" s="675" t="s">
        <v>113</v>
      </c>
      <c r="P69" s="717">
        <v>13</v>
      </c>
      <c r="Q69" s="705" t="s">
        <v>76</v>
      </c>
    </row>
    <row r="70" spans="2:17" ht="15" customHeight="1">
      <c r="L70" s="954" t="s">
        <v>214</v>
      </c>
      <c r="M70" s="675" t="s">
        <v>59</v>
      </c>
      <c r="N70" t="s">
        <v>1084</v>
      </c>
      <c r="O70" s="675" t="s">
        <v>114</v>
      </c>
      <c r="P70" s="717">
        <v>13</v>
      </c>
      <c r="Q70" s="705" t="s">
        <v>76</v>
      </c>
    </row>
    <row r="71" spans="2:17" ht="15" customHeight="1">
      <c r="L71" s="954" t="s">
        <v>215</v>
      </c>
      <c r="M71" s="675" t="s">
        <v>64</v>
      </c>
      <c r="N71" t="s">
        <v>1084</v>
      </c>
      <c r="O71" s="675" t="s">
        <v>115</v>
      </c>
      <c r="P71" s="717">
        <v>13</v>
      </c>
      <c r="Q71" s="705" t="s">
        <v>76</v>
      </c>
    </row>
    <row r="72" spans="2:17" ht="15" customHeight="1">
      <c r="L72" s="954" t="s">
        <v>216</v>
      </c>
      <c r="M72" s="675" t="s">
        <v>66</v>
      </c>
      <c r="N72" t="s">
        <v>1084</v>
      </c>
      <c r="O72" s="675" t="s">
        <v>116</v>
      </c>
      <c r="P72" s="717">
        <v>13</v>
      </c>
      <c r="Q72" s="705" t="s">
        <v>76</v>
      </c>
    </row>
    <row r="73" spans="2:17" ht="15" customHeight="1">
      <c r="L73" s="954" t="s">
        <v>217</v>
      </c>
      <c r="M73" s="675" t="s">
        <v>70</v>
      </c>
      <c r="N73" t="s">
        <v>1084</v>
      </c>
      <c r="O73" s="675" t="s">
        <v>117</v>
      </c>
      <c r="P73" s="717">
        <v>13</v>
      </c>
      <c r="Q73" s="705" t="s">
        <v>76</v>
      </c>
    </row>
    <row r="74" spans="2:17" ht="15" customHeight="1">
      <c r="L74" s="954" t="s">
        <v>218</v>
      </c>
      <c r="M74" s="675" t="s">
        <v>1198</v>
      </c>
      <c r="N74" t="s">
        <v>1085</v>
      </c>
      <c r="O74" s="675" t="s">
        <v>2063</v>
      </c>
      <c r="P74" s="717">
        <v>3.1</v>
      </c>
      <c r="Q74" s="705" t="s">
        <v>130</v>
      </c>
    </row>
    <row r="75" spans="2:17" ht="15" customHeight="1">
      <c r="L75" s="954" t="s">
        <v>219</v>
      </c>
      <c r="M75" s="675" t="s">
        <v>56</v>
      </c>
      <c r="N75" t="s">
        <v>1085</v>
      </c>
      <c r="O75" s="675" t="s">
        <v>118</v>
      </c>
      <c r="P75" s="717">
        <v>3.1</v>
      </c>
      <c r="Q75" s="705" t="s">
        <v>130</v>
      </c>
    </row>
    <row r="76" spans="2:17" ht="15" customHeight="1">
      <c r="L76" s="954" t="s">
        <v>220</v>
      </c>
      <c r="M76" s="675" t="s">
        <v>60</v>
      </c>
      <c r="N76" t="s">
        <v>1085</v>
      </c>
      <c r="O76" s="675" t="s">
        <v>119</v>
      </c>
      <c r="P76" s="717">
        <v>3.1</v>
      </c>
      <c r="Q76" s="705" t="s">
        <v>130</v>
      </c>
    </row>
    <row r="77" spans="2:17" ht="15" customHeight="1">
      <c r="L77" s="954" t="s">
        <v>221</v>
      </c>
      <c r="M77" s="675" t="s">
        <v>63</v>
      </c>
      <c r="N77" t="s">
        <v>1085</v>
      </c>
      <c r="O77" s="675" t="s">
        <v>120</v>
      </c>
      <c r="P77" s="717">
        <v>3.1</v>
      </c>
      <c r="Q77" s="705" t="s">
        <v>130</v>
      </c>
    </row>
    <row r="78" spans="2:17" ht="15" customHeight="1">
      <c r="L78" s="954" t="s">
        <v>222</v>
      </c>
      <c r="M78" s="675" t="s">
        <v>67</v>
      </c>
      <c r="N78" t="s">
        <v>1085</v>
      </c>
      <c r="O78" s="675" t="s">
        <v>121</v>
      </c>
      <c r="P78" s="717">
        <v>3.1</v>
      </c>
      <c r="Q78" s="705" t="s">
        <v>130</v>
      </c>
    </row>
    <row r="79" spans="2:17" ht="15" customHeight="1">
      <c r="L79" s="954" t="s">
        <v>223</v>
      </c>
      <c r="M79" s="675" t="s">
        <v>71</v>
      </c>
      <c r="N79" t="s">
        <v>1085</v>
      </c>
      <c r="O79" s="675" t="s">
        <v>122</v>
      </c>
      <c r="P79" s="717">
        <v>3.1</v>
      </c>
      <c r="Q79" s="705" t="s">
        <v>130</v>
      </c>
    </row>
    <row r="80" spans="2:17" ht="15" customHeight="1">
      <c r="L80" s="954" t="s">
        <v>224</v>
      </c>
      <c r="M80" s="675" t="s">
        <v>1199</v>
      </c>
      <c r="N80" t="s">
        <v>1085</v>
      </c>
      <c r="O80" s="675" t="s">
        <v>2064</v>
      </c>
      <c r="P80" s="717">
        <v>2.1</v>
      </c>
      <c r="Q80" s="675" t="s">
        <v>1682</v>
      </c>
    </row>
    <row r="81" spans="12:18" ht="15" customHeight="1">
      <c r="L81" s="954" t="s">
        <v>225</v>
      </c>
      <c r="M81" s="675" t="s">
        <v>1200</v>
      </c>
      <c r="N81" t="s">
        <v>1085</v>
      </c>
      <c r="O81" s="675" t="s">
        <v>123</v>
      </c>
      <c r="P81" s="717">
        <v>2.1</v>
      </c>
      <c r="Q81" s="675" t="s">
        <v>1682</v>
      </c>
    </row>
    <row r="82" spans="12:18" ht="15" customHeight="1">
      <c r="L82" s="954" t="s">
        <v>226</v>
      </c>
      <c r="M82" s="675" t="s">
        <v>61</v>
      </c>
      <c r="N82" t="s">
        <v>1085</v>
      </c>
      <c r="O82" s="675" t="s">
        <v>124</v>
      </c>
      <c r="P82" s="717">
        <v>2.1</v>
      </c>
      <c r="Q82" s="675" t="s">
        <v>1682</v>
      </c>
    </row>
    <row r="83" spans="12:18" ht="15" customHeight="1">
      <c r="L83" s="954" t="s">
        <v>227</v>
      </c>
      <c r="M83" s="675" t="s">
        <v>62</v>
      </c>
      <c r="N83" t="s">
        <v>1085</v>
      </c>
      <c r="O83" s="675" t="s">
        <v>125</v>
      </c>
      <c r="P83" s="717">
        <v>2.1</v>
      </c>
      <c r="Q83" s="675" t="s">
        <v>1682</v>
      </c>
    </row>
    <row r="84" spans="12:18" ht="15" customHeight="1">
      <c r="L84" s="954" t="s">
        <v>228</v>
      </c>
      <c r="M84" s="675" t="s">
        <v>68</v>
      </c>
      <c r="N84" t="s">
        <v>1085</v>
      </c>
      <c r="O84" s="675" t="s">
        <v>126</v>
      </c>
      <c r="P84" s="717">
        <v>2.1</v>
      </c>
      <c r="Q84" s="675" t="s">
        <v>1682</v>
      </c>
    </row>
    <row r="85" spans="12:18" ht="15" customHeight="1">
      <c r="L85" s="954" t="s">
        <v>229</v>
      </c>
      <c r="M85" s="675" t="s">
        <v>72</v>
      </c>
      <c r="N85" t="s">
        <v>1085</v>
      </c>
      <c r="O85" s="675" t="s">
        <v>127</v>
      </c>
      <c r="P85" s="717">
        <v>2.1</v>
      </c>
      <c r="Q85" s="675" t="s">
        <v>1682</v>
      </c>
    </row>
    <row r="86" spans="12:18" ht="15" customHeight="1">
      <c r="L86" s="954" t="s">
        <v>2306</v>
      </c>
      <c r="M86" s="675" t="s">
        <v>129</v>
      </c>
      <c r="N86" t="s">
        <v>1085</v>
      </c>
      <c r="O86" s="675" t="s">
        <v>128</v>
      </c>
      <c r="P86" s="717">
        <v>3.2</v>
      </c>
      <c r="Q86" s="675" t="s">
        <v>131</v>
      </c>
      <c r="R86" s="913"/>
    </row>
    <row r="87" spans="12:18" ht="15" customHeight="1">
      <c r="L87" s="1217" t="s">
        <v>230</v>
      </c>
      <c r="N87" t="s">
        <v>1085</v>
      </c>
      <c r="O87" t="s">
        <v>2238</v>
      </c>
      <c r="P87" s="717">
        <v>1</v>
      </c>
      <c r="Q87" s="675" t="s">
        <v>76</v>
      </c>
    </row>
    <row r="88" spans="12:18" ht="15" customHeight="1">
      <c r="L88" s="1217" t="s">
        <v>2280</v>
      </c>
      <c r="N88" t="s">
        <v>1084</v>
      </c>
      <c r="O88" t="s">
        <v>952</v>
      </c>
      <c r="P88" s="717">
        <v>20</v>
      </c>
      <c r="Q88" s="675" t="s">
        <v>76</v>
      </c>
    </row>
    <row r="89" spans="12:18" ht="15" customHeight="1">
      <c r="L89" s="1217" t="s">
        <v>2257</v>
      </c>
      <c r="N89" t="s">
        <v>1084</v>
      </c>
      <c r="O89" t="s">
        <v>1958</v>
      </c>
      <c r="P89" s="717">
        <v>1</v>
      </c>
      <c r="Q89" s="675" t="s">
        <v>76</v>
      </c>
    </row>
    <row r="90" spans="12:18" ht="15" customHeight="1">
      <c r="L90" s="1217" t="s">
        <v>2258</v>
      </c>
      <c r="N90" t="s">
        <v>1085</v>
      </c>
      <c r="O90" t="s">
        <v>2241</v>
      </c>
      <c r="P90" s="717">
        <v>1.1000000000000001</v>
      </c>
      <c r="Q90" t="s">
        <v>1682</v>
      </c>
    </row>
    <row r="91" spans="12:18" ht="15" customHeight="1">
      <c r="L91" s="1217" t="s">
        <v>2259</v>
      </c>
      <c r="M91" s="675"/>
      <c r="N91" t="s">
        <v>1085</v>
      </c>
      <c r="O91" s="675" t="s">
        <v>2239</v>
      </c>
      <c r="P91" s="717">
        <v>3.1</v>
      </c>
      <c r="Q91" s="675" t="s">
        <v>1682</v>
      </c>
    </row>
    <row r="92" spans="12:18" ht="15" customHeight="1">
      <c r="L92" s="1217" t="s">
        <v>2260</v>
      </c>
      <c r="M92" s="675"/>
      <c r="N92" t="s">
        <v>1085</v>
      </c>
      <c r="O92" s="675" t="s">
        <v>2240</v>
      </c>
      <c r="P92" s="717">
        <v>1.1000000000000001</v>
      </c>
      <c r="Q92" s="675" t="s">
        <v>1682</v>
      </c>
    </row>
    <row r="93" spans="12:18" ht="15" customHeight="1">
      <c r="L93" s="1217" t="s">
        <v>2261</v>
      </c>
      <c r="N93" t="s">
        <v>1085</v>
      </c>
      <c r="O93" t="s">
        <v>2242</v>
      </c>
      <c r="P93" s="717">
        <v>3.1</v>
      </c>
      <c r="Q93" t="s">
        <v>1682</v>
      </c>
    </row>
    <row r="94" spans="12:18" ht="15" customHeight="1">
      <c r="L94" s="1217" t="s">
        <v>2262</v>
      </c>
      <c r="M94" s="675"/>
      <c r="N94" t="s">
        <v>1085</v>
      </c>
      <c r="O94" s="675" t="s">
        <v>2279</v>
      </c>
      <c r="P94" s="717">
        <v>2.1</v>
      </c>
      <c r="Q94" t="s">
        <v>1682</v>
      </c>
    </row>
    <row r="95" spans="12:18" ht="15" customHeight="1">
      <c r="L95" s="1217" t="s">
        <v>2263</v>
      </c>
      <c r="M95" s="675"/>
      <c r="N95" t="s">
        <v>1085</v>
      </c>
      <c r="O95" s="675" t="s">
        <v>2243</v>
      </c>
      <c r="P95" s="717">
        <v>3.1</v>
      </c>
      <c r="Q95" t="s">
        <v>1682</v>
      </c>
    </row>
    <row r="96" spans="12:18" ht="15" customHeight="1">
      <c r="L96" s="1217" t="s">
        <v>2264</v>
      </c>
      <c r="M96" s="675"/>
      <c r="N96" t="s">
        <v>1085</v>
      </c>
      <c r="O96" s="675" t="s">
        <v>2244</v>
      </c>
      <c r="P96" s="717">
        <v>3.1</v>
      </c>
      <c r="Q96" t="s">
        <v>1682</v>
      </c>
    </row>
    <row r="97" spans="12:18" ht="15" customHeight="1">
      <c r="L97" s="1217" t="s">
        <v>2265</v>
      </c>
      <c r="M97" s="675"/>
      <c r="N97" t="s">
        <v>1085</v>
      </c>
      <c r="O97" s="675" t="s">
        <v>2245</v>
      </c>
      <c r="P97" s="717">
        <v>3.2</v>
      </c>
      <c r="Q97" t="s">
        <v>1682</v>
      </c>
    </row>
    <row r="98" spans="12:18" ht="15" customHeight="1">
      <c r="L98" s="1217" t="s">
        <v>2266</v>
      </c>
      <c r="M98" s="675"/>
      <c r="N98" t="s">
        <v>1085</v>
      </c>
      <c r="O98" s="675" t="s">
        <v>2246</v>
      </c>
      <c r="P98" s="717">
        <v>3.2</v>
      </c>
      <c r="Q98" t="s">
        <v>1708</v>
      </c>
    </row>
    <row r="99" spans="12:18" ht="15" customHeight="1">
      <c r="L99" s="1217" t="s">
        <v>2267</v>
      </c>
      <c r="M99" s="675"/>
      <c r="N99" t="s">
        <v>1085</v>
      </c>
      <c r="O99" s="675" t="s">
        <v>2247</v>
      </c>
      <c r="P99" s="717">
        <v>3.2</v>
      </c>
      <c r="Q99" t="s">
        <v>1682</v>
      </c>
    </row>
    <row r="100" spans="12:18" ht="15" customHeight="1">
      <c r="L100" s="1217" t="s">
        <v>2268</v>
      </c>
      <c r="M100" s="675"/>
      <c r="N100" t="s">
        <v>1085</v>
      </c>
      <c r="O100" s="675" t="s">
        <v>2248</v>
      </c>
      <c r="P100" s="717">
        <v>5.3</v>
      </c>
      <c r="Q100" t="s">
        <v>131</v>
      </c>
    </row>
    <row r="101" spans="12:18" ht="15" customHeight="1">
      <c r="L101" s="1217" t="s">
        <v>2269</v>
      </c>
      <c r="M101" s="675"/>
      <c r="N101" t="s">
        <v>1084</v>
      </c>
      <c r="O101" s="675" t="s">
        <v>2249</v>
      </c>
      <c r="P101" s="717">
        <v>20</v>
      </c>
      <c r="Q101" t="s">
        <v>76</v>
      </c>
    </row>
    <row r="102" spans="12:18" ht="15" customHeight="1">
      <c r="L102" s="1217" t="s">
        <v>2270</v>
      </c>
      <c r="M102" s="675"/>
      <c r="N102" t="s">
        <v>1084</v>
      </c>
      <c r="O102" s="675" t="s">
        <v>2250</v>
      </c>
      <c r="P102" s="717">
        <v>10</v>
      </c>
      <c r="Q102" t="s">
        <v>76</v>
      </c>
    </row>
    <row r="103" spans="12:18" ht="15" customHeight="1">
      <c r="L103" s="1217" t="s">
        <v>2271</v>
      </c>
      <c r="M103" s="675"/>
      <c r="N103" t="s">
        <v>1085</v>
      </c>
      <c r="O103" s="675" t="s">
        <v>2251</v>
      </c>
      <c r="P103" s="717">
        <v>3.1</v>
      </c>
      <c r="Q103" t="s">
        <v>1682</v>
      </c>
    </row>
    <row r="104" spans="12:18" ht="15" customHeight="1">
      <c r="L104" s="1217" t="s">
        <v>2272</v>
      </c>
      <c r="M104" s="675"/>
      <c r="N104" t="s">
        <v>1084</v>
      </c>
      <c r="O104" s="675" t="s">
        <v>2252</v>
      </c>
      <c r="P104" s="717">
        <v>30</v>
      </c>
      <c r="Q104" t="s">
        <v>76</v>
      </c>
    </row>
    <row r="105" spans="12:18" ht="15" customHeight="1">
      <c r="L105" s="1217" t="s">
        <v>2273</v>
      </c>
      <c r="M105" s="675"/>
      <c r="N105" t="s">
        <v>1084</v>
      </c>
      <c r="O105" s="675" t="s">
        <v>2253</v>
      </c>
      <c r="P105" s="717">
        <v>30</v>
      </c>
      <c r="Q105" s="675" t="s">
        <v>76</v>
      </c>
    </row>
    <row r="106" spans="12:18" ht="15" customHeight="1">
      <c r="L106" s="1217" t="s">
        <v>2274</v>
      </c>
      <c r="M106" s="675"/>
      <c r="N106" t="s">
        <v>1084</v>
      </c>
      <c r="O106" s="675" t="s">
        <v>2254</v>
      </c>
      <c r="P106" s="717">
        <v>10</v>
      </c>
      <c r="Q106" s="675" t="s">
        <v>76</v>
      </c>
    </row>
    <row r="107" spans="12:18" ht="15" customHeight="1">
      <c r="L107" s="1217" t="s">
        <v>2275</v>
      </c>
      <c r="M107" s="675"/>
      <c r="N107" t="s">
        <v>1084</v>
      </c>
      <c r="O107" s="675" t="s">
        <v>2255</v>
      </c>
      <c r="P107" s="717">
        <v>10</v>
      </c>
      <c r="Q107" s="675" t="s">
        <v>76</v>
      </c>
    </row>
    <row r="108" spans="12:18" ht="15" customHeight="1">
      <c r="L108" s="1217" t="s">
        <v>2276</v>
      </c>
      <c r="M108" s="675"/>
      <c r="N108" t="s">
        <v>1084</v>
      </c>
      <c r="O108" s="675" t="s">
        <v>2256</v>
      </c>
      <c r="P108" s="717">
        <v>40</v>
      </c>
      <c r="Q108" s="675" t="s">
        <v>76</v>
      </c>
    </row>
    <row r="109" spans="12:18" ht="15" customHeight="1">
      <c r="L109" s="1217" t="s">
        <v>2277</v>
      </c>
      <c r="M109" s="675"/>
      <c r="N109" t="s">
        <v>1084</v>
      </c>
      <c r="O109" t="s">
        <v>2468</v>
      </c>
      <c r="P109" s="717">
        <v>3</v>
      </c>
      <c r="Q109" s="675" t="s">
        <v>76</v>
      </c>
    </row>
    <row r="110" spans="12:18" ht="15" customHeight="1">
      <c r="L110" s="1217" t="s">
        <v>2278</v>
      </c>
      <c r="M110" s="675"/>
      <c r="N110" t="s">
        <v>1084</v>
      </c>
      <c r="O110" t="s">
        <v>2467</v>
      </c>
      <c r="P110" s="717">
        <v>3</v>
      </c>
      <c r="Q110" s="675" t="s">
        <v>76</v>
      </c>
    </row>
    <row r="111" spans="12:18" ht="15" customHeight="1">
      <c r="L111" s="1217" t="s">
        <v>2491</v>
      </c>
      <c r="M111" s="675"/>
      <c r="N111" t="s">
        <v>1085</v>
      </c>
      <c r="O111" s="675" t="s">
        <v>2477</v>
      </c>
      <c r="P111" s="717">
        <v>3.1</v>
      </c>
      <c r="Q111" t="s">
        <v>1682</v>
      </c>
      <c r="R111" s="912" t="str">
        <f>CONCATENATE("VI01 - "&amp;O111)</f>
        <v>VI01 - JMF-2 "</v>
      </c>
    </row>
    <row r="112" spans="12:18" ht="15" customHeight="1">
      <c r="L112" s="1217" t="s">
        <v>2492</v>
      </c>
      <c r="M112" s="675"/>
      <c r="N112" t="s">
        <v>1085</v>
      </c>
      <c r="O112" s="1233" t="s">
        <v>2478</v>
      </c>
      <c r="P112" s="717">
        <v>3.1</v>
      </c>
      <c r="Q112" t="s">
        <v>1682</v>
      </c>
      <c r="R112" s="912" t="str">
        <f t="shared" ref="R112:R124" si="0">CONCATENATE("VI01 - "&amp;O112)</f>
        <v>VI01 - JMF-1 1/2 "</v>
      </c>
    </row>
    <row r="113" spans="12:18" ht="15" customHeight="1">
      <c r="L113" s="1217" t="s">
        <v>2493</v>
      </c>
      <c r="M113" s="675"/>
      <c r="N113" t="s">
        <v>1085</v>
      </c>
      <c r="O113" s="675" t="s">
        <v>2479</v>
      </c>
      <c r="P113" s="717">
        <v>3.1</v>
      </c>
      <c r="Q113" t="s">
        <v>1682</v>
      </c>
      <c r="R113" s="912" t="str">
        <f t="shared" si="0"/>
        <v>VI01 - JMF-1 "</v>
      </c>
    </row>
    <row r="114" spans="12:18" ht="15" customHeight="1">
      <c r="L114" s="1217" t="s">
        <v>2494</v>
      </c>
      <c r="M114" s="675"/>
      <c r="N114" t="s">
        <v>1085</v>
      </c>
      <c r="O114" s="675" t="s">
        <v>2480</v>
      </c>
      <c r="P114" s="717">
        <v>3.1</v>
      </c>
      <c r="Q114" t="s">
        <v>1682</v>
      </c>
      <c r="R114" s="912" t="str">
        <f t="shared" si="0"/>
        <v>VI01 - JMF-3/4 "</v>
      </c>
    </row>
    <row r="115" spans="12:18" ht="15" customHeight="1">
      <c r="L115" s="1217" t="s">
        <v>2495</v>
      </c>
      <c r="M115" s="675"/>
      <c r="N115" t="s">
        <v>1085</v>
      </c>
      <c r="O115" s="675" t="s">
        <v>2481</v>
      </c>
      <c r="P115" s="717">
        <v>3.1</v>
      </c>
      <c r="Q115" t="s">
        <v>1682</v>
      </c>
      <c r="R115" s="912" t="str">
        <f t="shared" si="0"/>
        <v>VI01 - JMF-1/2 "</v>
      </c>
    </row>
    <row r="116" spans="12:18" ht="15" customHeight="1">
      <c r="L116" s="1217" t="s">
        <v>2496</v>
      </c>
      <c r="M116" s="675"/>
      <c r="N116" t="s">
        <v>1085</v>
      </c>
      <c r="O116" s="675" t="s">
        <v>2482</v>
      </c>
      <c r="P116" s="717">
        <v>3.1</v>
      </c>
      <c r="Q116" t="s">
        <v>1682</v>
      </c>
      <c r="R116" s="912" t="str">
        <f t="shared" si="0"/>
        <v>VI01 - JMF-3/8 "</v>
      </c>
    </row>
    <row r="117" spans="12:18" ht="15" customHeight="1">
      <c r="L117" s="1217" t="s">
        <v>2497</v>
      </c>
      <c r="N117" t="s">
        <v>1085</v>
      </c>
      <c r="O117" s="675" t="s">
        <v>2483</v>
      </c>
      <c r="P117" s="717">
        <v>3.1</v>
      </c>
      <c r="Q117" t="s">
        <v>1682</v>
      </c>
      <c r="R117" s="912" t="str">
        <f t="shared" si="0"/>
        <v>VI01 - JMF-1/4 "</v>
      </c>
    </row>
    <row r="118" spans="12:18" ht="15" customHeight="1">
      <c r="L118" s="1217" t="s">
        <v>2498</v>
      </c>
      <c r="N118" t="s">
        <v>1085</v>
      </c>
      <c r="O118" s="675" t="s">
        <v>2484</v>
      </c>
      <c r="P118" s="717">
        <v>3.1</v>
      </c>
      <c r="Q118" t="s">
        <v>1682</v>
      </c>
      <c r="R118" s="912" t="str">
        <f t="shared" si="0"/>
        <v>VI01 - JMF-# 4</v>
      </c>
    </row>
    <row r="119" spans="12:18" ht="15" customHeight="1">
      <c r="L119" s="1217" t="s">
        <v>2499</v>
      </c>
      <c r="N119" t="s">
        <v>1085</v>
      </c>
      <c r="O119" s="675" t="s">
        <v>2485</v>
      </c>
      <c r="P119" s="717">
        <v>3.1</v>
      </c>
      <c r="Q119" t="s">
        <v>1682</v>
      </c>
      <c r="R119" s="912" t="str">
        <f t="shared" si="0"/>
        <v>VI01 - JMF-# 8</v>
      </c>
    </row>
    <row r="120" spans="12:18" ht="15" customHeight="1">
      <c r="L120" s="1217" t="s">
        <v>2500</v>
      </c>
      <c r="N120" t="s">
        <v>1085</v>
      </c>
      <c r="O120" s="675" t="s">
        <v>2486</v>
      </c>
      <c r="P120" s="717">
        <v>3.1</v>
      </c>
      <c r="Q120" t="s">
        <v>1682</v>
      </c>
      <c r="R120" s="912" t="str">
        <f t="shared" si="0"/>
        <v>VI01 - JMF-# 16</v>
      </c>
    </row>
    <row r="121" spans="12:18" ht="15" customHeight="1">
      <c r="L121" s="1217" t="s">
        <v>2501</v>
      </c>
      <c r="N121" t="s">
        <v>1085</v>
      </c>
      <c r="O121" s="675" t="s">
        <v>2487</v>
      </c>
      <c r="P121" s="717">
        <v>3.1</v>
      </c>
      <c r="Q121" t="s">
        <v>1682</v>
      </c>
      <c r="R121" s="912" t="str">
        <f t="shared" si="0"/>
        <v>VI01 - JMF-# 30</v>
      </c>
    </row>
    <row r="122" spans="12:18" ht="15" customHeight="1">
      <c r="L122" s="1217" t="s">
        <v>2502</v>
      </c>
      <c r="N122" t="s">
        <v>1085</v>
      </c>
      <c r="O122" s="675" t="s">
        <v>2488</v>
      </c>
      <c r="P122" s="717">
        <v>3.1</v>
      </c>
      <c r="Q122" t="s">
        <v>1682</v>
      </c>
      <c r="R122" s="912" t="str">
        <f t="shared" si="0"/>
        <v>VI01 - JMF-# 50</v>
      </c>
    </row>
    <row r="123" spans="12:18" ht="15" customHeight="1">
      <c r="L123" s="1217" t="s">
        <v>2503</v>
      </c>
      <c r="N123" t="s">
        <v>1085</v>
      </c>
      <c r="O123" s="675" t="s">
        <v>2489</v>
      </c>
      <c r="P123" s="717">
        <v>3.1</v>
      </c>
      <c r="Q123" t="s">
        <v>1682</v>
      </c>
      <c r="R123" s="912" t="str">
        <f t="shared" si="0"/>
        <v>VI01 - JMF-# 100</v>
      </c>
    </row>
    <row r="124" spans="12:18" ht="15" customHeight="1">
      <c r="L124" s="1217" t="s">
        <v>2504</v>
      </c>
      <c r="N124" t="s">
        <v>1085</v>
      </c>
      <c r="O124" s="675" t="s">
        <v>2490</v>
      </c>
      <c r="P124" s="717">
        <v>3.1</v>
      </c>
      <c r="Q124" t="s">
        <v>1682</v>
      </c>
      <c r="R124" s="912" t="str">
        <f t="shared" si="0"/>
        <v>VI01 - JMF-# 200</v>
      </c>
    </row>
  </sheetData>
  <mergeCells count="48">
    <mergeCell ref="H14:I14"/>
    <mergeCell ref="H15:I15"/>
    <mergeCell ref="H9:I9"/>
    <mergeCell ref="H10:I10"/>
    <mergeCell ref="H11:I11"/>
    <mergeCell ref="H12:I12"/>
    <mergeCell ref="H13:I13"/>
    <mergeCell ref="B25:C25"/>
    <mergeCell ref="C15:D15"/>
    <mergeCell ref="D17:G17"/>
    <mergeCell ref="H24:I24"/>
    <mergeCell ref="H23:I23"/>
    <mergeCell ref="B23:F23"/>
    <mergeCell ref="B24:C24"/>
    <mergeCell ref="D24:F24"/>
    <mergeCell ref="E15:F15"/>
    <mergeCell ref="E14:F14"/>
    <mergeCell ref="C14:D14"/>
    <mergeCell ref="E13:F13"/>
    <mergeCell ref="C10:D10"/>
    <mergeCell ref="C1:I1"/>
    <mergeCell ref="C2:I2"/>
    <mergeCell ref="C6:D6"/>
    <mergeCell ref="C9:D9"/>
    <mergeCell ref="E4:G4"/>
    <mergeCell ref="E5:G5"/>
    <mergeCell ref="E6:G6"/>
    <mergeCell ref="C8:F8"/>
    <mergeCell ref="C4:D4"/>
    <mergeCell ref="C5:D5"/>
    <mergeCell ref="H8:I8"/>
    <mergeCell ref="C11:D11"/>
    <mergeCell ref="C12:D12"/>
    <mergeCell ref="C13:D13"/>
    <mergeCell ref="E9:F9"/>
    <mergeCell ref="E11:F11"/>
    <mergeCell ref="E12:F12"/>
    <mergeCell ref="E10:F10"/>
    <mergeCell ref="B37:E37"/>
    <mergeCell ref="B34:C34"/>
    <mergeCell ref="B33:C33"/>
    <mergeCell ref="B26:C26"/>
    <mergeCell ref="B27:C27"/>
    <mergeCell ref="B32:C32"/>
    <mergeCell ref="B31:C31"/>
    <mergeCell ref="B28:C28"/>
    <mergeCell ref="B29:C29"/>
    <mergeCell ref="B30:C30"/>
  </mergeCells>
  <phoneticPr fontId="31" type="noConversion"/>
  <printOptions gridLines="1"/>
  <pageMargins left="0.75" right="0.75" top="0.45" bottom="0.39" header="0.28000000000000003" footer="0.26"/>
  <pageSetup scale="76"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4">
    <tabColor indexed="18"/>
  </sheetPr>
  <dimension ref="A1:C19"/>
  <sheetViews>
    <sheetView topLeftCell="A8" workbookViewId="0">
      <selection activeCell="A19" sqref="A19:C19"/>
    </sheetView>
  </sheetViews>
  <sheetFormatPr defaultRowHeight="12.75"/>
  <cols>
    <col min="1" max="1" width="11" style="751" customWidth="1"/>
    <col min="2" max="2" width="8.42578125" style="752" customWidth="1"/>
    <col min="3" max="3" width="78.7109375" style="746" customWidth="1"/>
    <col min="4" max="16384" width="9.140625" style="747"/>
  </cols>
  <sheetData>
    <row r="1" spans="1:3">
      <c r="A1" s="744" t="s">
        <v>2172</v>
      </c>
      <c r="B1" s="745"/>
    </row>
    <row r="2" spans="1:3">
      <c r="A2" s="748" t="s">
        <v>1735</v>
      </c>
      <c r="B2" s="749" t="s">
        <v>2175</v>
      </c>
      <c r="C2" s="750" t="s">
        <v>2176</v>
      </c>
    </row>
    <row r="3" spans="1:3">
      <c r="A3" s="751">
        <v>38993</v>
      </c>
      <c r="B3" s="905" t="s">
        <v>2177</v>
      </c>
      <c r="C3" s="906" t="s">
        <v>934</v>
      </c>
    </row>
    <row r="4" spans="1:3" ht="25.5">
      <c r="A4" s="751">
        <v>39037</v>
      </c>
      <c r="B4" s="752" t="s">
        <v>2177</v>
      </c>
      <c r="C4" s="979" t="s">
        <v>936</v>
      </c>
    </row>
    <row r="5" spans="1:3">
      <c r="A5" s="751">
        <v>39037</v>
      </c>
      <c r="B5" s="752" t="s">
        <v>2177</v>
      </c>
      <c r="C5" s="979" t="s">
        <v>1423</v>
      </c>
    </row>
    <row r="6" spans="1:3" ht="25.5">
      <c r="A6" s="751">
        <v>39038</v>
      </c>
      <c r="B6" s="752" t="s">
        <v>2177</v>
      </c>
      <c r="C6" s="979" t="s">
        <v>1436</v>
      </c>
    </row>
    <row r="7" spans="1:3" ht="38.25">
      <c r="A7" s="751">
        <v>39058</v>
      </c>
      <c r="B7" s="752" t="s">
        <v>2173</v>
      </c>
      <c r="C7" s="746" t="s">
        <v>2174</v>
      </c>
    </row>
    <row r="8" spans="1:3">
      <c r="A8" s="751">
        <v>39059</v>
      </c>
      <c r="B8" s="752" t="s">
        <v>2173</v>
      </c>
      <c r="C8" s="746" t="s">
        <v>1447</v>
      </c>
    </row>
    <row r="9" spans="1:3" ht="25.5">
      <c r="A9" s="1018">
        <v>39062</v>
      </c>
      <c r="B9" s="1019" t="s">
        <v>2177</v>
      </c>
      <c r="C9" s="1020" t="s">
        <v>1539</v>
      </c>
    </row>
    <row r="10" spans="1:3" ht="51">
      <c r="A10" s="751">
        <v>39064</v>
      </c>
      <c r="B10" s="752" t="s">
        <v>1063</v>
      </c>
      <c r="C10" s="746" t="s">
        <v>1062</v>
      </c>
    </row>
    <row r="11" spans="1:3" ht="25.5">
      <c r="A11" s="751">
        <v>39071</v>
      </c>
      <c r="B11" s="752" t="s">
        <v>2177</v>
      </c>
      <c r="C11" s="979" t="s">
        <v>1418</v>
      </c>
    </row>
    <row r="12" spans="1:3">
      <c r="A12" s="751">
        <v>39085</v>
      </c>
      <c r="B12" s="752" t="s">
        <v>2173</v>
      </c>
      <c r="C12" s="746" t="s">
        <v>338</v>
      </c>
    </row>
    <row r="13" spans="1:3" ht="25.5">
      <c r="A13" s="751">
        <v>39100</v>
      </c>
      <c r="B13" s="752" t="s">
        <v>2173</v>
      </c>
      <c r="C13" s="746" t="s">
        <v>1590</v>
      </c>
    </row>
    <row r="14" spans="1:3" ht="51">
      <c r="A14" s="751">
        <v>39114</v>
      </c>
      <c r="B14" s="752" t="s">
        <v>2177</v>
      </c>
      <c r="C14" s="979" t="s">
        <v>1435</v>
      </c>
    </row>
    <row r="15" spans="1:3" ht="25.5">
      <c r="A15" s="1018">
        <v>39120</v>
      </c>
      <c r="B15" s="1019" t="s">
        <v>2177</v>
      </c>
      <c r="C15" s="1021" t="s">
        <v>352</v>
      </c>
    </row>
    <row r="16" spans="1:3">
      <c r="A16" s="751">
        <v>39127</v>
      </c>
      <c r="B16" s="752" t="s">
        <v>2173</v>
      </c>
      <c r="C16" s="746" t="s">
        <v>929</v>
      </c>
    </row>
    <row r="17" spans="1:3" ht="63.75">
      <c r="A17" s="751">
        <v>39177</v>
      </c>
      <c r="B17" s="752" t="s">
        <v>2177</v>
      </c>
      <c r="C17" s="979" t="s">
        <v>1425</v>
      </c>
    </row>
    <row r="18" spans="1:3" ht="38.25">
      <c r="A18" s="751">
        <v>39182</v>
      </c>
      <c r="B18" s="752" t="s">
        <v>2177</v>
      </c>
      <c r="C18" s="979" t="s">
        <v>342</v>
      </c>
    </row>
    <row r="19" spans="1:3">
      <c r="A19" s="751">
        <v>39184</v>
      </c>
      <c r="B19" s="752" t="s">
        <v>2177</v>
      </c>
      <c r="C19" s="746" t="s">
        <v>1419</v>
      </c>
    </row>
  </sheetData>
  <phoneticPr fontId="32" type="noConversion"/>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indexed="45"/>
  </sheetPr>
  <dimension ref="A1:E3"/>
  <sheetViews>
    <sheetView zoomScale="75" workbookViewId="0">
      <selection activeCell="A2" sqref="A2:E2"/>
    </sheetView>
  </sheetViews>
  <sheetFormatPr defaultRowHeight="12.75"/>
  <cols>
    <col min="1" max="1" width="21.5703125" style="753" customWidth="1"/>
    <col min="2" max="2" width="20.42578125" style="753" customWidth="1"/>
    <col min="3" max="3" width="30.42578125" style="753" customWidth="1"/>
    <col min="4" max="4" width="11.28515625" style="753" customWidth="1"/>
    <col min="5" max="5" width="26.140625" style="753" customWidth="1"/>
    <col min="6" max="16384" width="9.140625" style="753"/>
  </cols>
  <sheetData>
    <row r="1" spans="1:5">
      <c r="A1" s="1010" t="s">
        <v>3</v>
      </c>
      <c r="B1" s="1010" t="s">
        <v>4</v>
      </c>
      <c r="C1" s="1011" t="s">
        <v>5</v>
      </c>
      <c r="D1" s="1010" t="s">
        <v>6</v>
      </c>
      <c r="E1" s="794" t="s">
        <v>1540</v>
      </c>
    </row>
    <row r="2" spans="1:5">
      <c r="A2" s="904" t="s">
        <v>933</v>
      </c>
      <c r="B2" s="964" t="s">
        <v>1010</v>
      </c>
      <c r="C2" s="904" t="s">
        <v>955</v>
      </c>
      <c r="D2" s="904" t="str">
        <f>LEFT('Pay Values'!B3,2)</f>
        <v/>
      </c>
      <c r="E2" s="904">
        <f>'Pay Values'!B3</f>
        <v>0</v>
      </c>
    </row>
    <row r="3" spans="1:5">
      <c r="A3"/>
      <c r="B3"/>
      <c r="C3"/>
      <c r="D3"/>
      <c r="E3"/>
    </row>
  </sheetData>
  <phoneticPr fontId="32" type="noConversion"/>
  <pageMargins left="0.75" right="0.75" top="1" bottom="1" header="0.5" footer="0.5"/>
  <headerFooter alignWithMargins="0"/>
  <tableParts count="1">
    <tablePart r:id="rId1"/>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indexed="45"/>
    <pageSetUpPr fitToPage="1"/>
  </sheetPr>
  <dimension ref="A1:BC16"/>
  <sheetViews>
    <sheetView zoomScale="75" zoomScaleNormal="75" workbookViewId="0">
      <pane xSplit="1" ySplit="8" topLeftCell="B9" activePane="bottomRight" state="frozen"/>
      <selection pane="topRight" activeCell="B1" sqref="B1"/>
      <selection pane="bottomLeft" activeCell="A9" sqref="A9"/>
      <selection pane="bottomRight" activeCell="N8" sqref="N8"/>
    </sheetView>
  </sheetViews>
  <sheetFormatPr defaultRowHeight="12.75"/>
  <cols>
    <col min="1" max="1" width="45.7109375" style="753" customWidth="1"/>
    <col min="2" max="2" width="23.5703125" style="753" customWidth="1"/>
    <col min="3" max="3" width="32.5703125" style="753" customWidth="1"/>
    <col min="4" max="4" width="29.28515625" style="753" customWidth="1"/>
    <col min="5" max="5" width="15.7109375" style="753" customWidth="1"/>
    <col min="6" max="6" width="29.28515625" style="753" customWidth="1"/>
    <col min="7" max="7" width="13.5703125" style="753" customWidth="1"/>
    <col min="8" max="8" width="10.85546875" style="753" customWidth="1"/>
    <col min="9" max="9" width="35.28515625" style="753" customWidth="1"/>
    <col min="10" max="10" width="21.42578125" style="753" customWidth="1"/>
    <col min="11" max="11" width="16.7109375" style="753" customWidth="1"/>
    <col min="12" max="12" width="17.7109375" style="753" customWidth="1"/>
    <col min="13" max="13" width="13.5703125" style="753" customWidth="1"/>
    <col min="14" max="14" width="26.5703125" style="753" customWidth="1"/>
    <col min="15" max="16" width="13.5703125" style="753" customWidth="1"/>
    <col min="17" max="17" width="33.140625" style="753" customWidth="1"/>
    <col min="18" max="18" width="23.7109375" style="753" customWidth="1"/>
    <col min="19" max="19" width="31.140625" style="753" customWidth="1"/>
    <col min="20" max="20" width="30.7109375" style="753" customWidth="1"/>
    <col min="21" max="21" width="10.42578125" style="753" customWidth="1"/>
    <col min="22" max="22" width="23.140625" style="753" customWidth="1"/>
    <col min="23" max="23" width="30.85546875" style="753" customWidth="1"/>
    <col min="24" max="24" width="55" style="753" customWidth="1"/>
    <col min="25" max="25" width="13.5703125" style="753" customWidth="1"/>
    <col min="26" max="26" width="31" style="753" customWidth="1"/>
    <col min="27" max="27" width="21.28515625" style="753" customWidth="1"/>
    <col min="28" max="29" width="13.5703125" style="753" customWidth="1"/>
    <col min="30" max="30" width="17.28515625" style="753" customWidth="1"/>
    <col min="31" max="31" width="14.140625" style="753" customWidth="1"/>
    <col min="32" max="32" width="14.85546875" style="753" customWidth="1"/>
    <col min="33" max="33" width="26.140625" style="753" customWidth="1"/>
    <col min="34" max="34" width="14.5703125" style="753" customWidth="1"/>
    <col min="35" max="35" width="13.5703125" style="753" customWidth="1"/>
    <col min="36" max="36" width="14.7109375" style="753" customWidth="1"/>
    <col min="37" max="37" width="20" style="753" customWidth="1"/>
    <col min="38" max="38" width="16" style="753" customWidth="1"/>
    <col min="39" max="41" width="13.5703125" style="753" customWidth="1"/>
    <col min="42" max="42" width="15" style="753" customWidth="1"/>
    <col min="43" max="43" width="16.5703125" style="753" customWidth="1"/>
    <col min="44" max="44" width="16.7109375" style="753" customWidth="1"/>
    <col min="45" max="45" width="17.7109375" style="753" customWidth="1"/>
    <col min="46" max="46" width="21.85546875" style="753" customWidth="1"/>
    <col min="47" max="51" width="13.5703125" style="753" customWidth="1"/>
    <col min="52" max="52" width="17.28515625" style="753" customWidth="1"/>
    <col min="53" max="55" width="17.85546875" style="753" customWidth="1"/>
    <col min="56" max="16384" width="9.140625" style="753"/>
  </cols>
  <sheetData>
    <row r="1" spans="1:55" s="783" customFormat="1">
      <c r="A1" s="795" t="s">
        <v>7</v>
      </c>
      <c r="B1" s="790"/>
      <c r="C1" s="790"/>
      <c r="D1" s="790"/>
      <c r="E1" s="796" t="s">
        <v>1069</v>
      </c>
      <c r="F1" s="790"/>
      <c r="G1" s="790"/>
      <c r="H1" s="790"/>
      <c r="I1" s="790"/>
      <c r="J1" s="796" t="s">
        <v>1068</v>
      </c>
      <c r="K1" s="796" t="s">
        <v>1069</v>
      </c>
      <c r="L1" s="790"/>
      <c r="M1" s="796" t="s">
        <v>1069</v>
      </c>
      <c r="N1" s="790"/>
      <c r="O1" s="796" t="s">
        <v>1068</v>
      </c>
      <c r="P1" s="796" t="s">
        <v>1068</v>
      </c>
      <c r="Q1" s="790"/>
      <c r="R1" s="1031"/>
      <c r="S1" s="790"/>
      <c r="T1" s="790"/>
      <c r="U1" s="790"/>
      <c r="V1" s="1031" t="s">
        <v>1068</v>
      </c>
      <c r="W1" s="790"/>
      <c r="X1" s="790"/>
      <c r="Y1" s="796" t="s">
        <v>1068</v>
      </c>
      <c r="Z1" s="790"/>
      <c r="AA1" s="796" t="s">
        <v>1068</v>
      </c>
      <c r="AB1" s="796" t="s">
        <v>1068</v>
      </c>
      <c r="AC1" s="796" t="s">
        <v>1068</v>
      </c>
      <c r="AD1" s="796" t="s">
        <v>1068</v>
      </c>
      <c r="AE1" s="796" t="s">
        <v>1068</v>
      </c>
      <c r="AF1" s="796" t="s">
        <v>1068</v>
      </c>
      <c r="AG1" s="790"/>
      <c r="AH1" s="796" t="s">
        <v>1068</v>
      </c>
      <c r="AI1" s="796" t="s">
        <v>1068</v>
      </c>
      <c r="AJ1" s="796" t="s">
        <v>1068</v>
      </c>
      <c r="AK1" s="796" t="s">
        <v>1068</v>
      </c>
      <c r="AL1" s="790"/>
      <c r="AM1" s="796" t="s">
        <v>1068</v>
      </c>
      <c r="AN1" s="790"/>
      <c r="AO1" s="796" t="s">
        <v>1068</v>
      </c>
      <c r="AP1" s="796" t="s">
        <v>1068</v>
      </c>
      <c r="AQ1" s="790"/>
      <c r="AR1" s="796" t="s">
        <v>1068</v>
      </c>
      <c r="AS1" s="796" t="s">
        <v>1068</v>
      </c>
      <c r="AT1" s="796" t="s">
        <v>1068</v>
      </c>
      <c r="AU1" s="796" t="s">
        <v>1068</v>
      </c>
      <c r="AV1" s="796" t="s">
        <v>1068</v>
      </c>
      <c r="AW1" s="796" t="s">
        <v>1068</v>
      </c>
      <c r="AX1" s="796" t="s">
        <v>1068</v>
      </c>
      <c r="AY1" s="796" t="s">
        <v>1068</v>
      </c>
      <c r="AZ1" s="796" t="s">
        <v>1068</v>
      </c>
      <c r="BA1" s="796" t="s">
        <v>1068</v>
      </c>
      <c r="BB1" s="796" t="s">
        <v>1068</v>
      </c>
      <c r="BC1" s="796" t="s">
        <v>1068</v>
      </c>
    </row>
    <row r="2" spans="1:55" s="783" customFormat="1">
      <c r="A2" s="795" t="s">
        <v>1008</v>
      </c>
      <c r="B2" s="779" t="s">
        <v>738</v>
      </c>
      <c r="C2" s="780" t="s">
        <v>738</v>
      </c>
      <c r="D2" s="780" t="s">
        <v>738</v>
      </c>
      <c r="E2" s="780" t="s">
        <v>738</v>
      </c>
      <c r="F2" s="780" t="s">
        <v>738</v>
      </c>
      <c r="G2" s="780" t="s">
        <v>738</v>
      </c>
      <c r="H2" s="780" t="s">
        <v>738</v>
      </c>
      <c r="I2" s="780" t="s">
        <v>738</v>
      </c>
      <c r="J2" s="780" t="s">
        <v>738</v>
      </c>
      <c r="K2" s="780" t="s">
        <v>738</v>
      </c>
      <c r="L2" s="780" t="s">
        <v>738</v>
      </c>
      <c r="M2" s="780" t="s">
        <v>738</v>
      </c>
      <c r="N2" s="780" t="s">
        <v>738</v>
      </c>
      <c r="O2" s="780" t="s">
        <v>738</v>
      </c>
      <c r="P2" s="780" t="s">
        <v>738</v>
      </c>
      <c r="Q2" s="780" t="s">
        <v>738</v>
      </c>
      <c r="R2" s="1032" t="s">
        <v>738</v>
      </c>
      <c r="S2" s="780" t="s">
        <v>738</v>
      </c>
      <c r="T2" s="780" t="s">
        <v>738</v>
      </c>
      <c r="U2" s="780" t="s">
        <v>738</v>
      </c>
      <c r="V2" s="1032" t="s">
        <v>738</v>
      </c>
      <c r="W2" s="780" t="s">
        <v>738</v>
      </c>
      <c r="X2" s="780" t="s">
        <v>738</v>
      </c>
      <c r="Y2" s="780" t="s">
        <v>738</v>
      </c>
      <c r="Z2" s="780" t="s">
        <v>738</v>
      </c>
      <c r="AA2" s="780" t="s">
        <v>738</v>
      </c>
      <c r="AB2" s="780" t="s">
        <v>738</v>
      </c>
      <c r="AC2" s="780" t="s">
        <v>738</v>
      </c>
      <c r="AD2" s="780" t="s">
        <v>738</v>
      </c>
      <c r="AE2" s="780" t="s">
        <v>738</v>
      </c>
      <c r="AF2" s="780" t="s">
        <v>738</v>
      </c>
      <c r="AG2" s="780" t="s">
        <v>738</v>
      </c>
      <c r="AH2" s="780" t="s">
        <v>738</v>
      </c>
      <c r="AI2" s="780" t="s">
        <v>738</v>
      </c>
      <c r="AJ2" s="780" t="s">
        <v>738</v>
      </c>
      <c r="AK2" s="780" t="s">
        <v>738</v>
      </c>
      <c r="AL2" s="780" t="s">
        <v>738</v>
      </c>
      <c r="AM2" s="780" t="s">
        <v>738</v>
      </c>
      <c r="AN2" s="780" t="s">
        <v>738</v>
      </c>
      <c r="AO2" s="780" t="s">
        <v>738</v>
      </c>
      <c r="AP2" s="780" t="s">
        <v>738</v>
      </c>
      <c r="AQ2" s="780" t="s">
        <v>738</v>
      </c>
      <c r="AR2" s="780" t="s">
        <v>738</v>
      </c>
      <c r="AS2" s="780" t="s">
        <v>738</v>
      </c>
      <c r="AT2" s="780" t="s">
        <v>738</v>
      </c>
      <c r="AU2" s="780" t="s">
        <v>738</v>
      </c>
      <c r="AV2" s="780" t="s">
        <v>738</v>
      </c>
      <c r="AW2" s="780" t="s">
        <v>738</v>
      </c>
      <c r="AX2" s="780" t="s">
        <v>738</v>
      </c>
      <c r="AY2" s="780" t="s">
        <v>738</v>
      </c>
      <c r="AZ2" s="780" t="s">
        <v>738</v>
      </c>
      <c r="BA2" s="780" t="s">
        <v>738</v>
      </c>
      <c r="BB2" s="780" t="s">
        <v>738</v>
      </c>
      <c r="BC2" s="780" t="s">
        <v>738</v>
      </c>
    </row>
    <row r="3" spans="1:55" s="783" customFormat="1" ht="13.5" thickBot="1">
      <c r="A3" s="795" t="s">
        <v>1009</v>
      </c>
      <c r="B3" s="797" t="s">
        <v>739</v>
      </c>
      <c r="C3" s="785" t="s">
        <v>783</v>
      </c>
      <c r="D3" s="785" t="s">
        <v>752</v>
      </c>
      <c r="E3" s="785" t="s">
        <v>778</v>
      </c>
      <c r="F3" s="785" t="s">
        <v>748</v>
      </c>
      <c r="G3" s="910" t="s">
        <v>769</v>
      </c>
      <c r="H3" s="785" t="s">
        <v>767</v>
      </c>
      <c r="I3" s="785" t="s">
        <v>772</v>
      </c>
      <c r="J3" s="785" t="s">
        <v>763</v>
      </c>
      <c r="K3" s="785" t="s">
        <v>736</v>
      </c>
      <c r="L3" s="785" t="s">
        <v>734</v>
      </c>
      <c r="M3" s="785" t="s">
        <v>771</v>
      </c>
      <c r="N3" s="785" t="s">
        <v>741</v>
      </c>
      <c r="O3" s="785" t="s">
        <v>781</v>
      </c>
      <c r="P3" s="785" t="s">
        <v>746</v>
      </c>
      <c r="Q3" s="785" t="s">
        <v>744</v>
      </c>
      <c r="R3" s="1033" t="s">
        <v>753</v>
      </c>
      <c r="S3" s="785" t="s">
        <v>730</v>
      </c>
      <c r="T3" s="785" t="s">
        <v>1849</v>
      </c>
      <c r="U3" s="785" t="s">
        <v>770</v>
      </c>
      <c r="V3" s="1033" t="s">
        <v>1848</v>
      </c>
      <c r="W3" s="785" t="s">
        <v>756</v>
      </c>
      <c r="X3" s="785" t="s">
        <v>740</v>
      </c>
      <c r="Y3" s="785" t="s">
        <v>780</v>
      </c>
      <c r="Z3" s="785" t="s">
        <v>775</v>
      </c>
      <c r="AA3" s="785" t="s">
        <v>750</v>
      </c>
      <c r="AB3" s="785" t="s">
        <v>743</v>
      </c>
      <c r="AC3" s="785" t="s">
        <v>747</v>
      </c>
      <c r="AD3" s="785" t="s">
        <v>754</v>
      </c>
      <c r="AE3" s="785" t="s">
        <v>755</v>
      </c>
      <c r="AF3" s="785" t="s">
        <v>759</v>
      </c>
      <c r="AG3" s="785" t="s">
        <v>760</v>
      </c>
      <c r="AH3" s="785" t="s">
        <v>761</v>
      </c>
      <c r="AI3" s="785" t="s">
        <v>762</v>
      </c>
      <c r="AJ3" s="784" t="s">
        <v>764</v>
      </c>
      <c r="AK3" s="785" t="s">
        <v>765</v>
      </c>
      <c r="AL3" s="785" t="s">
        <v>766</v>
      </c>
      <c r="AM3" s="785" t="s">
        <v>779</v>
      </c>
      <c r="AN3" s="785" t="s">
        <v>1854</v>
      </c>
      <c r="AO3" s="785" t="s">
        <v>782</v>
      </c>
      <c r="AP3" s="785" t="s">
        <v>1846</v>
      </c>
      <c r="AQ3" s="785" t="s">
        <v>1847</v>
      </c>
      <c r="AR3" s="785" t="s">
        <v>1851</v>
      </c>
      <c r="AS3" s="785" t="s">
        <v>1852</v>
      </c>
      <c r="AT3" s="785" t="s">
        <v>1853</v>
      </c>
      <c r="AU3" s="785" t="s">
        <v>1855</v>
      </c>
      <c r="AV3" s="785" t="s">
        <v>1856</v>
      </c>
      <c r="AW3" s="785" t="s">
        <v>1857</v>
      </c>
      <c r="AX3" s="785" t="s">
        <v>1858</v>
      </c>
      <c r="AY3" s="785" t="s">
        <v>1859</v>
      </c>
      <c r="AZ3" s="785" t="s">
        <v>1860</v>
      </c>
      <c r="BA3" s="785" t="s">
        <v>1861</v>
      </c>
      <c r="BB3" s="785" t="s">
        <v>1862</v>
      </c>
      <c r="BC3" s="785" t="s">
        <v>1863</v>
      </c>
    </row>
    <row r="4" spans="1:55" s="805" customFormat="1" ht="178.9" customHeight="1" thickBot="1">
      <c r="A4" s="795" t="s">
        <v>726</v>
      </c>
      <c r="B4" s="798" t="s">
        <v>9</v>
      </c>
      <c r="C4" s="799" t="s">
        <v>784</v>
      </c>
      <c r="D4" s="801" t="s">
        <v>1666</v>
      </c>
      <c r="E4" s="800"/>
      <c r="F4" s="801" t="s">
        <v>749</v>
      </c>
      <c r="G4" s="802"/>
      <c r="H4" s="801" t="s">
        <v>768</v>
      </c>
      <c r="I4" s="802" t="s">
        <v>773</v>
      </c>
      <c r="J4" s="800"/>
      <c r="K4" s="800"/>
      <c r="L4" s="802"/>
      <c r="M4" s="800"/>
      <c r="N4" s="801" t="s">
        <v>742</v>
      </c>
      <c r="O4" s="804"/>
      <c r="P4" s="800"/>
      <c r="Q4" s="801" t="s">
        <v>745</v>
      </c>
      <c r="R4" s="1034" t="s">
        <v>1426</v>
      </c>
      <c r="S4" s="802"/>
      <c r="T4" s="801" t="s">
        <v>1850</v>
      </c>
      <c r="U4" s="802"/>
      <c r="V4" s="1036"/>
      <c r="W4" s="802" t="s">
        <v>757</v>
      </c>
      <c r="X4" s="935" t="s">
        <v>1556</v>
      </c>
      <c r="Y4" s="804"/>
      <c r="Z4" s="802" t="s">
        <v>777</v>
      </c>
      <c r="AA4" s="800"/>
      <c r="AB4" s="800"/>
      <c r="AC4" s="804"/>
      <c r="AD4" s="804"/>
      <c r="AE4" s="804"/>
      <c r="AF4" s="804"/>
      <c r="AG4" s="801" t="s">
        <v>10</v>
      </c>
      <c r="AH4" s="804"/>
      <c r="AI4" s="804"/>
      <c r="AJ4" s="804"/>
      <c r="AK4" s="804"/>
      <c r="AL4" s="802"/>
      <c r="AM4" s="804"/>
      <c r="AN4" s="803"/>
      <c r="AO4" s="804"/>
      <c r="AP4" s="804"/>
      <c r="AQ4" s="803"/>
      <c r="AR4" s="804"/>
      <c r="AS4" s="804"/>
      <c r="AT4" s="804"/>
      <c r="AU4" s="804"/>
      <c r="AV4" s="804"/>
      <c r="AW4" s="804"/>
      <c r="AX4" s="804"/>
      <c r="AY4" s="804"/>
      <c r="AZ4" s="804"/>
      <c r="BA4" s="804"/>
      <c r="BB4" s="804"/>
      <c r="BC4" s="804"/>
    </row>
    <row r="5" spans="1:55" s="783" customFormat="1" ht="88.9" customHeight="1" thickBot="1">
      <c r="A5" s="795" t="s">
        <v>727</v>
      </c>
      <c r="B5" s="806" t="s">
        <v>1667</v>
      </c>
      <c r="C5" s="802"/>
      <c r="D5" s="801" t="s">
        <v>11</v>
      </c>
      <c r="E5" s="800" t="s">
        <v>737</v>
      </c>
      <c r="F5" s="801" t="s">
        <v>11</v>
      </c>
      <c r="G5" s="802"/>
      <c r="H5" s="802"/>
      <c r="I5" s="801" t="s">
        <v>774</v>
      </c>
      <c r="J5" s="800"/>
      <c r="K5" s="800" t="s">
        <v>737</v>
      </c>
      <c r="L5" s="802"/>
      <c r="M5" s="800" t="s">
        <v>737</v>
      </c>
      <c r="N5" s="802"/>
      <c r="O5" s="808" t="s">
        <v>1668</v>
      </c>
      <c r="P5" s="807" t="s">
        <v>1668</v>
      </c>
      <c r="Q5" s="802"/>
      <c r="R5" s="1035" t="s">
        <v>1427</v>
      </c>
      <c r="S5" s="809" t="s">
        <v>1064</v>
      </c>
      <c r="T5" s="802"/>
      <c r="U5" s="802"/>
      <c r="V5" s="1036" t="s">
        <v>340</v>
      </c>
      <c r="W5" s="802" t="s">
        <v>758</v>
      </c>
      <c r="X5" s="802" t="s">
        <v>1160</v>
      </c>
      <c r="Y5" s="807" t="s">
        <v>1668</v>
      </c>
      <c r="Z5" s="810"/>
      <c r="AA5" s="807" t="s">
        <v>1668</v>
      </c>
      <c r="AB5" s="807" t="s">
        <v>1668</v>
      </c>
      <c r="AC5" s="807" t="s">
        <v>1668</v>
      </c>
      <c r="AD5" s="807" t="s">
        <v>1668</v>
      </c>
      <c r="AE5" s="807" t="s">
        <v>1668</v>
      </c>
      <c r="AF5" s="807" t="s">
        <v>1668</v>
      </c>
      <c r="AG5" s="802"/>
      <c r="AH5" s="807" t="s">
        <v>1668</v>
      </c>
      <c r="AI5" s="807" t="s">
        <v>1668</v>
      </c>
      <c r="AJ5" s="807" t="s">
        <v>1668</v>
      </c>
      <c r="AK5" s="807" t="s">
        <v>1668</v>
      </c>
      <c r="AL5" s="802"/>
      <c r="AM5" s="807" t="s">
        <v>1668</v>
      </c>
      <c r="AN5" s="801" t="s">
        <v>1752</v>
      </c>
      <c r="AO5" s="807" t="s">
        <v>1668</v>
      </c>
      <c r="AP5" s="807" t="s">
        <v>1668</v>
      </c>
      <c r="AQ5" s="937" t="s">
        <v>1557</v>
      </c>
      <c r="AR5" s="807" t="s">
        <v>1668</v>
      </c>
      <c r="AS5" s="807" t="s">
        <v>1668</v>
      </c>
      <c r="AT5" s="807" t="s">
        <v>1668</v>
      </c>
      <c r="AU5" s="807" t="s">
        <v>1668</v>
      </c>
      <c r="AV5" s="807" t="s">
        <v>1668</v>
      </c>
      <c r="AW5" s="807" t="s">
        <v>1668</v>
      </c>
      <c r="AX5" s="807" t="s">
        <v>1668</v>
      </c>
      <c r="AY5" s="811" t="s">
        <v>1669</v>
      </c>
      <c r="AZ5" s="807" t="s">
        <v>1668</v>
      </c>
      <c r="BA5" s="807" t="s">
        <v>1668</v>
      </c>
      <c r="BB5" s="807" t="s">
        <v>1668</v>
      </c>
      <c r="BC5" s="807" t="s">
        <v>1668</v>
      </c>
    </row>
    <row r="6" spans="1:55" ht="44.45" customHeight="1">
      <c r="A6" s="812" t="s">
        <v>48</v>
      </c>
      <c r="B6" s="1145" t="s">
        <v>49</v>
      </c>
      <c r="C6" s="1146" t="s">
        <v>952</v>
      </c>
      <c r="D6" s="1146" t="s">
        <v>50</v>
      </c>
      <c r="E6" s="1147" t="s">
        <v>51</v>
      </c>
      <c r="F6" s="1145" t="s">
        <v>52</v>
      </c>
      <c r="G6" s="1146" t="s">
        <v>960</v>
      </c>
      <c r="H6" s="1146" t="s">
        <v>959</v>
      </c>
      <c r="I6" s="1146" t="s">
        <v>53</v>
      </c>
      <c r="J6" s="1146" t="s">
        <v>54</v>
      </c>
      <c r="K6" s="1148" t="s">
        <v>55</v>
      </c>
      <c r="L6" s="1145" t="s">
        <v>1392</v>
      </c>
      <c r="M6" s="1147" t="s">
        <v>1393</v>
      </c>
      <c r="N6" s="1146" t="s">
        <v>945</v>
      </c>
      <c r="O6" s="1147" t="s">
        <v>2</v>
      </c>
      <c r="P6" s="1147" t="s">
        <v>20</v>
      </c>
      <c r="Q6" s="1146" t="s">
        <v>21</v>
      </c>
      <c r="R6" s="1146" t="s">
        <v>22</v>
      </c>
      <c r="S6" s="1146" t="s">
        <v>23</v>
      </c>
      <c r="T6" s="1146" t="s">
        <v>24</v>
      </c>
      <c r="U6" s="1146" t="s">
        <v>944</v>
      </c>
      <c r="V6" s="1147" t="s">
        <v>946</v>
      </c>
      <c r="W6" s="1146" t="s">
        <v>950</v>
      </c>
      <c r="X6" s="1145" t="s">
        <v>2181</v>
      </c>
      <c r="Y6" s="1147" t="s">
        <v>1</v>
      </c>
      <c r="Z6" s="1146" t="s">
        <v>948</v>
      </c>
      <c r="AA6" s="1147" t="s">
        <v>25</v>
      </c>
      <c r="AB6" s="1147" t="s">
        <v>26</v>
      </c>
      <c r="AC6" s="1147" t="s">
        <v>27</v>
      </c>
      <c r="AD6" s="1147" t="s">
        <v>28</v>
      </c>
      <c r="AE6" s="1147" t="s">
        <v>1124</v>
      </c>
      <c r="AF6" s="1147" t="s">
        <v>1125</v>
      </c>
      <c r="AG6" s="1145" t="s">
        <v>2183</v>
      </c>
      <c r="AH6" s="1147" t="s">
        <v>1700</v>
      </c>
      <c r="AI6" s="1147" t="s">
        <v>1126</v>
      </c>
      <c r="AJ6" s="1147" t="s">
        <v>1127</v>
      </c>
      <c r="AK6" s="1148" t="s">
        <v>1128</v>
      </c>
      <c r="AL6" s="1145" t="s">
        <v>2182</v>
      </c>
      <c r="AM6" s="1147" t="s">
        <v>1129</v>
      </c>
      <c r="AN6" s="1145" t="s">
        <v>0</v>
      </c>
      <c r="AO6" s="1147" t="s">
        <v>1130</v>
      </c>
      <c r="AP6" s="1147" t="s">
        <v>1131</v>
      </c>
      <c r="AQ6" s="1146" t="s">
        <v>1132</v>
      </c>
      <c r="AR6" s="1148" t="s">
        <v>1133</v>
      </c>
      <c r="AS6" s="1147" t="s">
        <v>1134</v>
      </c>
      <c r="AT6" s="1147" t="s">
        <v>1135</v>
      </c>
      <c r="AU6" s="1147" t="s">
        <v>1136</v>
      </c>
      <c r="AV6" s="1147" t="s">
        <v>1137</v>
      </c>
      <c r="AW6" s="1147" t="s">
        <v>1138</v>
      </c>
      <c r="AX6" s="1148" t="s">
        <v>1139</v>
      </c>
      <c r="AY6" s="1148" t="s">
        <v>1140</v>
      </c>
      <c r="AZ6" s="1147" t="s">
        <v>1141</v>
      </c>
      <c r="BA6" s="1148" t="s">
        <v>1142</v>
      </c>
      <c r="BB6" s="1148" t="s">
        <v>1143</v>
      </c>
      <c r="BC6" s="1148" t="s">
        <v>1144</v>
      </c>
    </row>
    <row r="7" spans="1:55" s="783" customFormat="1" ht="25.5">
      <c r="A7" s="816" t="s">
        <v>1670</v>
      </c>
      <c r="B7" s="1137" t="s">
        <v>739</v>
      </c>
      <c r="C7" s="1013" t="s">
        <v>783</v>
      </c>
      <c r="D7" s="1013" t="s">
        <v>752</v>
      </c>
      <c r="E7" s="1013" t="s">
        <v>778</v>
      </c>
      <c r="F7" s="1013" t="s">
        <v>748</v>
      </c>
      <c r="G7" s="1013" t="s">
        <v>769</v>
      </c>
      <c r="H7" s="1013" t="s">
        <v>767</v>
      </c>
      <c r="I7" s="1013" t="s">
        <v>772</v>
      </c>
      <c r="J7" s="1013" t="s">
        <v>763</v>
      </c>
      <c r="K7" s="1013" t="s">
        <v>736</v>
      </c>
      <c r="L7" s="1013" t="s">
        <v>734</v>
      </c>
      <c r="M7" s="1013" t="s">
        <v>771</v>
      </c>
      <c r="N7" s="1013" t="s">
        <v>741</v>
      </c>
      <c r="O7" s="1013" t="s">
        <v>781</v>
      </c>
      <c r="P7" s="1013" t="s">
        <v>746</v>
      </c>
      <c r="Q7" s="1013" t="s">
        <v>744</v>
      </c>
      <c r="R7" s="1013" t="s">
        <v>753</v>
      </c>
      <c r="S7" s="1013" t="s">
        <v>730</v>
      </c>
      <c r="T7" s="1013" t="s">
        <v>1849</v>
      </c>
      <c r="U7" s="1013" t="s">
        <v>770</v>
      </c>
      <c r="V7" s="1013" t="s">
        <v>1848</v>
      </c>
      <c r="W7" s="1013" t="s">
        <v>756</v>
      </c>
      <c r="X7" s="1013" t="s">
        <v>740</v>
      </c>
      <c r="Y7" s="1013" t="s">
        <v>780</v>
      </c>
      <c r="Z7" s="1013" t="s">
        <v>775</v>
      </c>
      <c r="AA7" s="1013" t="s">
        <v>750</v>
      </c>
      <c r="AB7" s="1013" t="s">
        <v>743</v>
      </c>
      <c r="AC7" s="1013" t="s">
        <v>747</v>
      </c>
      <c r="AD7" s="1013" t="s">
        <v>754</v>
      </c>
      <c r="AE7" s="1013" t="s">
        <v>755</v>
      </c>
      <c r="AF7" s="1013" t="s">
        <v>759</v>
      </c>
      <c r="AG7" s="1013" t="s">
        <v>760</v>
      </c>
      <c r="AH7" s="1013" t="s">
        <v>761</v>
      </c>
      <c r="AI7" s="1013" t="s">
        <v>762</v>
      </c>
      <c r="AJ7" s="1012" t="s">
        <v>764</v>
      </c>
      <c r="AK7" s="1013" t="s">
        <v>765</v>
      </c>
      <c r="AL7" s="1013" t="s">
        <v>766</v>
      </c>
      <c r="AM7" s="1013" t="s">
        <v>779</v>
      </c>
      <c r="AN7" s="1013" t="s">
        <v>1854</v>
      </c>
      <c r="AO7" s="1013" t="s">
        <v>782</v>
      </c>
      <c r="AP7" s="1013" t="s">
        <v>1846</v>
      </c>
      <c r="AQ7" s="1013" t="s">
        <v>1847</v>
      </c>
      <c r="AR7" s="1013" t="s">
        <v>1851</v>
      </c>
      <c r="AS7" s="1013" t="s">
        <v>1852</v>
      </c>
      <c r="AT7" s="1013" t="s">
        <v>1853</v>
      </c>
      <c r="AU7" s="1013" t="s">
        <v>1855</v>
      </c>
      <c r="AV7" s="1013" t="s">
        <v>1856</v>
      </c>
      <c r="AW7" s="1013" t="s">
        <v>1857</v>
      </c>
      <c r="AX7" s="1013" t="s">
        <v>1858</v>
      </c>
      <c r="AY7" s="1013" t="s">
        <v>1859</v>
      </c>
      <c r="AZ7" s="1013" t="s">
        <v>1860</v>
      </c>
      <c r="BA7" s="1013" t="s">
        <v>1861</v>
      </c>
      <c r="BB7" s="1013" t="s">
        <v>1862</v>
      </c>
      <c r="BC7" s="1141" t="s">
        <v>1863</v>
      </c>
    </row>
    <row r="8" spans="1:55" ht="13.5" thickBot="1">
      <c r="A8" s="868" t="s">
        <v>935</v>
      </c>
      <c r="B8" s="1138" t="str">
        <f>IF(Calculations!H20="Visual",IF('Pay Values'!B3="","",CONCATENATE('Pay Values'!B3,"VI01")),"")</f>
        <v/>
      </c>
      <c r="C8" s="830" t="s">
        <v>1753</v>
      </c>
      <c r="D8" s="907">
        <f>'Pay Values'!I9</f>
        <v>0</v>
      </c>
      <c r="E8" s="831"/>
      <c r="F8" s="907">
        <f>'Pay Values'!I9</f>
        <v>0</v>
      </c>
      <c r="G8" s="907">
        <f>Calculations!BK1</f>
        <v>0</v>
      </c>
      <c r="H8" s="830" t="s">
        <v>988</v>
      </c>
      <c r="I8" s="907" t="str">
        <f>LEFT('Pay Values'!B3,2)</f>
        <v/>
      </c>
      <c r="J8" s="1207" t="str">
        <f>IF(Calculations!$C$20,"Warm-Mix Asphalt","")</f>
        <v>Warm-Mix Asphalt</v>
      </c>
      <c r="K8" s="831"/>
      <c r="L8" s="907">
        <f>'Pay Values'!I9</f>
        <v>0</v>
      </c>
      <c r="M8" s="831"/>
      <c r="N8" s="833" t="e">
        <f>'Pay Values'!C9</f>
        <v>#N/A</v>
      </c>
      <c r="O8" s="985" t="s">
        <v>1637</v>
      </c>
      <c r="P8" s="829" t="s">
        <v>1637</v>
      </c>
      <c r="Q8" s="965" t="e">
        <f>'Pay Values'!D6</f>
        <v>#N/A</v>
      </c>
      <c r="R8" s="1211">
        <f>'Pay Values'!D7</f>
        <v>0</v>
      </c>
      <c r="S8" s="987" t="str">
        <f ca="1">t_rmks_dtl!B8</f>
        <v xml:space="preserve"> </v>
      </c>
      <c r="T8" s="830" t="s">
        <v>295</v>
      </c>
      <c r="U8" s="832">
        <f>Superpave!I3</f>
        <v>0</v>
      </c>
      <c r="V8" s="985" t="s">
        <v>1637</v>
      </c>
      <c r="W8" s="833" t="s">
        <v>976</v>
      </c>
      <c r="X8" s="932" t="str">
        <f>Superpave!B6</f>
        <v/>
      </c>
      <c r="Y8" s="985" t="s">
        <v>1637</v>
      </c>
      <c r="Z8" s="833" t="s">
        <v>970</v>
      </c>
      <c r="AA8" s="829" t="s">
        <v>1637</v>
      </c>
      <c r="AB8" s="829" t="s">
        <v>1637</v>
      </c>
      <c r="AC8" s="829" t="s">
        <v>1637</v>
      </c>
      <c r="AD8" s="829" t="s">
        <v>1637</v>
      </c>
      <c r="AE8" s="829" t="s">
        <v>1637</v>
      </c>
      <c r="AF8" s="829" t="s">
        <v>1637</v>
      </c>
      <c r="AG8" s="987" t="str">
        <f>'Pay Values'!E4</f>
        <v>TON</v>
      </c>
      <c r="AH8" s="829" t="s">
        <v>1637</v>
      </c>
      <c r="AI8" s="829" t="s">
        <v>1637</v>
      </c>
      <c r="AJ8" s="829" t="s">
        <v>1637</v>
      </c>
      <c r="AK8" s="829" t="s">
        <v>1637</v>
      </c>
      <c r="AL8" s="938">
        <f>'Pay Values'!F4</f>
        <v>0</v>
      </c>
      <c r="AM8" s="829" t="s">
        <v>1637</v>
      </c>
      <c r="AN8" s="833">
        <v>1</v>
      </c>
      <c r="AO8" s="829" t="s">
        <v>1637</v>
      </c>
      <c r="AP8" s="829" t="s">
        <v>1637</v>
      </c>
      <c r="AQ8" s="936" t="s">
        <v>617</v>
      </c>
      <c r="AR8" s="829" t="s">
        <v>1637</v>
      </c>
      <c r="AS8" s="829" t="s">
        <v>1637</v>
      </c>
      <c r="AT8" s="829" t="s">
        <v>1637</v>
      </c>
      <c r="AU8" s="829" t="s">
        <v>1637</v>
      </c>
      <c r="AV8" s="829" t="s">
        <v>1637</v>
      </c>
      <c r="AW8" s="829" t="s">
        <v>1637</v>
      </c>
      <c r="AX8" s="829" t="s">
        <v>1637</v>
      </c>
      <c r="AY8" s="831"/>
      <c r="AZ8" s="829" t="s">
        <v>1637</v>
      </c>
      <c r="BA8" s="829" t="s">
        <v>1637</v>
      </c>
      <c r="BB8" s="829" t="s">
        <v>1637</v>
      </c>
      <c r="BC8" s="1142" t="s">
        <v>1637</v>
      </c>
    </row>
    <row r="9" spans="1:55">
      <c r="A9" s="817" t="s">
        <v>135</v>
      </c>
      <c r="B9" s="1139" t="str">
        <f>IF(B8="",IF(Superpave!I3="","",IF('Pay Values'!B3="","",CONCATENATE('Pay Values'!B3,"QC01"))),"")</f>
        <v/>
      </c>
      <c r="C9" s="818" t="s">
        <v>986</v>
      </c>
      <c r="D9" s="908">
        <f>'Pay Values'!I9</f>
        <v>0</v>
      </c>
      <c r="E9" s="820"/>
      <c r="F9" s="908">
        <f>'Pay Values'!I9</f>
        <v>0</v>
      </c>
      <c r="G9" s="908">
        <f>Calculations!BK1</f>
        <v>0</v>
      </c>
      <c r="H9" s="818" t="s">
        <v>988</v>
      </c>
      <c r="I9" s="908" t="str">
        <f>LEFT('Pay Values'!B3,2)</f>
        <v/>
      </c>
      <c r="J9" s="1208" t="str">
        <f>IF(Calculations!$C$20,"Warm-Mix Asphalt","")</f>
        <v>Warm-Mix Asphalt</v>
      </c>
      <c r="K9" s="820"/>
      <c r="L9" s="908">
        <f>'Pay Values'!I9</f>
        <v>0</v>
      </c>
      <c r="M9" s="820"/>
      <c r="N9" s="822" t="e">
        <f>'Pay Values'!C9</f>
        <v>#N/A</v>
      </c>
      <c r="O9" s="819" t="s">
        <v>1637</v>
      </c>
      <c r="P9" s="819" t="s">
        <v>1637</v>
      </c>
      <c r="Q9" s="966" t="e">
        <f>'Pay Values'!D6</f>
        <v>#N/A</v>
      </c>
      <c r="R9" s="818">
        <f>'Pay Values'!D7</f>
        <v>0</v>
      </c>
      <c r="S9" s="988" t="str">
        <f ca="1">t_rmks_dtl!B58</f>
        <v xml:space="preserve"> </v>
      </c>
      <c r="T9" s="818" t="s">
        <v>295</v>
      </c>
      <c r="U9" s="821">
        <f>Superpave!I3</f>
        <v>0</v>
      </c>
      <c r="V9" s="819" t="s">
        <v>1637</v>
      </c>
      <c r="W9" s="822" t="s">
        <v>971</v>
      </c>
      <c r="X9" s="933" t="str">
        <f>Superpave!B6</f>
        <v/>
      </c>
      <c r="Y9" s="819" t="s">
        <v>1637</v>
      </c>
      <c r="Z9" s="822" t="s">
        <v>970</v>
      </c>
      <c r="AA9" s="819" t="s">
        <v>1637</v>
      </c>
      <c r="AB9" s="819" t="s">
        <v>1637</v>
      </c>
      <c r="AC9" s="819" t="s">
        <v>1637</v>
      </c>
      <c r="AD9" s="819" t="s">
        <v>1637</v>
      </c>
      <c r="AE9" s="819" t="s">
        <v>1637</v>
      </c>
      <c r="AF9" s="819" t="s">
        <v>1637</v>
      </c>
      <c r="AG9" s="988" t="str">
        <f>'Pay Values'!E4</f>
        <v>TON</v>
      </c>
      <c r="AH9" s="819" t="s">
        <v>1637</v>
      </c>
      <c r="AI9" s="819" t="s">
        <v>1637</v>
      </c>
      <c r="AJ9" s="819" t="s">
        <v>1637</v>
      </c>
      <c r="AK9" s="819" t="s">
        <v>1637</v>
      </c>
      <c r="AL9" s="939">
        <f>IF(B9="",0,IF('Pay Values'!F4&gt;1000*AN9,1000,'Pay Values'!F4))</f>
        <v>0</v>
      </c>
      <c r="AM9" s="819" t="s">
        <v>1637</v>
      </c>
      <c r="AN9" s="822">
        <v>1</v>
      </c>
      <c r="AO9" s="819" t="s">
        <v>1637</v>
      </c>
      <c r="AP9" s="819" t="s">
        <v>1637</v>
      </c>
      <c r="AQ9" s="822" t="s">
        <v>955</v>
      </c>
      <c r="AR9" s="819" t="s">
        <v>1637</v>
      </c>
      <c r="AS9" s="819" t="s">
        <v>1637</v>
      </c>
      <c r="AT9" s="819" t="s">
        <v>1637</v>
      </c>
      <c r="AU9" s="819" t="s">
        <v>1637</v>
      </c>
      <c r="AV9" s="819" t="s">
        <v>1637</v>
      </c>
      <c r="AW9" s="819" t="s">
        <v>1637</v>
      </c>
      <c r="AX9" s="819" t="s">
        <v>1637</v>
      </c>
      <c r="AY9" s="820"/>
      <c r="AZ9" s="819" t="s">
        <v>1637</v>
      </c>
      <c r="BA9" s="819" t="s">
        <v>1637</v>
      </c>
      <c r="BB9" s="819" t="s">
        <v>1637</v>
      </c>
      <c r="BC9" s="1143" t="s">
        <v>1637</v>
      </c>
    </row>
    <row r="10" spans="1:55">
      <c r="A10" s="817"/>
      <c r="B10" s="1140" t="str">
        <f>IF(B8="",IF(Superpave!I4="","",IF('Pay Values'!B3="","",CONCATENATE('Pay Values'!B3,"QC02"))),"")</f>
        <v/>
      </c>
      <c r="C10" s="824" t="s">
        <v>986</v>
      </c>
      <c r="D10" s="909">
        <f>'Pay Values'!I9</f>
        <v>0</v>
      </c>
      <c r="E10" s="825"/>
      <c r="F10" s="909">
        <f>'Pay Values'!I9</f>
        <v>0</v>
      </c>
      <c r="G10" s="909">
        <f>Calculations!BK1</f>
        <v>0</v>
      </c>
      <c r="H10" s="824" t="s">
        <v>988</v>
      </c>
      <c r="I10" s="909" t="str">
        <f>LEFT('Pay Values'!B3,2)</f>
        <v/>
      </c>
      <c r="J10" s="1209" t="str">
        <f>IF(Calculations!$C$20,"Warm-Mix Asphalt","")</f>
        <v>Warm-Mix Asphalt</v>
      </c>
      <c r="K10" s="825"/>
      <c r="L10" s="909">
        <f>'Pay Values'!I9</f>
        <v>0</v>
      </c>
      <c r="M10" s="825"/>
      <c r="N10" s="827" t="e">
        <f>'Pay Values'!C9</f>
        <v>#N/A</v>
      </c>
      <c r="O10" s="823" t="s">
        <v>1637</v>
      </c>
      <c r="P10" s="823" t="s">
        <v>1637</v>
      </c>
      <c r="Q10" s="967" t="e">
        <f>'Pay Values'!D6</f>
        <v>#N/A</v>
      </c>
      <c r="R10" s="824">
        <f>'Pay Values'!D7</f>
        <v>0</v>
      </c>
      <c r="S10" s="989" t="str">
        <f ca="1">t_rmks_dtl!B108</f>
        <v xml:space="preserve"> </v>
      </c>
      <c r="T10" s="824" t="s">
        <v>295</v>
      </c>
      <c r="U10" s="826">
        <f>Superpave!I4</f>
        <v>0</v>
      </c>
      <c r="V10" s="823" t="s">
        <v>1637</v>
      </c>
      <c r="W10" s="827" t="s">
        <v>971</v>
      </c>
      <c r="X10" s="934" t="str">
        <f>Superpave!E6</f>
        <v/>
      </c>
      <c r="Y10" s="823" t="s">
        <v>1637</v>
      </c>
      <c r="Z10" s="827" t="s">
        <v>970</v>
      </c>
      <c r="AA10" s="823" t="s">
        <v>1637</v>
      </c>
      <c r="AB10" s="828" t="s">
        <v>1637</v>
      </c>
      <c r="AC10" s="823" t="s">
        <v>1637</v>
      </c>
      <c r="AD10" s="823" t="s">
        <v>1637</v>
      </c>
      <c r="AE10" s="823" t="s">
        <v>1637</v>
      </c>
      <c r="AF10" s="823" t="s">
        <v>1637</v>
      </c>
      <c r="AG10" s="989" t="str">
        <f>'Pay Values'!E4</f>
        <v>TON</v>
      </c>
      <c r="AH10" s="823" t="s">
        <v>1637</v>
      </c>
      <c r="AI10" s="823" t="s">
        <v>1637</v>
      </c>
      <c r="AJ10" s="823" t="s">
        <v>1637</v>
      </c>
      <c r="AK10" s="823" t="s">
        <v>1637</v>
      </c>
      <c r="AL10" s="940">
        <f>IF(B10="",0,IF('Pay Values'!F4&gt;1000*AN10,1000,'Pay Values'!F4-AL9))</f>
        <v>0</v>
      </c>
      <c r="AM10" s="823" t="s">
        <v>1637</v>
      </c>
      <c r="AN10" s="990">
        <v>2</v>
      </c>
      <c r="AO10" s="823" t="s">
        <v>1637</v>
      </c>
      <c r="AP10" s="823" t="s">
        <v>1637</v>
      </c>
      <c r="AQ10" s="827" t="s">
        <v>955</v>
      </c>
      <c r="AR10" s="823" t="s">
        <v>1637</v>
      </c>
      <c r="AS10" s="823" t="s">
        <v>1637</v>
      </c>
      <c r="AT10" s="823" t="s">
        <v>1637</v>
      </c>
      <c r="AU10" s="823" t="s">
        <v>1637</v>
      </c>
      <c r="AV10" s="823" t="s">
        <v>1637</v>
      </c>
      <c r="AW10" s="823" t="s">
        <v>1637</v>
      </c>
      <c r="AX10" s="823" t="s">
        <v>1637</v>
      </c>
      <c r="AY10" s="825"/>
      <c r="AZ10" s="823" t="s">
        <v>1637</v>
      </c>
      <c r="BA10" s="823" t="s">
        <v>1637</v>
      </c>
      <c r="BB10" s="823" t="s">
        <v>1637</v>
      </c>
      <c r="BC10" s="1144" t="s">
        <v>1637</v>
      </c>
    </row>
    <row r="11" spans="1:55">
      <c r="A11" s="817"/>
      <c r="B11" s="1140" t="str">
        <f>IF(B8="",IF(Superpave!I5="","",IF('Pay Values'!B3="","",CONCATENATE('Pay Values'!B3,"QC03"))),"")</f>
        <v/>
      </c>
      <c r="C11" s="824" t="s">
        <v>986</v>
      </c>
      <c r="D11" s="909">
        <f>'Pay Values'!I9</f>
        <v>0</v>
      </c>
      <c r="E11" s="825"/>
      <c r="F11" s="909">
        <f>'Pay Values'!I9</f>
        <v>0</v>
      </c>
      <c r="G11" s="909">
        <f>Calculations!BK1</f>
        <v>0</v>
      </c>
      <c r="H11" s="824" t="s">
        <v>988</v>
      </c>
      <c r="I11" s="909" t="str">
        <f>LEFT('Pay Values'!B3,2)</f>
        <v/>
      </c>
      <c r="J11" s="1210" t="str">
        <f>IF(Calculations!$C$20,"Warm-Mix Asphalt","")</f>
        <v>Warm-Mix Asphalt</v>
      </c>
      <c r="K11" s="825"/>
      <c r="L11" s="909">
        <f>'Pay Values'!I9</f>
        <v>0</v>
      </c>
      <c r="M11" s="825"/>
      <c r="N11" s="827" t="e">
        <f>'Pay Values'!C9</f>
        <v>#N/A</v>
      </c>
      <c r="O11" s="823" t="s">
        <v>1637</v>
      </c>
      <c r="P11" s="823" t="s">
        <v>1637</v>
      </c>
      <c r="Q11" s="967" t="e">
        <f>'Pay Values'!D6</f>
        <v>#N/A</v>
      </c>
      <c r="R11" s="824">
        <f>'Pay Values'!D7</f>
        <v>0</v>
      </c>
      <c r="S11" s="989" t="str">
        <f ca="1">t_rmks_dtl!B158</f>
        <v xml:space="preserve"> </v>
      </c>
      <c r="T11" s="824" t="s">
        <v>295</v>
      </c>
      <c r="U11" s="826">
        <f>Superpave!I5</f>
        <v>0</v>
      </c>
      <c r="V11" s="823" t="s">
        <v>1637</v>
      </c>
      <c r="W11" s="827" t="s">
        <v>971</v>
      </c>
      <c r="X11" s="934" t="str">
        <f>Superpave!B8</f>
        <v/>
      </c>
      <c r="Y11" s="823" t="s">
        <v>1637</v>
      </c>
      <c r="Z11" s="827" t="s">
        <v>970</v>
      </c>
      <c r="AA11" s="823" t="s">
        <v>1637</v>
      </c>
      <c r="AB11" s="823" t="s">
        <v>1637</v>
      </c>
      <c r="AC11" s="823" t="s">
        <v>1637</v>
      </c>
      <c r="AD11" s="823" t="s">
        <v>1637</v>
      </c>
      <c r="AE11" s="823" t="s">
        <v>1637</v>
      </c>
      <c r="AF11" s="823" t="s">
        <v>1637</v>
      </c>
      <c r="AG11" s="989" t="str">
        <f>'Pay Values'!E4</f>
        <v>TON</v>
      </c>
      <c r="AH11" s="823" t="s">
        <v>1637</v>
      </c>
      <c r="AI11" s="823" t="s">
        <v>1637</v>
      </c>
      <c r="AJ11" s="823" t="s">
        <v>1637</v>
      </c>
      <c r="AK11" s="823" t="s">
        <v>1637</v>
      </c>
      <c r="AL11" s="940">
        <f>IF(B11="",0,IF('Pay Values'!F4&gt;1000*AN11,1000,'Pay Values'!F4-AL9-AL10))</f>
        <v>0</v>
      </c>
      <c r="AM11" s="823" t="s">
        <v>1637</v>
      </c>
      <c r="AN11" s="827">
        <v>3</v>
      </c>
      <c r="AO11" s="823" t="s">
        <v>1637</v>
      </c>
      <c r="AP11" s="823" t="s">
        <v>1637</v>
      </c>
      <c r="AQ11" s="827" t="s">
        <v>955</v>
      </c>
      <c r="AR11" s="823" t="s">
        <v>1637</v>
      </c>
      <c r="AS11" s="823" t="s">
        <v>1637</v>
      </c>
      <c r="AT11" s="823" t="s">
        <v>1637</v>
      </c>
      <c r="AU11" s="823" t="s">
        <v>1637</v>
      </c>
      <c r="AV11" s="823" t="s">
        <v>1637</v>
      </c>
      <c r="AW11" s="823" t="s">
        <v>1637</v>
      </c>
      <c r="AX11" s="823" t="s">
        <v>1637</v>
      </c>
      <c r="AY11" s="825"/>
      <c r="AZ11" s="823" t="s">
        <v>1637</v>
      </c>
      <c r="BA11" s="823" t="s">
        <v>1637</v>
      </c>
      <c r="BB11" s="823" t="s">
        <v>1637</v>
      </c>
      <c r="BC11" s="1144" t="s">
        <v>1637</v>
      </c>
    </row>
    <row r="12" spans="1:55" ht="13.5" thickBot="1">
      <c r="A12" s="868" t="s">
        <v>138</v>
      </c>
      <c r="B12" s="1138" t="str">
        <f>IF(B8="",IF(Superpave!I6="","",IF('Pay Values'!B3="","",CONCATENATE('Pay Values'!B3,"QC04"))),"")</f>
        <v/>
      </c>
      <c r="C12" s="830" t="s">
        <v>986</v>
      </c>
      <c r="D12" s="907">
        <f>'Pay Values'!I9</f>
        <v>0</v>
      </c>
      <c r="E12" s="831"/>
      <c r="F12" s="907">
        <f>'Pay Values'!I9</f>
        <v>0</v>
      </c>
      <c r="G12" s="907">
        <f>Calculations!BK1</f>
        <v>0</v>
      </c>
      <c r="H12" s="830" t="s">
        <v>988</v>
      </c>
      <c r="I12" s="907" t="str">
        <f>LEFT('Pay Values'!B3,2)</f>
        <v/>
      </c>
      <c r="J12" s="1207" t="str">
        <f>IF(Calculations!$C$20,"Warm-Mix Asphalt","")</f>
        <v>Warm-Mix Asphalt</v>
      </c>
      <c r="K12" s="831"/>
      <c r="L12" s="907">
        <f>'Pay Values'!I9</f>
        <v>0</v>
      </c>
      <c r="M12" s="831"/>
      <c r="N12" s="833" t="e">
        <f>'Pay Values'!C9</f>
        <v>#N/A</v>
      </c>
      <c r="O12" s="829" t="s">
        <v>1637</v>
      </c>
      <c r="P12" s="829" t="s">
        <v>1637</v>
      </c>
      <c r="Q12" s="965" t="e">
        <f>'Pay Values'!D6</f>
        <v>#N/A</v>
      </c>
      <c r="R12" s="830">
        <f>'Pay Values'!D7</f>
        <v>0</v>
      </c>
      <c r="S12" s="987" t="str">
        <f ca="1">t_rmks_dtl!B208</f>
        <v xml:space="preserve"> </v>
      </c>
      <c r="T12" s="830" t="s">
        <v>295</v>
      </c>
      <c r="U12" s="832">
        <f>Superpave!I6</f>
        <v>0</v>
      </c>
      <c r="V12" s="829" t="s">
        <v>1637</v>
      </c>
      <c r="W12" s="833" t="s">
        <v>971</v>
      </c>
      <c r="X12" s="932" t="str">
        <f>Superpave!E8</f>
        <v/>
      </c>
      <c r="Y12" s="829" t="s">
        <v>1637</v>
      </c>
      <c r="Z12" s="833" t="s">
        <v>970</v>
      </c>
      <c r="AA12" s="829" t="s">
        <v>1637</v>
      </c>
      <c r="AB12" s="829" t="s">
        <v>1637</v>
      </c>
      <c r="AC12" s="829" t="s">
        <v>1637</v>
      </c>
      <c r="AD12" s="829" t="s">
        <v>1637</v>
      </c>
      <c r="AE12" s="829" t="s">
        <v>1637</v>
      </c>
      <c r="AF12" s="829" t="s">
        <v>1637</v>
      </c>
      <c r="AG12" s="987" t="str">
        <f>'Pay Values'!E4</f>
        <v>TON</v>
      </c>
      <c r="AH12" s="829" t="s">
        <v>1637</v>
      </c>
      <c r="AI12" s="829" t="s">
        <v>1637</v>
      </c>
      <c r="AJ12" s="829" t="s">
        <v>1637</v>
      </c>
      <c r="AK12" s="829" t="s">
        <v>1637</v>
      </c>
      <c r="AL12" s="938">
        <f>IF(B12="",0,IF('Pay Values'!F4&gt;1000*AN12,1000,'Pay Values'!F4-AL9-AL10-AL11))</f>
        <v>0</v>
      </c>
      <c r="AM12" s="829" t="s">
        <v>1637</v>
      </c>
      <c r="AN12" s="833">
        <v>4</v>
      </c>
      <c r="AO12" s="829" t="s">
        <v>1637</v>
      </c>
      <c r="AP12" s="829" t="s">
        <v>1637</v>
      </c>
      <c r="AQ12" s="833" t="s">
        <v>955</v>
      </c>
      <c r="AR12" s="829" t="s">
        <v>1637</v>
      </c>
      <c r="AS12" s="829" t="s">
        <v>1637</v>
      </c>
      <c r="AT12" s="829" t="s">
        <v>1637</v>
      </c>
      <c r="AU12" s="829" t="s">
        <v>1637</v>
      </c>
      <c r="AV12" s="829" t="s">
        <v>1637</v>
      </c>
      <c r="AW12" s="829" t="s">
        <v>1637</v>
      </c>
      <c r="AX12" s="829" t="s">
        <v>1637</v>
      </c>
      <c r="AY12" s="831"/>
      <c r="AZ12" s="829" t="s">
        <v>1637</v>
      </c>
      <c r="BA12" s="829" t="s">
        <v>1637</v>
      </c>
      <c r="BB12" s="829" t="s">
        <v>1637</v>
      </c>
      <c r="BC12" s="1142" t="s">
        <v>1637</v>
      </c>
    </row>
    <row r="13" spans="1:55">
      <c r="A13" s="868" t="s">
        <v>910</v>
      </c>
      <c r="B13" s="1139" t="str">
        <f>IF(B8="",IF('Super Verify'!E5="","",IF('Pay Values'!B3="","",CONCATENATE('Pay Values'!B3,"QA01"))),"")</f>
        <v/>
      </c>
      <c r="C13" s="818" t="s">
        <v>986</v>
      </c>
      <c r="D13" s="908">
        <f>'Pay Values'!I9</f>
        <v>0</v>
      </c>
      <c r="E13" s="820"/>
      <c r="F13" s="908">
        <f>'Pay Values'!I9</f>
        <v>0</v>
      </c>
      <c r="G13" s="908">
        <f>Calculations!BK1</f>
        <v>0</v>
      </c>
      <c r="H13" s="818" t="s">
        <v>988</v>
      </c>
      <c r="I13" s="908" t="str">
        <f>LEFT('Pay Values'!B3,2)</f>
        <v/>
      </c>
      <c r="J13" s="1208" t="str">
        <f>IF(Calculations!$C$20,"Warm-Mix Asphalt","")</f>
        <v>Warm-Mix Asphalt</v>
      </c>
      <c r="K13" s="820"/>
      <c r="L13" s="908">
        <f>'Pay Values'!I9</f>
        <v>0</v>
      </c>
      <c r="M13" s="820"/>
      <c r="N13" s="822" t="e">
        <f>'Pay Values'!C9</f>
        <v>#N/A</v>
      </c>
      <c r="O13" s="986" t="s">
        <v>1637</v>
      </c>
      <c r="P13" s="819" t="s">
        <v>1637</v>
      </c>
      <c r="Q13" s="966" t="e">
        <f>'Pay Values'!D6</f>
        <v>#N/A</v>
      </c>
      <c r="R13" s="818">
        <f>'Pay Values'!D7</f>
        <v>0</v>
      </c>
      <c r="S13" s="988" t="str">
        <f ca="1">t_rmks_dtl!B258</f>
        <v xml:space="preserve"> </v>
      </c>
      <c r="T13" s="818" t="s">
        <v>295</v>
      </c>
      <c r="U13" s="821">
        <f>IF('Super Verify'!B5=1,t_smpl!U9,IF('Super Verify'!B5=2,t_smpl!U10,IF('Super Verify'!B5=3,t_smpl!U11,t_smpl!U12)))</f>
        <v>0</v>
      </c>
      <c r="V13" s="986" t="s">
        <v>1637</v>
      </c>
      <c r="W13" s="822" t="s">
        <v>968</v>
      </c>
      <c r="X13" s="933">
        <f>'Super Verify'!E5</f>
        <v>0</v>
      </c>
      <c r="Y13" s="986" t="s">
        <v>1637</v>
      </c>
      <c r="Z13" s="822" t="s">
        <v>970</v>
      </c>
      <c r="AA13" s="819" t="s">
        <v>1637</v>
      </c>
      <c r="AB13" s="819" t="s">
        <v>1637</v>
      </c>
      <c r="AC13" s="819" t="s">
        <v>1637</v>
      </c>
      <c r="AD13" s="819" t="s">
        <v>1637</v>
      </c>
      <c r="AE13" s="819" t="s">
        <v>1637</v>
      </c>
      <c r="AF13" s="819" t="s">
        <v>1637</v>
      </c>
      <c r="AG13" s="988" t="str">
        <f>'Pay Values'!E4</f>
        <v>TON</v>
      </c>
      <c r="AH13" s="819" t="s">
        <v>1637</v>
      </c>
      <c r="AI13" s="819" t="s">
        <v>1637</v>
      </c>
      <c r="AJ13" s="819" t="s">
        <v>1637</v>
      </c>
      <c r="AK13" s="819" t="s">
        <v>1637</v>
      </c>
      <c r="AL13" s="939">
        <f>'Pay Values'!F4</f>
        <v>0</v>
      </c>
      <c r="AM13" s="819" t="s">
        <v>1637</v>
      </c>
      <c r="AN13" s="822" t="str">
        <f>'Super Verify'!B5</f>
        <v/>
      </c>
      <c r="AO13" s="819" t="s">
        <v>1637</v>
      </c>
      <c r="AP13" s="819" t="s">
        <v>1637</v>
      </c>
      <c r="AQ13" s="822" t="s">
        <v>617</v>
      </c>
      <c r="AR13" s="819" t="s">
        <v>1637</v>
      </c>
      <c r="AS13" s="819" t="s">
        <v>1637</v>
      </c>
      <c r="AT13" s="819" t="s">
        <v>1637</v>
      </c>
      <c r="AU13" s="819" t="s">
        <v>1637</v>
      </c>
      <c r="AV13" s="819" t="s">
        <v>1637</v>
      </c>
      <c r="AW13" s="819" t="s">
        <v>1637</v>
      </c>
      <c r="AX13" s="819" t="s">
        <v>1637</v>
      </c>
      <c r="AY13" s="820"/>
      <c r="AZ13" s="819" t="s">
        <v>1637</v>
      </c>
      <c r="BA13" s="819" t="s">
        <v>1637</v>
      </c>
      <c r="BB13" s="819" t="s">
        <v>1637</v>
      </c>
      <c r="BC13" s="1143" t="s">
        <v>1637</v>
      </c>
    </row>
    <row r="14" spans="1:55">
      <c r="A14" s="868" t="s">
        <v>911</v>
      </c>
      <c r="B14" s="1149" t="str">
        <f>IF(B8="",IF('Super Verify'!E12="","",IF('Pay Values'!B3="","",CONCATENATE('Pay Values'!B3,"IQ01"))),"")</f>
        <v/>
      </c>
      <c r="C14" s="1150" t="s">
        <v>986</v>
      </c>
      <c r="D14" s="1151">
        <f>'Pay Values'!I9</f>
        <v>0</v>
      </c>
      <c r="E14" s="1152"/>
      <c r="F14" s="1151">
        <f>'Pay Values'!I9</f>
        <v>0</v>
      </c>
      <c r="G14" s="1151">
        <f>Calculations!BK1</f>
        <v>0</v>
      </c>
      <c r="H14" s="1150" t="s">
        <v>988</v>
      </c>
      <c r="I14" s="1151" t="str">
        <f>LEFT('Pay Values'!B3,2)</f>
        <v/>
      </c>
      <c r="J14" s="1207" t="str">
        <f>IF(Calculations!$C$20,"Warm-Mix Asphalt","")</f>
        <v>Warm-Mix Asphalt</v>
      </c>
      <c r="K14" s="1152"/>
      <c r="L14" s="1151">
        <f>'Pay Values'!I9</f>
        <v>0</v>
      </c>
      <c r="M14" s="1152"/>
      <c r="N14" s="1154" t="e">
        <f>'Pay Values'!C9</f>
        <v>#N/A</v>
      </c>
      <c r="O14" s="1153" t="s">
        <v>1637</v>
      </c>
      <c r="P14" s="1155" t="s">
        <v>1637</v>
      </c>
      <c r="Q14" s="1156" t="e">
        <f>'Pay Values'!D6</f>
        <v>#N/A</v>
      </c>
      <c r="R14" s="1212">
        <f>'Pay Values'!D7</f>
        <v>0</v>
      </c>
      <c r="S14" s="1157" t="str">
        <f ca="1">t_rmks_dtl!B308</f>
        <v xml:space="preserve"> </v>
      </c>
      <c r="T14" s="1150" t="s">
        <v>295</v>
      </c>
      <c r="U14" s="1158">
        <f>IF('Super Verify'!B12=1,t_smpl!U9,IF('Super Verify'!B12=2,t_smpl!U10,IF('Super Verify'!B12=3,t_smpl!U11,t_smpl!U12)))</f>
        <v>0</v>
      </c>
      <c r="V14" s="1153" t="s">
        <v>1637</v>
      </c>
      <c r="W14" s="1154" t="s">
        <v>973</v>
      </c>
      <c r="X14" s="1159">
        <f>'Super Verify'!E12</f>
        <v>0</v>
      </c>
      <c r="Y14" s="1153" t="s">
        <v>1637</v>
      </c>
      <c r="Z14" s="1154" t="s">
        <v>970</v>
      </c>
      <c r="AA14" s="1155" t="s">
        <v>1637</v>
      </c>
      <c r="AB14" s="1155" t="s">
        <v>1637</v>
      </c>
      <c r="AC14" s="1155" t="s">
        <v>1637</v>
      </c>
      <c r="AD14" s="1155" t="s">
        <v>1637</v>
      </c>
      <c r="AE14" s="1155" t="s">
        <v>1637</v>
      </c>
      <c r="AF14" s="1155" t="s">
        <v>1637</v>
      </c>
      <c r="AG14" s="1157" t="str">
        <f>'Pay Values'!E4</f>
        <v>TON</v>
      </c>
      <c r="AH14" s="1155" t="s">
        <v>1637</v>
      </c>
      <c r="AI14" s="1155" t="s">
        <v>1637</v>
      </c>
      <c r="AJ14" s="1155" t="s">
        <v>1637</v>
      </c>
      <c r="AK14" s="1155" t="s">
        <v>1637</v>
      </c>
      <c r="AL14" s="1160">
        <f>'Pay Values'!F4</f>
        <v>0</v>
      </c>
      <c r="AM14" s="1155" t="s">
        <v>1637</v>
      </c>
      <c r="AN14" s="1154" t="str">
        <f>'Super Verify'!B12</f>
        <v/>
      </c>
      <c r="AO14" s="1155" t="s">
        <v>1637</v>
      </c>
      <c r="AP14" s="1155" t="s">
        <v>1637</v>
      </c>
      <c r="AQ14" s="1154" t="s">
        <v>617</v>
      </c>
      <c r="AR14" s="1155" t="s">
        <v>1637</v>
      </c>
      <c r="AS14" s="1155" t="s">
        <v>1637</v>
      </c>
      <c r="AT14" s="1155" t="s">
        <v>1637</v>
      </c>
      <c r="AU14" s="1155" t="s">
        <v>1637</v>
      </c>
      <c r="AV14" s="1155" t="s">
        <v>1637</v>
      </c>
      <c r="AW14" s="1155" t="s">
        <v>1637</v>
      </c>
      <c r="AX14" s="1155" t="s">
        <v>1637</v>
      </c>
      <c r="AY14" s="1152"/>
      <c r="AZ14" s="1155" t="s">
        <v>1637</v>
      </c>
      <c r="BA14" s="1155" t="s">
        <v>1637</v>
      </c>
      <c r="BB14" s="1155" t="s">
        <v>1637</v>
      </c>
      <c r="BC14" s="1161" t="s">
        <v>1637</v>
      </c>
    </row>
    <row r="15" spans="1:5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row>
    <row r="16" spans="1:55" s="746" customFormat="1">
      <c r="X16" s="753"/>
      <c r="AA16" s="753"/>
      <c r="AG16" s="753"/>
      <c r="AH16" s="753"/>
      <c r="AL16" s="753"/>
    </row>
  </sheetData>
  <phoneticPr fontId="32" type="noConversion"/>
  <pageMargins left="0.4" right="0.26" top="1" bottom="1" header="0.5" footer="0.5"/>
  <pageSetup scale="12" orientation="landscape" r:id="rId1"/>
  <headerFooter alignWithMargins="0"/>
  <legacyDrawing r:id="rId2"/>
  <tableParts count="1">
    <tablePart r:id="rId3"/>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indexed="45"/>
  </sheetPr>
  <dimension ref="A1:M15"/>
  <sheetViews>
    <sheetView zoomScale="75" workbookViewId="0">
      <pane xSplit="1" ySplit="7" topLeftCell="B8" activePane="bottomRight" state="frozen"/>
      <selection activeCell="C11" sqref="C11:F11"/>
      <selection pane="topRight" activeCell="C11" sqref="C11:F11"/>
      <selection pane="bottomLeft" activeCell="C11" sqref="C11:F11"/>
      <selection pane="bottomRight" activeCell="B8" sqref="B8:H14"/>
    </sheetView>
  </sheetViews>
  <sheetFormatPr defaultRowHeight="12.75"/>
  <cols>
    <col min="1" max="1" width="45.7109375" style="753" customWidth="1"/>
    <col min="2" max="2" width="22.42578125" style="753" customWidth="1"/>
    <col min="3" max="5" width="15.140625" style="753" customWidth="1"/>
    <col min="6" max="6" width="37.85546875" style="753" customWidth="1"/>
    <col min="7" max="7" width="17.7109375" style="753" customWidth="1"/>
    <col min="8" max="8" width="16.7109375" style="753" customWidth="1"/>
    <col min="9" max="10" width="9.140625" style="753"/>
    <col min="11" max="13" width="9.85546875" style="753" customWidth="1"/>
    <col min="14" max="16384" width="9.140625" style="753"/>
  </cols>
  <sheetData>
    <row r="1" spans="1:13">
      <c r="A1" s="795" t="s">
        <v>7</v>
      </c>
      <c r="B1" s="790" t="s">
        <v>728</v>
      </c>
      <c r="G1" s="791"/>
      <c r="H1" s="789" t="s">
        <v>1069</v>
      </c>
    </row>
    <row r="2" spans="1:13">
      <c r="A2" s="795" t="s">
        <v>1008</v>
      </c>
      <c r="B2" s="834" t="s">
        <v>1864</v>
      </c>
      <c r="C2" s="835" t="s">
        <v>1864</v>
      </c>
      <c r="D2" s="834" t="s">
        <v>1864</v>
      </c>
      <c r="E2" s="834" t="s">
        <v>1864</v>
      </c>
      <c r="F2" s="834" t="s">
        <v>1864</v>
      </c>
      <c r="G2" s="834" t="s">
        <v>1864</v>
      </c>
      <c r="H2" s="834" t="s">
        <v>1864</v>
      </c>
    </row>
    <row r="3" spans="1:13" ht="13.5" thickBot="1">
      <c r="A3" s="795" t="s">
        <v>1009</v>
      </c>
      <c r="B3" s="797" t="s">
        <v>739</v>
      </c>
      <c r="C3" s="836" t="s">
        <v>1865</v>
      </c>
      <c r="D3" s="792" t="s">
        <v>1866</v>
      </c>
      <c r="E3" s="792" t="s">
        <v>1867</v>
      </c>
      <c r="F3" s="792" t="s">
        <v>766</v>
      </c>
      <c r="G3" s="786" t="s">
        <v>734</v>
      </c>
      <c r="H3" s="786" t="s">
        <v>736</v>
      </c>
    </row>
    <row r="4" spans="1:13" ht="102" customHeight="1" thickBot="1">
      <c r="A4" s="795" t="s">
        <v>726</v>
      </c>
      <c r="B4" s="837" t="s">
        <v>9</v>
      </c>
      <c r="C4" s="1746" t="s">
        <v>1145</v>
      </c>
      <c r="D4" s="1747"/>
      <c r="E4" s="1748"/>
      <c r="F4" s="1037" t="s">
        <v>928</v>
      </c>
      <c r="G4" s="838"/>
      <c r="H4" s="839"/>
      <c r="J4" s="840">
        <f>COUNT(Superpave!I3:I6)</f>
        <v>0</v>
      </c>
      <c r="K4" s="1749" t="s">
        <v>1146</v>
      </c>
      <c r="L4" s="1750"/>
      <c r="M4" s="1751"/>
    </row>
    <row r="5" spans="1:13" ht="51.75" thickBot="1">
      <c r="A5" s="795" t="s">
        <v>727</v>
      </c>
      <c r="B5" s="806" t="s">
        <v>1667</v>
      </c>
      <c r="C5" s="841"/>
      <c r="D5" s="842" t="s">
        <v>930</v>
      </c>
      <c r="E5" s="843"/>
      <c r="F5" s="844"/>
      <c r="G5" s="845"/>
      <c r="H5" s="846" t="s">
        <v>737</v>
      </c>
    </row>
    <row r="6" spans="1:13" ht="26.25" thickBot="1">
      <c r="A6" s="812" t="s">
        <v>48</v>
      </c>
      <c r="B6" s="1145" t="s">
        <v>49</v>
      </c>
      <c r="C6" s="1146" t="s">
        <v>1147</v>
      </c>
      <c r="D6" s="1169" t="s">
        <v>1148</v>
      </c>
      <c r="E6" s="1169" t="s">
        <v>1092</v>
      </c>
      <c r="F6" s="1169" t="s">
        <v>1149</v>
      </c>
      <c r="G6" s="1145" t="s">
        <v>1392</v>
      </c>
      <c r="H6" s="1148" t="s">
        <v>55</v>
      </c>
    </row>
    <row r="7" spans="1:13" ht="26.25" thickBot="1">
      <c r="A7" s="816" t="s">
        <v>1670</v>
      </c>
      <c r="B7" s="1137" t="s">
        <v>739</v>
      </c>
      <c r="C7" s="847" t="s">
        <v>1865</v>
      </c>
      <c r="D7" s="847" t="s">
        <v>1866</v>
      </c>
      <c r="E7" s="847" t="s">
        <v>1867</v>
      </c>
      <c r="F7" s="847" t="s">
        <v>766</v>
      </c>
      <c r="G7" s="847" t="s">
        <v>734</v>
      </c>
      <c r="H7" s="1164" t="s">
        <v>736</v>
      </c>
    </row>
    <row r="8" spans="1:13" ht="13.5" thickBot="1">
      <c r="A8" s="817" t="s">
        <v>135</v>
      </c>
      <c r="B8" s="1162" t="str">
        <f>t_smpl!B8</f>
        <v/>
      </c>
      <c r="C8" s="991">
        <f>'Pay Values'!B4</f>
        <v>0</v>
      </c>
      <c r="D8" s="944" t="s">
        <v>76</v>
      </c>
      <c r="E8" s="944" t="s">
        <v>76</v>
      </c>
      <c r="F8" s="944" t="s">
        <v>76</v>
      </c>
      <c r="G8" s="945">
        <f>'Pay Values'!I9</f>
        <v>0</v>
      </c>
      <c r="H8" s="1165"/>
    </row>
    <row r="9" spans="1:13">
      <c r="A9" s="817" t="s">
        <v>135</v>
      </c>
      <c r="B9" s="1163" t="str">
        <f>t_smpl!B9</f>
        <v/>
      </c>
      <c r="C9" s="992">
        <f>'Pay Values'!B4</f>
        <v>0</v>
      </c>
      <c r="D9" s="848" t="s">
        <v>76</v>
      </c>
      <c r="E9" s="848" t="s">
        <v>76</v>
      </c>
      <c r="F9" s="848" t="s">
        <v>76</v>
      </c>
      <c r="G9" s="943">
        <f>'Pay Values'!I9</f>
        <v>0</v>
      </c>
      <c r="H9" s="1166"/>
    </row>
    <row r="10" spans="1:13">
      <c r="A10" s="817"/>
      <c r="B10" s="1140" t="str">
        <f>t_smpl!B10</f>
        <v/>
      </c>
      <c r="C10" s="824">
        <f>'Pay Values'!B4</f>
        <v>0</v>
      </c>
      <c r="D10" s="849" t="s">
        <v>76</v>
      </c>
      <c r="E10" s="849" t="s">
        <v>76</v>
      </c>
      <c r="F10" s="849" t="s">
        <v>76</v>
      </c>
      <c r="G10" s="941">
        <f>'Pay Values'!I9</f>
        <v>0</v>
      </c>
      <c r="H10" s="1167"/>
    </row>
    <row r="11" spans="1:13">
      <c r="A11" s="817"/>
      <c r="B11" s="1140" t="str">
        <f>t_smpl!B11</f>
        <v/>
      </c>
      <c r="C11" s="824">
        <f>'Pay Values'!B4</f>
        <v>0</v>
      </c>
      <c r="D11" s="849" t="s">
        <v>76</v>
      </c>
      <c r="E11" s="849" t="s">
        <v>76</v>
      </c>
      <c r="F11" s="849" t="s">
        <v>76</v>
      </c>
      <c r="G11" s="941">
        <f>'Pay Values'!I9</f>
        <v>0</v>
      </c>
      <c r="H11" s="1166"/>
    </row>
    <row r="12" spans="1:13" ht="13.5" thickBot="1">
      <c r="A12" s="868" t="s">
        <v>138</v>
      </c>
      <c r="B12" s="1138" t="str">
        <f>t_smpl!B12</f>
        <v/>
      </c>
      <c r="C12" s="830">
        <f>'Pay Values'!B4</f>
        <v>0</v>
      </c>
      <c r="D12" s="850" t="s">
        <v>76</v>
      </c>
      <c r="E12" s="850" t="s">
        <v>76</v>
      </c>
      <c r="F12" s="850" t="s">
        <v>76</v>
      </c>
      <c r="G12" s="942">
        <f>'Pay Values'!I9</f>
        <v>0</v>
      </c>
      <c r="H12" s="1168"/>
    </row>
    <row r="13" spans="1:13">
      <c r="A13" s="868" t="s">
        <v>910</v>
      </c>
      <c r="B13" s="1139" t="str">
        <f>t_smpl!B13</f>
        <v/>
      </c>
      <c r="C13" s="992">
        <f>'Pay Values'!B4</f>
        <v>0</v>
      </c>
      <c r="D13" s="848" t="s">
        <v>76</v>
      </c>
      <c r="E13" s="848" t="s">
        <v>76</v>
      </c>
      <c r="F13" s="848" t="s">
        <v>76</v>
      </c>
      <c r="G13" s="943">
        <f>'Pay Values'!I9</f>
        <v>0</v>
      </c>
      <c r="H13" s="1166"/>
    </row>
    <row r="14" spans="1:13">
      <c r="A14" s="868" t="s">
        <v>911</v>
      </c>
      <c r="B14" s="1149" t="str">
        <f>t_smpl!B14</f>
        <v/>
      </c>
      <c r="C14" s="1150">
        <f>'Pay Values'!B4</f>
        <v>0</v>
      </c>
      <c r="D14" s="1170" t="s">
        <v>76</v>
      </c>
      <c r="E14" s="1170" t="s">
        <v>76</v>
      </c>
      <c r="F14" s="1170" t="s">
        <v>76</v>
      </c>
      <c r="G14" s="1171">
        <f>'Pay Values'!I9</f>
        <v>0</v>
      </c>
      <c r="H14" s="1172"/>
    </row>
    <row r="15" spans="1:13">
      <c r="B15"/>
      <c r="C15"/>
      <c r="D15"/>
      <c r="E15"/>
      <c r="F15"/>
      <c r="G15"/>
      <c r="H15"/>
    </row>
  </sheetData>
  <mergeCells count="2">
    <mergeCell ref="C4:E4"/>
    <mergeCell ref="K4:M4"/>
  </mergeCells>
  <phoneticPr fontId="32" type="noConversion"/>
  <pageMargins left="0.75" right="0.75" top="1" bottom="1" header="0.5" footer="0.5"/>
  <pageSetup orientation="portrait" r:id="rId1"/>
  <headerFooter alignWithMargins="0"/>
  <legacyDrawing r:id="rId2"/>
  <tableParts count="1">
    <tablePart r:id="rId3"/>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indexed="45"/>
    <pageSetUpPr fitToPage="1"/>
  </sheetPr>
  <dimension ref="A1:G358"/>
  <sheetViews>
    <sheetView zoomScale="75" workbookViewId="0">
      <pane xSplit="2" ySplit="7" topLeftCell="C8" activePane="bottomRight" state="frozen"/>
      <selection activeCell="C11" sqref="C11:F11"/>
      <selection pane="topRight" activeCell="C11" sqref="C11:F11"/>
      <selection pane="bottomLeft" activeCell="C11" sqref="C11:F11"/>
      <selection pane="bottomRight"/>
    </sheetView>
  </sheetViews>
  <sheetFormatPr defaultRowHeight="12.75"/>
  <cols>
    <col min="1" max="1" width="45.7109375" style="753" customWidth="1"/>
    <col min="2" max="2" width="34.85546875" style="753" customWidth="1"/>
    <col min="3" max="3" width="11.7109375" style="753" customWidth="1"/>
    <col min="4" max="4" width="12.7109375" style="753" customWidth="1"/>
    <col min="5" max="5" width="81.28515625" style="753" customWidth="1"/>
    <col min="6" max="6" width="17.7109375" style="753" customWidth="1"/>
    <col min="7" max="7" width="16.7109375" style="753" customWidth="1"/>
    <col min="8" max="16384" width="9.140625" style="753"/>
  </cols>
  <sheetData>
    <row r="1" spans="1:7" s="783" customFormat="1" ht="12.75" customHeight="1">
      <c r="A1" s="795" t="s">
        <v>7</v>
      </c>
      <c r="B1" s="851"/>
      <c r="C1" s="791"/>
      <c r="D1" s="791"/>
      <c r="E1" s="791"/>
      <c r="F1" s="791"/>
      <c r="G1" s="852" t="s">
        <v>1069</v>
      </c>
    </row>
    <row r="2" spans="1:7" s="783" customFormat="1" ht="12.75" customHeight="1">
      <c r="A2" s="795" t="s">
        <v>1008</v>
      </c>
      <c r="B2" s="853" t="s">
        <v>729</v>
      </c>
      <c r="C2" s="781" t="s">
        <v>729</v>
      </c>
      <c r="D2" s="781" t="s">
        <v>729</v>
      </c>
      <c r="E2" s="781" t="s">
        <v>729</v>
      </c>
      <c r="F2" s="781" t="s">
        <v>729</v>
      </c>
      <c r="G2" s="854" t="s">
        <v>729</v>
      </c>
    </row>
    <row r="3" spans="1:7" s="783" customFormat="1" ht="12.75" customHeight="1" thickBot="1">
      <c r="A3" s="795" t="s">
        <v>1009</v>
      </c>
      <c r="B3" s="855" t="s">
        <v>730</v>
      </c>
      <c r="C3" s="792" t="s">
        <v>731</v>
      </c>
      <c r="D3" s="792" t="s">
        <v>732</v>
      </c>
      <c r="E3" s="786" t="s">
        <v>733</v>
      </c>
      <c r="F3" s="786" t="s">
        <v>734</v>
      </c>
      <c r="G3" s="792" t="s">
        <v>736</v>
      </c>
    </row>
    <row r="4" spans="1:7" s="805" customFormat="1" ht="60.75" thickBot="1">
      <c r="A4" s="795" t="s">
        <v>726</v>
      </c>
      <c r="B4" s="856" t="s">
        <v>1555</v>
      </c>
      <c r="C4" s="857"/>
      <c r="D4" s="858"/>
      <c r="E4" s="925"/>
      <c r="F4" s="929"/>
      <c r="G4" s="772"/>
    </row>
    <row r="5" spans="1:7" s="783" customFormat="1" ht="26.25" thickBot="1">
      <c r="A5" s="795" t="s">
        <v>727</v>
      </c>
      <c r="B5" s="806" t="s">
        <v>1667</v>
      </c>
      <c r="C5" s="859"/>
      <c r="D5" s="860"/>
      <c r="E5" s="926" t="s">
        <v>1081</v>
      </c>
      <c r="F5" s="861"/>
      <c r="G5" s="846" t="s">
        <v>737</v>
      </c>
    </row>
    <row r="6" spans="1:7" ht="54" customHeight="1">
      <c r="A6" s="812" t="s">
        <v>48</v>
      </c>
      <c r="B6" s="1146" t="s">
        <v>962</v>
      </c>
      <c r="C6" s="1146" t="s">
        <v>963</v>
      </c>
      <c r="D6" s="1146" t="s">
        <v>1150</v>
      </c>
      <c r="E6" s="1176" t="s">
        <v>947</v>
      </c>
      <c r="F6" s="1146" t="s">
        <v>1392</v>
      </c>
      <c r="G6" s="1147" t="s">
        <v>55</v>
      </c>
    </row>
    <row r="7" spans="1:7" s="783" customFormat="1" ht="27.75" customHeight="1">
      <c r="A7" s="816" t="s">
        <v>1670</v>
      </c>
      <c r="B7" s="1133" t="s">
        <v>730</v>
      </c>
      <c r="C7" s="1009" t="s">
        <v>731</v>
      </c>
      <c r="D7" s="1009" t="s">
        <v>732</v>
      </c>
      <c r="E7" s="1015" t="s">
        <v>733</v>
      </c>
      <c r="F7" s="1009" t="s">
        <v>734</v>
      </c>
      <c r="G7" s="1175" t="s">
        <v>736</v>
      </c>
    </row>
    <row r="8" spans="1:7" ht="14.25" customHeight="1">
      <c r="A8" s="817" t="s">
        <v>935</v>
      </c>
      <c r="B8" s="1173" t="str">
        <f ca="1">IF(t_smpl!B8=""," ",IF(E8=0,"",CONCATENATE(TEXT(NOW(),"yyyymmddhhmmss"),RIGHT(t_smpl!B8,4))))</f>
        <v xml:space="preserve"> </v>
      </c>
      <c r="C8" s="927" t="s">
        <v>964</v>
      </c>
      <c r="D8" s="993">
        <v>1</v>
      </c>
      <c r="E8" s="995" t="str">
        <f>IF(Comments!A4="","",CONCATENATE(Comments!A4,CHAR(10)))</f>
        <v/>
      </c>
      <c r="F8" s="930">
        <f>'Pay Values'!I9</f>
        <v>0</v>
      </c>
      <c r="G8" s="1172"/>
    </row>
    <row r="9" spans="1:7">
      <c r="A9" s="817"/>
      <c r="B9" s="1174" t="str">
        <f>IF(E9="","",B8)</f>
        <v/>
      </c>
      <c r="C9" s="928" t="s">
        <v>964</v>
      </c>
      <c r="D9" s="994">
        <f>D8+1</f>
        <v>2</v>
      </c>
      <c r="E9" s="995" t="str">
        <f>IF(Comments!A5="","",CONCATENATE(Comments!A5,CHAR(10)))</f>
        <v/>
      </c>
      <c r="F9" s="931">
        <f>F8</f>
        <v>0</v>
      </c>
      <c r="G9" s="1167"/>
    </row>
    <row r="10" spans="1:7">
      <c r="A10" s="817"/>
      <c r="B10" s="1174" t="str">
        <f>IF(E10="","",B8)</f>
        <v/>
      </c>
      <c r="C10" s="928" t="s">
        <v>964</v>
      </c>
      <c r="D10" s="994">
        <f t="shared" ref="D10:D57" si="0">D9+1</f>
        <v>3</v>
      </c>
      <c r="E10" s="995" t="str">
        <f>IF(Comments!A6="","",CONCATENATE(Comments!A6,CHAR(10)))</f>
        <v/>
      </c>
      <c r="F10" s="997">
        <f t="shared" ref="F10:F73" si="1">F9</f>
        <v>0</v>
      </c>
      <c r="G10" s="1167"/>
    </row>
    <row r="11" spans="1:7">
      <c r="A11" s="817"/>
      <c r="B11" s="1174" t="str">
        <f>IF(E11="","",B8)</f>
        <v/>
      </c>
      <c r="C11" s="928" t="s">
        <v>964</v>
      </c>
      <c r="D11" s="994">
        <f t="shared" si="0"/>
        <v>4</v>
      </c>
      <c r="E11" s="995" t="str">
        <f>IF(Comments!A7="","",CONCATENATE(Comments!A7,CHAR(10)))</f>
        <v/>
      </c>
      <c r="F11" s="997">
        <f t="shared" si="1"/>
        <v>0</v>
      </c>
      <c r="G11" s="1167"/>
    </row>
    <row r="12" spans="1:7">
      <c r="A12" s="817"/>
      <c r="B12" s="1174" t="str">
        <f>IF(E12="","",B8)</f>
        <v/>
      </c>
      <c r="C12" s="928" t="s">
        <v>964</v>
      </c>
      <c r="D12" s="994">
        <f t="shared" si="0"/>
        <v>5</v>
      </c>
      <c r="E12" s="995" t="str">
        <f>IF(Comments!A8="","",CONCATENATE(Comments!A8,CHAR(10)))</f>
        <v/>
      </c>
      <c r="F12" s="997">
        <f t="shared" si="1"/>
        <v>0</v>
      </c>
      <c r="G12" s="1167"/>
    </row>
    <row r="13" spans="1:7">
      <c r="A13" s="817"/>
      <c r="B13" s="1174" t="str">
        <f>IF(E13="","",B8)</f>
        <v/>
      </c>
      <c r="C13" s="928" t="s">
        <v>964</v>
      </c>
      <c r="D13" s="994">
        <f t="shared" si="0"/>
        <v>6</v>
      </c>
      <c r="E13" s="995" t="str">
        <f>IF(Comments!A9="","",CONCATENATE(Comments!A9,CHAR(10)))</f>
        <v/>
      </c>
      <c r="F13" s="997">
        <f t="shared" si="1"/>
        <v>0</v>
      </c>
      <c r="G13" s="1167"/>
    </row>
    <row r="14" spans="1:7">
      <c r="A14" s="817"/>
      <c r="B14" s="1174" t="str">
        <f>IF(E14="","",B8)</f>
        <v/>
      </c>
      <c r="C14" s="928" t="s">
        <v>964</v>
      </c>
      <c r="D14" s="994">
        <f t="shared" si="0"/>
        <v>7</v>
      </c>
      <c r="E14" s="995" t="str">
        <f>IF(Comments!A10="","",CONCATENATE(Comments!A10,CHAR(10)))</f>
        <v/>
      </c>
      <c r="F14" s="997">
        <f t="shared" si="1"/>
        <v>0</v>
      </c>
      <c r="G14" s="1167"/>
    </row>
    <row r="15" spans="1:7">
      <c r="A15" s="817"/>
      <c r="B15" s="1174" t="str">
        <f>IF(E15="","",B8)</f>
        <v/>
      </c>
      <c r="C15" s="928" t="s">
        <v>964</v>
      </c>
      <c r="D15" s="994">
        <f t="shared" si="0"/>
        <v>8</v>
      </c>
      <c r="E15" s="995" t="str">
        <f>IF(Comments!A11="","",CONCATENATE(Comments!A11,CHAR(10)))</f>
        <v/>
      </c>
      <c r="F15" s="997">
        <f t="shared" si="1"/>
        <v>0</v>
      </c>
      <c r="G15" s="1167"/>
    </row>
    <row r="16" spans="1:7">
      <c r="A16" s="817"/>
      <c r="B16" s="1174" t="str">
        <f>IF(E16="","",B8)</f>
        <v/>
      </c>
      <c r="C16" s="928" t="s">
        <v>964</v>
      </c>
      <c r="D16" s="994">
        <f t="shared" si="0"/>
        <v>9</v>
      </c>
      <c r="E16" s="995" t="str">
        <f>IF(Comments!A12="","",CONCATENATE(Comments!A12,CHAR(10)))</f>
        <v/>
      </c>
      <c r="F16" s="997">
        <f t="shared" si="1"/>
        <v>0</v>
      </c>
      <c r="G16" s="1167"/>
    </row>
    <row r="17" spans="1:7">
      <c r="A17" s="817"/>
      <c r="B17" s="1174" t="str">
        <f>IF(E17="","",B8)</f>
        <v/>
      </c>
      <c r="C17" s="928" t="s">
        <v>964</v>
      </c>
      <c r="D17" s="994">
        <f t="shared" si="0"/>
        <v>10</v>
      </c>
      <c r="E17" s="995" t="str">
        <f>IF(Comments!A13="","",CONCATENATE(Comments!A13,CHAR(10)))</f>
        <v/>
      </c>
      <c r="F17" s="997">
        <f t="shared" si="1"/>
        <v>0</v>
      </c>
      <c r="G17" s="1167"/>
    </row>
    <row r="18" spans="1:7">
      <c r="A18" s="817"/>
      <c r="B18" s="1174" t="str">
        <f>IF(E18="","",B8)</f>
        <v/>
      </c>
      <c r="C18" s="928" t="s">
        <v>964</v>
      </c>
      <c r="D18" s="994">
        <f t="shared" si="0"/>
        <v>11</v>
      </c>
      <c r="E18" s="995" t="str">
        <f>IF(Comments!A14="","",CONCATENATE(Comments!A14,CHAR(10)))</f>
        <v/>
      </c>
      <c r="F18" s="997">
        <f t="shared" si="1"/>
        <v>0</v>
      </c>
      <c r="G18" s="1167"/>
    </row>
    <row r="19" spans="1:7">
      <c r="A19" s="817"/>
      <c r="B19" s="1174" t="str">
        <f>IF(E19="","",B8)</f>
        <v/>
      </c>
      <c r="C19" s="928" t="s">
        <v>964</v>
      </c>
      <c r="D19" s="994">
        <f t="shared" si="0"/>
        <v>12</v>
      </c>
      <c r="E19" s="995" t="str">
        <f>IF(Comments!A15="","",CONCATENATE(Comments!A15,CHAR(10)))</f>
        <v/>
      </c>
      <c r="F19" s="997">
        <f t="shared" si="1"/>
        <v>0</v>
      </c>
      <c r="G19" s="1167"/>
    </row>
    <row r="20" spans="1:7">
      <c r="A20" s="817"/>
      <c r="B20" s="1174" t="str">
        <f>IF(E20="","",B8)</f>
        <v/>
      </c>
      <c r="C20" s="928" t="s">
        <v>964</v>
      </c>
      <c r="D20" s="994">
        <f t="shared" si="0"/>
        <v>13</v>
      </c>
      <c r="E20" s="995" t="str">
        <f>IF(Comments!A16="","",CONCATENATE(Comments!A16,CHAR(10)))</f>
        <v/>
      </c>
      <c r="F20" s="997">
        <f t="shared" si="1"/>
        <v>0</v>
      </c>
      <c r="G20" s="1167"/>
    </row>
    <row r="21" spans="1:7">
      <c r="A21" s="817"/>
      <c r="B21" s="1174" t="str">
        <f>IF(E21="","",B8)</f>
        <v/>
      </c>
      <c r="C21" s="928" t="s">
        <v>964</v>
      </c>
      <c r="D21" s="994">
        <f t="shared" si="0"/>
        <v>14</v>
      </c>
      <c r="E21" s="995" t="str">
        <f>IF(Comments!A17="","",CONCATENATE(Comments!A17,CHAR(10)))</f>
        <v/>
      </c>
      <c r="F21" s="997">
        <f t="shared" si="1"/>
        <v>0</v>
      </c>
      <c r="G21" s="1167"/>
    </row>
    <row r="22" spans="1:7">
      <c r="A22" s="817"/>
      <c r="B22" s="1174" t="str">
        <f>IF(E22="","",B8)</f>
        <v/>
      </c>
      <c r="C22" s="928" t="s">
        <v>964</v>
      </c>
      <c r="D22" s="994">
        <f t="shared" si="0"/>
        <v>15</v>
      </c>
      <c r="E22" s="995" t="str">
        <f>IF(Comments!A18="","",CONCATENATE(Comments!A18,CHAR(10)))</f>
        <v/>
      </c>
      <c r="F22" s="997">
        <f t="shared" si="1"/>
        <v>0</v>
      </c>
      <c r="G22" s="1167"/>
    </row>
    <row r="23" spans="1:7">
      <c r="A23" s="817"/>
      <c r="B23" s="1174" t="str">
        <f>IF(E23="","",B8)</f>
        <v/>
      </c>
      <c r="C23" s="928" t="s">
        <v>964</v>
      </c>
      <c r="D23" s="994">
        <f t="shared" si="0"/>
        <v>16</v>
      </c>
      <c r="E23" s="995" t="str">
        <f>IF(Comments!A19="","",CONCATENATE(Comments!A19,CHAR(10)))</f>
        <v/>
      </c>
      <c r="F23" s="997">
        <f t="shared" si="1"/>
        <v>0</v>
      </c>
      <c r="G23" s="1167"/>
    </row>
    <row r="24" spans="1:7">
      <c r="A24" s="817"/>
      <c r="B24" s="1174" t="str">
        <f>IF(E24="","",B8)</f>
        <v/>
      </c>
      <c r="C24" s="928" t="s">
        <v>964</v>
      </c>
      <c r="D24" s="994">
        <f t="shared" si="0"/>
        <v>17</v>
      </c>
      <c r="E24" s="995" t="str">
        <f>IF(Comments!A20="","",CONCATENATE(Comments!A20,CHAR(10)))</f>
        <v/>
      </c>
      <c r="F24" s="997">
        <f t="shared" si="1"/>
        <v>0</v>
      </c>
      <c r="G24" s="1167"/>
    </row>
    <row r="25" spans="1:7">
      <c r="A25" s="817"/>
      <c r="B25" s="1174" t="str">
        <f>IF(E25="","",B8)</f>
        <v/>
      </c>
      <c r="C25" s="928" t="s">
        <v>964</v>
      </c>
      <c r="D25" s="994">
        <f t="shared" si="0"/>
        <v>18</v>
      </c>
      <c r="E25" s="995" t="str">
        <f>IF(Comments!A21="","",CONCATENATE(Comments!A21,CHAR(10)))</f>
        <v/>
      </c>
      <c r="F25" s="997">
        <f t="shared" si="1"/>
        <v>0</v>
      </c>
      <c r="G25" s="1167"/>
    </row>
    <row r="26" spans="1:7">
      <c r="A26" s="817"/>
      <c r="B26" s="1174" t="str">
        <f>IF(E26="","",B8)</f>
        <v/>
      </c>
      <c r="C26" s="928" t="s">
        <v>964</v>
      </c>
      <c r="D26" s="994">
        <f t="shared" si="0"/>
        <v>19</v>
      </c>
      <c r="E26" s="995" t="str">
        <f>IF(Comments!A22="","",CONCATENATE(Comments!A22,CHAR(10)))</f>
        <v/>
      </c>
      <c r="F26" s="997">
        <f t="shared" si="1"/>
        <v>0</v>
      </c>
      <c r="G26" s="1167"/>
    </row>
    <row r="27" spans="1:7">
      <c r="A27" s="817"/>
      <c r="B27" s="1174" t="str">
        <f>IF(E27="","",B8)</f>
        <v/>
      </c>
      <c r="C27" s="928" t="s">
        <v>964</v>
      </c>
      <c r="D27" s="994">
        <f t="shared" si="0"/>
        <v>20</v>
      </c>
      <c r="E27" s="995" t="str">
        <f>IF(Comments!A23="","",CONCATENATE(Comments!A23,CHAR(10)))</f>
        <v/>
      </c>
      <c r="F27" s="997">
        <f t="shared" si="1"/>
        <v>0</v>
      </c>
      <c r="G27" s="1167"/>
    </row>
    <row r="28" spans="1:7">
      <c r="A28" s="817"/>
      <c r="B28" s="1174" t="str">
        <f>IF(E28="","",B8)</f>
        <v/>
      </c>
      <c r="C28" s="928" t="s">
        <v>964</v>
      </c>
      <c r="D28" s="994">
        <f t="shared" si="0"/>
        <v>21</v>
      </c>
      <c r="E28" s="995" t="str">
        <f>IF(Comments!A24="","",CONCATENATE(Comments!A24,CHAR(10)))</f>
        <v/>
      </c>
      <c r="F28" s="997">
        <f t="shared" si="1"/>
        <v>0</v>
      </c>
      <c r="G28" s="1167"/>
    </row>
    <row r="29" spans="1:7">
      <c r="A29" s="817"/>
      <c r="B29" s="1174" t="str">
        <f>IF(E29="","",B8)</f>
        <v/>
      </c>
      <c r="C29" s="928" t="s">
        <v>964</v>
      </c>
      <c r="D29" s="994">
        <f t="shared" si="0"/>
        <v>22</v>
      </c>
      <c r="E29" s="995" t="str">
        <f>IF(Comments!A25="","",CONCATENATE(Comments!A25,CHAR(10)))</f>
        <v/>
      </c>
      <c r="F29" s="997">
        <f t="shared" si="1"/>
        <v>0</v>
      </c>
      <c r="G29" s="1167"/>
    </row>
    <row r="30" spans="1:7">
      <c r="A30" s="817"/>
      <c r="B30" s="1174" t="str">
        <f>IF(E30="","",B8)</f>
        <v/>
      </c>
      <c r="C30" s="928" t="s">
        <v>964</v>
      </c>
      <c r="D30" s="994">
        <f t="shared" si="0"/>
        <v>23</v>
      </c>
      <c r="E30" s="995" t="str">
        <f>IF(Comments!A26="","",CONCATENATE(Comments!A26,CHAR(10)))</f>
        <v/>
      </c>
      <c r="F30" s="997">
        <f t="shared" si="1"/>
        <v>0</v>
      </c>
      <c r="G30" s="1167"/>
    </row>
    <row r="31" spans="1:7">
      <c r="A31" s="817"/>
      <c r="B31" s="1174" t="str">
        <f>IF(E31="","",B8)</f>
        <v/>
      </c>
      <c r="C31" s="928" t="s">
        <v>964</v>
      </c>
      <c r="D31" s="994">
        <f t="shared" si="0"/>
        <v>24</v>
      </c>
      <c r="E31" s="995" t="str">
        <f>IF(Comments!A27="","",CONCATENATE(Comments!A27,CHAR(10)))</f>
        <v/>
      </c>
      <c r="F31" s="997">
        <f t="shared" si="1"/>
        <v>0</v>
      </c>
      <c r="G31" s="1167"/>
    </row>
    <row r="32" spans="1:7">
      <c r="A32" s="817"/>
      <c r="B32" s="1174" t="str">
        <f>IF(E32="","",B8)</f>
        <v/>
      </c>
      <c r="C32" s="928" t="s">
        <v>964</v>
      </c>
      <c r="D32" s="994">
        <f t="shared" si="0"/>
        <v>25</v>
      </c>
      <c r="E32" s="995" t="str">
        <f>IF(Comments!A28="","",CONCATENATE(Comments!A28,CHAR(10)))</f>
        <v/>
      </c>
      <c r="F32" s="997">
        <f t="shared" si="1"/>
        <v>0</v>
      </c>
      <c r="G32" s="1167"/>
    </row>
    <row r="33" spans="1:7">
      <c r="A33" s="817"/>
      <c r="B33" s="1174" t="str">
        <f>IF(E33="","",B8)</f>
        <v/>
      </c>
      <c r="C33" s="928" t="s">
        <v>964</v>
      </c>
      <c r="D33" s="994">
        <f t="shared" si="0"/>
        <v>26</v>
      </c>
      <c r="E33" s="995" t="str">
        <f>IF(Comments!A29="","",CONCATENATE(Comments!A29,CHAR(10)))</f>
        <v/>
      </c>
      <c r="F33" s="997">
        <f t="shared" si="1"/>
        <v>0</v>
      </c>
      <c r="G33" s="1167"/>
    </row>
    <row r="34" spans="1:7">
      <c r="A34" s="817"/>
      <c r="B34" s="1174" t="str">
        <f>IF(E34="","",B8)</f>
        <v/>
      </c>
      <c r="C34" s="928" t="s">
        <v>964</v>
      </c>
      <c r="D34" s="994">
        <f t="shared" si="0"/>
        <v>27</v>
      </c>
      <c r="E34" s="995" t="str">
        <f>IF(Comments!A30="","",CONCATENATE(Comments!A30,CHAR(10)))</f>
        <v/>
      </c>
      <c r="F34" s="997">
        <f t="shared" si="1"/>
        <v>0</v>
      </c>
      <c r="G34" s="1167"/>
    </row>
    <row r="35" spans="1:7">
      <c r="A35" s="817"/>
      <c r="B35" s="1174" t="str">
        <f>IF(E35="","",B8)</f>
        <v/>
      </c>
      <c r="C35" s="928" t="s">
        <v>964</v>
      </c>
      <c r="D35" s="994">
        <f t="shared" si="0"/>
        <v>28</v>
      </c>
      <c r="E35" s="995" t="str">
        <f>IF(Comments!A31="","",CONCATENATE(Comments!A31,CHAR(10)))</f>
        <v/>
      </c>
      <c r="F35" s="997">
        <f t="shared" si="1"/>
        <v>0</v>
      </c>
      <c r="G35" s="1167"/>
    </row>
    <row r="36" spans="1:7">
      <c r="A36" s="817"/>
      <c r="B36" s="1174" t="str">
        <f>IF(E36="","",B8)</f>
        <v/>
      </c>
      <c r="C36" s="928" t="s">
        <v>964</v>
      </c>
      <c r="D36" s="994">
        <f t="shared" si="0"/>
        <v>29</v>
      </c>
      <c r="E36" s="995" t="str">
        <f>IF(Comments!A32="","",CONCATENATE(Comments!A32,CHAR(10)))</f>
        <v/>
      </c>
      <c r="F36" s="997">
        <f t="shared" si="1"/>
        <v>0</v>
      </c>
      <c r="G36" s="1167"/>
    </row>
    <row r="37" spans="1:7">
      <c r="A37" s="817"/>
      <c r="B37" s="1174" t="str">
        <f>IF(E37="","",B8)</f>
        <v/>
      </c>
      <c r="C37" s="928" t="s">
        <v>964</v>
      </c>
      <c r="D37" s="994">
        <f t="shared" si="0"/>
        <v>30</v>
      </c>
      <c r="E37" s="995" t="str">
        <f>IF(Comments!A33="","",CONCATENATE(Comments!A33,CHAR(10)))</f>
        <v/>
      </c>
      <c r="F37" s="997">
        <f t="shared" si="1"/>
        <v>0</v>
      </c>
      <c r="G37" s="1167"/>
    </row>
    <row r="38" spans="1:7">
      <c r="A38" s="817"/>
      <c r="B38" s="1174" t="str">
        <f>IF(E38="","",B8)</f>
        <v/>
      </c>
      <c r="C38" s="928" t="s">
        <v>964</v>
      </c>
      <c r="D38" s="994">
        <f t="shared" si="0"/>
        <v>31</v>
      </c>
      <c r="E38" s="995" t="str">
        <f>IF(Comments!A34="","",CONCATENATE(Comments!A34,CHAR(10)))</f>
        <v/>
      </c>
      <c r="F38" s="997">
        <f t="shared" si="1"/>
        <v>0</v>
      </c>
      <c r="G38" s="1167"/>
    </row>
    <row r="39" spans="1:7">
      <c r="A39" s="817"/>
      <c r="B39" s="1174" t="str">
        <f>IF(E39="","",B8)</f>
        <v/>
      </c>
      <c r="C39" s="928" t="s">
        <v>964</v>
      </c>
      <c r="D39" s="994">
        <f t="shared" si="0"/>
        <v>32</v>
      </c>
      <c r="E39" s="995" t="str">
        <f>IF(Comments!A35="","",CONCATENATE(Comments!A35,CHAR(10)))</f>
        <v/>
      </c>
      <c r="F39" s="997">
        <f t="shared" si="1"/>
        <v>0</v>
      </c>
      <c r="G39" s="1167"/>
    </row>
    <row r="40" spans="1:7">
      <c r="A40" s="817"/>
      <c r="B40" s="1174" t="str">
        <f>IF(E40="","",B8)</f>
        <v/>
      </c>
      <c r="C40" s="928" t="s">
        <v>964</v>
      </c>
      <c r="D40" s="994">
        <f t="shared" si="0"/>
        <v>33</v>
      </c>
      <c r="E40" s="995" t="str">
        <f>IF(Comments!A36="","",CONCATENATE(Comments!A36,CHAR(10)))</f>
        <v/>
      </c>
      <c r="F40" s="997">
        <f t="shared" si="1"/>
        <v>0</v>
      </c>
      <c r="G40" s="1167"/>
    </row>
    <row r="41" spans="1:7">
      <c r="A41" s="817"/>
      <c r="B41" s="1174" t="str">
        <f>IF(E41="","",B8)</f>
        <v/>
      </c>
      <c r="C41" s="928" t="s">
        <v>964</v>
      </c>
      <c r="D41" s="994">
        <f t="shared" si="0"/>
        <v>34</v>
      </c>
      <c r="E41" s="995" t="str">
        <f>IF(Comments!A37="","",CONCATENATE(Comments!A37,CHAR(10)))</f>
        <v/>
      </c>
      <c r="F41" s="997">
        <f t="shared" si="1"/>
        <v>0</v>
      </c>
      <c r="G41" s="1167"/>
    </row>
    <row r="42" spans="1:7">
      <c r="A42" s="817"/>
      <c r="B42" s="1174" t="str">
        <f>IF(E42="","",B8)</f>
        <v/>
      </c>
      <c r="C42" s="928" t="s">
        <v>964</v>
      </c>
      <c r="D42" s="994">
        <f t="shared" si="0"/>
        <v>35</v>
      </c>
      <c r="E42" s="995" t="str">
        <f>IF(Comments!A38="","",CONCATENATE(Comments!A38,CHAR(10)))</f>
        <v/>
      </c>
      <c r="F42" s="997">
        <f t="shared" si="1"/>
        <v>0</v>
      </c>
      <c r="G42" s="1167"/>
    </row>
    <row r="43" spans="1:7">
      <c r="A43" s="817"/>
      <c r="B43" s="1174" t="str">
        <f>IF(E43="","",B8)</f>
        <v/>
      </c>
      <c r="C43" s="928" t="s">
        <v>964</v>
      </c>
      <c r="D43" s="994">
        <f t="shared" si="0"/>
        <v>36</v>
      </c>
      <c r="E43" s="995" t="str">
        <f>IF(Comments!A39="","",CONCATENATE(Comments!A39,CHAR(10)))</f>
        <v/>
      </c>
      <c r="F43" s="997">
        <f t="shared" si="1"/>
        <v>0</v>
      </c>
      <c r="G43" s="1167"/>
    </row>
    <row r="44" spans="1:7">
      <c r="A44" s="817"/>
      <c r="B44" s="1174" t="str">
        <f>IF(E44="","",B8)</f>
        <v/>
      </c>
      <c r="C44" s="928" t="s">
        <v>964</v>
      </c>
      <c r="D44" s="994">
        <f t="shared" si="0"/>
        <v>37</v>
      </c>
      <c r="E44" s="995" t="str">
        <f>IF(Comments!A40="","",CONCATENATE(Comments!A40,CHAR(10)))</f>
        <v/>
      </c>
      <c r="F44" s="997">
        <f t="shared" si="1"/>
        <v>0</v>
      </c>
      <c r="G44" s="1167"/>
    </row>
    <row r="45" spans="1:7">
      <c r="A45" s="817"/>
      <c r="B45" s="1174" t="str">
        <f>IF(E45="","",B8)</f>
        <v/>
      </c>
      <c r="C45" s="928" t="s">
        <v>964</v>
      </c>
      <c r="D45" s="994">
        <f t="shared" si="0"/>
        <v>38</v>
      </c>
      <c r="E45" s="995" t="str">
        <f>IF(Comments!A41="","",CONCATENATE(Comments!A41,CHAR(10)))</f>
        <v/>
      </c>
      <c r="F45" s="997">
        <f t="shared" si="1"/>
        <v>0</v>
      </c>
      <c r="G45" s="1167"/>
    </row>
    <row r="46" spans="1:7">
      <c r="A46" s="817"/>
      <c r="B46" s="1174" t="str">
        <f>IF(E46="","",B8)</f>
        <v/>
      </c>
      <c r="C46" s="928" t="s">
        <v>964</v>
      </c>
      <c r="D46" s="994">
        <f t="shared" si="0"/>
        <v>39</v>
      </c>
      <c r="E46" s="995" t="str">
        <f>IF(Comments!A42="","",CONCATENATE(Comments!A42,CHAR(10)))</f>
        <v/>
      </c>
      <c r="F46" s="997">
        <f t="shared" si="1"/>
        <v>0</v>
      </c>
      <c r="G46" s="1167"/>
    </row>
    <row r="47" spans="1:7">
      <c r="A47" s="817"/>
      <c r="B47" s="1174" t="str">
        <f>IF(E47="","",B8)</f>
        <v/>
      </c>
      <c r="C47" s="928" t="s">
        <v>964</v>
      </c>
      <c r="D47" s="994">
        <f t="shared" si="0"/>
        <v>40</v>
      </c>
      <c r="E47" s="995" t="str">
        <f>IF(Comments!A43="","",CONCATENATE(Comments!A43,CHAR(10)))</f>
        <v/>
      </c>
      <c r="F47" s="997">
        <f t="shared" si="1"/>
        <v>0</v>
      </c>
      <c r="G47" s="1167"/>
    </row>
    <row r="48" spans="1:7">
      <c r="A48" s="817"/>
      <c r="B48" s="1174" t="str">
        <f>IF(E48="","",B8)</f>
        <v/>
      </c>
      <c r="C48" s="928" t="s">
        <v>964</v>
      </c>
      <c r="D48" s="994">
        <f t="shared" si="0"/>
        <v>41</v>
      </c>
      <c r="E48" s="995" t="str">
        <f>IF(Comments!A44="","",CONCATENATE(Comments!A44,CHAR(10)))</f>
        <v/>
      </c>
      <c r="F48" s="997">
        <f t="shared" si="1"/>
        <v>0</v>
      </c>
      <c r="G48" s="1167"/>
    </row>
    <row r="49" spans="1:7">
      <c r="A49" s="817"/>
      <c r="B49" s="1174" t="str">
        <f>IF(E49="","",B8)</f>
        <v/>
      </c>
      <c r="C49" s="928" t="s">
        <v>964</v>
      </c>
      <c r="D49" s="994">
        <f t="shared" si="0"/>
        <v>42</v>
      </c>
      <c r="E49" s="995" t="str">
        <f>IF(Comments!A45="","",CONCATENATE(Comments!A45,CHAR(10)))</f>
        <v/>
      </c>
      <c r="F49" s="997">
        <f t="shared" si="1"/>
        <v>0</v>
      </c>
      <c r="G49" s="1167"/>
    </row>
    <row r="50" spans="1:7">
      <c r="A50" s="817"/>
      <c r="B50" s="1174" t="str">
        <f>IF(E50="","",B8)</f>
        <v/>
      </c>
      <c r="C50" s="928" t="s">
        <v>964</v>
      </c>
      <c r="D50" s="994">
        <f t="shared" si="0"/>
        <v>43</v>
      </c>
      <c r="E50" s="995" t="str">
        <f>IF(Comments!A46="","",CONCATENATE(Comments!A46,CHAR(10)))</f>
        <v/>
      </c>
      <c r="F50" s="997">
        <f t="shared" si="1"/>
        <v>0</v>
      </c>
      <c r="G50" s="1167"/>
    </row>
    <row r="51" spans="1:7">
      <c r="A51" s="817"/>
      <c r="B51" s="1174" t="str">
        <f>IF(E51="","",B8)</f>
        <v/>
      </c>
      <c r="C51" s="928" t="s">
        <v>964</v>
      </c>
      <c r="D51" s="994">
        <f t="shared" si="0"/>
        <v>44</v>
      </c>
      <c r="E51" s="995" t="str">
        <f>IF(Comments!A47="","",CONCATENATE(Comments!A47,CHAR(10)))</f>
        <v/>
      </c>
      <c r="F51" s="997">
        <f t="shared" si="1"/>
        <v>0</v>
      </c>
      <c r="G51" s="1167"/>
    </row>
    <row r="52" spans="1:7">
      <c r="A52" s="817"/>
      <c r="B52" s="1174" t="str">
        <f>IF(E52="","",B8)</f>
        <v/>
      </c>
      <c r="C52" s="928" t="s">
        <v>964</v>
      </c>
      <c r="D52" s="994">
        <f t="shared" si="0"/>
        <v>45</v>
      </c>
      <c r="E52" s="995" t="str">
        <f>IF(Comments!A48="","",CONCATENATE(Comments!A48,CHAR(10)))</f>
        <v/>
      </c>
      <c r="F52" s="997">
        <f t="shared" si="1"/>
        <v>0</v>
      </c>
      <c r="G52" s="1167"/>
    </row>
    <row r="53" spans="1:7">
      <c r="A53" s="817"/>
      <c r="B53" s="1174" t="str">
        <f>IF(E53="","",B8)</f>
        <v/>
      </c>
      <c r="C53" s="928" t="s">
        <v>964</v>
      </c>
      <c r="D53" s="994">
        <f t="shared" si="0"/>
        <v>46</v>
      </c>
      <c r="E53" s="995" t="str">
        <f>IF(Comments!A49="","",CONCATENATE(Comments!A49,CHAR(10)))</f>
        <v/>
      </c>
      <c r="F53" s="997">
        <f t="shared" si="1"/>
        <v>0</v>
      </c>
      <c r="G53" s="1167"/>
    </row>
    <row r="54" spans="1:7">
      <c r="A54" s="817"/>
      <c r="B54" s="1174" t="str">
        <f>IF(E54="","",B8)</f>
        <v/>
      </c>
      <c r="C54" s="928" t="s">
        <v>964</v>
      </c>
      <c r="D54" s="994">
        <f t="shared" si="0"/>
        <v>47</v>
      </c>
      <c r="E54" s="995" t="str">
        <f>IF(Comments!A50="","",CONCATENATE(Comments!A50,CHAR(10)))</f>
        <v/>
      </c>
      <c r="F54" s="997">
        <f t="shared" si="1"/>
        <v>0</v>
      </c>
      <c r="G54" s="1167"/>
    </row>
    <row r="55" spans="1:7">
      <c r="A55" s="817"/>
      <c r="B55" s="1174" t="str">
        <f>IF(E55="","",B8)</f>
        <v/>
      </c>
      <c r="C55" s="928" t="s">
        <v>964</v>
      </c>
      <c r="D55" s="994">
        <f t="shared" si="0"/>
        <v>48</v>
      </c>
      <c r="E55" s="995" t="str">
        <f>IF(Comments!A51="","",CONCATENATE(Comments!A51,CHAR(10)))</f>
        <v/>
      </c>
      <c r="F55" s="997">
        <f t="shared" si="1"/>
        <v>0</v>
      </c>
      <c r="G55" s="1167"/>
    </row>
    <row r="56" spans="1:7">
      <c r="A56" s="817"/>
      <c r="B56" s="1174" t="str">
        <f>IF(E56="","",B8)</f>
        <v/>
      </c>
      <c r="C56" s="928" t="s">
        <v>964</v>
      </c>
      <c r="D56" s="994">
        <f t="shared" si="0"/>
        <v>49</v>
      </c>
      <c r="E56" s="995" t="str">
        <f>IF(Comments!A52="","",CONCATENATE(Comments!A52,CHAR(10)))</f>
        <v/>
      </c>
      <c r="F56" s="997">
        <f t="shared" si="1"/>
        <v>0</v>
      </c>
      <c r="G56" s="1167"/>
    </row>
    <row r="57" spans="1:7">
      <c r="A57" s="817"/>
      <c r="B57" s="1174" t="str">
        <f>IF(E57="","",B8)</f>
        <v/>
      </c>
      <c r="C57" s="928" t="s">
        <v>964</v>
      </c>
      <c r="D57" s="994">
        <f t="shared" si="0"/>
        <v>50</v>
      </c>
      <c r="E57" s="995" t="str">
        <f>IF(Comments!A53="","",CONCATENATE(Comments!A53,CHAR(10)))</f>
        <v/>
      </c>
      <c r="F57" s="997">
        <f t="shared" si="1"/>
        <v>0</v>
      </c>
      <c r="G57" s="1167"/>
    </row>
    <row r="58" spans="1:7" ht="13.5" customHeight="1">
      <c r="A58" s="817" t="s">
        <v>135</v>
      </c>
      <c r="B58" s="1173" t="str">
        <f ca="1">IF(t_smpl!B9=""," ",IF(E58=0,"",CONCATENATE(TEXT(NOW(),"yyyymmddhhmmss"),RIGHT(t_smpl!B9,4))))</f>
        <v xml:space="preserve"> </v>
      </c>
      <c r="C58" s="927" t="s">
        <v>964</v>
      </c>
      <c r="D58" s="993">
        <v>1</v>
      </c>
      <c r="E58" s="995" t="str">
        <f>IF(Comments!A4="","",CONCATENATE(Comments!A4,CHAR(10)))</f>
        <v/>
      </c>
      <c r="F58" s="998">
        <f t="shared" si="1"/>
        <v>0</v>
      </c>
      <c r="G58" s="1172"/>
    </row>
    <row r="59" spans="1:7">
      <c r="A59" s="817"/>
      <c r="B59" s="1174" t="str">
        <f>IF(E59="","",B58)</f>
        <v/>
      </c>
      <c r="C59" s="928" t="s">
        <v>964</v>
      </c>
      <c r="D59" s="994">
        <f>D58+1</f>
        <v>2</v>
      </c>
      <c r="E59" s="995" t="str">
        <f>IF(Comments!A5="","",CONCATENATE(Comments!A5,CHAR(10)))</f>
        <v/>
      </c>
      <c r="F59" s="997">
        <f t="shared" si="1"/>
        <v>0</v>
      </c>
      <c r="G59" s="1167"/>
    </row>
    <row r="60" spans="1:7">
      <c r="A60" s="817"/>
      <c r="B60" s="1174" t="str">
        <f>IF(E60="","",B58)</f>
        <v/>
      </c>
      <c r="C60" s="928" t="s">
        <v>964</v>
      </c>
      <c r="D60" s="994">
        <f t="shared" ref="D60:D107" si="2">D59+1</f>
        <v>3</v>
      </c>
      <c r="E60" s="995" t="str">
        <f>IF(Comments!A6="","",CONCATENATE(Comments!A6,CHAR(10)))</f>
        <v/>
      </c>
      <c r="F60" s="997">
        <f t="shared" si="1"/>
        <v>0</v>
      </c>
      <c r="G60" s="1167"/>
    </row>
    <row r="61" spans="1:7">
      <c r="A61" s="817"/>
      <c r="B61" s="1174" t="str">
        <f>IF(E61="","",B58)</f>
        <v/>
      </c>
      <c r="C61" s="928" t="s">
        <v>964</v>
      </c>
      <c r="D61" s="994">
        <f t="shared" si="2"/>
        <v>4</v>
      </c>
      <c r="E61" s="995" t="str">
        <f>IF(Comments!A7="","",CONCATENATE(Comments!A7,CHAR(10)))</f>
        <v/>
      </c>
      <c r="F61" s="997">
        <f t="shared" si="1"/>
        <v>0</v>
      </c>
      <c r="G61" s="1167"/>
    </row>
    <row r="62" spans="1:7">
      <c r="A62" s="817"/>
      <c r="B62" s="1174" t="str">
        <f>IF(E62="","",B58)</f>
        <v/>
      </c>
      <c r="C62" s="928" t="s">
        <v>964</v>
      </c>
      <c r="D62" s="994">
        <f t="shared" si="2"/>
        <v>5</v>
      </c>
      <c r="E62" s="995" t="str">
        <f>IF(Comments!A8="","",CONCATENATE(Comments!A8,CHAR(10)))</f>
        <v/>
      </c>
      <c r="F62" s="997">
        <f t="shared" si="1"/>
        <v>0</v>
      </c>
      <c r="G62" s="1167"/>
    </row>
    <row r="63" spans="1:7">
      <c r="A63" s="817"/>
      <c r="B63" s="1174" t="str">
        <f>IF(E63="","",B58)</f>
        <v/>
      </c>
      <c r="C63" s="928" t="s">
        <v>964</v>
      </c>
      <c r="D63" s="994">
        <f t="shared" si="2"/>
        <v>6</v>
      </c>
      <c r="E63" s="995" t="str">
        <f>IF(Comments!A9="","",CONCATENATE(Comments!A9,CHAR(10)))</f>
        <v/>
      </c>
      <c r="F63" s="997">
        <f t="shared" si="1"/>
        <v>0</v>
      </c>
      <c r="G63" s="1167"/>
    </row>
    <row r="64" spans="1:7">
      <c r="A64" s="817"/>
      <c r="B64" s="1174" t="str">
        <f>IF(E64="","",B58)</f>
        <v/>
      </c>
      <c r="C64" s="928" t="s">
        <v>964</v>
      </c>
      <c r="D64" s="994">
        <f t="shared" si="2"/>
        <v>7</v>
      </c>
      <c r="E64" s="995" t="str">
        <f>IF(Comments!A10="","",CONCATENATE(Comments!A10,CHAR(10)))</f>
        <v/>
      </c>
      <c r="F64" s="997">
        <f t="shared" si="1"/>
        <v>0</v>
      </c>
      <c r="G64" s="1167"/>
    </row>
    <row r="65" spans="1:7">
      <c r="A65" s="817"/>
      <c r="B65" s="1174" t="str">
        <f>IF(E65="","",B58)</f>
        <v/>
      </c>
      <c r="C65" s="928" t="s">
        <v>964</v>
      </c>
      <c r="D65" s="994">
        <f t="shared" si="2"/>
        <v>8</v>
      </c>
      <c r="E65" s="995" t="str">
        <f>IF(Comments!A11="","",CONCATENATE(Comments!A11,CHAR(10)))</f>
        <v/>
      </c>
      <c r="F65" s="997">
        <f t="shared" si="1"/>
        <v>0</v>
      </c>
      <c r="G65" s="1167"/>
    </row>
    <row r="66" spans="1:7">
      <c r="A66" s="817"/>
      <c r="B66" s="1174" t="str">
        <f>IF(E66="","",B58)</f>
        <v/>
      </c>
      <c r="C66" s="928" t="s">
        <v>964</v>
      </c>
      <c r="D66" s="994">
        <f t="shared" si="2"/>
        <v>9</v>
      </c>
      <c r="E66" s="995" t="str">
        <f>IF(Comments!A12="","",CONCATENATE(Comments!A12,CHAR(10)))</f>
        <v/>
      </c>
      <c r="F66" s="997">
        <f t="shared" si="1"/>
        <v>0</v>
      </c>
      <c r="G66" s="1167"/>
    </row>
    <row r="67" spans="1:7">
      <c r="A67" s="817"/>
      <c r="B67" s="1174" t="str">
        <f>IF(E67="","",B58)</f>
        <v/>
      </c>
      <c r="C67" s="928" t="s">
        <v>964</v>
      </c>
      <c r="D67" s="994">
        <f t="shared" si="2"/>
        <v>10</v>
      </c>
      <c r="E67" s="995" t="str">
        <f>IF(Comments!A13="","",CONCATENATE(Comments!A13,CHAR(10)))</f>
        <v/>
      </c>
      <c r="F67" s="997">
        <f t="shared" si="1"/>
        <v>0</v>
      </c>
      <c r="G67" s="1167"/>
    </row>
    <row r="68" spans="1:7">
      <c r="A68" s="817"/>
      <c r="B68" s="1174" t="str">
        <f>IF(E68="","",B58)</f>
        <v/>
      </c>
      <c r="C68" s="928" t="s">
        <v>964</v>
      </c>
      <c r="D68" s="994">
        <f t="shared" si="2"/>
        <v>11</v>
      </c>
      <c r="E68" s="995" t="str">
        <f>IF(Comments!A14="","",CONCATENATE(Comments!A14,CHAR(10)))</f>
        <v/>
      </c>
      <c r="F68" s="997">
        <f t="shared" si="1"/>
        <v>0</v>
      </c>
      <c r="G68" s="1167"/>
    </row>
    <row r="69" spans="1:7">
      <c r="A69" s="817"/>
      <c r="B69" s="1174" t="str">
        <f>IF(E69="","",B58)</f>
        <v/>
      </c>
      <c r="C69" s="928" t="s">
        <v>964</v>
      </c>
      <c r="D69" s="994">
        <f t="shared" si="2"/>
        <v>12</v>
      </c>
      <c r="E69" s="995" t="str">
        <f>IF(Comments!A15="","",CONCATENATE(Comments!A15,CHAR(10)))</f>
        <v/>
      </c>
      <c r="F69" s="997">
        <f t="shared" si="1"/>
        <v>0</v>
      </c>
      <c r="G69" s="1167"/>
    </row>
    <row r="70" spans="1:7">
      <c r="A70" s="817"/>
      <c r="B70" s="1174" t="str">
        <f>IF(E70="","",B58)</f>
        <v/>
      </c>
      <c r="C70" s="928" t="s">
        <v>964</v>
      </c>
      <c r="D70" s="994">
        <f t="shared" si="2"/>
        <v>13</v>
      </c>
      <c r="E70" s="995" t="str">
        <f>IF(Comments!A16="","",CONCATENATE(Comments!A16,CHAR(10)))</f>
        <v/>
      </c>
      <c r="F70" s="997">
        <f t="shared" si="1"/>
        <v>0</v>
      </c>
      <c r="G70" s="1167"/>
    </row>
    <row r="71" spans="1:7">
      <c r="A71" s="817"/>
      <c r="B71" s="1174" t="str">
        <f>IF(E71="","",B58)</f>
        <v/>
      </c>
      <c r="C71" s="928" t="s">
        <v>964</v>
      </c>
      <c r="D71" s="994">
        <f t="shared" si="2"/>
        <v>14</v>
      </c>
      <c r="E71" s="995" t="str">
        <f>IF(Comments!A17="","",CONCATENATE(Comments!A17,CHAR(10)))</f>
        <v/>
      </c>
      <c r="F71" s="997">
        <f t="shared" si="1"/>
        <v>0</v>
      </c>
      <c r="G71" s="1167"/>
    </row>
    <row r="72" spans="1:7">
      <c r="A72" s="817"/>
      <c r="B72" s="1174" t="str">
        <f>IF(E72="","",B58)</f>
        <v/>
      </c>
      <c r="C72" s="928" t="s">
        <v>964</v>
      </c>
      <c r="D72" s="994">
        <f t="shared" si="2"/>
        <v>15</v>
      </c>
      <c r="E72" s="995" t="str">
        <f>IF(Comments!A18="","",CONCATENATE(Comments!A18,CHAR(10)))</f>
        <v/>
      </c>
      <c r="F72" s="997">
        <f t="shared" si="1"/>
        <v>0</v>
      </c>
      <c r="G72" s="1167"/>
    </row>
    <row r="73" spans="1:7">
      <c r="A73" s="817"/>
      <c r="B73" s="1174" t="str">
        <f>IF(E73="","",B58)</f>
        <v/>
      </c>
      <c r="C73" s="928" t="s">
        <v>964</v>
      </c>
      <c r="D73" s="994">
        <f t="shared" si="2"/>
        <v>16</v>
      </c>
      <c r="E73" s="995" t="str">
        <f>IF(Comments!A19="","",CONCATENATE(Comments!A19,CHAR(10)))</f>
        <v/>
      </c>
      <c r="F73" s="997">
        <f t="shared" si="1"/>
        <v>0</v>
      </c>
      <c r="G73" s="1167"/>
    </row>
    <row r="74" spans="1:7">
      <c r="A74" s="817"/>
      <c r="B74" s="1174" t="str">
        <f>IF(E74="","",B58)</f>
        <v/>
      </c>
      <c r="C74" s="928" t="s">
        <v>964</v>
      </c>
      <c r="D74" s="994">
        <f t="shared" si="2"/>
        <v>17</v>
      </c>
      <c r="E74" s="995" t="str">
        <f>IF(Comments!A20="","",CONCATENATE(Comments!A20,CHAR(10)))</f>
        <v/>
      </c>
      <c r="F74" s="997">
        <f t="shared" ref="F74:F137" si="3">F73</f>
        <v>0</v>
      </c>
      <c r="G74" s="1167"/>
    </row>
    <row r="75" spans="1:7">
      <c r="A75" s="817"/>
      <c r="B75" s="1174" t="str">
        <f>IF(E75="","",B58)</f>
        <v/>
      </c>
      <c r="C75" s="928" t="s">
        <v>964</v>
      </c>
      <c r="D75" s="994">
        <f t="shared" si="2"/>
        <v>18</v>
      </c>
      <c r="E75" s="995" t="str">
        <f>IF(Comments!A21="","",CONCATENATE(Comments!A21,CHAR(10)))</f>
        <v/>
      </c>
      <c r="F75" s="997">
        <f t="shared" si="3"/>
        <v>0</v>
      </c>
      <c r="G75" s="1167"/>
    </row>
    <row r="76" spans="1:7">
      <c r="A76" s="817"/>
      <c r="B76" s="1174" t="str">
        <f>IF(E76="","",B58)</f>
        <v/>
      </c>
      <c r="C76" s="928" t="s">
        <v>964</v>
      </c>
      <c r="D76" s="994">
        <f t="shared" si="2"/>
        <v>19</v>
      </c>
      <c r="E76" s="995" t="str">
        <f>IF(Comments!A22="","",CONCATENATE(Comments!A22,CHAR(10)))</f>
        <v/>
      </c>
      <c r="F76" s="997">
        <f t="shared" si="3"/>
        <v>0</v>
      </c>
      <c r="G76" s="1167"/>
    </row>
    <row r="77" spans="1:7">
      <c r="A77" s="817"/>
      <c r="B77" s="1174" t="str">
        <f>IF(E77="","",B58)</f>
        <v/>
      </c>
      <c r="C77" s="928" t="s">
        <v>964</v>
      </c>
      <c r="D77" s="994">
        <f t="shared" si="2"/>
        <v>20</v>
      </c>
      <c r="E77" s="995" t="str">
        <f>IF(Comments!A23="","",CONCATENATE(Comments!A23,CHAR(10)))</f>
        <v/>
      </c>
      <c r="F77" s="997">
        <f t="shared" si="3"/>
        <v>0</v>
      </c>
      <c r="G77" s="1167"/>
    </row>
    <row r="78" spans="1:7">
      <c r="A78" s="817"/>
      <c r="B78" s="1174" t="str">
        <f>IF(E78="","",B58)</f>
        <v/>
      </c>
      <c r="C78" s="928" t="s">
        <v>964</v>
      </c>
      <c r="D78" s="994">
        <f t="shared" si="2"/>
        <v>21</v>
      </c>
      <c r="E78" s="995" t="str">
        <f>IF(Comments!A24="","",CONCATENATE(Comments!A24,CHAR(10)))</f>
        <v/>
      </c>
      <c r="F78" s="997">
        <f t="shared" si="3"/>
        <v>0</v>
      </c>
      <c r="G78" s="1167"/>
    </row>
    <row r="79" spans="1:7">
      <c r="A79" s="817"/>
      <c r="B79" s="1174" t="str">
        <f>IF(E79="","",B58)</f>
        <v/>
      </c>
      <c r="C79" s="928" t="s">
        <v>964</v>
      </c>
      <c r="D79" s="994">
        <f t="shared" si="2"/>
        <v>22</v>
      </c>
      <c r="E79" s="995" t="str">
        <f>IF(Comments!A25="","",CONCATENATE(Comments!A25,CHAR(10)))</f>
        <v/>
      </c>
      <c r="F79" s="997">
        <f t="shared" si="3"/>
        <v>0</v>
      </c>
      <c r="G79" s="1167"/>
    </row>
    <row r="80" spans="1:7">
      <c r="A80" s="817"/>
      <c r="B80" s="1174" t="str">
        <f>IF(E80="","",B58)</f>
        <v/>
      </c>
      <c r="C80" s="928" t="s">
        <v>964</v>
      </c>
      <c r="D80" s="994">
        <f t="shared" si="2"/>
        <v>23</v>
      </c>
      <c r="E80" s="995" t="str">
        <f>IF(Comments!A26="","",CONCATENATE(Comments!A26,CHAR(10)))</f>
        <v/>
      </c>
      <c r="F80" s="997">
        <f t="shared" si="3"/>
        <v>0</v>
      </c>
      <c r="G80" s="1167"/>
    </row>
    <row r="81" spans="1:7">
      <c r="A81" s="817"/>
      <c r="B81" s="1174" t="str">
        <f>IF(E81="","",B58)</f>
        <v/>
      </c>
      <c r="C81" s="928" t="s">
        <v>964</v>
      </c>
      <c r="D81" s="994">
        <f t="shared" si="2"/>
        <v>24</v>
      </c>
      <c r="E81" s="995" t="str">
        <f>IF(Comments!A27="","",CONCATENATE(Comments!A27,CHAR(10)))</f>
        <v/>
      </c>
      <c r="F81" s="997">
        <f t="shared" si="3"/>
        <v>0</v>
      </c>
      <c r="G81" s="1167"/>
    </row>
    <row r="82" spans="1:7">
      <c r="A82" s="817"/>
      <c r="B82" s="1174" t="str">
        <f>IF(E82="","",B58)</f>
        <v/>
      </c>
      <c r="C82" s="928" t="s">
        <v>964</v>
      </c>
      <c r="D82" s="994">
        <f t="shared" si="2"/>
        <v>25</v>
      </c>
      <c r="E82" s="995" t="str">
        <f>IF(Comments!A28="","",CONCATENATE(Comments!A28,CHAR(10)))</f>
        <v/>
      </c>
      <c r="F82" s="997">
        <f t="shared" si="3"/>
        <v>0</v>
      </c>
      <c r="G82" s="1167"/>
    </row>
    <row r="83" spans="1:7">
      <c r="A83" s="817"/>
      <c r="B83" s="1174" t="str">
        <f>IF(E83="","",B58)</f>
        <v/>
      </c>
      <c r="C83" s="928" t="s">
        <v>964</v>
      </c>
      <c r="D83" s="994">
        <f t="shared" si="2"/>
        <v>26</v>
      </c>
      <c r="E83" s="995" t="str">
        <f>IF(Comments!A29="","",CONCATENATE(Comments!A29,CHAR(10)))</f>
        <v/>
      </c>
      <c r="F83" s="997">
        <f t="shared" si="3"/>
        <v>0</v>
      </c>
      <c r="G83" s="1167"/>
    </row>
    <row r="84" spans="1:7">
      <c r="A84" s="817"/>
      <c r="B84" s="1174" t="str">
        <f>IF(E84="","",B58)</f>
        <v/>
      </c>
      <c r="C84" s="928" t="s">
        <v>964</v>
      </c>
      <c r="D84" s="994">
        <f t="shared" si="2"/>
        <v>27</v>
      </c>
      <c r="E84" s="995" t="str">
        <f>IF(Comments!A30="","",CONCATENATE(Comments!A30,CHAR(10)))</f>
        <v/>
      </c>
      <c r="F84" s="997">
        <f t="shared" si="3"/>
        <v>0</v>
      </c>
      <c r="G84" s="1167"/>
    </row>
    <row r="85" spans="1:7">
      <c r="A85" s="817"/>
      <c r="B85" s="1174" t="str">
        <f>IF(E85="","",B58)</f>
        <v/>
      </c>
      <c r="C85" s="928" t="s">
        <v>964</v>
      </c>
      <c r="D85" s="994">
        <f t="shared" si="2"/>
        <v>28</v>
      </c>
      <c r="E85" s="995" t="str">
        <f>IF(Comments!A31="","",CONCATENATE(Comments!A31,CHAR(10)))</f>
        <v/>
      </c>
      <c r="F85" s="997">
        <f t="shared" si="3"/>
        <v>0</v>
      </c>
      <c r="G85" s="1167"/>
    </row>
    <row r="86" spans="1:7">
      <c r="A86" s="817"/>
      <c r="B86" s="1174" t="str">
        <f>IF(E86="","",B58)</f>
        <v/>
      </c>
      <c r="C86" s="928" t="s">
        <v>964</v>
      </c>
      <c r="D86" s="994">
        <f t="shared" si="2"/>
        <v>29</v>
      </c>
      <c r="E86" s="995" t="str">
        <f>IF(Comments!A32="","",CONCATENATE(Comments!A32,CHAR(10)))</f>
        <v/>
      </c>
      <c r="F86" s="997">
        <f t="shared" si="3"/>
        <v>0</v>
      </c>
      <c r="G86" s="1167"/>
    </row>
    <row r="87" spans="1:7">
      <c r="A87" s="817"/>
      <c r="B87" s="1174" t="str">
        <f>IF(E87="","",B58)</f>
        <v/>
      </c>
      <c r="C87" s="928" t="s">
        <v>964</v>
      </c>
      <c r="D87" s="994">
        <f t="shared" si="2"/>
        <v>30</v>
      </c>
      <c r="E87" s="995" t="str">
        <f>IF(Comments!A33="","",CONCATENATE(Comments!A33,CHAR(10)))</f>
        <v/>
      </c>
      <c r="F87" s="997">
        <f t="shared" si="3"/>
        <v>0</v>
      </c>
      <c r="G87" s="1167"/>
    </row>
    <row r="88" spans="1:7">
      <c r="A88" s="817"/>
      <c r="B88" s="1174" t="str">
        <f>IF(E88="","",B58)</f>
        <v/>
      </c>
      <c r="C88" s="928" t="s">
        <v>964</v>
      </c>
      <c r="D88" s="994">
        <f t="shared" si="2"/>
        <v>31</v>
      </c>
      <c r="E88" s="995" t="str">
        <f>IF(Comments!A34="","",CONCATENATE(Comments!A34,CHAR(10)))</f>
        <v/>
      </c>
      <c r="F88" s="997">
        <f t="shared" si="3"/>
        <v>0</v>
      </c>
      <c r="G88" s="1167"/>
    </row>
    <row r="89" spans="1:7">
      <c r="A89" s="817"/>
      <c r="B89" s="1174" t="str">
        <f>IF(E89="","",B58)</f>
        <v/>
      </c>
      <c r="C89" s="928" t="s">
        <v>964</v>
      </c>
      <c r="D89" s="994">
        <f t="shared" si="2"/>
        <v>32</v>
      </c>
      <c r="E89" s="995" t="str">
        <f>IF(Comments!A35="","",CONCATENATE(Comments!A35,CHAR(10)))</f>
        <v/>
      </c>
      <c r="F89" s="997">
        <f t="shared" si="3"/>
        <v>0</v>
      </c>
      <c r="G89" s="1167"/>
    </row>
    <row r="90" spans="1:7">
      <c r="A90" s="817"/>
      <c r="B90" s="1174" t="str">
        <f>IF(E90="","",B58)</f>
        <v/>
      </c>
      <c r="C90" s="928" t="s">
        <v>964</v>
      </c>
      <c r="D90" s="994">
        <f t="shared" si="2"/>
        <v>33</v>
      </c>
      <c r="E90" s="995" t="str">
        <f>IF(Comments!A36="","",CONCATENATE(Comments!A36,CHAR(10)))</f>
        <v/>
      </c>
      <c r="F90" s="997">
        <f t="shared" si="3"/>
        <v>0</v>
      </c>
      <c r="G90" s="1167"/>
    </row>
    <row r="91" spans="1:7">
      <c r="A91" s="817"/>
      <c r="B91" s="1174" t="str">
        <f>IF(E91="","",B58)</f>
        <v/>
      </c>
      <c r="C91" s="928" t="s">
        <v>964</v>
      </c>
      <c r="D91" s="994">
        <f t="shared" si="2"/>
        <v>34</v>
      </c>
      <c r="E91" s="995" t="str">
        <f>IF(Comments!A37="","",CONCATENATE(Comments!A37,CHAR(10)))</f>
        <v/>
      </c>
      <c r="F91" s="997">
        <f t="shared" si="3"/>
        <v>0</v>
      </c>
      <c r="G91" s="1167"/>
    </row>
    <row r="92" spans="1:7">
      <c r="A92" s="817"/>
      <c r="B92" s="1174" t="str">
        <f>IF(E92="","",B58)</f>
        <v/>
      </c>
      <c r="C92" s="928" t="s">
        <v>964</v>
      </c>
      <c r="D92" s="994">
        <f t="shared" si="2"/>
        <v>35</v>
      </c>
      <c r="E92" s="995" t="str">
        <f>IF(Comments!A38="","",CONCATENATE(Comments!A38,CHAR(10)))</f>
        <v/>
      </c>
      <c r="F92" s="997">
        <f t="shared" si="3"/>
        <v>0</v>
      </c>
      <c r="G92" s="1167"/>
    </row>
    <row r="93" spans="1:7">
      <c r="A93" s="817"/>
      <c r="B93" s="1174" t="str">
        <f>IF(E93="","",B58)</f>
        <v/>
      </c>
      <c r="C93" s="928" t="s">
        <v>964</v>
      </c>
      <c r="D93" s="994">
        <f t="shared" si="2"/>
        <v>36</v>
      </c>
      <c r="E93" s="995" t="str">
        <f>IF(Comments!A39="","",CONCATENATE(Comments!A39,CHAR(10)))</f>
        <v/>
      </c>
      <c r="F93" s="997">
        <f t="shared" si="3"/>
        <v>0</v>
      </c>
      <c r="G93" s="1167"/>
    </row>
    <row r="94" spans="1:7">
      <c r="A94" s="817"/>
      <c r="B94" s="1174" t="str">
        <f>IF(E94="","",B58)</f>
        <v/>
      </c>
      <c r="C94" s="928" t="s">
        <v>964</v>
      </c>
      <c r="D94" s="994">
        <f t="shared" si="2"/>
        <v>37</v>
      </c>
      <c r="E94" s="995" t="str">
        <f>IF(Comments!A40="","",CONCATENATE(Comments!A40,CHAR(10)))</f>
        <v/>
      </c>
      <c r="F94" s="997">
        <f t="shared" si="3"/>
        <v>0</v>
      </c>
      <c r="G94" s="1167"/>
    </row>
    <row r="95" spans="1:7">
      <c r="A95" s="817"/>
      <c r="B95" s="1174" t="str">
        <f>IF(E95="","",B58)</f>
        <v/>
      </c>
      <c r="C95" s="928" t="s">
        <v>964</v>
      </c>
      <c r="D95" s="994">
        <f t="shared" si="2"/>
        <v>38</v>
      </c>
      <c r="E95" s="995" t="str">
        <f>IF(Comments!A41="","",CONCATENATE(Comments!A41,CHAR(10)))</f>
        <v/>
      </c>
      <c r="F95" s="997">
        <f t="shared" si="3"/>
        <v>0</v>
      </c>
      <c r="G95" s="1167"/>
    </row>
    <row r="96" spans="1:7">
      <c r="A96" s="817"/>
      <c r="B96" s="1174" t="str">
        <f>IF(E96="","",B58)</f>
        <v/>
      </c>
      <c r="C96" s="928" t="s">
        <v>964</v>
      </c>
      <c r="D96" s="994">
        <f t="shared" si="2"/>
        <v>39</v>
      </c>
      <c r="E96" s="995" t="str">
        <f>IF(Comments!A42="","",CONCATENATE(Comments!A42,CHAR(10)))</f>
        <v/>
      </c>
      <c r="F96" s="997">
        <f t="shared" si="3"/>
        <v>0</v>
      </c>
      <c r="G96" s="1167"/>
    </row>
    <row r="97" spans="1:7">
      <c r="A97" s="817"/>
      <c r="B97" s="1174" t="str">
        <f>IF(E97="","",B58)</f>
        <v/>
      </c>
      <c r="C97" s="928" t="s">
        <v>964</v>
      </c>
      <c r="D97" s="994">
        <f t="shared" si="2"/>
        <v>40</v>
      </c>
      <c r="E97" s="995" t="str">
        <f>IF(Comments!A43="","",CONCATENATE(Comments!A43,CHAR(10)))</f>
        <v/>
      </c>
      <c r="F97" s="997">
        <f t="shared" si="3"/>
        <v>0</v>
      </c>
      <c r="G97" s="1167"/>
    </row>
    <row r="98" spans="1:7">
      <c r="A98" s="817"/>
      <c r="B98" s="1174" t="str">
        <f>IF(E98="","",B58)</f>
        <v/>
      </c>
      <c r="C98" s="928" t="s">
        <v>964</v>
      </c>
      <c r="D98" s="994">
        <f t="shared" si="2"/>
        <v>41</v>
      </c>
      <c r="E98" s="995" t="str">
        <f>IF(Comments!A44="","",CONCATENATE(Comments!A44,CHAR(10)))</f>
        <v/>
      </c>
      <c r="F98" s="997">
        <f t="shared" si="3"/>
        <v>0</v>
      </c>
      <c r="G98" s="1167"/>
    </row>
    <row r="99" spans="1:7">
      <c r="A99" s="817"/>
      <c r="B99" s="1174" t="str">
        <f>IF(E99="","",B58)</f>
        <v/>
      </c>
      <c r="C99" s="928" t="s">
        <v>964</v>
      </c>
      <c r="D99" s="994">
        <f t="shared" si="2"/>
        <v>42</v>
      </c>
      <c r="E99" s="995" t="str">
        <f>IF(Comments!A45="","",CONCATENATE(Comments!A45,CHAR(10)))</f>
        <v/>
      </c>
      <c r="F99" s="997">
        <f t="shared" si="3"/>
        <v>0</v>
      </c>
      <c r="G99" s="1167"/>
    </row>
    <row r="100" spans="1:7">
      <c r="A100" s="817"/>
      <c r="B100" s="1174" t="str">
        <f>IF(E100="","",B58)</f>
        <v/>
      </c>
      <c r="C100" s="928" t="s">
        <v>964</v>
      </c>
      <c r="D100" s="994">
        <f t="shared" si="2"/>
        <v>43</v>
      </c>
      <c r="E100" s="995" t="str">
        <f>IF(Comments!A46="","",CONCATENATE(Comments!A46,CHAR(10)))</f>
        <v/>
      </c>
      <c r="F100" s="997">
        <f t="shared" si="3"/>
        <v>0</v>
      </c>
      <c r="G100" s="1167"/>
    </row>
    <row r="101" spans="1:7">
      <c r="A101" s="817"/>
      <c r="B101" s="1174" t="str">
        <f>IF(E101="","",B58)</f>
        <v/>
      </c>
      <c r="C101" s="928" t="s">
        <v>964</v>
      </c>
      <c r="D101" s="994">
        <f t="shared" si="2"/>
        <v>44</v>
      </c>
      <c r="E101" s="995" t="str">
        <f>IF(Comments!A47="","",CONCATENATE(Comments!A47,CHAR(10)))</f>
        <v/>
      </c>
      <c r="F101" s="997">
        <f t="shared" si="3"/>
        <v>0</v>
      </c>
      <c r="G101" s="1167"/>
    </row>
    <row r="102" spans="1:7">
      <c r="A102" s="817"/>
      <c r="B102" s="1174" t="str">
        <f>IF(E102="","",B58)</f>
        <v/>
      </c>
      <c r="C102" s="928" t="s">
        <v>964</v>
      </c>
      <c r="D102" s="994">
        <f t="shared" si="2"/>
        <v>45</v>
      </c>
      <c r="E102" s="995" t="str">
        <f>IF(Comments!A48="","",CONCATENATE(Comments!A48,CHAR(10)))</f>
        <v/>
      </c>
      <c r="F102" s="997">
        <f t="shared" si="3"/>
        <v>0</v>
      </c>
      <c r="G102" s="1167"/>
    </row>
    <row r="103" spans="1:7">
      <c r="A103" s="817"/>
      <c r="B103" s="1174" t="str">
        <f>IF(E103="","",B58)</f>
        <v/>
      </c>
      <c r="C103" s="928" t="s">
        <v>964</v>
      </c>
      <c r="D103" s="994">
        <f t="shared" si="2"/>
        <v>46</v>
      </c>
      <c r="E103" s="995" t="str">
        <f>IF(Comments!A49="","",CONCATENATE(Comments!A49,CHAR(10)))</f>
        <v/>
      </c>
      <c r="F103" s="997">
        <f t="shared" si="3"/>
        <v>0</v>
      </c>
      <c r="G103" s="1167"/>
    </row>
    <row r="104" spans="1:7">
      <c r="A104" s="817"/>
      <c r="B104" s="1174" t="str">
        <f>IF(E104="","",B58)</f>
        <v/>
      </c>
      <c r="C104" s="928" t="s">
        <v>964</v>
      </c>
      <c r="D104" s="994">
        <f t="shared" si="2"/>
        <v>47</v>
      </c>
      <c r="E104" s="995" t="str">
        <f>IF(Comments!A50="","",CONCATENATE(Comments!A50,CHAR(10)))</f>
        <v/>
      </c>
      <c r="F104" s="997">
        <f t="shared" si="3"/>
        <v>0</v>
      </c>
      <c r="G104" s="1167"/>
    </row>
    <row r="105" spans="1:7">
      <c r="A105" s="817"/>
      <c r="B105" s="1174" t="str">
        <f>IF(E105="","",B58)</f>
        <v/>
      </c>
      <c r="C105" s="928" t="s">
        <v>964</v>
      </c>
      <c r="D105" s="994">
        <f t="shared" si="2"/>
        <v>48</v>
      </c>
      <c r="E105" s="995" t="str">
        <f>IF(Comments!A51="","",CONCATENATE(Comments!A51,CHAR(10)))</f>
        <v/>
      </c>
      <c r="F105" s="997">
        <f t="shared" si="3"/>
        <v>0</v>
      </c>
      <c r="G105" s="1167"/>
    </row>
    <row r="106" spans="1:7">
      <c r="A106" s="817"/>
      <c r="B106" s="1174" t="str">
        <f>IF(E106="","",B58)</f>
        <v/>
      </c>
      <c r="C106" s="928" t="s">
        <v>964</v>
      </c>
      <c r="D106" s="994">
        <f t="shared" si="2"/>
        <v>49</v>
      </c>
      <c r="E106" s="995" t="str">
        <f>IF(Comments!A52="","",CONCATENATE(Comments!A52,CHAR(10)))</f>
        <v/>
      </c>
      <c r="F106" s="997">
        <f t="shared" si="3"/>
        <v>0</v>
      </c>
      <c r="G106" s="1167"/>
    </row>
    <row r="107" spans="1:7">
      <c r="A107" s="817"/>
      <c r="B107" s="1174" t="str">
        <f>IF(E107="","",B58)</f>
        <v/>
      </c>
      <c r="C107" s="928" t="s">
        <v>964</v>
      </c>
      <c r="D107" s="994">
        <f t="shared" si="2"/>
        <v>50</v>
      </c>
      <c r="E107" s="995" t="str">
        <f>IF(Comments!A53="","",CONCATENATE(Comments!A53,CHAR(10)))</f>
        <v/>
      </c>
      <c r="F107" s="997">
        <f t="shared" si="3"/>
        <v>0</v>
      </c>
      <c r="G107" s="1167"/>
    </row>
    <row r="108" spans="1:7">
      <c r="A108" s="817" t="s">
        <v>136</v>
      </c>
      <c r="B108" s="1173" t="str">
        <f ca="1">IF(t_smpl!B10=""," ",IF(E108=0,"",CONCATENATE(TEXT(NOW(),"yyyymmddhhmmss"),RIGHT(t_smpl!B10,4))))</f>
        <v xml:space="preserve"> </v>
      </c>
      <c r="C108" s="927" t="s">
        <v>964</v>
      </c>
      <c r="D108" s="993">
        <v>1</v>
      </c>
      <c r="E108" s="995" t="str">
        <f>IF(Comments!A4="","",CONCATENATE(Comments!A4,CHAR(10)))</f>
        <v/>
      </c>
      <c r="F108" s="998">
        <f t="shared" si="3"/>
        <v>0</v>
      </c>
      <c r="G108" s="1172"/>
    </row>
    <row r="109" spans="1:7">
      <c r="A109" s="817"/>
      <c r="B109" s="1174" t="str">
        <f>IF(E109="","",B108)</f>
        <v/>
      </c>
      <c r="C109" s="928" t="s">
        <v>964</v>
      </c>
      <c r="D109" s="994">
        <f>D108+1</f>
        <v>2</v>
      </c>
      <c r="E109" s="995" t="str">
        <f>IF(Comments!A5="","",CONCATENATE(Comments!A5,CHAR(10)))</f>
        <v/>
      </c>
      <c r="F109" s="997">
        <f t="shared" si="3"/>
        <v>0</v>
      </c>
      <c r="G109" s="1167"/>
    </row>
    <row r="110" spans="1:7">
      <c r="A110" s="817"/>
      <c r="B110" s="1174" t="str">
        <f>IF(E110="","",B108)</f>
        <v/>
      </c>
      <c r="C110" s="928" t="s">
        <v>964</v>
      </c>
      <c r="D110" s="994">
        <f t="shared" ref="D110:D157" si="4">D109+1</f>
        <v>3</v>
      </c>
      <c r="E110" s="995" t="str">
        <f>IF(Comments!A6="","",CONCATENATE(Comments!A6,CHAR(10)))</f>
        <v/>
      </c>
      <c r="F110" s="997">
        <f t="shared" si="3"/>
        <v>0</v>
      </c>
      <c r="G110" s="1167"/>
    </row>
    <row r="111" spans="1:7" ht="12.75" customHeight="1">
      <c r="A111" s="817"/>
      <c r="B111" s="1174" t="str">
        <f>IF(E111="","",B108)</f>
        <v/>
      </c>
      <c r="C111" s="928" t="s">
        <v>964</v>
      </c>
      <c r="D111" s="994">
        <f t="shared" si="4"/>
        <v>4</v>
      </c>
      <c r="E111" s="995" t="str">
        <f>IF(Comments!A7="","",CONCATENATE(Comments!A7,CHAR(10)))</f>
        <v/>
      </c>
      <c r="F111" s="997">
        <f t="shared" si="3"/>
        <v>0</v>
      </c>
      <c r="G111" s="1167"/>
    </row>
    <row r="112" spans="1:7">
      <c r="A112" s="817"/>
      <c r="B112" s="1174" t="str">
        <f>IF(E112="","",B108)</f>
        <v/>
      </c>
      <c r="C112" s="928" t="s">
        <v>964</v>
      </c>
      <c r="D112" s="994">
        <f t="shared" si="4"/>
        <v>5</v>
      </c>
      <c r="E112" s="995" t="str">
        <f>IF(Comments!A8="","",CONCATENATE(Comments!A8,CHAR(10)))</f>
        <v/>
      </c>
      <c r="F112" s="997">
        <f t="shared" si="3"/>
        <v>0</v>
      </c>
      <c r="G112" s="1167"/>
    </row>
    <row r="113" spans="1:7">
      <c r="A113" s="817"/>
      <c r="B113" s="1174" t="str">
        <f>IF(E113="","",B108)</f>
        <v/>
      </c>
      <c r="C113" s="928" t="s">
        <v>964</v>
      </c>
      <c r="D113" s="994">
        <f t="shared" si="4"/>
        <v>6</v>
      </c>
      <c r="E113" s="995" t="str">
        <f>IF(Comments!A9="","",CONCATENATE(Comments!A9,CHAR(10)))</f>
        <v/>
      </c>
      <c r="F113" s="997">
        <f t="shared" si="3"/>
        <v>0</v>
      </c>
      <c r="G113" s="1167"/>
    </row>
    <row r="114" spans="1:7">
      <c r="A114" s="817"/>
      <c r="B114" s="1174" t="str">
        <f>IF(E114="","",B108)</f>
        <v/>
      </c>
      <c r="C114" s="928" t="s">
        <v>964</v>
      </c>
      <c r="D114" s="994">
        <f t="shared" si="4"/>
        <v>7</v>
      </c>
      <c r="E114" s="995" t="str">
        <f>IF(Comments!A10="","",CONCATENATE(Comments!A10,CHAR(10)))</f>
        <v/>
      </c>
      <c r="F114" s="997">
        <f t="shared" si="3"/>
        <v>0</v>
      </c>
      <c r="G114" s="1167"/>
    </row>
    <row r="115" spans="1:7">
      <c r="A115" s="817"/>
      <c r="B115" s="1174" t="str">
        <f>IF(E115="","",B108)</f>
        <v/>
      </c>
      <c r="C115" s="928" t="s">
        <v>964</v>
      </c>
      <c r="D115" s="994">
        <f t="shared" si="4"/>
        <v>8</v>
      </c>
      <c r="E115" s="995" t="str">
        <f>IF(Comments!A11="","",CONCATENATE(Comments!A11,CHAR(10)))</f>
        <v/>
      </c>
      <c r="F115" s="997">
        <f t="shared" si="3"/>
        <v>0</v>
      </c>
      <c r="G115" s="1167"/>
    </row>
    <row r="116" spans="1:7">
      <c r="A116" s="817"/>
      <c r="B116" s="1174" t="str">
        <f>IF(E116="","",B108)</f>
        <v/>
      </c>
      <c r="C116" s="928" t="s">
        <v>964</v>
      </c>
      <c r="D116" s="994">
        <f t="shared" si="4"/>
        <v>9</v>
      </c>
      <c r="E116" s="995" t="str">
        <f>IF(Comments!A12="","",CONCATENATE(Comments!A12,CHAR(10)))</f>
        <v/>
      </c>
      <c r="F116" s="997">
        <f t="shared" si="3"/>
        <v>0</v>
      </c>
      <c r="G116" s="1167"/>
    </row>
    <row r="117" spans="1:7">
      <c r="A117" s="817"/>
      <c r="B117" s="1174" t="str">
        <f>IF(E117="","",B108)</f>
        <v/>
      </c>
      <c r="C117" s="928" t="s">
        <v>964</v>
      </c>
      <c r="D117" s="994">
        <f t="shared" si="4"/>
        <v>10</v>
      </c>
      <c r="E117" s="995" t="str">
        <f>IF(Comments!A13="","",CONCATENATE(Comments!A13,CHAR(10)))</f>
        <v/>
      </c>
      <c r="F117" s="997">
        <f t="shared" si="3"/>
        <v>0</v>
      </c>
      <c r="G117" s="1167"/>
    </row>
    <row r="118" spans="1:7">
      <c r="A118" s="817"/>
      <c r="B118" s="1174" t="str">
        <f>IF(E118="","",B108)</f>
        <v/>
      </c>
      <c r="C118" s="928" t="s">
        <v>964</v>
      </c>
      <c r="D118" s="994">
        <f t="shared" si="4"/>
        <v>11</v>
      </c>
      <c r="E118" s="995" t="str">
        <f>IF(Comments!A14="","",CONCATENATE(Comments!A14,CHAR(10)))</f>
        <v/>
      </c>
      <c r="F118" s="997">
        <f t="shared" si="3"/>
        <v>0</v>
      </c>
      <c r="G118" s="1167"/>
    </row>
    <row r="119" spans="1:7">
      <c r="A119" s="817"/>
      <c r="B119" s="1174" t="str">
        <f>IF(E119="","",B108)</f>
        <v/>
      </c>
      <c r="C119" s="928" t="s">
        <v>964</v>
      </c>
      <c r="D119" s="994">
        <f t="shared" si="4"/>
        <v>12</v>
      </c>
      <c r="E119" s="995" t="str">
        <f>IF(Comments!A15="","",CONCATENATE(Comments!A15,CHAR(10)))</f>
        <v/>
      </c>
      <c r="F119" s="997">
        <f t="shared" si="3"/>
        <v>0</v>
      </c>
      <c r="G119" s="1167"/>
    </row>
    <row r="120" spans="1:7">
      <c r="A120" s="817"/>
      <c r="B120" s="1174" t="str">
        <f>IF(E120="","",B108)</f>
        <v/>
      </c>
      <c r="C120" s="928" t="s">
        <v>964</v>
      </c>
      <c r="D120" s="994">
        <f t="shared" si="4"/>
        <v>13</v>
      </c>
      <c r="E120" s="995" t="str">
        <f>IF(Comments!A16="","",CONCATENATE(Comments!A16,CHAR(10)))</f>
        <v/>
      </c>
      <c r="F120" s="997">
        <f t="shared" si="3"/>
        <v>0</v>
      </c>
      <c r="G120" s="1167"/>
    </row>
    <row r="121" spans="1:7">
      <c r="A121" s="817"/>
      <c r="B121" s="1174" t="str">
        <f>IF(E121="","",B108)</f>
        <v/>
      </c>
      <c r="C121" s="928" t="s">
        <v>964</v>
      </c>
      <c r="D121" s="994">
        <f t="shared" si="4"/>
        <v>14</v>
      </c>
      <c r="E121" s="995" t="str">
        <f>IF(Comments!A17="","",CONCATENATE(Comments!A17,CHAR(10)))</f>
        <v/>
      </c>
      <c r="F121" s="997">
        <f t="shared" si="3"/>
        <v>0</v>
      </c>
      <c r="G121" s="1167"/>
    </row>
    <row r="122" spans="1:7">
      <c r="A122" s="817"/>
      <c r="B122" s="1174" t="str">
        <f>IF(E122="","",B108)</f>
        <v/>
      </c>
      <c r="C122" s="928" t="s">
        <v>964</v>
      </c>
      <c r="D122" s="994">
        <f t="shared" si="4"/>
        <v>15</v>
      </c>
      <c r="E122" s="995" t="str">
        <f>IF(Comments!A18="","",CONCATENATE(Comments!A18,CHAR(10)))</f>
        <v/>
      </c>
      <c r="F122" s="997">
        <f t="shared" si="3"/>
        <v>0</v>
      </c>
      <c r="G122" s="1167"/>
    </row>
    <row r="123" spans="1:7">
      <c r="A123" s="817"/>
      <c r="B123" s="1174" t="str">
        <f>IF(E123="","",B108)</f>
        <v/>
      </c>
      <c r="C123" s="928" t="s">
        <v>964</v>
      </c>
      <c r="D123" s="994">
        <f t="shared" si="4"/>
        <v>16</v>
      </c>
      <c r="E123" s="995" t="str">
        <f>IF(Comments!A19="","",CONCATENATE(Comments!A19,CHAR(10)))</f>
        <v/>
      </c>
      <c r="F123" s="997">
        <f t="shared" si="3"/>
        <v>0</v>
      </c>
      <c r="G123" s="1167"/>
    </row>
    <row r="124" spans="1:7">
      <c r="A124" s="817"/>
      <c r="B124" s="1174" t="str">
        <f>IF(E124="","",B108)</f>
        <v/>
      </c>
      <c r="C124" s="928" t="s">
        <v>964</v>
      </c>
      <c r="D124" s="994">
        <f t="shared" si="4"/>
        <v>17</v>
      </c>
      <c r="E124" s="995" t="str">
        <f>IF(Comments!A20="","",CONCATENATE(Comments!A20,CHAR(10)))</f>
        <v/>
      </c>
      <c r="F124" s="997">
        <f t="shared" si="3"/>
        <v>0</v>
      </c>
      <c r="G124" s="1167"/>
    </row>
    <row r="125" spans="1:7">
      <c r="A125" s="817"/>
      <c r="B125" s="1174" t="str">
        <f>IF(E125="","",B108)</f>
        <v/>
      </c>
      <c r="C125" s="928" t="s">
        <v>964</v>
      </c>
      <c r="D125" s="994">
        <f t="shared" si="4"/>
        <v>18</v>
      </c>
      <c r="E125" s="995" t="str">
        <f>IF(Comments!A21="","",CONCATENATE(Comments!A21,CHAR(10)))</f>
        <v/>
      </c>
      <c r="F125" s="997">
        <f t="shared" si="3"/>
        <v>0</v>
      </c>
      <c r="G125" s="1167"/>
    </row>
    <row r="126" spans="1:7">
      <c r="A126" s="817"/>
      <c r="B126" s="1174" t="str">
        <f>IF(E126="","",B108)</f>
        <v/>
      </c>
      <c r="C126" s="928" t="s">
        <v>964</v>
      </c>
      <c r="D126" s="994">
        <f t="shared" si="4"/>
        <v>19</v>
      </c>
      <c r="E126" s="995" t="str">
        <f>IF(Comments!A22="","",CONCATENATE(Comments!A22,CHAR(10)))</f>
        <v/>
      </c>
      <c r="F126" s="997">
        <f t="shared" si="3"/>
        <v>0</v>
      </c>
      <c r="G126" s="1167"/>
    </row>
    <row r="127" spans="1:7">
      <c r="A127" s="817"/>
      <c r="B127" s="1174" t="str">
        <f>IF(E127="","",B108)</f>
        <v/>
      </c>
      <c r="C127" s="928" t="s">
        <v>964</v>
      </c>
      <c r="D127" s="994">
        <f t="shared" si="4"/>
        <v>20</v>
      </c>
      <c r="E127" s="995" t="str">
        <f>IF(Comments!A23="","",CONCATENATE(Comments!A23,CHAR(10)))</f>
        <v/>
      </c>
      <c r="F127" s="997">
        <f t="shared" si="3"/>
        <v>0</v>
      </c>
      <c r="G127" s="1167"/>
    </row>
    <row r="128" spans="1:7">
      <c r="A128" s="817"/>
      <c r="B128" s="1174" t="str">
        <f>IF(E128="","",B108)</f>
        <v/>
      </c>
      <c r="C128" s="928" t="s">
        <v>964</v>
      </c>
      <c r="D128" s="994">
        <f t="shared" si="4"/>
        <v>21</v>
      </c>
      <c r="E128" s="995" t="str">
        <f>IF(Comments!A24="","",CONCATENATE(Comments!A24,CHAR(10)))</f>
        <v/>
      </c>
      <c r="F128" s="997">
        <f t="shared" si="3"/>
        <v>0</v>
      </c>
      <c r="G128" s="1167"/>
    </row>
    <row r="129" spans="1:7">
      <c r="A129" s="817"/>
      <c r="B129" s="1174" t="str">
        <f>IF(E129="","",B108)</f>
        <v/>
      </c>
      <c r="C129" s="928" t="s">
        <v>964</v>
      </c>
      <c r="D129" s="994">
        <f t="shared" si="4"/>
        <v>22</v>
      </c>
      <c r="E129" s="995" t="str">
        <f>IF(Comments!A25="","",CONCATENATE(Comments!A25,CHAR(10)))</f>
        <v/>
      </c>
      <c r="F129" s="997">
        <f t="shared" si="3"/>
        <v>0</v>
      </c>
      <c r="G129" s="1167"/>
    </row>
    <row r="130" spans="1:7">
      <c r="A130" s="817"/>
      <c r="B130" s="1174" t="str">
        <f>IF(E130="","",B108)</f>
        <v/>
      </c>
      <c r="C130" s="928" t="s">
        <v>964</v>
      </c>
      <c r="D130" s="994">
        <f t="shared" si="4"/>
        <v>23</v>
      </c>
      <c r="E130" s="995" t="str">
        <f>IF(Comments!A26="","",CONCATENATE(Comments!A26,CHAR(10)))</f>
        <v/>
      </c>
      <c r="F130" s="997">
        <f t="shared" si="3"/>
        <v>0</v>
      </c>
      <c r="G130" s="1167"/>
    </row>
    <row r="131" spans="1:7">
      <c r="A131" s="817"/>
      <c r="B131" s="1174" t="str">
        <f>IF(E131="","",B108)</f>
        <v/>
      </c>
      <c r="C131" s="928" t="s">
        <v>964</v>
      </c>
      <c r="D131" s="994">
        <f t="shared" si="4"/>
        <v>24</v>
      </c>
      <c r="E131" s="995" t="str">
        <f>IF(Comments!A27="","",CONCATENATE(Comments!A27,CHAR(10)))</f>
        <v/>
      </c>
      <c r="F131" s="997">
        <f t="shared" si="3"/>
        <v>0</v>
      </c>
      <c r="G131" s="1167"/>
    </row>
    <row r="132" spans="1:7">
      <c r="A132" s="817"/>
      <c r="B132" s="1174" t="str">
        <f>IF(E132="","",B108)</f>
        <v/>
      </c>
      <c r="C132" s="928" t="s">
        <v>964</v>
      </c>
      <c r="D132" s="994">
        <f t="shared" si="4"/>
        <v>25</v>
      </c>
      <c r="E132" s="995" t="str">
        <f>IF(Comments!A28="","",CONCATENATE(Comments!A28,CHAR(10)))</f>
        <v/>
      </c>
      <c r="F132" s="997">
        <f t="shared" si="3"/>
        <v>0</v>
      </c>
      <c r="G132" s="1167"/>
    </row>
    <row r="133" spans="1:7">
      <c r="A133" s="817"/>
      <c r="B133" s="1174" t="str">
        <f>IF(E133="","",B108)</f>
        <v/>
      </c>
      <c r="C133" s="928" t="s">
        <v>964</v>
      </c>
      <c r="D133" s="994">
        <f t="shared" si="4"/>
        <v>26</v>
      </c>
      <c r="E133" s="995" t="str">
        <f>IF(Comments!A29="","",CONCATENATE(Comments!A29,CHAR(10)))</f>
        <v/>
      </c>
      <c r="F133" s="997">
        <f t="shared" si="3"/>
        <v>0</v>
      </c>
      <c r="G133" s="1167"/>
    </row>
    <row r="134" spans="1:7">
      <c r="A134" s="817"/>
      <c r="B134" s="1174" t="str">
        <f>IF(E134="","",B108)</f>
        <v/>
      </c>
      <c r="C134" s="928" t="s">
        <v>964</v>
      </c>
      <c r="D134" s="994">
        <f t="shared" si="4"/>
        <v>27</v>
      </c>
      <c r="E134" s="995" t="str">
        <f>IF(Comments!A30="","",CONCATENATE(Comments!A30,CHAR(10)))</f>
        <v/>
      </c>
      <c r="F134" s="997">
        <f t="shared" si="3"/>
        <v>0</v>
      </c>
      <c r="G134" s="1167"/>
    </row>
    <row r="135" spans="1:7">
      <c r="A135" s="817"/>
      <c r="B135" s="1174" t="str">
        <f>IF(E135="","",B108)</f>
        <v/>
      </c>
      <c r="C135" s="928" t="s">
        <v>964</v>
      </c>
      <c r="D135" s="994">
        <f t="shared" si="4"/>
        <v>28</v>
      </c>
      <c r="E135" s="995" t="str">
        <f>IF(Comments!A31="","",CONCATENATE(Comments!A31,CHAR(10)))</f>
        <v/>
      </c>
      <c r="F135" s="997">
        <f t="shared" si="3"/>
        <v>0</v>
      </c>
      <c r="G135" s="1167"/>
    </row>
    <row r="136" spans="1:7">
      <c r="A136" s="817"/>
      <c r="B136" s="1174" t="str">
        <f>IF(E136="","",B108)</f>
        <v/>
      </c>
      <c r="C136" s="928" t="s">
        <v>964</v>
      </c>
      <c r="D136" s="994">
        <f t="shared" si="4"/>
        <v>29</v>
      </c>
      <c r="E136" s="995" t="str">
        <f>IF(Comments!A32="","",CONCATENATE(Comments!A32,CHAR(10)))</f>
        <v/>
      </c>
      <c r="F136" s="997">
        <f t="shared" si="3"/>
        <v>0</v>
      </c>
      <c r="G136" s="1167"/>
    </row>
    <row r="137" spans="1:7">
      <c r="A137" s="817"/>
      <c r="B137" s="1174" t="str">
        <f>IF(E137="","",B108)</f>
        <v/>
      </c>
      <c r="C137" s="928" t="s">
        <v>964</v>
      </c>
      <c r="D137" s="994">
        <f t="shared" si="4"/>
        <v>30</v>
      </c>
      <c r="E137" s="995" t="str">
        <f>IF(Comments!A33="","",CONCATENATE(Comments!A33,CHAR(10)))</f>
        <v/>
      </c>
      <c r="F137" s="997">
        <f t="shared" si="3"/>
        <v>0</v>
      </c>
      <c r="G137" s="1167"/>
    </row>
    <row r="138" spans="1:7">
      <c r="A138" s="817"/>
      <c r="B138" s="1174" t="str">
        <f>IF(E138="","",B108)</f>
        <v/>
      </c>
      <c r="C138" s="928" t="s">
        <v>964</v>
      </c>
      <c r="D138" s="994">
        <f t="shared" si="4"/>
        <v>31</v>
      </c>
      <c r="E138" s="995" t="str">
        <f>IF(Comments!A34="","",CONCATENATE(Comments!A34,CHAR(10)))</f>
        <v/>
      </c>
      <c r="F138" s="997">
        <f t="shared" ref="F138:F201" si="5">F137</f>
        <v>0</v>
      </c>
      <c r="G138" s="1167"/>
    </row>
    <row r="139" spans="1:7">
      <c r="A139" s="817"/>
      <c r="B139" s="1174" t="str">
        <f>IF(E139="","",B108)</f>
        <v/>
      </c>
      <c r="C139" s="928" t="s">
        <v>964</v>
      </c>
      <c r="D139" s="994">
        <f t="shared" si="4"/>
        <v>32</v>
      </c>
      <c r="E139" s="995" t="str">
        <f>IF(Comments!A35="","",CONCATENATE(Comments!A35,CHAR(10)))</f>
        <v/>
      </c>
      <c r="F139" s="997">
        <f t="shared" si="5"/>
        <v>0</v>
      </c>
      <c r="G139" s="1167"/>
    </row>
    <row r="140" spans="1:7">
      <c r="A140" s="817"/>
      <c r="B140" s="1174" t="str">
        <f>IF(E140="","",B108)</f>
        <v/>
      </c>
      <c r="C140" s="928" t="s">
        <v>964</v>
      </c>
      <c r="D140" s="994">
        <f t="shared" si="4"/>
        <v>33</v>
      </c>
      <c r="E140" s="995" t="str">
        <f>IF(Comments!A36="","",CONCATENATE(Comments!A36,CHAR(10)))</f>
        <v/>
      </c>
      <c r="F140" s="997">
        <f t="shared" si="5"/>
        <v>0</v>
      </c>
      <c r="G140" s="1167"/>
    </row>
    <row r="141" spans="1:7">
      <c r="A141" s="817"/>
      <c r="B141" s="1174" t="str">
        <f>IF(E141="","",B108)</f>
        <v/>
      </c>
      <c r="C141" s="928" t="s">
        <v>964</v>
      </c>
      <c r="D141" s="994">
        <f t="shared" si="4"/>
        <v>34</v>
      </c>
      <c r="E141" s="995" t="str">
        <f>IF(Comments!A37="","",CONCATENATE(Comments!A37,CHAR(10)))</f>
        <v/>
      </c>
      <c r="F141" s="997">
        <f t="shared" si="5"/>
        <v>0</v>
      </c>
      <c r="G141" s="1167"/>
    </row>
    <row r="142" spans="1:7">
      <c r="A142" s="817"/>
      <c r="B142" s="1174" t="str">
        <f>IF(E142="","",B108)</f>
        <v/>
      </c>
      <c r="C142" s="928" t="s">
        <v>964</v>
      </c>
      <c r="D142" s="994">
        <f t="shared" si="4"/>
        <v>35</v>
      </c>
      <c r="E142" s="995" t="str">
        <f>IF(Comments!A38="","",CONCATENATE(Comments!A38,CHAR(10)))</f>
        <v/>
      </c>
      <c r="F142" s="997">
        <f t="shared" si="5"/>
        <v>0</v>
      </c>
      <c r="G142" s="1167"/>
    </row>
    <row r="143" spans="1:7">
      <c r="A143" s="817"/>
      <c r="B143" s="1174" t="str">
        <f>IF(E143="","",B108)</f>
        <v/>
      </c>
      <c r="C143" s="928" t="s">
        <v>964</v>
      </c>
      <c r="D143" s="994">
        <f t="shared" si="4"/>
        <v>36</v>
      </c>
      <c r="E143" s="995" t="str">
        <f>IF(Comments!A39="","",CONCATENATE(Comments!A39,CHAR(10)))</f>
        <v/>
      </c>
      <c r="F143" s="997">
        <f t="shared" si="5"/>
        <v>0</v>
      </c>
      <c r="G143" s="1167"/>
    </row>
    <row r="144" spans="1:7">
      <c r="A144" s="817"/>
      <c r="B144" s="1174" t="str">
        <f>IF(E144="","",B108)</f>
        <v/>
      </c>
      <c r="C144" s="928" t="s">
        <v>964</v>
      </c>
      <c r="D144" s="994">
        <f t="shared" si="4"/>
        <v>37</v>
      </c>
      <c r="E144" s="995" t="str">
        <f>IF(Comments!A40="","",CONCATENATE(Comments!A40,CHAR(10)))</f>
        <v/>
      </c>
      <c r="F144" s="997">
        <f t="shared" si="5"/>
        <v>0</v>
      </c>
      <c r="G144" s="1167"/>
    </row>
    <row r="145" spans="1:7">
      <c r="A145" s="817"/>
      <c r="B145" s="1174" t="str">
        <f>IF(E145="","",B108)</f>
        <v/>
      </c>
      <c r="C145" s="928" t="s">
        <v>964</v>
      </c>
      <c r="D145" s="994">
        <f t="shared" si="4"/>
        <v>38</v>
      </c>
      <c r="E145" s="995" t="str">
        <f>IF(Comments!A41="","",CONCATENATE(Comments!A41,CHAR(10)))</f>
        <v/>
      </c>
      <c r="F145" s="997">
        <f t="shared" si="5"/>
        <v>0</v>
      </c>
      <c r="G145" s="1167"/>
    </row>
    <row r="146" spans="1:7">
      <c r="A146" s="817"/>
      <c r="B146" s="1174" t="str">
        <f>IF(E146="","",B108)</f>
        <v/>
      </c>
      <c r="C146" s="928" t="s">
        <v>964</v>
      </c>
      <c r="D146" s="994">
        <f t="shared" si="4"/>
        <v>39</v>
      </c>
      <c r="E146" s="995" t="str">
        <f>IF(Comments!A42="","",CONCATENATE(Comments!A42,CHAR(10)))</f>
        <v/>
      </c>
      <c r="F146" s="997">
        <f t="shared" si="5"/>
        <v>0</v>
      </c>
      <c r="G146" s="1167"/>
    </row>
    <row r="147" spans="1:7">
      <c r="A147" s="817"/>
      <c r="B147" s="1174" t="str">
        <f>IF(E147="","",B108)</f>
        <v/>
      </c>
      <c r="C147" s="928" t="s">
        <v>964</v>
      </c>
      <c r="D147" s="994">
        <f t="shared" si="4"/>
        <v>40</v>
      </c>
      <c r="E147" s="995" t="str">
        <f>IF(Comments!A43="","",CONCATENATE(Comments!A43,CHAR(10)))</f>
        <v/>
      </c>
      <c r="F147" s="997">
        <f t="shared" si="5"/>
        <v>0</v>
      </c>
      <c r="G147" s="1167"/>
    </row>
    <row r="148" spans="1:7">
      <c r="A148" s="817"/>
      <c r="B148" s="1174" t="str">
        <f>IF(E148="","",B108)</f>
        <v/>
      </c>
      <c r="C148" s="928" t="s">
        <v>964</v>
      </c>
      <c r="D148" s="994">
        <f t="shared" si="4"/>
        <v>41</v>
      </c>
      <c r="E148" s="995" t="str">
        <f>IF(Comments!A44="","",CONCATENATE(Comments!A44,CHAR(10)))</f>
        <v/>
      </c>
      <c r="F148" s="997">
        <f t="shared" si="5"/>
        <v>0</v>
      </c>
      <c r="G148" s="1167"/>
    </row>
    <row r="149" spans="1:7">
      <c r="A149" s="817"/>
      <c r="B149" s="1174" t="str">
        <f>IF(E149="","",B108)</f>
        <v/>
      </c>
      <c r="C149" s="928" t="s">
        <v>964</v>
      </c>
      <c r="D149" s="994">
        <f t="shared" si="4"/>
        <v>42</v>
      </c>
      <c r="E149" s="995" t="str">
        <f>IF(Comments!A45="","",CONCATENATE(Comments!A45,CHAR(10)))</f>
        <v/>
      </c>
      <c r="F149" s="997">
        <f t="shared" si="5"/>
        <v>0</v>
      </c>
      <c r="G149" s="1167"/>
    </row>
    <row r="150" spans="1:7">
      <c r="A150" s="817"/>
      <c r="B150" s="1174" t="str">
        <f>IF(E150="","",B108)</f>
        <v/>
      </c>
      <c r="C150" s="928" t="s">
        <v>964</v>
      </c>
      <c r="D150" s="994">
        <f t="shared" si="4"/>
        <v>43</v>
      </c>
      <c r="E150" s="995" t="str">
        <f>IF(Comments!A46="","",CONCATENATE(Comments!A46,CHAR(10)))</f>
        <v/>
      </c>
      <c r="F150" s="997">
        <f t="shared" si="5"/>
        <v>0</v>
      </c>
      <c r="G150" s="1167"/>
    </row>
    <row r="151" spans="1:7">
      <c r="A151" s="817"/>
      <c r="B151" s="1174" t="str">
        <f>IF(E151="","",B108)</f>
        <v/>
      </c>
      <c r="C151" s="928" t="s">
        <v>964</v>
      </c>
      <c r="D151" s="994">
        <f t="shared" si="4"/>
        <v>44</v>
      </c>
      <c r="E151" s="995" t="str">
        <f>IF(Comments!A47="","",CONCATENATE(Comments!A47,CHAR(10)))</f>
        <v/>
      </c>
      <c r="F151" s="997">
        <f t="shared" si="5"/>
        <v>0</v>
      </c>
      <c r="G151" s="1167"/>
    </row>
    <row r="152" spans="1:7">
      <c r="A152" s="817"/>
      <c r="B152" s="1174" t="str">
        <f>IF(E152="","",B108)</f>
        <v/>
      </c>
      <c r="C152" s="928" t="s">
        <v>964</v>
      </c>
      <c r="D152" s="994">
        <f t="shared" si="4"/>
        <v>45</v>
      </c>
      <c r="E152" s="995" t="str">
        <f>IF(Comments!A48="","",CONCATENATE(Comments!A48,CHAR(10)))</f>
        <v/>
      </c>
      <c r="F152" s="997">
        <f t="shared" si="5"/>
        <v>0</v>
      </c>
      <c r="G152" s="1167"/>
    </row>
    <row r="153" spans="1:7">
      <c r="A153" s="817"/>
      <c r="B153" s="1174" t="str">
        <f>IF(E153="","",B108)</f>
        <v/>
      </c>
      <c r="C153" s="928" t="s">
        <v>964</v>
      </c>
      <c r="D153" s="994">
        <f t="shared" si="4"/>
        <v>46</v>
      </c>
      <c r="E153" s="995" t="str">
        <f>IF(Comments!A49="","",CONCATENATE(Comments!A49,CHAR(10)))</f>
        <v/>
      </c>
      <c r="F153" s="997">
        <f t="shared" si="5"/>
        <v>0</v>
      </c>
      <c r="G153" s="1167"/>
    </row>
    <row r="154" spans="1:7">
      <c r="A154" s="817"/>
      <c r="B154" s="1174" t="str">
        <f>IF(E154="","",B108)</f>
        <v/>
      </c>
      <c r="C154" s="928" t="s">
        <v>964</v>
      </c>
      <c r="D154" s="994">
        <f t="shared" si="4"/>
        <v>47</v>
      </c>
      <c r="E154" s="995" t="str">
        <f>IF(Comments!A50="","",CONCATENATE(Comments!A50,CHAR(10)))</f>
        <v/>
      </c>
      <c r="F154" s="997">
        <f t="shared" si="5"/>
        <v>0</v>
      </c>
      <c r="G154" s="1167"/>
    </row>
    <row r="155" spans="1:7">
      <c r="A155" s="817"/>
      <c r="B155" s="1174" t="str">
        <f>IF(E155="","",B108)</f>
        <v/>
      </c>
      <c r="C155" s="928" t="s">
        <v>964</v>
      </c>
      <c r="D155" s="994">
        <f t="shared" si="4"/>
        <v>48</v>
      </c>
      <c r="E155" s="995" t="str">
        <f>IF(Comments!A51="","",CONCATENATE(Comments!A51,CHAR(10)))</f>
        <v/>
      </c>
      <c r="F155" s="997">
        <f t="shared" si="5"/>
        <v>0</v>
      </c>
      <c r="G155" s="1167"/>
    </row>
    <row r="156" spans="1:7">
      <c r="A156" s="817"/>
      <c r="B156" s="1174" t="str">
        <f>IF(E156="","",B108)</f>
        <v/>
      </c>
      <c r="C156" s="928" t="s">
        <v>964</v>
      </c>
      <c r="D156" s="994">
        <f t="shared" si="4"/>
        <v>49</v>
      </c>
      <c r="E156" s="995" t="str">
        <f>IF(Comments!A52="","",CONCATENATE(Comments!A52,CHAR(10)))</f>
        <v/>
      </c>
      <c r="F156" s="997">
        <f t="shared" si="5"/>
        <v>0</v>
      </c>
      <c r="G156" s="1167"/>
    </row>
    <row r="157" spans="1:7">
      <c r="A157" s="817"/>
      <c r="B157" s="1174" t="str">
        <f>IF(E157="","",B108)</f>
        <v/>
      </c>
      <c r="C157" s="928" t="s">
        <v>964</v>
      </c>
      <c r="D157" s="994">
        <f t="shared" si="4"/>
        <v>50</v>
      </c>
      <c r="E157" s="995" t="str">
        <f>IF(Comments!A53="","",CONCATENATE(Comments!A53,CHAR(10)))</f>
        <v/>
      </c>
      <c r="F157" s="997">
        <f t="shared" si="5"/>
        <v>0</v>
      </c>
      <c r="G157" s="1167"/>
    </row>
    <row r="158" spans="1:7">
      <c r="A158" s="817" t="s">
        <v>137</v>
      </c>
      <c r="B158" s="1173" t="str">
        <f ca="1">IF(t_smpl!B11=""," ",IF(E158=0,"",CONCATENATE(TEXT(NOW(),"yyyymmddhhmmss"),RIGHT(t_smpl!B11,4))))</f>
        <v xml:space="preserve"> </v>
      </c>
      <c r="C158" s="927" t="s">
        <v>964</v>
      </c>
      <c r="D158" s="993">
        <v>1</v>
      </c>
      <c r="E158" s="995" t="str">
        <f>IF(Comments!A4="","",CONCATENATE(Comments!A4,CHAR(10)))</f>
        <v/>
      </c>
      <c r="F158" s="998">
        <f t="shared" si="5"/>
        <v>0</v>
      </c>
      <c r="G158" s="1172"/>
    </row>
    <row r="159" spans="1:7">
      <c r="A159" s="817"/>
      <c r="B159" s="1174" t="str">
        <f>IF(E159="","",B158)</f>
        <v/>
      </c>
      <c r="C159" s="928" t="s">
        <v>964</v>
      </c>
      <c r="D159" s="994">
        <f>D158+1</f>
        <v>2</v>
      </c>
      <c r="E159" s="995" t="str">
        <f>IF(Comments!A5="","",CONCATENATE(Comments!A5,CHAR(10)))</f>
        <v/>
      </c>
      <c r="F159" s="997">
        <f t="shared" si="5"/>
        <v>0</v>
      </c>
      <c r="G159" s="1167"/>
    </row>
    <row r="160" spans="1:7">
      <c r="A160" s="817"/>
      <c r="B160" s="1174" t="str">
        <f>IF(E160="","",B158)</f>
        <v/>
      </c>
      <c r="C160" s="928" t="s">
        <v>964</v>
      </c>
      <c r="D160" s="994">
        <f t="shared" ref="D160:D207" si="6">D159+1</f>
        <v>3</v>
      </c>
      <c r="E160" s="995" t="str">
        <f>IF(Comments!A6="","",CONCATENATE(Comments!A6,CHAR(10)))</f>
        <v/>
      </c>
      <c r="F160" s="997">
        <f t="shared" si="5"/>
        <v>0</v>
      </c>
      <c r="G160" s="1167"/>
    </row>
    <row r="161" spans="1:7" ht="13.5" customHeight="1">
      <c r="A161" s="817"/>
      <c r="B161" s="1174" t="str">
        <f>IF(E161="","",B158)</f>
        <v/>
      </c>
      <c r="C161" s="928" t="s">
        <v>964</v>
      </c>
      <c r="D161" s="994">
        <f t="shared" si="6"/>
        <v>4</v>
      </c>
      <c r="E161" s="995" t="str">
        <f>IF(Comments!A7="","",CONCATENATE(Comments!A7,CHAR(10)))</f>
        <v/>
      </c>
      <c r="F161" s="997">
        <f t="shared" si="5"/>
        <v>0</v>
      </c>
      <c r="G161" s="1167"/>
    </row>
    <row r="162" spans="1:7">
      <c r="A162" s="817"/>
      <c r="B162" s="1174" t="str">
        <f>IF(E162="","",B158)</f>
        <v/>
      </c>
      <c r="C162" s="928" t="s">
        <v>964</v>
      </c>
      <c r="D162" s="994">
        <f t="shared" si="6"/>
        <v>5</v>
      </c>
      <c r="E162" s="995" t="str">
        <f>IF(Comments!A8="","",CONCATENATE(Comments!A8,CHAR(10)))</f>
        <v/>
      </c>
      <c r="F162" s="997">
        <f t="shared" si="5"/>
        <v>0</v>
      </c>
      <c r="G162" s="1167"/>
    </row>
    <row r="163" spans="1:7">
      <c r="A163" s="817"/>
      <c r="B163" s="1174" t="str">
        <f>IF(E163="","",B158)</f>
        <v/>
      </c>
      <c r="C163" s="928" t="s">
        <v>964</v>
      </c>
      <c r="D163" s="994">
        <f t="shared" si="6"/>
        <v>6</v>
      </c>
      <c r="E163" s="995" t="str">
        <f>IF(Comments!A9="","",CONCATENATE(Comments!A9,CHAR(10)))</f>
        <v/>
      </c>
      <c r="F163" s="997">
        <f t="shared" si="5"/>
        <v>0</v>
      </c>
      <c r="G163" s="1167"/>
    </row>
    <row r="164" spans="1:7">
      <c r="A164" s="817"/>
      <c r="B164" s="1174" t="str">
        <f>IF(E164="","",B158)</f>
        <v/>
      </c>
      <c r="C164" s="928" t="s">
        <v>964</v>
      </c>
      <c r="D164" s="994">
        <f t="shared" si="6"/>
        <v>7</v>
      </c>
      <c r="E164" s="995" t="str">
        <f>IF(Comments!A10="","",CONCATENATE(Comments!A10,CHAR(10)))</f>
        <v/>
      </c>
      <c r="F164" s="997">
        <f t="shared" si="5"/>
        <v>0</v>
      </c>
      <c r="G164" s="1167"/>
    </row>
    <row r="165" spans="1:7">
      <c r="A165" s="817"/>
      <c r="B165" s="1174" t="str">
        <f>IF(E165="","",B158)</f>
        <v/>
      </c>
      <c r="C165" s="928" t="s">
        <v>964</v>
      </c>
      <c r="D165" s="994">
        <f t="shared" si="6"/>
        <v>8</v>
      </c>
      <c r="E165" s="995" t="str">
        <f>IF(Comments!A11="","",CONCATENATE(Comments!A11,CHAR(10)))</f>
        <v/>
      </c>
      <c r="F165" s="997">
        <f t="shared" si="5"/>
        <v>0</v>
      </c>
      <c r="G165" s="1167"/>
    </row>
    <row r="166" spans="1:7">
      <c r="A166" s="817"/>
      <c r="B166" s="1174" t="str">
        <f>IF(E166="","",B158)</f>
        <v/>
      </c>
      <c r="C166" s="928" t="s">
        <v>964</v>
      </c>
      <c r="D166" s="994">
        <f t="shared" si="6"/>
        <v>9</v>
      </c>
      <c r="E166" s="995" t="str">
        <f>IF(Comments!A12="","",CONCATENATE(Comments!A12,CHAR(10)))</f>
        <v/>
      </c>
      <c r="F166" s="997">
        <f t="shared" si="5"/>
        <v>0</v>
      </c>
      <c r="G166" s="1167"/>
    </row>
    <row r="167" spans="1:7">
      <c r="A167" s="817"/>
      <c r="B167" s="1174" t="str">
        <f>IF(E167="","",B158)</f>
        <v/>
      </c>
      <c r="C167" s="928" t="s">
        <v>964</v>
      </c>
      <c r="D167" s="994">
        <f t="shared" si="6"/>
        <v>10</v>
      </c>
      <c r="E167" s="995" t="str">
        <f>IF(Comments!A13="","",CONCATENATE(Comments!A13,CHAR(10)))</f>
        <v/>
      </c>
      <c r="F167" s="997">
        <f t="shared" si="5"/>
        <v>0</v>
      </c>
      <c r="G167" s="1167"/>
    </row>
    <row r="168" spans="1:7">
      <c r="A168" s="817"/>
      <c r="B168" s="1174" t="str">
        <f>IF(E168="","",B158)</f>
        <v/>
      </c>
      <c r="C168" s="928" t="s">
        <v>964</v>
      </c>
      <c r="D168" s="994">
        <f t="shared" si="6"/>
        <v>11</v>
      </c>
      <c r="E168" s="995" t="str">
        <f>IF(Comments!A14="","",CONCATENATE(Comments!A14,CHAR(10)))</f>
        <v/>
      </c>
      <c r="F168" s="997">
        <f t="shared" si="5"/>
        <v>0</v>
      </c>
      <c r="G168" s="1167"/>
    </row>
    <row r="169" spans="1:7">
      <c r="A169" s="817"/>
      <c r="B169" s="1174" t="str">
        <f>IF(E169="","",B158)</f>
        <v/>
      </c>
      <c r="C169" s="928" t="s">
        <v>964</v>
      </c>
      <c r="D169" s="994">
        <f t="shared" si="6"/>
        <v>12</v>
      </c>
      <c r="E169" s="995" t="str">
        <f>IF(Comments!A15="","",CONCATENATE(Comments!A15,CHAR(10)))</f>
        <v/>
      </c>
      <c r="F169" s="997">
        <f t="shared" si="5"/>
        <v>0</v>
      </c>
      <c r="G169" s="1167"/>
    </row>
    <row r="170" spans="1:7">
      <c r="A170" s="817"/>
      <c r="B170" s="1174" t="str">
        <f>IF(E170="","",B158)</f>
        <v/>
      </c>
      <c r="C170" s="928" t="s">
        <v>964</v>
      </c>
      <c r="D170" s="994">
        <f t="shared" si="6"/>
        <v>13</v>
      </c>
      <c r="E170" s="995" t="str">
        <f>IF(Comments!A16="","",CONCATENATE(Comments!A16,CHAR(10)))</f>
        <v/>
      </c>
      <c r="F170" s="997">
        <f t="shared" si="5"/>
        <v>0</v>
      </c>
      <c r="G170" s="1167"/>
    </row>
    <row r="171" spans="1:7">
      <c r="A171" s="817"/>
      <c r="B171" s="1174" t="str">
        <f>IF(E171="","",B158)</f>
        <v/>
      </c>
      <c r="C171" s="928" t="s">
        <v>964</v>
      </c>
      <c r="D171" s="994">
        <f t="shared" si="6"/>
        <v>14</v>
      </c>
      <c r="E171" s="995" t="str">
        <f>IF(Comments!A17="","",CONCATENATE(Comments!A17,CHAR(10)))</f>
        <v/>
      </c>
      <c r="F171" s="997">
        <f t="shared" si="5"/>
        <v>0</v>
      </c>
      <c r="G171" s="1167"/>
    </row>
    <row r="172" spans="1:7">
      <c r="A172" s="817"/>
      <c r="B172" s="1174" t="str">
        <f>IF(E172="","",B158)</f>
        <v/>
      </c>
      <c r="C172" s="928" t="s">
        <v>964</v>
      </c>
      <c r="D172" s="994">
        <f t="shared" si="6"/>
        <v>15</v>
      </c>
      <c r="E172" s="995" t="str">
        <f>IF(Comments!A18="","",CONCATENATE(Comments!A18,CHAR(10)))</f>
        <v/>
      </c>
      <c r="F172" s="997">
        <f t="shared" si="5"/>
        <v>0</v>
      </c>
      <c r="G172" s="1167"/>
    </row>
    <row r="173" spans="1:7">
      <c r="A173" s="817"/>
      <c r="B173" s="1174" t="str">
        <f>IF(E173="","",B158)</f>
        <v/>
      </c>
      <c r="C173" s="928" t="s">
        <v>964</v>
      </c>
      <c r="D173" s="994">
        <f t="shared" si="6"/>
        <v>16</v>
      </c>
      <c r="E173" s="995" t="str">
        <f>IF(Comments!A19="","",CONCATENATE(Comments!A19,CHAR(10)))</f>
        <v/>
      </c>
      <c r="F173" s="997">
        <f t="shared" si="5"/>
        <v>0</v>
      </c>
      <c r="G173" s="1167"/>
    </row>
    <row r="174" spans="1:7">
      <c r="A174" s="817"/>
      <c r="B174" s="1174" t="str">
        <f>IF(E174="","",B158)</f>
        <v/>
      </c>
      <c r="C174" s="928" t="s">
        <v>964</v>
      </c>
      <c r="D174" s="994">
        <f t="shared" si="6"/>
        <v>17</v>
      </c>
      <c r="E174" s="995" t="str">
        <f>IF(Comments!A20="","",CONCATENATE(Comments!A20,CHAR(10)))</f>
        <v/>
      </c>
      <c r="F174" s="997">
        <f t="shared" si="5"/>
        <v>0</v>
      </c>
      <c r="G174" s="1167"/>
    </row>
    <row r="175" spans="1:7">
      <c r="A175" s="817"/>
      <c r="B175" s="1174" t="str">
        <f>IF(E175="","",B158)</f>
        <v/>
      </c>
      <c r="C175" s="928" t="s">
        <v>964</v>
      </c>
      <c r="D175" s="994">
        <f t="shared" si="6"/>
        <v>18</v>
      </c>
      <c r="E175" s="995" t="str">
        <f>IF(Comments!A21="","",CONCATENATE(Comments!A21,CHAR(10)))</f>
        <v/>
      </c>
      <c r="F175" s="997">
        <f t="shared" si="5"/>
        <v>0</v>
      </c>
      <c r="G175" s="1167"/>
    </row>
    <row r="176" spans="1:7">
      <c r="A176" s="817"/>
      <c r="B176" s="1174" t="str">
        <f>IF(E176="","",B158)</f>
        <v/>
      </c>
      <c r="C176" s="928" t="s">
        <v>964</v>
      </c>
      <c r="D176" s="994">
        <f t="shared" si="6"/>
        <v>19</v>
      </c>
      <c r="E176" s="995" t="str">
        <f>IF(Comments!A22="","",CONCATENATE(Comments!A22,CHAR(10)))</f>
        <v/>
      </c>
      <c r="F176" s="997">
        <f t="shared" si="5"/>
        <v>0</v>
      </c>
      <c r="G176" s="1167"/>
    </row>
    <row r="177" spans="1:7">
      <c r="A177" s="817"/>
      <c r="B177" s="1174" t="str">
        <f>IF(E177="","",B158)</f>
        <v/>
      </c>
      <c r="C177" s="928" t="s">
        <v>964</v>
      </c>
      <c r="D177" s="994">
        <f t="shared" si="6"/>
        <v>20</v>
      </c>
      <c r="E177" s="995" t="str">
        <f>IF(Comments!A23="","",CONCATENATE(Comments!A23,CHAR(10)))</f>
        <v/>
      </c>
      <c r="F177" s="997">
        <f t="shared" si="5"/>
        <v>0</v>
      </c>
      <c r="G177" s="1167"/>
    </row>
    <row r="178" spans="1:7">
      <c r="A178" s="817"/>
      <c r="B178" s="1174" t="str">
        <f>IF(E178="","",B158)</f>
        <v/>
      </c>
      <c r="C178" s="928" t="s">
        <v>964</v>
      </c>
      <c r="D178" s="994">
        <f t="shared" si="6"/>
        <v>21</v>
      </c>
      <c r="E178" s="995" t="str">
        <f>IF(Comments!A24="","",CONCATENATE(Comments!A24,CHAR(10)))</f>
        <v/>
      </c>
      <c r="F178" s="997">
        <f t="shared" si="5"/>
        <v>0</v>
      </c>
      <c r="G178" s="1167"/>
    </row>
    <row r="179" spans="1:7">
      <c r="A179" s="817"/>
      <c r="B179" s="1174" t="str">
        <f>IF(E179="","",B158)</f>
        <v/>
      </c>
      <c r="C179" s="928" t="s">
        <v>964</v>
      </c>
      <c r="D179" s="994">
        <f t="shared" si="6"/>
        <v>22</v>
      </c>
      <c r="E179" s="995" t="str">
        <f>IF(Comments!A25="","",CONCATENATE(Comments!A25,CHAR(10)))</f>
        <v/>
      </c>
      <c r="F179" s="997">
        <f t="shared" si="5"/>
        <v>0</v>
      </c>
      <c r="G179" s="1167"/>
    </row>
    <row r="180" spans="1:7">
      <c r="A180" s="817"/>
      <c r="B180" s="1174" t="str">
        <f>IF(E180="","",B158)</f>
        <v/>
      </c>
      <c r="C180" s="928" t="s">
        <v>964</v>
      </c>
      <c r="D180" s="994">
        <f t="shared" si="6"/>
        <v>23</v>
      </c>
      <c r="E180" s="995" t="str">
        <f>IF(Comments!A26="","",CONCATENATE(Comments!A26,CHAR(10)))</f>
        <v/>
      </c>
      <c r="F180" s="997">
        <f t="shared" si="5"/>
        <v>0</v>
      </c>
      <c r="G180" s="1167"/>
    </row>
    <row r="181" spans="1:7">
      <c r="A181" s="817"/>
      <c r="B181" s="1174" t="str">
        <f>IF(E181="","",B158)</f>
        <v/>
      </c>
      <c r="C181" s="928" t="s">
        <v>964</v>
      </c>
      <c r="D181" s="994">
        <f t="shared" si="6"/>
        <v>24</v>
      </c>
      <c r="E181" s="995" t="str">
        <f>IF(Comments!A27="","",CONCATENATE(Comments!A27,CHAR(10)))</f>
        <v/>
      </c>
      <c r="F181" s="997">
        <f t="shared" si="5"/>
        <v>0</v>
      </c>
      <c r="G181" s="1167"/>
    </row>
    <row r="182" spans="1:7">
      <c r="A182" s="817"/>
      <c r="B182" s="1174" t="str">
        <f>IF(E182="","",B158)</f>
        <v/>
      </c>
      <c r="C182" s="928" t="s">
        <v>964</v>
      </c>
      <c r="D182" s="994">
        <f t="shared" si="6"/>
        <v>25</v>
      </c>
      <c r="E182" s="995" t="str">
        <f>IF(Comments!A28="","",CONCATENATE(Comments!A28,CHAR(10)))</f>
        <v/>
      </c>
      <c r="F182" s="997">
        <f t="shared" si="5"/>
        <v>0</v>
      </c>
      <c r="G182" s="1167"/>
    </row>
    <row r="183" spans="1:7">
      <c r="A183" s="817"/>
      <c r="B183" s="1174" t="str">
        <f>IF(E183="","",B158)</f>
        <v/>
      </c>
      <c r="C183" s="928" t="s">
        <v>964</v>
      </c>
      <c r="D183" s="994">
        <f t="shared" si="6"/>
        <v>26</v>
      </c>
      <c r="E183" s="995" t="str">
        <f>IF(Comments!A29="","",CONCATENATE(Comments!A29,CHAR(10)))</f>
        <v/>
      </c>
      <c r="F183" s="997">
        <f t="shared" si="5"/>
        <v>0</v>
      </c>
      <c r="G183" s="1167"/>
    </row>
    <row r="184" spans="1:7">
      <c r="A184" s="817"/>
      <c r="B184" s="1174" t="str">
        <f>IF(E184="","",B158)</f>
        <v/>
      </c>
      <c r="C184" s="928" t="s">
        <v>964</v>
      </c>
      <c r="D184" s="994">
        <f t="shared" si="6"/>
        <v>27</v>
      </c>
      <c r="E184" s="995" t="str">
        <f>IF(Comments!A30="","",CONCATENATE(Comments!A30,CHAR(10)))</f>
        <v/>
      </c>
      <c r="F184" s="997">
        <f t="shared" si="5"/>
        <v>0</v>
      </c>
      <c r="G184" s="1167"/>
    </row>
    <row r="185" spans="1:7">
      <c r="A185" s="817"/>
      <c r="B185" s="1174" t="str">
        <f>IF(E185="","",B158)</f>
        <v/>
      </c>
      <c r="C185" s="928" t="s">
        <v>964</v>
      </c>
      <c r="D185" s="994">
        <f t="shared" si="6"/>
        <v>28</v>
      </c>
      <c r="E185" s="995" t="str">
        <f>IF(Comments!A31="","",CONCATENATE(Comments!A31,CHAR(10)))</f>
        <v/>
      </c>
      <c r="F185" s="997">
        <f t="shared" si="5"/>
        <v>0</v>
      </c>
      <c r="G185" s="1167"/>
    </row>
    <row r="186" spans="1:7">
      <c r="A186" s="817"/>
      <c r="B186" s="1174" t="str">
        <f>IF(E186="","",B158)</f>
        <v/>
      </c>
      <c r="C186" s="928" t="s">
        <v>964</v>
      </c>
      <c r="D186" s="994">
        <f t="shared" si="6"/>
        <v>29</v>
      </c>
      <c r="E186" s="995" t="str">
        <f>IF(Comments!A32="","",CONCATENATE(Comments!A32,CHAR(10)))</f>
        <v/>
      </c>
      <c r="F186" s="997">
        <f t="shared" si="5"/>
        <v>0</v>
      </c>
      <c r="G186" s="1167"/>
    </row>
    <row r="187" spans="1:7">
      <c r="A187" s="817"/>
      <c r="B187" s="1174" t="str">
        <f>IF(E187="","",B158)</f>
        <v/>
      </c>
      <c r="C187" s="928" t="s">
        <v>964</v>
      </c>
      <c r="D187" s="994">
        <f t="shared" si="6"/>
        <v>30</v>
      </c>
      <c r="E187" s="995" t="str">
        <f>IF(Comments!A33="","",CONCATENATE(Comments!A33,CHAR(10)))</f>
        <v/>
      </c>
      <c r="F187" s="997">
        <f t="shared" si="5"/>
        <v>0</v>
      </c>
      <c r="G187" s="1167"/>
    </row>
    <row r="188" spans="1:7">
      <c r="A188" s="817"/>
      <c r="B188" s="1174" t="str">
        <f>IF(E188="","",B158)</f>
        <v/>
      </c>
      <c r="C188" s="928" t="s">
        <v>964</v>
      </c>
      <c r="D188" s="994">
        <f t="shared" si="6"/>
        <v>31</v>
      </c>
      <c r="E188" s="995" t="str">
        <f>IF(Comments!A34="","",CONCATENATE(Comments!A34,CHAR(10)))</f>
        <v/>
      </c>
      <c r="F188" s="997">
        <f t="shared" si="5"/>
        <v>0</v>
      </c>
      <c r="G188" s="1167"/>
    </row>
    <row r="189" spans="1:7">
      <c r="A189" s="817"/>
      <c r="B189" s="1174" t="str">
        <f>IF(E189="","",B158)</f>
        <v/>
      </c>
      <c r="C189" s="928" t="s">
        <v>964</v>
      </c>
      <c r="D189" s="994">
        <f t="shared" si="6"/>
        <v>32</v>
      </c>
      <c r="E189" s="995" t="str">
        <f>IF(Comments!A35="","",CONCATENATE(Comments!A35,CHAR(10)))</f>
        <v/>
      </c>
      <c r="F189" s="997">
        <f t="shared" si="5"/>
        <v>0</v>
      </c>
      <c r="G189" s="1167"/>
    </row>
    <row r="190" spans="1:7">
      <c r="A190" s="817"/>
      <c r="B190" s="1174" t="str">
        <f>IF(E190="","",B158)</f>
        <v/>
      </c>
      <c r="C190" s="928" t="s">
        <v>964</v>
      </c>
      <c r="D190" s="994">
        <f t="shared" si="6"/>
        <v>33</v>
      </c>
      <c r="E190" s="995" t="str">
        <f>IF(Comments!A36="","",CONCATENATE(Comments!A36,CHAR(10)))</f>
        <v/>
      </c>
      <c r="F190" s="997">
        <f t="shared" si="5"/>
        <v>0</v>
      </c>
      <c r="G190" s="1167"/>
    </row>
    <row r="191" spans="1:7">
      <c r="A191" s="817"/>
      <c r="B191" s="1174" t="str">
        <f>IF(E191="","",B158)</f>
        <v/>
      </c>
      <c r="C191" s="928" t="s">
        <v>964</v>
      </c>
      <c r="D191" s="994">
        <f t="shared" si="6"/>
        <v>34</v>
      </c>
      <c r="E191" s="995" t="str">
        <f>IF(Comments!A37="","",CONCATENATE(Comments!A37,CHAR(10)))</f>
        <v/>
      </c>
      <c r="F191" s="997">
        <f t="shared" si="5"/>
        <v>0</v>
      </c>
      <c r="G191" s="1167"/>
    </row>
    <row r="192" spans="1:7">
      <c r="A192" s="817"/>
      <c r="B192" s="1174" t="str">
        <f>IF(E192="","",B158)</f>
        <v/>
      </c>
      <c r="C192" s="928" t="s">
        <v>964</v>
      </c>
      <c r="D192" s="994">
        <f t="shared" si="6"/>
        <v>35</v>
      </c>
      <c r="E192" s="995" t="str">
        <f>IF(Comments!A38="","",CONCATENATE(Comments!A38,CHAR(10)))</f>
        <v/>
      </c>
      <c r="F192" s="997">
        <f t="shared" si="5"/>
        <v>0</v>
      </c>
      <c r="G192" s="1167"/>
    </row>
    <row r="193" spans="1:7">
      <c r="A193" s="817"/>
      <c r="B193" s="1174" t="str">
        <f>IF(E193="","",B158)</f>
        <v/>
      </c>
      <c r="C193" s="928" t="s">
        <v>964</v>
      </c>
      <c r="D193" s="994">
        <f t="shared" si="6"/>
        <v>36</v>
      </c>
      <c r="E193" s="995" t="str">
        <f>IF(Comments!A39="","",CONCATENATE(Comments!A39,CHAR(10)))</f>
        <v/>
      </c>
      <c r="F193" s="997">
        <f t="shared" si="5"/>
        <v>0</v>
      </c>
      <c r="G193" s="1167"/>
    </row>
    <row r="194" spans="1:7">
      <c r="A194" s="817"/>
      <c r="B194" s="1174" t="str">
        <f>IF(E194="","",B158)</f>
        <v/>
      </c>
      <c r="C194" s="928" t="s">
        <v>964</v>
      </c>
      <c r="D194" s="994">
        <f t="shared" si="6"/>
        <v>37</v>
      </c>
      <c r="E194" s="995" t="str">
        <f>IF(Comments!A40="","",CONCATENATE(Comments!A40,CHAR(10)))</f>
        <v/>
      </c>
      <c r="F194" s="997">
        <f t="shared" si="5"/>
        <v>0</v>
      </c>
      <c r="G194" s="1167"/>
    </row>
    <row r="195" spans="1:7">
      <c r="A195" s="817"/>
      <c r="B195" s="1174" t="str">
        <f>IF(E195="","",B158)</f>
        <v/>
      </c>
      <c r="C195" s="928" t="s">
        <v>964</v>
      </c>
      <c r="D195" s="994">
        <f t="shared" si="6"/>
        <v>38</v>
      </c>
      <c r="E195" s="995" t="str">
        <f>IF(Comments!A41="","",CONCATENATE(Comments!A41,CHAR(10)))</f>
        <v/>
      </c>
      <c r="F195" s="997">
        <f t="shared" si="5"/>
        <v>0</v>
      </c>
      <c r="G195" s="1167"/>
    </row>
    <row r="196" spans="1:7">
      <c r="A196" s="817"/>
      <c r="B196" s="1174" t="str">
        <f>IF(E196="","",B158)</f>
        <v/>
      </c>
      <c r="C196" s="928" t="s">
        <v>964</v>
      </c>
      <c r="D196" s="994">
        <f t="shared" si="6"/>
        <v>39</v>
      </c>
      <c r="E196" s="995" t="str">
        <f>IF(Comments!A42="","",CONCATENATE(Comments!A42,CHAR(10)))</f>
        <v/>
      </c>
      <c r="F196" s="997">
        <f t="shared" si="5"/>
        <v>0</v>
      </c>
      <c r="G196" s="1167"/>
    </row>
    <row r="197" spans="1:7">
      <c r="A197" s="817"/>
      <c r="B197" s="1174" t="str">
        <f>IF(E197="","",B158)</f>
        <v/>
      </c>
      <c r="C197" s="928" t="s">
        <v>964</v>
      </c>
      <c r="D197" s="994">
        <f t="shared" si="6"/>
        <v>40</v>
      </c>
      <c r="E197" s="995" t="str">
        <f>IF(Comments!A43="","",CONCATENATE(Comments!A43,CHAR(10)))</f>
        <v/>
      </c>
      <c r="F197" s="997">
        <f t="shared" si="5"/>
        <v>0</v>
      </c>
      <c r="G197" s="1167"/>
    </row>
    <row r="198" spans="1:7">
      <c r="A198" s="817"/>
      <c r="B198" s="1174" t="str">
        <f>IF(E198="","",B158)</f>
        <v/>
      </c>
      <c r="C198" s="928" t="s">
        <v>964</v>
      </c>
      <c r="D198" s="994">
        <f t="shared" si="6"/>
        <v>41</v>
      </c>
      <c r="E198" s="995" t="str">
        <f>IF(Comments!A44="","",CONCATENATE(Comments!A44,CHAR(10)))</f>
        <v/>
      </c>
      <c r="F198" s="997">
        <f t="shared" si="5"/>
        <v>0</v>
      </c>
      <c r="G198" s="1167"/>
    </row>
    <row r="199" spans="1:7">
      <c r="A199" s="817"/>
      <c r="B199" s="1174" t="str">
        <f>IF(E199="","",B158)</f>
        <v/>
      </c>
      <c r="C199" s="928" t="s">
        <v>964</v>
      </c>
      <c r="D199" s="994">
        <f t="shared" si="6"/>
        <v>42</v>
      </c>
      <c r="E199" s="995" t="str">
        <f>IF(Comments!A45="","",CONCATENATE(Comments!A45,CHAR(10)))</f>
        <v/>
      </c>
      <c r="F199" s="997">
        <f t="shared" si="5"/>
        <v>0</v>
      </c>
      <c r="G199" s="1167"/>
    </row>
    <row r="200" spans="1:7">
      <c r="A200" s="817"/>
      <c r="B200" s="1174" t="str">
        <f>IF(E200="","",B158)</f>
        <v/>
      </c>
      <c r="C200" s="928" t="s">
        <v>964</v>
      </c>
      <c r="D200" s="994">
        <f t="shared" si="6"/>
        <v>43</v>
      </c>
      <c r="E200" s="995" t="str">
        <f>IF(Comments!A46="","",CONCATENATE(Comments!A46,CHAR(10)))</f>
        <v/>
      </c>
      <c r="F200" s="997">
        <f t="shared" si="5"/>
        <v>0</v>
      </c>
      <c r="G200" s="1167"/>
    </row>
    <row r="201" spans="1:7">
      <c r="A201" s="817"/>
      <c r="B201" s="1174" t="str">
        <f>IF(E201="","",B158)</f>
        <v/>
      </c>
      <c r="C201" s="928" t="s">
        <v>964</v>
      </c>
      <c r="D201" s="994">
        <f t="shared" si="6"/>
        <v>44</v>
      </c>
      <c r="E201" s="995" t="str">
        <f>IF(Comments!A47="","",CONCATENATE(Comments!A47,CHAR(10)))</f>
        <v/>
      </c>
      <c r="F201" s="997">
        <f t="shared" si="5"/>
        <v>0</v>
      </c>
      <c r="G201" s="1167"/>
    </row>
    <row r="202" spans="1:7">
      <c r="A202" s="817"/>
      <c r="B202" s="1174" t="str">
        <f>IF(E202="","",B158)</f>
        <v/>
      </c>
      <c r="C202" s="928" t="s">
        <v>964</v>
      </c>
      <c r="D202" s="994">
        <f t="shared" si="6"/>
        <v>45</v>
      </c>
      <c r="E202" s="995" t="str">
        <f>IF(Comments!A48="","",CONCATENATE(Comments!A48,CHAR(10)))</f>
        <v/>
      </c>
      <c r="F202" s="997">
        <f t="shared" ref="F202:F265" si="7">F201</f>
        <v>0</v>
      </c>
      <c r="G202" s="1167"/>
    </row>
    <row r="203" spans="1:7">
      <c r="A203" s="817"/>
      <c r="B203" s="1174" t="str">
        <f>IF(E203="","",B158)</f>
        <v/>
      </c>
      <c r="C203" s="928" t="s">
        <v>964</v>
      </c>
      <c r="D203" s="994">
        <f t="shared" si="6"/>
        <v>46</v>
      </c>
      <c r="E203" s="995" t="str">
        <f>IF(Comments!A49="","",CONCATENATE(Comments!A49,CHAR(10)))</f>
        <v/>
      </c>
      <c r="F203" s="997">
        <f t="shared" si="7"/>
        <v>0</v>
      </c>
      <c r="G203" s="1167"/>
    </row>
    <row r="204" spans="1:7">
      <c r="A204" s="817"/>
      <c r="B204" s="1174" t="str">
        <f>IF(E204="","",B158)</f>
        <v/>
      </c>
      <c r="C204" s="928" t="s">
        <v>964</v>
      </c>
      <c r="D204" s="994">
        <f t="shared" si="6"/>
        <v>47</v>
      </c>
      <c r="E204" s="995" t="str">
        <f>IF(Comments!A50="","",CONCATENATE(Comments!A50,CHAR(10)))</f>
        <v/>
      </c>
      <c r="F204" s="997">
        <f t="shared" si="7"/>
        <v>0</v>
      </c>
      <c r="G204" s="1167"/>
    </row>
    <row r="205" spans="1:7">
      <c r="A205" s="817"/>
      <c r="B205" s="1174" t="str">
        <f>IF(E205="","",B158)</f>
        <v/>
      </c>
      <c r="C205" s="928" t="s">
        <v>964</v>
      </c>
      <c r="D205" s="994">
        <f t="shared" si="6"/>
        <v>48</v>
      </c>
      <c r="E205" s="995" t="str">
        <f>IF(Comments!A51="","",CONCATENATE(Comments!A51,CHAR(10)))</f>
        <v/>
      </c>
      <c r="F205" s="997">
        <f t="shared" si="7"/>
        <v>0</v>
      </c>
      <c r="G205" s="1167"/>
    </row>
    <row r="206" spans="1:7">
      <c r="A206" s="817"/>
      <c r="B206" s="1174" t="str">
        <f>IF(E206="","",B158)</f>
        <v/>
      </c>
      <c r="C206" s="928" t="s">
        <v>964</v>
      </c>
      <c r="D206" s="994">
        <f t="shared" si="6"/>
        <v>49</v>
      </c>
      <c r="E206" s="995" t="str">
        <f>IF(Comments!A52="","",CONCATENATE(Comments!A52,CHAR(10)))</f>
        <v/>
      </c>
      <c r="F206" s="997">
        <f t="shared" si="7"/>
        <v>0</v>
      </c>
      <c r="G206" s="1167"/>
    </row>
    <row r="207" spans="1:7">
      <c r="A207" s="817"/>
      <c r="B207" s="1174" t="str">
        <f>IF(E207="","",B158)</f>
        <v/>
      </c>
      <c r="C207" s="928" t="s">
        <v>964</v>
      </c>
      <c r="D207" s="994">
        <f t="shared" si="6"/>
        <v>50</v>
      </c>
      <c r="E207" s="995" t="str">
        <f>IF(Comments!A53="","",CONCATENATE(Comments!A53,CHAR(10)))</f>
        <v/>
      </c>
      <c r="F207" s="997">
        <f t="shared" si="7"/>
        <v>0</v>
      </c>
      <c r="G207" s="1167"/>
    </row>
    <row r="208" spans="1:7">
      <c r="A208" s="868" t="s">
        <v>138</v>
      </c>
      <c r="B208" s="1173" t="str">
        <f ca="1">IF(t_smpl!B12=""," ",IF(E208=0,"",CONCATENATE(TEXT(NOW(),"yyyymmddhhmmss"),RIGHT(t_smpl!B12,4))))</f>
        <v xml:space="preserve"> </v>
      </c>
      <c r="C208" s="927" t="s">
        <v>964</v>
      </c>
      <c r="D208" s="993">
        <v>1</v>
      </c>
      <c r="E208" s="995" t="str">
        <f>IF(Comments!A4="","",CONCATENATE(Comments!A4,CHAR(10)))</f>
        <v/>
      </c>
      <c r="F208" s="998">
        <f t="shared" si="7"/>
        <v>0</v>
      </c>
      <c r="G208" s="1172"/>
    </row>
    <row r="209" spans="1:7">
      <c r="A209" s="817"/>
      <c r="B209" s="1174" t="str">
        <f>IF(E209="","",B208)</f>
        <v/>
      </c>
      <c r="C209" s="928" t="s">
        <v>964</v>
      </c>
      <c r="D209" s="994">
        <f>D208+1</f>
        <v>2</v>
      </c>
      <c r="E209" s="995" t="str">
        <f>IF(Comments!A5="","",CONCATENATE(Comments!A5,CHAR(10)))</f>
        <v/>
      </c>
      <c r="F209" s="997">
        <f t="shared" si="7"/>
        <v>0</v>
      </c>
      <c r="G209" s="1167"/>
    </row>
    <row r="210" spans="1:7">
      <c r="A210" s="817"/>
      <c r="B210" s="1174" t="str">
        <f>IF(E210="","",B208)</f>
        <v/>
      </c>
      <c r="C210" s="928" t="s">
        <v>964</v>
      </c>
      <c r="D210" s="994">
        <f t="shared" ref="D210:D257" si="8">D209+1</f>
        <v>3</v>
      </c>
      <c r="E210" s="995" t="str">
        <f>IF(Comments!A6="","",CONCATENATE(Comments!A6,CHAR(10)))</f>
        <v/>
      </c>
      <c r="F210" s="997">
        <f t="shared" si="7"/>
        <v>0</v>
      </c>
      <c r="G210" s="1167"/>
    </row>
    <row r="211" spans="1:7" ht="13.5" customHeight="1">
      <c r="A211" s="817"/>
      <c r="B211" s="1174" t="str">
        <f>IF(E211="","",B208)</f>
        <v/>
      </c>
      <c r="C211" s="928" t="s">
        <v>964</v>
      </c>
      <c r="D211" s="994">
        <f t="shared" si="8"/>
        <v>4</v>
      </c>
      <c r="E211" s="995" t="str">
        <f>IF(Comments!A7="","",CONCATENATE(Comments!A7,CHAR(10)))</f>
        <v/>
      </c>
      <c r="F211" s="997">
        <f t="shared" si="7"/>
        <v>0</v>
      </c>
      <c r="G211" s="1167"/>
    </row>
    <row r="212" spans="1:7">
      <c r="A212" s="817"/>
      <c r="B212" s="1174" t="str">
        <f>IF(E212="","",B208)</f>
        <v/>
      </c>
      <c r="C212" s="928" t="s">
        <v>964</v>
      </c>
      <c r="D212" s="994">
        <f t="shared" si="8"/>
        <v>5</v>
      </c>
      <c r="E212" s="995" t="str">
        <f>IF(Comments!A8="","",CONCATENATE(Comments!A8,CHAR(10)))</f>
        <v/>
      </c>
      <c r="F212" s="997">
        <f t="shared" si="7"/>
        <v>0</v>
      </c>
      <c r="G212" s="1167"/>
    </row>
    <row r="213" spans="1:7">
      <c r="A213" s="817"/>
      <c r="B213" s="1174" t="str">
        <f>IF(E213="","",B208)</f>
        <v/>
      </c>
      <c r="C213" s="928" t="s">
        <v>964</v>
      </c>
      <c r="D213" s="994">
        <f t="shared" si="8"/>
        <v>6</v>
      </c>
      <c r="E213" s="995" t="str">
        <f>IF(Comments!A9="","",CONCATENATE(Comments!A9,CHAR(10)))</f>
        <v/>
      </c>
      <c r="F213" s="997">
        <f t="shared" si="7"/>
        <v>0</v>
      </c>
      <c r="G213" s="1167"/>
    </row>
    <row r="214" spans="1:7">
      <c r="A214" s="817"/>
      <c r="B214" s="1174" t="str">
        <f>IF(E214="","",B208)</f>
        <v/>
      </c>
      <c r="C214" s="928" t="s">
        <v>964</v>
      </c>
      <c r="D214" s="994">
        <f t="shared" si="8"/>
        <v>7</v>
      </c>
      <c r="E214" s="995" t="str">
        <f>IF(Comments!A10="","",CONCATENATE(Comments!A10,CHAR(10)))</f>
        <v/>
      </c>
      <c r="F214" s="997">
        <f t="shared" si="7"/>
        <v>0</v>
      </c>
      <c r="G214" s="1167"/>
    </row>
    <row r="215" spans="1:7">
      <c r="A215" s="817"/>
      <c r="B215" s="1174" t="str">
        <f>IF(E215="","",B208)</f>
        <v/>
      </c>
      <c r="C215" s="928" t="s">
        <v>964</v>
      </c>
      <c r="D215" s="994">
        <f t="shared" si="8"/>
        <v>8</v>
      </c>
      <c r="E215" s="995" t="str">
        <f>IF(Comments!A11="","",CONCATENATE(Comments!A11,CHAR(10)))</f>
        <v/>
      </c>
      <c r="F215" s="997">
        <f t="shared" si="7"/>
        <v>0</v>
      </c>
      <c r="G215" s="1167"/>
    </row>
    <row r="216" spans="1:7">
      <c r="A216" s="817"/>
      <c r="B216" s="1174" t="str">
        <f>IF(E216="","",B208)</f>
        <v/>
      </c>
      <c r="C216" s="928" t="s">
        <v>964</v>
      </c>
      <c r="D216" s="994">
        <f t="shared" si="8"/>
        <v>9</v>
      </c>
      <c r="E216" s="995" t="str">
        <f>IF(Comments!A12="","",CONCATENATE(Comments!A12,CHAR(10)))</f>
        <v/>
      </c>
      <c r="F216" s="997">
        <f t="shared" si="7"/>
        <v>0</v>
      </c>
      <c r="G216" s="1167"/>
    </row>
    <row r="217" spans="1:7">
      <c r="A217" s="817"/>
      <c r="B217" s="1174" t="str">
        <f>IF(E217="","",B208)</f>
        <v/>
      </c>
      <c r="C217" s="928" t="s">
        <v>964</v>
      </c>
      <c r="D217" s="994">
        <f t="shared" si="8"/>
        <v>10</v>
      </c>
      <c r="E217" s="995" t="str">
        <f>IF(Comments!A13="","",CONCATENATE(Comments!A13,CHAR(10)))</f>
        <v/>
      </c>
      <c r="F217" s="997">
        <f t="shared" si="7"/>
        <v>0</v>
      </c>
      <c r="G217" s="1167"/>
    </row>
    <row r="218" spans="1:7">
      <c r="A218" s="817"/>
      <c r="B218" s="1174" t="str">
        <f>IF(E218="","",B208)</f>
        <v/>
      </c>
      <c r="C218" s="928" t="s">
        <v>964</v>
      </c>
      <c r="D218" s="994">
        <f t="shared" si="8"/>
        <v>11</v>
      </c>
      <c r="E218" s="995" t="str">
        <f>IF(Comments!A14="","",CONCATENATE(Comments!A14,CHAR(10)))</f>
        <v/>
      </c>
      <c r="F218" s="997">
        <f t="shared" si="7"/>
        <v>0</v>
      </c>
      <c r="G218" s="1167"/>
    </row>
    <row r="219" spans="1:7">
      <c r="A219" s="817"/>
      <c r="B219" s="1174" t="str">
        <f>IF(E219="","",B208)</f>
        <v/>
      </c>
      <c r="C219" s="928" t="s">
        <v>964</v>
      </c>
      <c r="D219" s="994">
        <f t="shared" si="8"/>
        <v>12</v>
      </c>
      <c r="E219" s="995" t="str">
        <f>IF(Comments!A15="","",CONCATENATE(Comments!A15,CHAR(10)))</f>
        <v/>
      </c>
      <c r="F219" s="997">
        <f t="shared" si="7"/>
        <v>0</v>
      </c>
      <c r="G219" s="1167"/>
    </row>
    <row r="220" spans="1:7">
      <c r="A220" s="817"/>
      <c r="B220" s="1174" t="str">
        <f>IF(E220="","",B208)</f>
        <v/>
      </c>
      <c r="C220" s="928" t="s">
        <v>964</v>
      </c>
      <c r="D220" s="994">
        <f t="shared" si="8"/>
        <v>13</v>
      </c>
      <c r="E220" s="995" t="str">
        <f>IF(Comments!A16="","",CONCATENATE(Comments!A16,CHAR(10)))</f>
        <v/>
      </c>
      <c r="F220" s="997">
        <f t="shared" si="7"/>
        <v>0</v>
      </c>
      <c r="G220" s="1167"/>
    </row>
    <row r="221" spans="1:7">
      <c r="A221" s="817"/>
      <c r="B221" s="1174" t="str">
        <f>IF(E221="","",B208)</f>
        <v/>
      </c>
      <c r="C221" s="928" t="s">
        <v>964</v>
      </c>
      <c r="D221" s="994">
        <f t="shared" si="8"/>
        <v>14</v>
      </c>
      <c r="E221" s="995" t="str">
        <f>IF(Comments!A17="","",CONCATENATE(Comments!A17,CHAR(10)))</f>
        <v/>
      </c>
      <c r="F221" s="997">
        <f t="shared" si="7"/>
        <v>0</v>
      </c>
      <c r="G221" s="1167"/>
    </row>
    <row r="222" spans="1:7">
      <c r="A222" s="817"/>
      <c r="B222" s="1174" t="str">
        <f>IF(E222="","",B208)</f>
        <v/>
      </c>
      <c r="C222" s="928" t="s">
        <v>964</v>
      </c>
      <c r="D222" s="994">
        <f t="shared" si="8"/>
        <v>15</v>
      </c>
      <c r="E222" s="995" t="str">
        <f>IF(Comments!A18="","",CONCATENATE(Comments!A18,CHAR(10)))</f>
        <v/>
      </c>
      <c r="F222" s="997">
        <f t="shared" si="7"/>
        <v>0</v>
      </c>
      <c r="G222" s="1167"/>
    </row>
    <row r="223" spans="1:7">
      <c r="A223" s="817"/>
      <c r="B223" s="1174" t="str">
        <f>IF(E223="","",B208)</f>
        <v/>
      </c>
      <c r="C223" s="928" t="s">
        <v>964</v>
      </c>
      <c r="D223" s="994">
        <f t="shared" si="8"/>
        <v>16</v>
      </c>
      <c r="E223" s="995" t="str">
        <f>IF(Comments!A19="","",CONCATENATE(Comments!A19,CHAR(10)))</f>
        <v/>
      </c>
      <c r="F223" s="997">
        <f t="shared" si="7"/>
        <v>0</v>
      </c>
      <c r="G223" s="1167"/>
    </row>
    <row r="224" spans="1:7">
      <c r="A224" s="817"/>
      <c r="B224" s="1174" t="str">
        <f>IF(E224="","",B208)</f>
        <v/>
      </c>
      <c r="C224" s="928" t="s">
        <v>964</v>
      </c>
      <c r="D224" s="994">
        <f t="shared" si="8"/>
        <v>17</v>
      </c>
      <c r="E224" s="995" t="str">
        <f>IF(Comments!A20="","",CONCATENATE(Comments!A20,CHAR(10)))</f>
        <v/>
      </c>
      <c r="F224" s="997">
        <f t="shared" si="7"/>
        <v>0</v>
      </c>
      <c r="G224" s="1167"/>
    </row>
    <row r="225" spans="1:7">
      <c r="A225" s="817"/>
      <c r="B225" s="1174" t="str">
        <f>IF(E225="","",B208)</f>
        <v/>
      </c>
      <c r="C225" s="928" t="s">
        <v>964</v>
      </c>
      <c r="D225" s="994">
        <f t="shared" si="8"/>
        <v>18</v>
      </c>
      <c r="E225" s="995" t="str">
        <f>IF(Comments!A21="","",CONCATENATE(Comments!A21,CHAR(10)))</f>
        <v/>
      </c>
      <c r="F225" s="997">
        <f t="shared" si="7"/>
        <v>0</v>
      </c>
      <c r="G225" s="1167"/>
    </row>
    <row r="226" spans="1:7">
      <c r="A226" s="817"/>
      <c r="B226" s="1174" t="str">
        <f>IF(E226="","",B208)</f>
        <v/>
      </c>
      <c r="C226" s="928" t="s">
        <v>964</v>
      </c>
      <c r="D226" s="994">
        <f t="shared" si="8"/>
        <v>19</v>
      </c>
      <c r="E226" s="995" t="str">
        <f>IF(Comments!A22="","",CONCATENATE(Comments!A22,CHAR(10)))</f>
        <v/>
      </c>
      <c r="F226" s="997">
        <f t="shared" si="7"/>
        <v>0</v>
      </c>
      <c r="G226" s="1167"/>
    </row>
    <row r="227" spans="1:7">
      <c r="A227" s="817"/>
      <c r="B227" s="1174" t="str">
        <f>IF(E227="","",B208)</f>
        <v/>
      </c>
      <c r="C227" s="928" t="s">
        <v>964</v>
      </c>
      <c r="D227" s="994">
        <f t="shared" si="8"/>
        <v>20</v>
      </c>
      <c r="E227" s="995" t="str">
        <f>IF(Comments!A23="","",CONCATENATE(Comments!A23,CHAR(10)))</f>
        <v/>
      </c>
      <c r="F227" s="997">
        <f t="shared" si="7"/>
        <v>0</v>
      </c>
      <c r="G227" s="1167"/>
    </row>
    <row r="228" spans="1:7">
      <c r="A228" s="817"/>
      <c r="B228" s="1174" t="str">
        <f>IF(E228="","",B208)</f>
        <v/>
      </c>
      <c r="C228" s="928" t="s">
        <v>964</v>
      </c>
      <c r="D228" s="994">
        <f t="shared" si="8"/>
        <v>21</v>
      </c>
      <c r="E228" s="995" t="str">
        <f>IF(Comments!A24="","",CONCATENATE(Comments!A24,CHAR(10)))</f>
        <v/>
      </c>
      <c r="F228" s="997">
        <f t="shared" si="7"/>
        <v>0</v>
      </c>
      <c r="G228" s="1167"/>
    </row>
    <row r="229" spans="1:7">
      <c r="A229" s="817"/>
      <c r="B229" s="1174" t="str">
        <f>IF(E229="","",B208)</f>
        <v/>
      </c>
      <c r="C229" s="928" t="s">
        <v>964</v>
      </c>
      <c r="D229" s="994">
        <f t="shared" si="8"/>
        <v>22</v>
      </c>
      <c r="E229" s="995" t="str">
        <f>IF(Comments!A25="","",CONCATENATE(Comments!A25,CHAR(10)))</f>
        <v/>
      </c>
      <c r="F229" s="997">
        <f t="shared" si="7"/>
        <v>0</v>
      </c>
      <c r="G229" s="1167"/>
    </row>
    <row r="230" spans="1:7">
      <c r="A230" s="817"/>
      <c r="B230" s="1174" t="str">
        <f>IF(E230="","",B208)</f>
        <v/>
      </c>
      <c r="C230" s="928" t="s">
        <v>964</v>
      </c>
      <c r="D230" s="994">
        <f t="shared" si="8"/>
        <v>23</v>
      </c>
      <c r="E230" s="995" t="str">
        <f>IF(Comments!A26="","",CONCATENATE(Comments!A26,CHAR(10)))</f>
        <v/>
      </c>
      <c r="F230" s="997">
        <f t="shared" si="7"/>
        <v>0</v>
      </c>
      <c r="G230" s="1167"/>
    </row>
    <row r="231" spans="1:7">
      <c r="A231" s="817"/>
      <c r="B231" s="1174" t="str">
        <f>IF(E231="","",B208)</f>
        <v/>
      </c>
      <c r="C231" s="928" t="s">
        <v>964</v>
      </c>
      <c r="D231" s="994">
        <f t="shared" si="8"/>
        <v>24</v>
      </c>
      <c r="E231" s="995" t="str">
        <f>IF(Comments!A27="","",CONCATENATE(Comments!A27,CHAR(10)))</f>
        <v/>
      </c>
      <c r="F231" s="997">
        <f t="shared" si="7"/>
        <v>0</v>
      </c>
      <c r="G231" s="1167"/>
    </row>
    <row r="232" spans="1:7">
      <c r="A232" s="817"/>
      <c r="B232" s="1174" t="str">
        <f>IF(E232="","",B208)</f>
        <v/>
      </c>
      <c r="C232" s="928" t="s">
        <v>964</v>
      </c>
      <c r="D232" s="994">
        <f t="shared" si="8"/>
        <v>25</v>
      </c>
      <c r="E232" s="995" t="str">
        <f>IF(Comments!A28="","",CONCATENATE(Comments!A28,CHAR(10)))</f>
        <v/>
      </c>
      <c r="F232" s="997">
        <f t="shared" si="7"/>
        <v>0</v>
      </c>
      <c r="G232" s="1167"/>
    </row>
    <row r="233" spans="1:7">
      <c r="A233" s="817"/>
      <c r="B233" s="1174" t="str">
        <f>IF(E233="","",B208)</f>
        <v/>
      </c>
      <c r="C233" s="928" t="s">
        <v>964</v>
      </c>
      <c r="D233" s="994">
        <f t="shared" si="8"/>
        <v>26</v>
      </c>
      <c r="E233" s="995" t="str">
        <f>IF(Comments!A29="","",CONCATENATE(Comments!A29,CHAR(10)))</f>
        <v/>
      </c>
      <c r="F233" s="997">
        <f t="shared" si="7"/>
        <v>0</v>
      </c>
      <c r="G233" s="1167"/>
    </row>
    <row r="234" spans="1:7">
      <c r="A234" s="817"/>
      <c r="B234" s="1174" t="str">
        <f>IF(E234="","",B208)</f>
        <v/>
      </c>
      <c r="C234" s="928" t="s">
        <v>964</v>
      </c>
      <c r="D234" s="994">
        <f t="shared" si="8"/>
        <v>27</v>
      </c>
      <c r="E234" s="995" t="str">
        <f>IF(Comments!A30="","",CONCATENATE(Comments!A30,CHAR(10)))</f>
        <v/>
      </c>
      <c r="F234" s="997">
        <f t="shared" si="7"/>
        <v>0</v>
      </c>
      <c r="G234" s="1167"/>
    </row>
    <row r="235" spans="1:7">
      <c r="A235" s="817"/>
      <c r="B235" s="1174" t="str">
        <f>IF(E235="","",B208)</f>
        <v/>
      </c>
      <c r="C235" s="928" t="s">
        <v>964</v>
      </c>
      <c r="D235" s="994">
        <f t="shared" si="8"/>
        <v>28</v>
      </c>
      <c r="E235" s="995" t="str">
        <f>IF(Comments!A31="","",CONCATENATE(Comments!A31,CHAR(10)))</f>
        <v/>
      </c>
      <c r="F235" s="997">
        <f t="shared" si="7"/>
        <v>0</v>
      </c>
      <c r="G235" s="1167"/>
    </row>
    <row r="236" spans="1:7">
      <c r="A236" s="817"/>
      <c r="B236" s="1174" t="str">
        <f>IF(E236="","",B208)</f>
        <v/>
      </c>
      <c r="C236" s="928" t="s">
        <v>964</v>
      </c>
      <c r="D236" s="994">
        <f t="shared" si="8"/>
        <v>29</v>
      </c>
      <c r="E236" s="995" t="str">
        <f>IF(Comments!A32="","",CONCATENATE(Comments!A32,CHAR(10)))</f>
        <v/>
      </c>
      <c r="F236" s="997">
        <f t="shared" si="7"/>
        <v>0</v>
      </c>
      <c r="G236" s="1167"/>
    </row>
    <row r="237" spans="1:7">
      <c r="A237" s="817"/>
      <c r="B237" s="1174" t="str">
        <f>IF(E237="","",B208)</f>
        <v/>
      </c>
      <c r="C237" s="928" t="s">
        <v>964</v>
      </c>
      <c r="D237" s="994">
        <f t="shared" si="8"/>
        <v>30</v>
      </c>
      <c r="E237" s="995" t="str">
        <f>IF(Comments!A33="","",CONCATENATE(Comments!A33,CHAR(10)))</f>
        <v/>
      </c>
      <c r="F237" s="997">
        <f t="shared" si="7"/>
        <v>0</v>
      </c>
      <c r="G237" s="1167"/>
    </row>
    <row r="238" spans="1:7">
      <c r="A238" s="817"/>
      <c r="B238" s="1174" t="str">
        <f>IF(E238="","",B208)</f>
        <v/>
      </c>
      <c r="C238" s="928" t="s">
        <v>964</v>
      </c>
      <c r="D238" s="994">
        <f t="shared" si="8"/>
        <v>31</v>
      </c>
      <c r="E238" s="995" t="str">
        <f>IF(Comments!A34="","",CONCATENATE(Comments!A34,CHAR(10)))</f>
        <v/>
      </c>
      <c r="F238" s="997">
        <f t="shared" si="7"/>
        <v>0</v>
      </c>
      <c r="G238" s="1167"/>
    </row>
    <row r="239" spans="1:7">
      <c r="A239" s="817"/>
      <c r="B239" s="1174" t="str">
        <f>IF(E239="","",B208)</f>
        <v/>
      </c>
      <c r="C239" s="928" t="s">
        <v>964</v>
      </c>
      <c r="D239" s="994">
        <f t="shared" si="8"/>
        <v>32</v>
      </c>
      <c r="E239" s="995" t="str">
        <f>IF(Comments!A35="","",CONCATENATE(Comments!A35,CHAR(10)))</f>
        <v/>
      </c>
      <c r="F239" s="997">
        <f t="shared" si="7"/>
        <v>0</v>
      </c>
      <c r="G239" s="1167"/>
    </row>
    <row r="240" spans="1:7">
      <c r="A240" s="817"/>
      <c r="B240" s="1174" t="str">
        <f>IF(E240="","",B208)</f>
        <v/>
      </c>
      <c r="C240" s="928" t="s">
        <v>964</v>
      </c>
      <c r="D240" s="994">
        <f t="shared" si="8"/>
        <v>33</v>
      </c>
      <c r="E240" s="995" t="str">
        <f>IF(Comments!A36="","",CONCATENATE(Comments!A36,CHAR(10)))</f>
        <v/>
      </c>
      <c r="F240" s="997">
        <f t="shared" si="7"/>
        <v>0</v>
      </c>
      <c r="G240" s="1167"/>
    </row>
    <row r="241" spans="1:7">
      <c r="A241" s="817"/>
      <c r="B241" s="1174" t="str">
        <f>IF(E241="","",B208)</f>
        <v/>
      </c>
      <c r="C241" s="928" t="s">
        <v>964</v>
      </c>
      <c r="D241" s="994">
        <f t="shared" si="8"/>
        <v>34</v>
      </c>
      <c r="E241" s="995" t="str">
        <f>IF(Comments!A37="","",CONCATENATE(Comments!A37,CHAR(10)))</f>
        <v/>
      </c>
      <c r="F241" s="997">
        <f t="shared" si="7"/>
        <v>0</v>
      </c>
      <c r="G241" s="1167"/>
    </row>
    <row r="242" spans="1:7">
      <c r="A242" s="817"/>
      <c r="B242" s="1174" t="str">
        <f>IF(E242="","",B208)</f>
        <v/>
      </c>
      <c r="C242" s="928" t="s">
        <v>964</v>
      </c>
      <c r="D242" s="994">
        <f t="shared" si="8"/>
        <v>35</v>
      </c>
      <c r="E242" s="995" t="str">
        <f>IF(Comments!A38="","",CONCATENATE(Comments!A38,CHAR(10)))</f>
        <v/>
      </c>
      <c r="F242" s="997">
        <f t="shared" si="7"/>
        <v>0</v>
      </c>
      <c r="G242" s="1167"/>
    </row>
    <row r="243" spans="1:7">
      <c r="A243" s="817"/>
      <c r="B243" s="1174" t="str">
        <f>IF(E243="","",B208)</f>
        <v/>
      </c>
      <c r="C243" s="928" t="s">
        <v>964</v>
      </c>
      <c r="D243" s="994">
        <f t="shared" si="8"/>
        <v>36</v>
      </c>
      <c r="E243" s="995" t="str">
        <f>IF(Comments!A39="","",CONCATENATE(Comments!A39,CHAR(10)))</f>
        <v/>
      </c>
      <c r="F243" s="997">
        <f t="shared" si="7"/>
        <v>0</v>
      </c>
      <c r="G243" s="1167"/>
    </row>
    <row r="244" spans="1:7">
      <c r="A244" s="817"/>
      <c r="B244" s="1174" t="str">
        <f>IF(E244="","",B208)</f>
        <v/>
      </c>
      <c r="C244" s="928" t="s">
        <v>964</v>
      </c>
      <c r="D244" s="994">
        <f t="shared" si="8"/>
        <v>37</v>
      </c>
      <c r="E244" s="995" t="str">
        <f>IF(Comments!A40="","",CONCATENATE(Comments!A40,CHAR(10)))</f>
        <v/>
      </c>
      <c r="F244" s="997">
        <f t="shared" si="7"/>
        <v>0</v>
      </c>
      <c r="G244" s="1167"/>
    </row>
    <row r="245" spans="1:7">
      <c r="A245" s="817"/>
      <c r="B245" s="1174" t="str">
        <f>IF(E245="","",B208)</f>
        <v/>
      </c>
      <c r="C245" s="928" t="s">
        <v>964</v>
      </c>
      <c r="D245" s="994">
        <f t="shared" si="8"/>
        <v>38</v>
      </c>
      <c r="E245" s="995" t="str">
        <f>IF(Comments!A41="","",CONCATENATE(Comments!A41,CHAR(10)))</f>
        <v/>
      </c>
      <c r="F245" s="997">
        <f t="shared" si="7"/>
        <v>0</v>
      </c>
      <c r="G245" s="1167"/>
    </row>
    <row r="246" spans="1:7">
      <c r="A246" s="817"/>
      <c r="B246" s="1174" t="str">
        <f>IF(E246="","",B208)</f>
        <v/>
      </c>
      <c r="C246" s="928" t="s">
        <v>964</v>
      </c>
      <c r="D246" s="994">
        <f t="shared" si="8"/>
        <v>39</v>
      </c>
      <c r="E246" s="995" t="str">
        <f>IF(Comments!A42="","",CONCATENATE(Comments!A42,CHAR(10)))</f>
        <v/>
      </c>
      <c r="F246" s="997">
        <f t="shared" si="7"/>
        <v>0</v>
      </c>
      <c r="G246" s="1167"/>
    </row>
    <row r="247" spans="1:7">
      <c r="A247" s="817"/>
      <c r="B247" s="1174" t="str">
        <f>IF(E247="","",B208)</f>
        <v/>
      </c>
      <c r="C247" s="928" t="s">
        <v>964</v>
      </c>
      <c r="D247" s="994">
        <f t="shared" si="8"/>
        <v>40</v>
      </c>
      <c r="E247" s="995" t="str">
        <f>IF(Comments!A43="","",CONCATENATE(Comments!A43,CHAR(10)))</f>
        <v/>
      </c>
      <c r="F247" s="997">
        <f t="shared" si="7"/>
        <v>0</v>
      </c>
      <c r="G247" s="1167"/>
    </row>
    <row r="248" spans="1:7">
      <c r="A248" s="817"/>
      <c r="B248" s="1174" t="str">
        <f>IF(E248="","",B208)</f>
        <v/>
      </c>
      <c r="C248" s="928" t="s">
        <v>964</v>
      </c>
      <c r="D248" s="994">
        <f t="shared" si="8"/>
        <v>41</v>
      </c>
      <c r="E248" s="995" t="str">
        <f>IF(Comments!A44="","",CONCATENATE(Comments!A44,CHAR(10)))</f>
        <v/>
      </c>
      <c r="F248" s="997">
        <f t="shared" si="7"/>
        <v>0</v>
      </c>
      <c r="G248" s="1167"/>
    </row>
    <row r="249" spans="1:7">
      <c r="A249" s="817"/>
      <c r="B249" s="1174" t="str">
        <f>IF(E249="","",B208)</f>
        <v/>
      </c>
      <c r="C249" s="928" t="s">
        <v>964</v>
      </c>
      <c r="D249" s="994">
        <f t="shared" si="8"/>
        <v>42</v>
      </c>
      <c r="E249" s="995" t="str">
        <f>IF(Comments!A45="","",CONCATENATE(Comments!A45,CHAR(10)))</f>
        <v/>
      </c>
      <c r="F249" s="997">
        <f t="shared" si="7"/>
        <v>0</v>
      </c>
      <c r="G249" s="1167"/>
    </row>
    <row r="250" spans="1:7">
      <c r="A250" s="817"/>
      <c r="B250" s="1174" t="str">
        <f>IF(E250="","",B208)</f>
        <v/>
      </c>
      <c r="C250" s="928" t="s">
        <v>964</v>
      </c>
      <c r="D250" s="994">
        <f t="shared" si="8"/>
        <v>43</v>
      </c>
      <c r="E250" s="995" t="str">
        <f>IF(Comments!A46="","",CONCATENATE(Comments!A46,CHAR(10)))</f>
        <v/>
      </c>
      <c r="F250" s="997">
        <f t="shared" si="7"/>
        <v>0</v>
      </c>
      <c r="G250" s="1167"/>
    </row>
    <row r="251" spans="1:7">
      <c r="A251" s="817"/>
      <c r="B251" s="1174" t="str">
        <f>IF(E251="","",B208)</f>
        <v/>
      </c>
      <c r="C251" s="928" t="s">
        <v>964</v>
      </c>
      <c r="D251" s="994">
        <f t="shared" si="8"/>
        <v>44</v>
      </c>
      <c r="E251" s="995" t="str">
        <f>IF(Comments!A47="","",CONCATENATE(Comments!A47,CHAR(10)))</f>
        <v/>
      </c>
      <c r="F251" s="997">
        <f t="shared" si="7"/>
        <v>0</v>
      </c>
      <c r="G251" s="1167"/>
    </row>
    <row r="252" spans="1:7">
      <c r="A252" s="817"/>
      <c r="B252" s="1174" t="str">
        <f>IF(E252="","",B208)</f>
        <v/>
      </c>
      <c r="C252" s="928" t="s">
        <v>964</v>
      </c>
      <c r="D252" s="994">
        <f t="shared" si="8"/>
        <v>45</v>
      </c>
      <c r="E252" s="995" t="str">
        <f>IF(Comments!A48="","",CONCATENATE(Comments!A48,CHAR(10)))</f>
        <v/>
      </c>
      <c r="F252" s="997">
        <f t="shared" si="7"/>
        <v>0</v>
      </c>
      <c r="G252" s="1167"/>
    </row>
    <row r="253" spans="1:7">
      <c r="A253" s="817"/>
      <c r="B253" s="1174" t="str">
        <f>IF(E253="","",B208)</f>
        <v/>
      </c>
      <c r="C253" s="928" t="s">
        <v>964</v>
      </c>
      <c r="D253" s="994">
        <f t="shared" si="8"/>
        <v>46</v>
      </c>
      <c r="E253" s="995" t="str">
        <f>IF(Comments!A49="","",CONCATENATE(Comments!A49,CHAR(10)))</f>
        <v/>
      </c>
      <c r="F253" s="997">
        <f t="shared" si="7"/>
        <v>0</v>
      </c>
      <c r="G253" s="1167"/>
    </row>
    <row r="254" spans="1:7">
      <c r="A254" s="817"/>
      <c r="B254" s="1174" t="str">
        <f>IF(E254="","",B208)</f>
        <v/>
      </c>
      <c r="C254" s="928" t="s">
        <v>964</v>
      </c>
      <c r="D254" s="994">
        <f t="shared" si="8"/>
        <v>47</v>
      </c>
      <c r="E254" s="995" t="str">
        <f>IF(Comments!A50="","",CONCATENATE(Comments!A50,CHAR(10)))</f>
        <v/>
      </c>
      <c r="F254" s="997">
        <f t="shared" si="7"/>
        <v>0</v>
      </c>
      <c r="G254" s="1167"/>
    </row>
    <row r="255" spans="1:7">
      <c r="A255" s="817"/>
      <c r="B255" s="1174" t="str">
        <f>IF(E255="","",B208)</f>
        <v/>
      </c>
      <c r="C255" s="928" t="s">
        <v>964</v>
      </c>
      <c r="D255" s="994">
        <f t="shared" si="8"/>
        <v>48</v>
      </c>
      <c r="E255" s="995" t="str">
        <f>IF(Comments!A51="","",CONCATENATE(Comments!A51,CHAR(10)))</f>
        <v/>
      </c>
      <c r="F255" s="997">
        <f t="shared" si="7"/>
        <v>0</v>
      </c>
      <c r="G255" s="1167"/>
    </row>
    <row r="256" spans="1:7">
      <c r="A256" s="817"/>
      <c r="B256" s="1174" t="str">
        <f>IF(E256="","",B208)</f>
        <v/>
      </c>
      <c r="C256" s="928" t="s">
        <v>964</v>
      </c>
      <c r="D256" s="994">
        <f t="shared" si="8"/>
        <v>49</v>
      </c>
      <c r="E256" s="995" t="str">
        <f>IF(Comments!A52="","",CONCATENATE(Comments!A52,CHAR(10)))</f>
        <v/>
      </c>
      <c r="F256" s="997">
        <f t="shared" si="7"/>
        <v>0</v>
      </c>
      <c r="G256" s="1167"/>
    </row>
    <row r="257" spans="1:7">
      <c r="A257" s="817"/>
      <c r="B257" s="1174" t="str">
        <f>IF(E257="","",B208)</f>
        <v/>
      </c>
      <c r="C257" s="928" t="s">
        <v>964</v>
      </c>
      <c r="D257" s="994">
        <f t="shared" si="8"/>
        <v>50</v>
      </c>
      <c r="E257" s="995" t="str">
        <f>IF(Comments!A53="","",CONCATENATE(Comments!A53,CHAR(10)))</f>
        <v/>
      </c>
      <c r="F257" s="997">
        <f t="shared" si="7"/>
        <v>0</v>
      </c>
      <c r="G257" s="1167"/>
    </row>
    <row r="258" spans="1:7">
      <c r="A258" s="868" t="s">
        <v>910</v>
      </c>
      <c r="B258" s="1173" t="str">
        <f ca="1">IF(t_smpl!B13=""," ",IF(E258=0,"",CONCATENATE(TEXT(NOW(),"yyyymmddhhmmss"),RIGHT(t_smpl!B13,4))))</f>
        <v xml:space="preserve"> </v>
      </c>
      <c r="C258" s="927" t="s">
        <v>964</v>
      </c>
      <c r="D258" s="993">
        <v>1</v>
      </c>
      <c r="E258" s="995" t="str">
        <f>IF(Comments!A4="","",CONCATENATE(Comments!A4,CHAR(10)))</f>
        <v/>
      </c>
      <c r="F258" s="998">
        <f t="shared" si="7"/>
        <v>0</v>
      </c>
      <c r="G258" s="1172"/>
    </row>
    <row r="259" spans="1:7">
      <c r="A259" s="817"/>
      <c r="B259" s="1174" t="str">
        <f>IF(E259="","",B258)</f>
        <v/>
      </c>
      <c r="C259" s="928" t="s">
        <v>964</v>
      </c>
      <c r="D259" s="994">
        <f>D258+1</f>
        <v>2</v>
      </c>
      <c r="E259" s="995" t="str">
        <f>IF(Comments!A5="","",CONCATENATE(Comments!A5,CHAR(10)))</f>
        <v/>
      </c>
      <c r="F259" s="997">
        <f t="shared" si="7"/>
        <v>0</v>
      </c>
      <c r="G259" s="1167"/>
    </row>
    <row r="260" spans="1:7">
      <c r="A260" s="817"/>
      <c r="B260" s="1174" t="str">
        <f>IF(E260="","",B258)</f>
        <v/>
      </c>
      <c r="C260" s="928" t="s">
        <v>964</v>
      </c>
      <c r="D260" s="994">
        <f t="shared" ref="D260:D307" si="9">D259+1</f>
        <v>3</v>
      </c>
      <c r="E260" s="995" t="str">
        <f>IF(Comments!A6="","",CONCATENATE(Comments!A6,CHAR(10)))</f>
        <v/>
      </c>
      <c r="F260" s="997">
        <f t="shared" si="7"/>
        <v>0</v>
      </c>
      <c r="G260" s="1167"/>
    </row>
    <row r="261" spans="1:7" ht="13.5" customHeight="1">
      <c r="A261" s="817"/>
      <c r="B261" s="1174" t="str">
        <f>IF(E261="","",B258)</f>
        <v/>
      </c>
      <c r="C261" s="928" t="s">
        <v>964</v>
      </c>
      <c r="D261" s="994">
        <f t="shared" si="9"/>
        <v>4</v>
      </c>
      <c r="E261" s="995" t="str">
        <f>IF(Comments!A7="","",CONCATENATE(Comments!A7,CHAR(10)))</f>
        <v/>
      </c>
      <c r="F261" s="997">
        <f t="shared" si="7"/>
        <v>0</v>
      </c>
      <c r="G261" s="1167"/>
    </row>
    <row r="262" spans="1:7">
      <c r="A262" s="817"/>
      <c r="B262" s="1174" t="str">
        <f>IF(E262="","",B258)</f>
        <v/>
      </c>
      <c r="C262" s="928" t="s">
        <v>964</v>
      </c>
      <c r="D262" s="994">
        <f t="shared" si="9"/>
        <v>5</v>
      </c>
      <c r="E262" s="995" t="str">
        <f>IF(Comments!A8="","",CONCATENATE(Comments!A8,CHAR(10)))</f>
        <v/>
      </c>
      <c r="F262" s="997">
        <f t="shared" si="7"/>
        <v>0</v>
      </c>
      <c r="G262" s="1167"/>
    </row>
    <row r="263" spans="1:7">
      <c r="A263" s="817"/>
      <c r="B263" s="1174" t="str">
        <f>IF(E263="","",B258)</f>
        <v/>
      </c>
      <c r="C263" s="928" t="s">
        <v>964</v>
      </c>
      <c r="D263" s="994">
        <f t="shared" si="9"/>
        <v>6</v>
      </c>
      <c r="E263" s="995" t="str">
        <f>IF(Comments!A9="","",CONCATENATE(Comments!A9,CHAR(10)))</f>
        <v/>
      </c>
      <c r="F263" s="997">
        <f t="shared" si="7"/>
        <v>0</v>
      </c>
      <c r="G263" s="1167"/>
    </row>
    <row r="264" spans="1:7">
      <c r="A264" s="817"/>
      <c r="B264" s="1174" t="str">
        <f>IF(E264="","",B258)</f>
        <v/>
      </c>
      <c r="C264" s="928" t="s">
        <v>964</v>
      </c>
      <c r="D264" s="994">
        <f t="shared" si="9"/>
        <v>7</v>
      </c>
      <c r="E264" s="995" t="str">
        <f>IF(Comments!A10="","",CONCATENATE(Comments!A10,CHAR(10)))</f>
        <v/>
      </c>
      <c r="F264" s="997">
        <f t="shared" si="7"/>
        <v>0</v>
      </c>
      <c r="G264" s="1167"/>
    </row>
    <row r="265" spans="1:7">
      <c r="A265" s="817"/>
      <c r="B265" s="1174" t="str">
        <f>IF(E265="","",B258)</f>
        <v/>
      </c>
      <c r="C265" s="928" t="s">
        <v>964</v>
      </c>
      <c r="D265" s="994">
        <f t="shared" si="9"/>
        <v>8</v>
      </c>
      <c r="E265" s="995" t="str">
        <f>IF(Comments!A11="","",CONCATENATE(Comments!A11,CHAR(10)))</f>
        <v/>
      </c>
      <c r="F265" s="997">
        <f t="shared" si="7"/>
        <v>0</v>
      </c>
      <c r="G265" s="1167"/>
    </row>
    <row r="266" spans="1:7">
      <c r="A266" s="817"/>
      <c r="B266" s="1174" t="str">
        <f>IF(E266="","",B258)</f>
        <v/>
      </c>
      <c r="C266" s="928" t="s">
        <v>964</v>
      </c>
      <c r="D266" s="994">
        <f t="shared" si="9"/>
        <v>9</v>
      </c>
      <c r="E266" s="995" t="str">
        <f>IF(Comments!A12="","",CONCATENATE(Comments!A12,CHAR(10)))</f>
        <v/>
      </c>
      <c r="F266" s="997">
        <f t="shared" ref="F266:F329" si="10">F265</f>
        <v>0</v>
      </c>
      <c r="G266" s="1167"/>
    </row>
    <row r="267" spans="1:7">
      <c r="A267" s="817"/>
      <c r="B267" s="1174" t="str">
        <f>IF(E267="","",B258)</f>
        <v/>
      </c>
      <c r="C267" s="928" t="s">
        <v>964</v>
      </c>
      <c r="D267" s="994">
        <f t="shared" si="9"/>
        <v>10</v>
      </c>
      <c r="E267" s="995" t="str">
        <f>IF(Comments!A13="","",CONCATENATE(Comments!A13,CHAR(10)))</f>
        <v/>
      </c>
      <c r="F267" s="997">
        <f t="shared" si="10"/>
        <v>0</v>
      </c>
      <c r="G267" s="1167"/>
    </row>
    <row r="268" spans="1:7">
      <c r="A268" s="817"/>
      <c r="B268" s="1174" t="str">
        <f>IF(E268="","",B258)</f>
        <v/>
      </c>
      <c r="C268" s="928" t="s">
        <v>964</v>
      </c>
      <c r="D268" s="994">
        <f t="shared" si="9"/>
        <v>11</v>
      </c>
      <c r="E268" s="995" t="str">
        <f>IF(Comments!A14="","",CONCATENATE(Comments!A14,CHAR(10)))</f>
        <v/>
      </c>
      <c r="F268" s="997">
        <f t="shared" si="10"/>
        <v>0</v>
      </c>
      <c r="G268" s="1167"/>
    </row>
    <row r="269" spans="1:7">
      <c r="A269" s="817"/>
      <c r="B269" s="1174" t="str">
        <f>IF(E269="","",B258)</f>
        <v/>
      </c>
      <c r="C269" s="928" t="s">
        <v>964</v>
      </c>
      <c r="D269" s="994">
        <f t="shared" si="9"/>
        <v>12</v>
      </c>
      <c r="E269" s="995" t="str">
        <f>IF(Comments!A15="","",CONCATENATE(Comments!A15,CHAR(10)))</f>
        <v/>
      </c>
      <c r="F269" s="997">
        <f t="shared" si="10"/>
        <v>0</v>
      </c>
      <c r="G269" s="1167"/>
    </row>
    <row r="270" spans="1:7">
      <c r="A270" s="817"/>
      <c r="B270" s="1174" t="str">
        <f>IF(E270="","",B258)</f>
        <v/>
      </c>
      <c r="C270" s="928" t="s">
        <v>964</v>
      </c>
      <c r="D270" s="994">
        <f t="shared" si="9"/>
        <v>13</v>
      </c>
      <c r="E270" s="995" t="str">
        <f>IF(Comments!A16="","",CONCATENATE(Comments!A16,CHAR(10)))</f>
        <v/>
      </c>
      <c r="F270" s="997">
        <f t="shared" si="10"/>
        <v>0</v>
      </c>
      <c r="G270" s="1167"/>
    </row>
    <row r="271" spans="1:7">
      <c r="A271" s="817"/>
      <c r="B271" s="1174" t="str">
        <f>IF(E271="","",B258)</f>
        <v/>
      </c>
      <c r="C271" s="928" t="s">
        <v>964</v>
      </c>
      <c r="D271" s="994">
        <f t="shared" si="9"/>
        <v>14</v>
      </c>
      <c r="E271" s="995" t="str">
        <f>IF(Comments!A17="","",CONCATENATE(Comments!A17,CHAR(10)))</f>
        <v/>
      </c>
      <c r="F271" s="997">
        <f t="shared" si="10"/>
        <v>0</v>
      </c>
      <c r="G271" s="1167"/>
    </row>
    <row r="272" spans="1:7">
      <c r="A272" s="817"/>
      <c r="B272" s="1174" t="str">
        <f>IF(E272="","",B258)</f>
        <v/>
      </c>
      <c r="C272" s="928" t="s">
        <v>964</v>
      </c>
      <c r="D272" s="994">
        <f t="shared" si="9"/>
        <v>15</v>
      </c>
      <c r="E272" s="995" t="str">
        <f>IF(Comments!A18="","",CONCATENATE(Comments!A18,CHAR(10)))</f>
        <v/>
      </c>
      <c r="F272" s="997">
        <f t="shared" si="10"/>
        <v>0</v>
      </c>
      <c r="G272" s="1167"/>
    </row>
    <row r="273" spans="1:7">
      <c r="A273" s="817"/>
      <c r="B273" s="1174" t="str">
        <f>IF(E273="","",B258)</f>
        <v/>
      </c>
      <c r="C273" s="928" t="s">
        <v>964</v>
      </c>
      <c r="D273" s="994">
        <f t="shared" si="9"/>
        <v>16</v>
      </c>
      <c r="E273" s="995" t="str">
        <f>IF(Comments!A19="","",CONCATENATE(Comments!A19,CHAR(10)))</f>
        <v/>
      </c>
      <c r="F273" s="997">
        <f t="shared" si="10"/>
        <v>0</v>
      </c>
      <c r="G273" s="1167"/>
    </row>
    <row r="274" spans="1:7">
      <c r="A274" s="817"/>
      <c r="B274" s="1174" t="str">
        <f>IF(E274="","",B258)</f>
        <v/>
      </c>
      <c r="C274" s="928" t="s">
        <v>964</v>
      </c>
      <c r="D274" s="994">
        <f t="shared" si="9"/>
        <v>17</v>
      </c>
      <c r="E274" s="995" t="str">
        <f>IF(Comments!A20="","",CONCATENATE(Comments!A20,CHAR(10)))</f>
        <v/>
      </c>
      <c r="F274" s="997">
        <f t="shared" si="10"/>
        <v>0</v>
      </c>
      <c r="G274" s="1167"/>
    </row>
    <row r="275" spans="1:7">
      <c r="A275" s="817"/>
      <c r="B275" s="1174" t="str">
        <f>IF(E275="","",B258)</f>
        <v/>
      </c>
      <c r="C275" s="928" t="s">
        <v>964</v>
      </c>
      <c r="D275" s="994">
        <f t="shared" si="9"/>
        <v>18</v>
      </c>
      <c r="E275" s="995" t="str">
        <f>IF(Comments!A21="","",CONCATENATE(Comments!A21,CHAR(10)))</f>
        <v/>
      </c>
      <c r="F275" s="997">
        <f t="shared" si="10"/>
        <v>0</v>
      </c>
      <c r="G275" s="1167"/>
    </row>
    <row r="276" spans="1:7">
      <c r="A276" s="817"/>
      <c r="B276" s="1174" t="str">
        <f>IF(E276="","",B258)</f>
        <v/>
      </c>
      <c r="C276" s="928" t="s">
        <v>964</v>
      </c>
      <c r="D276" s="994">
        <f t="shared" si="9"/>
        <v>19</v>
      </c>
      <c r="E276" s="995" t="str">
        <f>IF(Comments!A22="","",CONCATENATE(Comments!A22,CHAR(10)))</f>
        <v/>
      </c>
      <c r="F276" s="997">
        <f t="shared" si="10"/>
        <v>0</v>
      </c>
      <c r="G276" s="1167"/>
    </row>
    <row r="277" spans="1:7">
      <c r="A277" s="817"/>
      <c r="B277" s="1174" t="str">
        <f>IF(E277="","",B258)</f>
        <v/>
      </c>
      <c r="C277" s="928" t="s">
        <v>964</v>
      </c>
      <c r="D277" s="994">
        <f t="shared" si="9"/>
        <v>20</v>
      </c>
      <c r="E277" s="995" t="str">
        <f>IF(Comments!A23="","",CONCATENATE(Comments!A23,CHAR(10)))</f>
        <v/>
      </c>
      <c r="F277" s="997">
        <f t="shared" si="10"/>
        <v>0</v>
      </c>
      <c r="G277" s="1167"/>
    </row>
    <row r="278" spans="1:7">
      <c r="A278" s="817"/>
      <c r="B278" s="1174" t="str">
        <f>IF(E278="","",B258)</f>
        <v/>
      </c>
      <c r="C278" s="928" t="s">
        <v>964</v>
      </c>
      <c r="D278" s="994">
        <f t="shared" si="9"/>
        <v>21</v>
      </c>
      <c r="E278" s="995" t="str">
        <f>IF(Comments!A24="","",CONCATENATE(Comments!A24,CHAR(10)))</f>
        <v/>
      </c>
      <c r="F278" s="997">
        <f t="shared" si="10"/>
        <v>0</v>
      </c>
      <c r="G278" s="1167"/>
    </row>
    <row r="279" spans="1:7">
      <c r="A279" s="817"/>
      <c r="B279" s="1174" t="str">
        <f>IF(E279="","",B258)</f>
        <v/>
      </c>
      <c r="C279" s="928" t="s">
        <v>964</v>
      </c>
      <c r="D279" s="994">
        <f t="shared" si="9"/>
        <v>22</v>
      </c>
      <c r="E279" s="995" t="str">
        <f>IF(Comments!A25="","",CONCATENATE(Comments!A25,CHAR(10)))</f>
        <v/>
      </c>
      <c r="F279" s="997">
        <f t="shared" si="10"/>
        <v>0</v>
      </c>
      <c r="G279" s="1167"/>
    </row>
    <row r="280" spans="1:7">
      <c r="A280" s="817"/>
      <c r="B280" s="1174" t="str">
        <f>IF(E280="","",B258)</f>
        <v/>
      </c>
      <c r="C280" s="928" t="s">
        <v>964</v>
      </c>
      <c r="D280" s="994">
        <f t="shared" si="9"/>
        <v>23</v>
      </c>
      <c r="E280" s="995" t="str">
        <f>IF(Comments!A26="","",CONCATENATE(Comments!A26,CHAR(10)))</f>
        <v/>
      </c>
      <c r="F280" s="997">
        <f t="shared" si="10"/>
        <v>0</v>
      </c>
      <c r="G280" s="1167"/>
    </row>
    <row r="281" spans="1:7">
      <c r="A281" s="817"/>
      <c r="B281" s="1174" t="str">
        <f>IF(E281="","",B258)</f>
        <v/>
      </c>
      <c r="C281" s="928" t="s">
        <v>964</v>
      </c>
      <c r="D281" s="994">
        <f t="shared" si="9"/>
        <v>24</v>
      </c>
      <c r="E281" s="995" t="str">
        <f>IF(Comments!A27="","",CONCATENATE(Comments!A27,CHAR(10)))</f>
        <v/>
      </c>
      <c r="F281" s="997">
        <f t="shared" si="10"/>
        <v>0</v>
      </c>
      <c r="G281" s="1167"/>
    </row>
    <row r="282" spans="1:7">
      <c r="A282" s="817"/>
      <c r="B282" s="1174" t="str">
        <f>IF(E282="","",B258)</f>
        <v/>
      </c>
      <c r="C282" s="928" t="s">
        <v>964</v>
      </c>
      <c r="D282" s="994">
        <f t="shared" si="9"/>
        <v>25</v>
      </c>
      <c r="E282" s="995" t="str">
        <f>IF(Comments!A28="","",CONCATENATE(Comments!A28,CHAR(10)))</f>
        <v/>
      </c>
      <c r="F282" s="997">
        <f t="shared" si="10"/>
        <v>0</v>
      </c>
      <c r="G282" s="1167"/>
    </row>
    <row r="283" spans="1:7">
      <c r="A283" s="817"/>
      <c r="B283" s="1174" t="str">
        <f>IF(E283="","",B258)</f>
        <v/>
      </c>
      <c r="C283" s="928" t="s">
        <v>964</v>
      </c>
      <c r="D283" s="994">
        <f t="shared" si="9"/>
        <v>26</v>
      </c>
      <c r="E283" s="995" t="str">
        <f>IF(Comments!A29="","",CONCATENATE(Comments!A29,CHAR(10)))</f>
        <v/>
      </c>
      <c r="F283" s="997">
        <f t="shared" si="10"/>
        <v>0</v>
      </c>
      <c r="G283" s="1167"/>
    </row>
    <row r="284" spans="1:7">
      <c r="A284" s="817"/>
      <c r="B284" s="1174" t="str">
        <f>IF(E284="","",B258)</f>
        <v/>
      </c>
      <c r="C284" s="928" t="s">
        <v>964</v>
      </c>
      <c r="D284" s="994">
        <f t="shared" si="9"/>
        <v>27</v>
      </c>
      <c r="E284" s="995" t="str">
        <f>IF(Comments!A30="","",CONCATENATE(Comments!A30,CHAR(10)))</f>
        <v/>
      </c>
      <c r="F284" s="997">
        <f t="shared" si="10"/>
        <v>0</v>
      </c>
      <c r="G284" s="1167"/>
    </row>
    <row r="285" spans="1:7">
      <c r="A285" s="817"/>
      <c r="B285" s="1174" t="str">
        <f>IF(E285="","",B258)</f>
        <v/>
      </c>
      <c r="C285" s="928" t="s">
        <v>964</v>
      </c>
      <c r="D285" s="994">
        <f t="shared" si="9"/>
        <v>28</v>
      </c>
      <c r="E285" s="995" t="str">
        <f>IF(Comments!A31="","",CONCATENATE(Comments!A31,CHAR(10)))</f>
        <v/>
      </c>
      <c r="F285" s="997">
        <f t="shared" si="10"/>
        <v>0</v>
      </c>
      <c r="G285" s="1167"/>
    </row>
    <row r="286" spans="1:7">
      <c r="A286" s="817"/>
      <c r="B286" s="1174" t="str">
        <f>IF(E286="","",B258)</f>
        <v/>
      </c>
      <c r="C286" s="928" t="s">
        <v>964</v>
      </c>
      <c r="D286" s="994">
        <f t="shared" si="9"/>
        <v>29</v>
      </c>
      <c r="E286" s="995" t="str">
        <f>IF(Comments!A32="","",CONCATENATE(Comments!A32,CHAR(10)))</f>
        <v/>
      </c>
      <c r="F286" s="997">
        <f t="shared" si="10"/>
        <v>0</v>
      </c>
      <c r="G286" s="1167"/>
    </row>
    <row r="287" spans="1:7">
      <c r="A287" s="817"/>
      <c r="B287" s="1174" t="str">
        <f>IF(E287="","",B258)</f>
        <v/>
      </c>
      <c r="C287" s="928" t="s">
        <v>964</v>
      </c>
      <c r="D287" s="994">
        <f t="shared" si="9"/>
        <v>30</v>
      </c>
      <c r="E287" s="995" t="str">
        <f>IF(Comments!A33="","",CONCATENATE(Comments!A33,CHAR(10)))</f>
        <v/>
      </c>
      <c r="F287" s="997">
        <f t="shared" si="10"/>
        <v>0</v>
      </c>
      <c r="G287" s="1167"/>
    </row>
    <row r="288" spans="1:7">
      <c r="A288" s="817"/>
      <c r="B288" s="1174" t="str">
        <f>IF(E288="","",B258)</f>
        <v/>
      </c>
      <c r="C288" s="928" t="s">
        <v>964</v>
      </c>
      <c r="D288" s="994">
        <f t="shared" si="9"/>
        <v>31</v>
      </c>
      <c r="E288" s="995" t="str">
        <f>IF(Comments!A34="","",CONCATENATE(Comments!A34,CHAR(10)))</f>
        <v/>
      </c>
      <c r="F288" s="997">
        <f t="shared" si="10"/>
        <v>0</v>
      </c>
      <c r="G288" s="1167"/>
    </row>
    <row r="289" spans="1:7">
      <c r="A289" s="817"/>
      <c r="B289" s="1174" t="str">
        <f>IF(E289="","",B258)</f>
        <v/>
      </c>
      <c r="C289" s="928" t="s">
        <v>964</v>
      </c>
      <c r="D289" s="994">
        <f t="shared" si="9"/>
        <v>32</v>
      </c>
      <c r="E289" s="995" t="str">
        <f>IF(Comments!A35="","",CONCATENATE(Comments!A35,CHAR(10)))</f>
        <v/>
      </c>
      <c r="F289" s="997">
        <f t="shared" si="10"/>
        <v>0</v>
      </c>
      <c r="G289" s="1167"/>
    </row>
    <row r="290" spans="1:7">
      <c r="A290" s="817"/>
      <c r="B290" s="1174" t="str">
        <f>IF(E290="","",B258)</f>
        <v/>
      </c>
      <c r="C290" s="928" t="s">
        <v>964</v>
      </c>
      <c r="D290" s="994">
        <f t="shared" si="9"/>
        <v>33</v>
      </c>
      <c r="E290" s="995" t="str">
        <f>IF(Comments!A36="","",CONCATENATE(Comments!A36,CHAR(10)))</f>
        <v/>
      </c>
      <c r="F290" s="997">
        <f t="shared" si="10"/>
        <v>0</v>
      </c>
      <c r="G290" s="1167"/>
    </row>
    <row r="291" spans="1:7">
      <c r="A291" s="817"/>
      <c r="B291" s="1174" t="str">
        <f>IF(E291="","",B258)</f>
        <v/>
      </c>
      <c r="C291" s="928" t="s">
        <v>964</v>
      </c>
      <c r="D291" s="994">
        <f t="shared" si="9"/>
        <v>34</v>
      </c>
      <c r="E291" s="995" t="str">
        <f>IF(Comments!A37="","",CONCATENATE(Comments!A37,CHAR(10)))</f>
        <v/>
      </c>
      <c r="F291" s="997">
        <f t="shared" si="10"/>
        <v>0</v>
      </c>
      <c r="G291" s="1167"/>
    </row>
    <row r="292" spans="1:7">
      <c r="A292" s="817"/>
      <c r="B292" s="1174" t="str">
        <f>IF(E292="","",B258)</f>
        <v/>
      </c>
      <c r="C292" s="928" t="s">
        <v>964</v>
      </c>
      <c r="D292" s="994">
        <f t="shared" si="9"/>
        <v>35</v>
      </c>
      <c r="E292" s="995" t="str">
        <f>IF(Comments!A38="","",CONCATENATE(Comments!A38,CHAR(10)))</f>
        <v/>
      </c>
      <c r="F292" s="997">
        <f t="shared" si="10"/>
        <v>0</v>
      </c>
      <c r="G292" s="1167"/>
    </row>
    <row r="293" spans="1:7">
      <c r="A293" s="817"/>
      <c r="B293" s="1174" t="str">
        <f>IF(E293="","",B258)</f>
        <v/>
      </c>
      <c r="C293" s="928" t="s">
        <v>964</v>
      </c>
      <c r="D293" s="994">
        <f t="shared" si="9"/>
        <v>36</v>
      </c>
      <c r="E293" s="995" t="str">
        <f>IF(Comments!A39="","",CONCATENATE(Comments!A39,CHAR(10)))</f>
        <v/>
      </c>
      <c r="F293" s="997">
        <f t="shared" si="10"/>
        <v>0</v>
      </c>
      <c r="G293" s="1167"/>
    </row>
    <row r="294" spans="1:7">
      <c r="A294" s="817"/>
      <c r="B294" s="1174" t="str">
        <f>IF(E294="","",B258)</f>
        <v/>
      </c>
      <c r="C294" s="928" t="s">
        <v>964</v>
      </c>
      <c r="D294" s="994">
        <f t="shared" si="9"/>
        <v>37</v>
      </c>
      <c r="E294" s="995" t="str">
        <f>IF(Comments!A40="","",CONCATENATE(Comments!A40,CHAR(10)))</f>
        <v/>
      </c>
      <c r="F294" s="997">
        <f t="shared" si="10"/>
        <v>0</v>
      </c>
      <c r="G294" s="1167"/>
    </row>
    <row r="295" spans="1:7">
      <c r="A295" s="817"/>
      <c r="B295" s="1174" t="str">
        <f>IF(E295="","",B258)</f>
        <v/>
      </c>
      <c r="C295" s="928" t="s">
        <v>964</v>
      </c>
      <c r="D295" s="994">
        <f t="shared" si="9"/>
        <v>38</v>
      </c>
      <c r="E295" s="995" t="str">
        <f>IF(Comments!A41="","",CONCATENATE(Comments!A41,CHAR(10)))</f>
        <v/>
      </c>
      <c r="F295" s="997">
        <f t="shared" si="10"/>
        <v>0</v>
      </c>
      <c r="G295" s="1167"/>
    </row>
    <row r="296" spans="1:7">
      <c r="A296" s="817"/>
      <c r="B296" s="1174" t="str">
        <f>IF(E296="","",B258)</f>
        <v/>
      </c>
      <c r="C296" s="928" t="s">
        <v>964</v>
      </c>
      <c r="D296" s="994">
        <f t="shared" si="9"/>
        <v>39</v>
      </c>
      <c r="E296" s="995" t="str">
        <f>IF(Comments!A42="","",CONCATENATE(Comments!A42,CHAR(10)))</f>
        <v/>
      </c>
      <c r="F296" s="997">
        <f t="shared" si="10"/>
        <v>0</v>
      </c>
      <c r="G296" s="1167"/>
    </row>
    <row r="297" spans="1:7">
      <c r="A297" s="817"/>
      <c r="B297" s="1174" t="str">
        <f>IF(E297="","",B258)</f>
        <v/>
      </c>
      <c r="C297" s="928" t="s">
        <v>964</v>
      </c>
      <c r="D297" s="994">
        <f t="shared" si="9"/>
        <v>40</v>
      </c>
      <c r="E297" s="995" t="str">
        <f>IF(Comments!A43="","",CONCATENATE(Comments!A43,CHAR(10)))</f>
        <v/>
      </c>
      <c r="F297" s="997">
        <f t="shared" si="10"/>
        <v>0</v>
      </c>
      <c r="G297" s="1167"/>
    </row>
    <row r="298" spans="1:7">
      <c r="A298" s="817"/>
      <c r="B298" s="1174" t="str">
        <f>IF(E298="","",B258)</f>
        <v/>
      </c>
      <c r="C298" s="928" t="s">
        <v>964</v>
      </c>
      <c r="D298" s="994">
        <f t="shared" si="9"/>
        <v>41</v>
      </c>
      <c r="E298" s="995" t="str">
        <f>IF(Comments!A44="","",CONCATENATE(Comments!A44,CHAR(10)))</f>
        <v/>
      </c>
      <c r="F298" s="997">
        <f t="shared" si="10"/>
        <v>0</v>
      </c>
      <c r="G298" s="1167"/>
    </row>
    <row r="299" spans="1:7">
      <c r="A299" s="817"/>
      <c r="B299" s="1174" t="str">
        <f>IF(E299="","",B258)</f>
        <v/>
      </c>
      <c r="C299" s="928" t="s">
        <v>964</v>
      </c>
      <c r="D299" s="994">
        <f t="shared" si="9"/>
        <v>42</v>
      </c>
      <c r="E299" s="995" t="str">
        <f>IF(Comments!A45="","",CONCATENATE(Comments!A45,CHAR(10)))</f>
        <v/>
      </c>
      <c r="F299" s="997">
        <f t="shared" si="10"/>
        <v>0</v>
      </c>
      <c r="G299" s="1167"/>
    </row>
    <row r="300" spans="1:7">
      <c r="A300" s="817"/>
      <c r="B300" s="1174" t="str">
        <f>IF(E300="","",B258)</f>
        <v/>
      </c>
      <c r="C300" s="928" t="s">
        <v>964</v>
      </c>
      <c r="D300" s="994">
        <f t="shared" si="9"/>
        <v>43</v>
      </c>
      <c r="E300" s="995" t="str">
        <f>IF(Comments!A46="","",CONCATENATE(Comments!A46,CHAR(10)))</f>
        <v/>
      </c>
      <c r="F300" s="997">
        <f t="shared" si="10"/>
        <v>0</v>
      </c>
      <c r="G300" s="1167"/>
    </row>
    <row r="301" spans="1:7">
      <c r="A301" s="817"/>
      <c r="B301" s="1174" t="str">
        <f>IF(E301="","",B258)</f>
        <v/>
      </c>
      <c r="C301" s="928" t="s">
        <v>964</v>
      </c>
      <c r="D301" s="994">
        <f t="shared" si="9"/>
        <v>44</v>
      </c>
      <c r="E301" s="995" t="str">
        <f>IF(Comments!A47="","",CONCATENATE(Comments!A47,CHAR(10)))</f>
        <v/>
      </c>
      <c r="F301" s="997">
        <f t="shared" si="10"/>
        <v>0</v>
      </c>
      <c r="G301" s="1167"/>
    </row>
    <row r="302" spans="1:7">
      <c r="A302" s="817"/>
      <c r="B302" s="1174" t="str">
        <f>IF(E302="","",B258)</f>
        <v/>
      </c>
      <c r="C302" s="928" t="s">
        <v>964</v>
      </c>
      <c r="D302" s="994">
        <f t="shared" si="9"/>
        <v>45</v>
      </c>
      <c r="E302" s="995" t="str">
        <f>IF(Comments!A48="","",CONCATENATE(Comments!A48,CHAR(10)))</f>
        <v/>
      </c>
      <c r="F302" s="997">
        <f t="shared" si="10"/>
        <v>0</v>
      </c>
      <c r="G302" s="1167"/>
    </row>
    <row r="303" spans="1:7">
      <c r="A303" s="817"/>
      <c r="B303" s="1174" t="str">
        <f>IF(E303="","",B258)</f>
        <v/>
      </c>
      <c r="C303" s="928" t="s">
        <v>964</v>
      </c>
      <c r="D303" s="994">
        <f t="shared" si="9"/>
        <v>46</v>
      </c>
      <c r="E303" s="995" t="str">
        <f>IF(Comments!A49="","",CONCATENATE(Comments!A49,CHAR(10)))</f>
        <v/>
      </c>
      <c r="F303" s="997">
        <f t="shared" si="10"/>
        <v>0</v>
      </c>
      <c r="G303" s="1167"/>
    </row>
    <row r="304" spans="1:7">
      <c r="A304" s="817"/>
      <c r="B304" s="1174" t="str">
        <f>IF(E304="","",B258)</f>
        <v/>
      </c>
      <c r="C304" s="928" t="s">
        <v>964</v>
      </c>
      <c r="D304" s="994">
        <f t="shared" si="9"/>
        <v>47</v>
      </c>
      <c r="E304" s="995" t="str">
        <f>IF(Comments!A50="","",CONCATENATE(Comments!A50,CHAR(10)))</f>
        <v/>
      </c>
      <c r="F304" s="997">
        <f t="shared" si="10"/>
        <v>0</v>
      </c>
      <c r="G304" s="1167"/>
    </row>
    <row r="305" spans="1:7">
      <c r="A305" s="817"/>
      <c r="B305" s="1174" t="str">
        <f>IF(E305="","",B258)</f>
        <v/>
      </c>
      <c r="C305" s="928" t="s">
        <v>964</v>
      </c>
      <c r="D305" s="994">
        <f t="shared" si="9"/>
        <v>48</v>
      </c>
      <c r="E305" s="995" t="str">
        <f>IF(Comments!A51="","",CONCATENATE(Comments!A51,CHAR(10)))</f>
        <v/>
      </c>
      <c r="F305" s="997">
        <f t="shared" si="10"/>
        <v>0</v>
      </c>
      <c r="G305" s="1167"/>
    </row>
    <row r="306" spans="1:7">
      <c r="A306" s="817"/>
      <c r="B306" s="1174" t="str">
        <f>IF(E306="","",B258)</f>
        <v/>
      </c>
      <c r="C306" s="928" t="s">
        <v>964</v>
      </c>
      <c r="D306" s="994">
        <f t="shared" si="9"/>
        <v>49</v>
      </c>
      <c r="E306" s="995" t="str">
        <f>IF(Comments!A52="","",CONCATENATE(Comments!A52,CHAR(10)))</f>
        <v/>
      </c>
      <c r="F306" s="997">
        <f t="shared" si="10"/>
        <v>0</v>
      </c>
      <c r="G306" s="1167"/>
    </row>
    <row r="307" spans="1:7">
      <c r="A307" s="817"/>
      <c r="B307" s="1174" t="str">
        <f>IF(E307="","",B258)</f>
        <v/>
      </c>
      <c r="C307" s="928" t="s">
        <v>964</v>
      </c>
      <c r="D307" s="994">
        <f t="shared" si="9"/>
        <v>50</v>
      </c>
      <c r="E307" s="995" t="str">
        <f>IF(Comments!A53="","",CONCATENATE(Comments!A53,CHAR(10)))</f>
        <v/>
      </c>
      <c r="F307" s="997">
        <f t="shared" si="10"/>
        <v>0</v>
      </c>
      <c r="G307" s="1167"/>
    </row>
    <row r="308" spans="1:7">
      <c r="A308" s="868" t="s">
        <v>911</v>
      </c>
      <c r="B308" s="1173" t="str">
        <f ca="1">IF(t_smpl!B14=""," ",IF(E308=0,"",CONCATENATE(TEXT(NOW(),"yyyymmddhhmmss"),RIGHT(t_smpl!B14,4))))</f>
        <v xml:space="preserve"> </v>
      </c>
      <c r="C308" s="927" t="s">
        <v>964</v>
      </c>
      <c r="D308" s="993">
        <v>1</v>
      </c>
      <c r="E308" s="995" t="str">
        <f>IF(Comments!A4="","",CONCATENATE(Comments!A4,CHAR(10)))</f>
        <v/>
      </c>
      <c r="F308" s="998">
        <f t="shared" si="10"/>
        <v>0</v>
      </c>
      <c r="G308" s="1172"/>
    </row>
    <row r="309" spans="1:7">
      <c r="A309" s="817"/>
      <c r="B309" s="1174" t="str">
        <f>IF(E309="","",B308)</f>
        <v/>
      </c>
      <c r="C309" s="928" t="s">
        <v>964</v>
      </c>
      <c r="D309" s="994">
        <f>D308+1</f>
        <v>2</v>
      </c>
      <c r="E309" s="996" t="str">
        <f>IF(Comments!A5="","",CONCATENATE(Comments!A5,CHAR(10)))</f>
        <v/>
      </c>
      <c r="F309" s="997">
        <f t="shared" si="10"/>
        <v>0</v>
      </c>
      <c r="G309" s="1167"/>
    </row>
    <row r="310" spans="1:7">
      <c r="A310" s="817"/>
      <c r="B310" s="1174" t="str">
        <f>IF(E310="","",B308)</f>
        <v/>
      </c>
      <c r="C310" s="928" t="s">
        <v>964</v>
      </c>
      <c r="D310" s="994">
        <f t="shared" ref="D310:D357" si="11">D309+1</f>
        <v>3</v>
      </c>
      <c r="E310" s="996" t="str">
        <f>IF(Comments!A6="","",CONCATENATE(Comments!A6,CHAR(10)))</f>
        <v/>
      </c>
      <c r="F310" s="997">
        <f t="shared" si="10"/>
        <v>0</v>
      </c>
      <c r="G310" s="1167"/>
    </row>
    <row r="311" spans="1:7" ht="13.5" customHeight="1">
      <c r="A311" s="817"/>
      <c r="B311" s="1174" t="str">
        <f>IF(E311="","",B308)</f>
        <v/>
      </c>
      <c r="C311" s="928" t="s">
        <v>964</v>
      </c>
      <c r="D311" s="994">
        <f t="shared" si="11"/>
        <v>4</v>
      </c>
      <c r="E311" s="996" t="str">
        <f>IF(Comments!A7="","",CONCATENATE(Comments!A7,CHAR(10)))</f>
        <v/>
      </c>
      <c r="F311" s="997">
        <f t="shared" si="10"/>
        <v>0</v>
      </c>
      <c r="G311" s="1167"/>
    </row>
    <row r="312" spans="1:7">
      <c r="A312" s="817"/>
      <c r="B312" s="1174" t="str">
        <f>IF(E312="","",B308)</f>
        <v/>
      </c>
      <c r="C312" s="928" t="s">
        <v>964</v>
      </c>
      <c r="D312" s="994">
        <f t="shared" si="11"/>
        <v>5</v>
      </c>
      <c r="E312" s="996" t="str">
        <f>IF(Comments!A8="","",CONCATENATE(Comments!A8,CHAR(10)))</f>
        <v/>
      </c>
      <c r="F312" s="997">
        <f t="shared" si="10"/>
        <v>0</v>
      </c>
      <c r="G312" s="1167"/>
    </row>
    <row r="313" spans="1:7">
      <c r="A313" s="817"/>
      <c r="B313" s="1174" t="str">
        <f>IF(E313="","",B308)</f>
        <v/>
      </c>
      <c r="C313" s="928" t="s">
        <v>964</v>
      </c>
      <c r="D313" s="994">
        <f t="shared" si="11"/>
        <v>6</v>
      </c>
      <c r="E313" s="996" t="str">
        <f>IF(Comments!A9="","",CONCATENATE(Comments!A9,CHAR(10)))</f>
        <v/>
      </c>
      <c r="F313" s="997">
        <f t="shared" si="10"/>
        <v>0</v>
      </c>
      <c r="G313" s="1167"/>
    </row>
    <row r="314" spans="1:7">
      <c r="A314" s="817"/>
      <c r="B314" s="1174" t="str">
        <f>IF(E314="","",B308)</f>
        <v/>
      </c>
      <c r="C314" s="928" t="s">
        <v>964</v>
      </c>
      <c r="D314" s="994">
        <f t="shared" si="11"/>
        <v>7</v>
      </c>
      <c r="E314" s="996" t="str">
        <f>IF(Comments!A10="","",CONCATENATE(Comments!A10,CHAR(10)))</f>
        <v/>
      </c>
      <c r="F314" s="997">
        <f t="shared" si="10"/>
        <v>0</v>
      </c>
      <c r="G314" s="1167"/>
    </row>
    <row r="315" spans="1:7">
      <c r="A315" s="817"/>
      <c r="B315" s="1174" t="str">
        <f>IF(E315="","",B308)</f>
        <v/>
      </c>
      <c r="C315" s="928" t="s">
        <v>964</v>
      </c>
      <c r="D315" s="994">
        <f t="shared" si="11"/>
        <v>8</v>
      </c>
      <c r="E315" s="996" t="str">
        <f>IF(Comments!A11="","",CONCATENATE(Comments!A11,CHAR(10)))</f>
        <v/>
      </c>
      <c r="F315" s="997">
        <f t="shared" si="10"/>
        <v>0</v>
      </c>
      <c r="G315" s="1167"/>
    </row>
    <row r="316" spans="1:7">
      <c r="A316" s="817"/>
      <c r="B316" s="1174" t="str">
        <f>IF(E316="","",B308)</f>
        <v/>
      </c>
      <c r="C316" s="928" t="s">
        <v>964</v>
      </c>
      <c r="D316" s="994">
        <f t="shared" si="11"/>
        <v>9</v>
      </c>
      <c r="E316" s="996" t="str">
        <f>IF(Comments!A12="","",CONCATENATE(Comments!A12,CHAR(10)))</f>
        <v/>
      </c>
      <c r="F316" s="997">
        <f t="shared" si="10"/>
        <v>0</v>
      </c>
      <c r="G316" s="1167"/>
    </row>
    <row r="317" spans="1:7">
      <c r="A317" s="817"/>
      <c r="B317" s="1174" t="str">
        <f>IF(E317="","",B308)</f>
        <v/>
      </c>
      <c r="C317" s="928" t="s">
        <v>964</v>
      </c>
      <c r="D317" s="994">
        <f t="shared" si="11"/>
        <v>10</v>
      </c>
      <c r="E317" s="996" t="str">
        <f>IF(Comments!A13="","",CONCATENATE(Comments!A13,CHAR(10)))</f>
        <v/>
      </c>
      <c r="F317" s="997">
        <f t="shared" si="10"/>
        <v>0</v>
      </c>
      <c r="G317" s="1167"/>
    </row>
    <row r="318" spans="1:7">
      <c r="A318" s="817"/>
      <c r="B318" s="1174" t="str">
        <f>IF(E318="","",B308)</f>
        <v/>
      </c>
      <c r="C318" s="928" t="s">
        <v>964</v>
      </c>
      <c r="D318" s="994">
        <f t="shared" si="11"/>
        <v>11</v>
      </c>
      <c r="E318" s="996" t="str">
        <f>IF(Comments!A14="","",CONCATENATE(Comments!A14,CHAR(10)))</f>
        <v/>
      </c>
      <c r="F318" s="997">
        <f t="shared" si="10"/>
        <v>0</v>
      </c>
      <c r="G318" s="1167"/>
    </row>
    <row r="319" spans="1:7">
      <c r="A319" s="817"/>
      <c r="B319" s="1174" t="str">
        <f>IF(E319="","",B308)</f>
        <v/>
      </c>
      <c r="C319" s="928" t="s">
        <v>964</v>
      </c>
      <c r="D319" s="994">
        <f t="shared" si="11"/>
        <v>12</v>
      </c>
      <c r="E319" s="996" t="str">
        <f>IF(Comments!A15="","",CONCATENATE(Comments!A15,CHAR(10)))</f>
        <v/>
      </c>
      <c r="F319" s="997">
        <f t="shared" si="10"/>
        <v>0</v>
      </c>
      <c r="G319" s="1167"/>
    </row>
    <row r="320" spans="1:7">
      <c r="A320" s="817"/>
      <c r="B320" s="1174" t="str">
        <f>IF(E320="","",B308)</f>
        <v/>
      </c>
      <c r="C320" s="928" t="s">
        <v>964</v>
      </c>
      <c r="D320" s="994">
        <f t="shared" si="11"/>
        <v>13</v>
      </c>
      <c r="E320" s="996" t="str">
        <f>IF(Comments!A16="","",CONCATENATE(Comments!A16,CHAR(10)))</f>
        <v/>
      </c>
      <c r="F320" s="997">
        <f t="shared" si="10"/>
        <v>0</v>
      </c>
      <c r="G320" s="1167"/>
    </row>
    <row r="321" spans="1:7">
      <c r="A321" s="817"/>
      <c r="B321" s="1174" t="str">
        <f>IF(E321="","",B308)</f>
        <v/>
      </c>
      <c r="C321" s="928" t="s">
        <v>964</v>
      </c>
      <c r="D321" s="994">
        <f t="shared" si="11"/>
        <v>14</v>
      </c>
      <c r="E321" s="996" t="str">
        <f>IF(Comments!A17="","",CONCATENATE(Comments!A17,CHAR(10)))</f>
        <v/>
      </c>
      <c r="F321" s="997">
        <f t="shared" si="10"/>
        <v>0</v>
      </c>
      <c r="G321" s="1167"/>
    </row>
    <row r="322" spans="1:7">
      <c r="A322" s="817"/>
      <c r="B322" s="1174" t="str">
        <f>IF(E322="","",B308)</f>
        <v/>
      </c>
      <c r="C322" s="928" t="s">
        <v>964</v>
      </c>
      <c r="D322" s="994">
        <f t="shared" si="11"/>
        <v>15</v>
      </c>
      <c r="E322" s="996" t="str">
        <f>IF(Comments!A18="","",CONCATENATE(Comments!A18,CHAR(10)))</f>
        <v/>
      </c>
      <c r="F322" s="997">
        <f t="shared" si="10"/>
        <v>0</v>
      </c>
      <c r="G322" s="1167"/>
    </row>
    <row r="323" spans="1:7">
      <c r="A323" s="817"/>
      <c r="B323" s="1174" t="str">
        <f>IF(E323="","",B308)</f>
        <v/>
      </c>
      <c r="C323" s="928" t="s">
        <v>964</v>
      </c>
      <c r="D323" s="994">
        <f t="shared" si="11"/>
        <v>16</v>
      </c>
      <c r="E323" s="996" t="str">
        <f>IF(Comments!A19="","",CONCATENATE(Comments!A19,CHAR(10)))</f>
        <v/>
      </c>
      <c r="F323" s="997">
        <f t="shared" si="10"/>
        <v>0</v>
      </c>
      <c r="G323" s="1167"/>
    </row>
    <row r="324" spans="1:7">
      <c r="A324" s="817"/>
      <c r="B324" s="1174" t="str">
        <f>IF(E324="","",B308)</f>
        <v/>
      </c>
      <c r="C324" s="928" t="s">
        <v>964</v>
      </c>
      <c r="D324" s="994">
        <f t="shared" si="11"/>
        <v>17</v>
      </c>
      <c r="E324" s="996" t="str">
        <f>IF(Comments!A20="","",CONCATENATE(Comments!A20,CHAR(10)))</f>
        <v/>
      </c>
      <c r="F324" s="997">
        <f t="shared" si="10"/>
        <v>0</v>
      </c>
      <c r="G324" s="1167"/>
    </row>
    <row r="325" spans="1:7">
      <c r="A325" s="817"/>
      <c r="B325" s="1174" t="str">
        <f>IF(E325="","",B308)</f>
        <v/>
      </c>
      <c r="C325" s="928" t="s">
        <v>964</v>
      </c>
      <c r="D325" s="994">
        <f t="shared" si="11"/>
        <v>18</v>
      </c>
      <c r="E325" s="996" t="str">
        <f>IF(Comments!A21="","",CONCATENATE(Comments!A21,CHAR(10)))</f>
        <v/>
      </c>
      <c r="F325" s="997">
        <f t="shared" si="10"/>
        <v>0</v>
      </c>
      <c r="G325" s="1167"/>
    </row>
    <row r="326" spans="1:7">
      <c r="A326" s="817"/>
      <c r="B326" s="1174" t="str">
        <f>IF(E326="","",B308)</f>
        <v/>
      </c>
      <c r="C326" s="928" t="s">
        <v>964</v>
      </c>
      <c r="D326" s="994">
        <f t="shared" si="11"/>
        <v>19</v>
      </c>
      <c r="E326" s="996" t="str">
        <f>IF(Comments!A22="","",CONCATENATE(Comments!A22,CHAR(10)))</f>
        <v/>
      </c>
      <c r="F326" s="997">
        <f t="shared" si="10"/>
        <v>0</v>
      </c>
      <c r="G326" s="1167"/>
    </row>
    <row r="327" spans="1:7">
      <c r="A327" s="817"/>
      <c r="B327" s="1174" t="str">
        <f>IF(E327="","",B308)</f>
        <v/>
      </c>
      <c r="C327" s="928" t="s">
        <v>964</v>
      </c>
      <c r="D327" s="994">
        <f t="shared" si="11"/>
        <v>20</v>
      </c>
      <c r="E327" s="996" t="str">
        <f>IF(Comments!A23="","",CONCATENATE(Comments!A23,CHAR(10)))</f>
        <v/>
      </c>
      <c r="F327" s="997">
        <f t="shared" si="10"/>
        <v>0</v>
      </c>
      <c r="G327" s="1167"/>
    </row>
    <row r="328" spans="1:7">
      <c r="A328" s="817"/>
      <c r="B328" s="1174" t="str">
        <f>IF(E328="","",B308)</f>
        <v/>
      </c>
      <c r="C328" s="928" t="s">
        <v>964</v>
      </c>
      <c r="D328" s="994">
        <f t="shared" si="11"/>
        <v>21</v>
      </c>
      <c r="E328" s="996" t="str">
        <f>IF(Comments!A24="","",CONCATENATE(Comments!A24,CHAR(10)))</f>
        <v/>
      </c>
      <c r="F328" s="997">
        <f t="shared" si="10"/>
        <v>0</v>
      </c>
      <c r="G328" s="1167"/>
    </row>
    <row r="329" spans="1:7">
      <c r="A329" s="817"/>
      <c r="B329" s="1174" t="str">
        <f>IF(E329="","",B308)</f>
        <v/>
      </c>
      <c r="C329" s="928" t="s">
        <v>964</v>
      </c>
      <c r="D329" s="994">
        <f t="shared" si="11"/>
        <v>22</v>
      </c>
      <c r="E329" s="996" t="str">
        <f>IF(Comments!A25="","",CONCATENATE(Comments!A25,CHAR(10)))</f>
        <v/>
      </c>
      <c r="F329" s="997">
        <f t="shared" si="10"/>
        <v>0</v>
      </c>
      <c r="G329" s="1167"/>
    </row>
    <row r="330" spans="1:7">
      <c r="A330" s="817"/>
      <c r="B330" s="1174" t="str">
        <f>IF(E330="","",B308)</f>
        <v/>
      </c>
      <c r="C330" s="928" t="s">
        <v>964</v>
      </c>
      <c r="D330" s="994">
        <f t="shared" si="11"/>
        <v>23</v>
      </c>
      <c r="E330" s="996" t="str">
        <f>IF(Comments!A26="","",CONCATENATE(Comments!A26,CHAR(10)))</f>
        <v/>
      </c>
      <c r="F330" s="997">
        <f t="shared" ref="F330:F357" si="12">F329</f>
        <v>0</v>
      </c>
      <c r="G330" s="1167"/>
    </row>
    <row r="331" spans="1:7">
      <c r="A331" s="817"/>
      <c r="B331" s="1174" t="str">
        <f>IF(E331="","",B308)</f>
        <v/>
      </c>
      <c r="C331" s="928" t="s">
        <v>964</v>
      </c>
      <c r="D331" s="994">
        <f t="shared" si="11"/>
        <v>24</v>
      </c>
      <c r="E331" s="996" t="str">
        <f>IF(Comments!A27="","",CONCATENATE(Comments!A27,CHAR(10)))</f>
        <v/>
      </c>
      <c r="F331" s="997">
        <f t="shared" si="12"/>
        <v>0</v>
      </c>
      <c r="G331" s="1167"/>
    </row>
    <row r="332" spans="1:7">
      <c r="A332" s="817"/>
      <c r="B332" s="1174" t="str">
        <f>IF(E332="","",B308)</f>
        <v/>
      </c>
      <c r="C332" s="928" t="s">
        <v>964</v>
      </c>
      <c r="D332" s="994">
        <f t="shared" si="11"/>
        <v>25</v>
      </c>
      <c r="E332" s="996" t="str">
        <f>IF(Comments!A28="","",CONCATENATE(Comments!A28,CHAR(10)))</f>
        <v/>
      </c>
      <c r="F332" s="997">
        <f t="shared" si="12"/>
        <v>0</v>
      </c>
      <c r="G332" s="1167"/>
    </row>
    <row r="333" spans="1:7">
      <c r="A333" s="817"/>
      <c r="B333" s="1174" t="str">
        <f>IF(E333="","",B308)</f>
        <v/>
      </c>
      <c r="C333" s="928" t="s">
        <v>964</v>
      </c>
      <c r="D333" s="994">
        <f t="shared" si="11"/>
        <v>26</v>
      </c>
      <c r="E333" s="996" t="str">
        <f>IF(Comments!A29="","",CONCATENATE(Comments!A29,CHAR(10)))</f>
        <v/>
      </c>
      <c r="F333" s="997">
        <f t="shared" si="12"/>
        <v>0</v>
      </c>
      <c r="G333" s="1167"/>
    </row>
    <row r="334" spans="1:7">
      <c r="A334" s="817"/>
      <c r="B334" s="1174" t="str">
        <f>IF(E334="","",B308)</f>
        <v/>
      </c>
      <c r="C334" s="928" t="s">
        <v>964</v>
      </c>
      <c r="D334" s="994">
        <f t="shared" si="11"/>
        <v>27</v>
      </c>
      <c r="E334" s="996" t="str">
        <f>IF(Comments!A30="","",CONCATENATE(Comments!A30,CHAR(10)))</f>
        <v/>
      </c>
      <c r="F334" s="997">
        <f t="shared" si="12"/>
        <v>0</v>
      </c>
      <c r="G334" s="1167"/>
    </row>
    <row r="335" spans="1:7">
      <c r="A335" s="817"/>
      <c r="B335" s="1174" t="str">
        <f>IF(E335="","",B308)</f>
        <v/>
      </c>
      <c r="C335" s="928" t="s">
        <v>964</v>
      </c>
      <c r="D335" s="994">
        <f t="shared" si="11"/>
        <v>28</v>
      </c>
      <c r="E335" s="996" t="str">
        <f>IF(Comments!A31="","",CONCATENATE(Comments!A31,CHAR(10)))</f>
        <v/>
      </c>
      <c r="F335" s="997">
        <f t="shared" si="12"/>
        <v>0</v>
      </c>
      <c r="G335" s="1167"/>
    </row>
    <row r="336" spans="1:7">
      <c r="A336" s="817"/>
      <c r="B336" s="1174" t="str">
        <f>IF(E336="","",B308)</f>
        <v/>
      </c>
      <c r="C336" s="928" t="s">
        <v>964</v>
      </c>
      <c r="D336" s="994">
        <f t="shared" si="11"/>
        <v>29</v>
      </c>
      <c r="E336" s="996" t="str">
        <f>IF(Comments!A32="","",CONCATENATE(Comments!A32,CHAR(10)))</f>
        <v/>
      </c>
      <c r="F336" s="997">
        <f t="shared" si="12"/>
        <v>0</v>
      </c>
      <c r="G336" s="1167"/>
    </row>
    <row r="337" spans="1:7">
      <c r="A337" s="817"/>
      <c r="B337" s="1174" t="str">
        <f>IF(E337="","",B308)</f>
        <v/>
      </c>
      <c r="C337" s="928" t="s">
        <v>964</v>
      </c>
      <c r="D337" s="994">
        <f t="shared" si="11"/>
        <v>30</v>
      </c>
      <c r="E337" s="996" t="str">
        <f>IF(Comments!A33="","",CONCATENATE(Comments!A33,CHAR(10)))</f>
        <v/>
      </c>
      <c r="F337" s="997">
        <f t="shared" si="12"/>
        <v>0</v>
      </c>
      <c r="G337" s="1167"/>
    </row>
    <row r="338" spans="1:7">
      <c r="A338" s="817"/>
      <c r="B338" s="1174" t="str">
        <f>IF(E338="","",B308)</f>
        <v/>
      </c>
      <c r="C338" s="928" t="s">
        <v>964</v>
      </c>
      <c r="D338" s="994">
        <f t="shared" si="11"/>
        <v>31</v>
      </c>
      <c r="E338" s="996" t="str">
        <f>IF(Comments!A34="","",CONCATENATE(Comments!A34,CHAR(10)))</f>
        <v/>
      </c>
      <c r="F338" s="997">
        <f t="shared" si="12"/>
        <v>0</v>
      </c>
      <c r="G338" s="1167"/>
    </row>
    <row r="339" spans="1:7">
      <c r="A339" s="817"/>
      <c r="B339" s="1174" t="str">
        <f>IF(E339="","",B308)</f>
        <v/>
      </c>
      <c r="C339" s="928" t="s">
        <v>964</v>
      </c>
      <c r="D339" s="994">
        <f t="shared" si="11"/>
        <v>32</v>
      </c>
      <c r="E339" s="996" t="str">
        <f>IF(Comments!A35="","",CONCATENATE(Comments!A35,CHAR(10)))</f>
        <v/>
      </c>
      <c r="F339" s="997">
        <f t="shared" si="12"/>
        <v>0</v>
      </c>
      <c r="G339" s="1167"/>
    </row>
    <row r="340" spans="1:7">
      <c r="A340" s="817"/>
      <c r="B340" s="1174" t="str">
        <f>IF(E340="","",B308)</f>
        <v/>
      </c>
      <c r="C340" s="928" t="s">
        <v>964</v>
      </c>
      <c r="D340" s="994">
        <f t="shared" si="11"/>
        <v>33</v>
      </c>
      <c r="E340" s="996" t="str">
        <f>IF(Comments!A36="","",CONCATENATE(Comments!A36,CHAR(10)))</f>
        <v/>
      </c>
      <c r="F340" s="997">
        <f t="shared" si="12"/>
        <v>0</v>
      </c>
      <c r="G340" s="1167"/>
    </row>
    <row r="341" spans="1:7">
      <c r="A341" s="817"/>
      <c r="B341" s="1174" t="str">
        <f>IF(E341="","",B308)</f>
        <v/>
      </c>
      <c r="C341" s="928" t="s">
        <v>964</v>
      </c>
      <c r="D341" s="994">
        <f t="shared" si="11"/>
        <v>34</v>
      </c>
      <c r="E341" s="996" t="str">
        <f>IF(Comments!A37="","",CONCATENATE(Comments!A37,CHAR(10)))</f>
        <v/>
      </c>
      <c r="F341" s="997">
        <f t="shared" si="12"/>
        <v>0</v>
      </c>
      <c r="G341" s="1167"/>
    </row>
    <row r="342" spans="1:7">
      <c r="A342" s="817"/>
      <c r="B342" s="1174" t="str">
        <f>IF(E342="","",B308)</f>
        <v/>
      </c>
      <c r="C342" s="928" t="s">
        <v>964</v>
      </c>
      <c r="D342" s="994">
        <f t="shared" si="11"/>
        <v>35</v>
      </c>
      <c r="E342" s="996" t="str">
        <f>IF(Comments!A38="","",CONCATENATE(Comments!A38,CHAR(10)))</f>
        <v/>
      </c>
      <c r="F342" s="997">
        <f t="shared" si="12"/>
        <v>0</v>
      </c>
      <c r="G342" s="1167"/>
    </row>
    <row r="343" spans="1:7">
      <c r="A343" s="817"/>
      <c r="B343" s="1174" t="str">
        <f>IF(E343="","",B308)</f>
        <v/>
      </c>
      <c r="C343" s="928" t="s">
        <v>964</v>
      </c>
      <c r="D343" s="994">
        <f t="shared" si="11"/>
        <v>36</v>
      </c>
      <c r="E343" s="996" t="str">
        <f>IF(Comments!A39="","",CONCATENATE(Comments!A39,CHAR(10)))</f>
        <v/>
      </c>
      <c r="F343" s="997">
        <f t="shared" si="12"/>
        <v>0</v>
      </c>
      <c r="G343" s="1167"/>
    </row>
    <row r="344" spans="1:7">
      <c r="A344" s="817"/>
      <c r="B344" s="1174" t="str">
        <f>IF(E344="","",B308)</f>
        <v/>
      </c>
      <c r="C344" s="928" t="s">
        <v>964</v>
      </c>
      <c r="D344" s="994">
        <f t="shared" si="11"/>
        <v>37</v>
      </c>
      <c r="E344" s="996" t="str">
        <f>IF(Comments!A40="","",CONCATENATE(Comments!A40,CHAR(10)))</f>
        <v/>
      </c>
      <c r="F344" s="997">
        <f t="shared" si="12"/>
        <v>0</v>
      </c>
      <c r="G344" s="1167"/>
    </row>
    <row r="345" spans="1:7">
      <c r="A345" s="817"/>
      <c r="B345" s="1174" t="str">
        <f>IF(E345="","",B308)</f>
        <v/>
      </c>
      <c r="C345" s="928" t="s">
        <v>964</v>
      </c>
      <c r="D345" s="994">
        <f t="shared" si="11"/>
        <v>38</v>
      </c>
      <c r="E345" s="996" t="str">
        <f>IF(Comments!A41="","",CONCATENATE(Comments!A41,CHAR(10)))</f>
        <v/>
      </c>
      <c r="F345" s="997">
        <f t="shared" si="12"/>
        <v>0</v>
      </c>
      <c r="G345" s="1167"/>
    </row>
    <row r="346" spans="1:7">
      <c r="A346" s="817"/>
      <c r="B346" s="1174" t="str">
        <f>IF(E346="","",B308)</f>
        <v/>
      </c>
      <c r="C346" s="928" t="s">
        <v>964</v>
      </c>
      <c r="D346" s="994">
        <f t="shared" si="11"/>
        <v>39</v>
      </c>
      <c r="E346" s="996" t="str">
        <f>IF(Comments!A42="","",CONCATENATE(Comments!A42,CHAR(10)))</f>
        <v/>
      </c>
      <c r="F346" s="997">
        <f t="shared" si="12"/>
        <v>0</v>
      </c>
      <c r="G346" s="1167"/>
    </row>
    <row r="347" spans="1:7">
      <c r="A347" s="817"/>
      <c r="B347" s="1174" t="str">
        <f>IF(E347="","",B308)</f>
        <v/>
      </c>
      <c r="C347" s="928" t="s">
        <v>964</v>
      </c>
      <c r="D347" s="994">
        <f t="shared" si="11"/>
        <v>40</v>
      </c>
      <c r="E347" s="996" t="str">
        <f>IF(Comments!A43="","",CONCATENATE(Comments!A43,CHAR(10)))</f>
        <v/>
      </c>
      <c r="F347" s="997">
        <f t="shared" si="12"/>
        <v>0</v>
      </c>
      <c r="G347" s="1167"/>
    </row>
    <row r="348" spans="1:7">
      <c r="A348" s="817"/>
      <c r="B348" s="1174" t="str">
        <f>IF(E348="","",B308)</f>
        <v/>
      </c>
      <c r="C348" s="928" t="s">
        <v>964</v>
      </c>
      <c r="D348" s="994">
        <f t="shared" si="11"/>
        <v>41</v>
      </c>
      <c r="E348" s="996" t="str">
        <f>IF(Comments!A44="","",CONCATENATE(Comments!A44,CHAR(10)))</f>
        <v/>
      </c>
      <c r="F348" s="997">
        <f t="shared" si="12"/>
        <v>0</v>
      </c>
      <c r="G348" s="1167"/>
    </row>
    <row r="349" spans="1:7">
      <c r="A349" s="817"/>
      <c r="B349" s="1174" t="str">
        <f>IF(E349="","",B308)</f>
        <v/>
      </c>
      <c r="C349" s="928" t="s">
        <v>964</v>
      </c>
      <c r="D349" s="994">
        <f t="shared" si="11"/>
        <v>42</v>
      </c>
      <c r="E349" s="996" t="str">
        <f>IF(Comments!A45="","",CONCATENATE(Comments!A45,CHAR(10)))</f>
        <v/>
      </c>
      <c r="F349" s="997">
        <f t="shared" si="12"/>
        <v>0</v>
      </c>
      <c r="G349" s="1167"/>
    </row>
    <row r="350" spans="1:7">
      <c r="A350" s="817"/>
      <c r="B350" s="1174" t="str">
        <f>IF(E350="","",B308)</f>
        <v/>
      </c>
      <c r="C350" s="928" t="s">
        <v>964</v>
      </c>
      <c r="D350" s="994">
        <f t="shared" si="11"/>
        <v>43</v>
      </c>
      <c r="E350" s="996" t="str">
        <f>IF(Comments!A46="","",CONCATENATE(Comments!A46,CHAR(10)))</f>
        <v/>
      </c>
      <c r="F350" s="997">
        <f t="shared" si="12"/>
        <v>0</v>
      </c>
      <c r="G350" s="1167"/>
    </row>
    <row r="351" spans="1:7">
      <c r="A351" s="817"/>
      <c r="B351" s="1174" t="str">
        <f>IF(E351="","",B308)</f>
        <v/>
      </c>
      <c r="C351" s="928" t="s">
        <v>964</v>
      </c>
      <c r="D351" s="994">
        <f t="shared" si="11"/>
        <v>44</v>
      </c>
      <c r="E351" s="996" t="str">
        <f>IF(Comments!A47="","",CONCATENATE(Comments!A47,CHAR(10)))</f>
        <v/>
      </c>
      <c r="F351" s="997">
        <f t="shared" si="12"/>
        <v>0</v>
      </c>
      <c r="G351" s="1167"/>
    </row>
    <row r="352" spans="1:7">
      <c r="A352" s="817"/>
      <c r="B352" s="1174" t="str">
        <f>IF(E352="","",B308)</f>
        <v/>
      </c>
      <c r="C352" s="928" t="s">
        <v>964</v>
      </c>
      <c r="D352" s="994">
        <f t="shared" si="11"/>
        <v>45</v>
      </c>
      <c r="E352" s="996" t="str">
        <f>IF(Comments!A48="","",CONCATENATE(Comments!A48,CHAR(10)))</f>
        <v/>
      </c>
      <c r="F352" s="997">
        <f t="shared" si="12"/>
        <v>0</v>
      </c>
      <c r="G352" s="1167"/>
    </row>
    <row r="353" spans="1:7">
      <c r="A353" s="817"/>
      <c r="B353" s="1174" t="str">
        <f>IF(E353="","",B308)</f>
        <v/>
      </c>
      <c r="C353" s="928" t="s">
        <v>964</v>
      </c>
      <c r="D353" s="994">
        <f t="shared" si="11"/>
        <v>46</v>
      </c>
      <c r="E353" s="996" t="str">
        <f>IF(Comments!A49="","",CONCATENATE(Comments!A49,CHAR(10)))</f>
        <v/>
      </c>
      <c r="F353" s="997">
        <f t="shared" si="12"/>
        <v>0</v>
      </c>
      <c r="G353" s="1167"/>
    </row>
    <row r="354" spans="1:7">
      <c r="A354" s="817"/>
      <c r="B354" s="1174" t="str">
        <f>IF(E354="","",B308)</f>
        <v/>
      </c>
      <c r="C354" s="928" t="s">
        <v>964</v>
      </c>
      <c r="D354" s="994">
        <f t="shared" si="11"/>
        <v>47</v>
      </c>
      <c r="E354" s="996" t="str">
        <f>IF(Comments!A50="","",CONCATENATE(Comments!A50,CHAR(10)))</f>
        <v/>
      </c>
      <c r="F354" s="997">
        <f t="shared" si="12"/>
        <v>0</v>
      </c>
      <c r="G354" s="1167"/>
    </row>
    <row r="355" spans="1:7">
      <c r="A355" s="817"/>
      <c r="B355" s="1174" t="str">
        <f>IF(E355="","",B308)</f>
        <v/>
      </c>
      <c r="C355" s="928" t="s">
        <v>964</v>
      </c>
      <c r="D355" s="994">
        <f t="shared" si="11"/>
        <v>48</v>
      </c>
      <c r="E355" s="996" t="str">
        <f>IF(Comments!A51="","",CONCATENATE(Comments!A51,CHAR(10)))</f>
        <v/>
      </c>
      <c r="F355" s="997">
        <f t="shared" si="12"/>
        <v>0</v>
      </c>
      <c r="G355" s="1167"/>
    </row>
    <row r="356" spans="1:7">
      <c r="A356" s="817"/>
      <c r="B356" s="1174" t="str">
        <f>IF(E356="","",B308)</f>
        <v/>
      </c>
      <c r="C356" s="928" t="s">
        <v>964</v>
      </c>
      <c r="D356" s="994">
        <f t="shared" si="11"/>
        <v>49</v>
      </c>
      <c r="E356" s="996" t="str">
        <f>IF(Comments!A52="","",CONCATENATE(Comments!A52,CHAR(10)))</f>
        <v/>
      </c>
      <c r="F356" s="997">
        <f t="shared" si="12"/>
        <v>0</v>
      </c>
      <c r="G356" s="1167"/>
    </row>
    <row r="357" spans="1:7">
      <c r="A357" s="817"/>
      <c r="B357" s="1173" t="str">
        <f>IF(E357="","",B308)</f>
        <v/>
      </c>
      <c r="C357" s="927" t="s">
        <v>964</v>
      </c>
      <c r="D357" s="993">
        <f t="shared" si="11"/>
        <v>50</v>
      </c>
      <c r="E357" s="995" t="str">
        <f>IF(Comments!A53="","",CONCATENATE(Comments!A53,CHAR(10)))</f>
        <v/>
      </c>
      <c r="F357" s="998">
        <f t="shared" si="12"/>
        <v>0</v>
      </c>
      <c r="G357" s="1172"/>
    </row>
    <row r="358" spans="1:7">
      <c r="B358"/>
      <c r="C358"/>
      <c r="D358"/>
      <c r="E358"/>
      <c r="F358"/>
      <c r="G358"/>
    </row>
  </sheetData>
  <phoneticPr fontId="32" type="noConversion"/>
  <pageMargins left="0.4" right="0.26" top="1" bottom="1" header="0.5" footer="0.5"/>
  <pageSetup scale="10" orientation="landscape" r:id="rId1"/>
  <headerFooter alignWithMargins="0"/>
  <legacyDrawing r:id="rId2"/>
  <tableParts count="1">
    <tablePart r:id="rId3"/>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indexed="45"/>
    <pageSetUpPr fitToPage="1"/>
  </sheetPr>
  <dimension ref="A1:K15"/>
  <sheetViews>
    <sheetView zoomScale="75" workbookViewId="0">
      <pane xSplit="2" ySplit="7" topLeftCell="C8" activePane="bottomRight" state="frozen"/>
      <selection activeCell="C11" sqref="C11:F11"/>
      <selection pane="topRight" activeCell="C11" sqref="C11:F11"/>
      <selection pane="bottomLeft" activeCell="C11" sqref="C11:F11"/>
      <selection pane="bottomRight" activeCell="E9" sqref="E9"/>
    </sheetView>
  </sheetViews>
  <sheetFormatPr defaultRowHeight="12.75"/>
  <cols>
    <col min="1" max="1" width="45.7109375" style="753" customWidth="1"/>
    <col min="2" max="2" width="22" style="753" customWidth="1"/>
    <col min="3" max="3" width="17" style="753" customWidth="1"/>
    <col min="4" max="4" width="15.42578125" style="753" customWidth="1"/>
    <col min="5" max="5" width="14.28515625" style="753" customWidth="1"/>
    <col min="6" max="6" width="13.5703125" style="753" customWidth="1"/>
    <col min="7" max="7" width="26.28515625" style="753" customWidth="1"/>
    <col min="8" max="8" width="26.140625" style="753" customWidth="1"/>
    <col min="9" max="9" width="24.42578125" style="753" customWidth="1"/>
    <col min="10" max="10" width="17.7109375" style="753" customWidth="1"/>
    <col min="11" max="11" width="16.7109375" style="753" customWidth="1"/>
    <col min="12" max="16384" width="9.140625" style="753"/>
  </cols>
  <sheetData>
    <row r="1" spans="1:11" s="783" customFormat="1" ht="12.75" customHeight="1">
      <c r="A1" s="795" t="s">
        <v>7</v>
      </c>
      <c r="B1" s="790"/>
      <c r="C1" s="790"/>
      <c r="D1" s="790"/>
      <c r="E1" s="790"/>
      <c r="F1" s="796" t="s">
        <v>1068</v>
      </c>
      <c r="G1" s="790"/>
      <c r="H1" s="790"/>
      <c r="I1" s="790"/>
      <c r="J1" s="790"/>
      <c r="K1" s="796" t="s">
        <v>1069</v>
      </c>
    </row>
    <row r="2" spans="1:11" s="783" customFormat="1" ht="12.75" customHeight="1">
      <c r="A2" s="795" t="s">
        <v>1008</v>
      </c>
      <c r="B2" s="782" t="s">
        <v>1869</v>
      </c>
      <c r="C2" s="782" t="s">
        <v>1869</v>
      </c>
      <c r="D2" s="782" t="s">
        <v>1869</v>
      </c>
      <c r="E2" s="782" t="s">
        <v>1869</v>
      </c>
      <c r="F2" s="782" t="s">
        <v>1869</v>
      </c>
      <c r="G2" s="782" t="s">
        <v>1869</v>
      </c>
      <c r="H2" s="782" t="s">
        <v>1869</v>
      </c>
      <c r="I2" s="782" t="s">
        <v>1869</v>
      </c>
      <c r="J2" s="782" t="s">
        <v>1869</v>
      </c>
      <c r="K2" s="782" t="s">
        <v>1869</v>
      </c>
    </row>
    <row r="3" spans="1:11" s="783" customFormat="1" ht="12.75" customHeight="1" thickBot="1">
      <c r="A3" s="795" t="s">
        <v>1009</v>
      </c>
      <c r="B3" s="793" t="s">
        <v>739</v>
      </c>
      <c r="C3" s="793" t="s">
        <v>1870</v>
      </c>
      <c r="D3" s="793" t="s">
        <v>1871</v>
      </c>
      <c r="E3" s="785" t="s">
        <v>1873</v>
      </c>
      <c r="F3" s="785" t="s">
        <v>1876</v>
      </c>
      <c r="G3" s="785" t="s">
        <v>1877</v>
      </c>
      <c r="H3" s="910" t="s">
        <v>1878</v>
      </c>
      <c r="I3" s="785" t="s">
        <v>1879</v>
      </c>
      <c r="J3" s="785" t="s">
        <v>734</v>
      </c>
      <c r="K3" s="785" t="s">
        <v>736</v>
      </c>
    </row>
    <row r="4" spans="1:11" s="805" customFormat="1" ht="60.75" thickBot="1">
      <c r="A4" s="795" t="s">
        <v>726</v>
      </c>
      <c r="B4" s="856" t="s">
        <v>9</v>
      </c>
      <c r="C4" s="946" t="s">
        <v>1151</v>
      </c>
      <c r="D4" s="862"/>
      <c r="E4" s="799" t="s">
        <v>1874</v>
      </c>
      <c r="F4" s="804"/>
      <c r="G4" s="802"/>
      <c r="H4" s="937" t="s">
        <v>1433</v>
      </c>
      <c r="I4" s="937" t="s">
        <v>1434</v>
      </c>
      <c r="J4" s="802"/>
      <c r="K4" s="800"/>
    </row>
    <row r="5" spans="1:11" s="783" customFormat="1" ht="72.75" thickBot="1">
      <c r="A5" s="795" t="s">
        <v>727</v>
      </c>
      <c r="B5" s="806" t="s">
        <v>1667</v>
      </c>
      <c r="C5" s="863"/>
      <c r="D5" s="863"/>
      <c r="E5" s="802" t="s">
        <v>1875</v>
      </c>
      <c r="F5" s="807" t="s">
        <v>931</v>
      </c>
      <c r="G5" s="801" t="s">
        <v>1166</v>
      </c>
      <c r="H5" s="801" t="s">
        <v>1166</v>
      </c>
      <c r="I5" s="864"/>
      <c r="J5" s="802"/>
      <c r="K5" s="800" t="s">
        <v>737</v>
      </c>
    </row>
    <row r="6" spans="1:11" ht="54" customHeight="1" thickBot="1">
      <c r="A6" s="812" t="s">
        <v>48</v>
      </c>
      <c r="B6" s="788" t="s">
        <v>49</v>
      </c>
      <c r="C6" s="814" t="s">
        <v>953</v>
      </c>
      <c r="D6" s="814" t="s">
        <v>1152</v>
      </c>
      <c r="E6" s="814" t="s">
        <v>2184</v>
      </c>
      <c r="F6" s="815" t="s">
        <v>1153</v>
      </c>
      <c r="G6" s="814" t="s">
        <v>1154</v>
      </c>
      <c r="H6" s="788" t="s">
        <v>1155</v>
      </c>
      <c r="I6" s="814" t="s">
        <v>1156</v>
      </c>
      <c r="J6" s="788" t="s">
        <v>1392</v>
      </c>
      <c r="K6" s="813" t="s">
        <v>55</v>
      </c>
    </row>
    <row r="7" spans="1:11" s="783" customFormat="1" ht="26.25" thickBot="1">
      <c r="A7" s="816" t="s">
        <v>1670</v>
      </c>
      <c r="B7" s="1137" t="s">
        <v>739</v>
      </c>
      <c r="C7" s="1012" t="s">
        <v>1870</v>
      </c>
      <c r="D7" s="1012" t="s">
        <v>1871</v>
      </c>
      <c r="E7" s="1012" t="s">
        <v>1873</v>
      </c>
      <c r="F7" s="1012" t="s">
        <v>1876</v>
      </c>
      <c r="G7" s="1012" t="s">
        <v>1877</v>
      </c>
      <c r="H7" s="1012" t="s">
        <v>1878</v>
      </c>
      <c r="I7" s="1012" t="s">
        <v>1879</v>
      </c>
      <c r="J7" s="1012" t="s">
        <v>734</v>
      </c>
      <c r="K7" s="1180" t="s">
        <v>736</v>
      </c>
    </row>
    <row r="8" spans="1:11" ht="13.5" thickBot="1">
      <c r="A8" s="817" t="s">
        <v>935</v>
      </c>
      <c r="B8" s="1139" t="str">
        <f>t_smpl!B8</f>
        <v/>
      </c>
      <c r="C8" s="818" t="s">
        <v>1553</v>
      </c>
      <c r="D8" s="818">
        <v>1</v>
      </c>
      <c r="E8" s="818">
        <f>'Pay Values'!I6</f>
        <v>0</v>
      </c>
      <c r="F8" s="819">
        <v>0</v>
      </c>
      <c r="G8" s="865">
        <f>Superpave!I3</f>
        <v>0</v>
      </c>
      <c r="H8" s="865">
        <f>Superpave!I3</f>
        <v>0</v>
      </c>
      <c r="I8" s="865">
        <f>Superpave!I3</f>
        <v>0</v>
      </c>
      <c r="J8" s="948">
        <f>'Pay Values'!I9</f>
        <v>0</v>
      </c>
      <c r="K8" s="1177"/>
    </row>
    <row r="9" spans="1:11">
      <c r="A9" s="817" t="s">
        <v>135</v>
      </c>
      <c r="B9" s="1139" t="str">
        <f>t_smpl!B9</f>
        <v/>
      </c>
      <c r="C9" s="818" t="s">
        <v>1553</v>
      </c>
      <c r="D9" s="818">
        <v>1</v>
      </c>
      <c r="E9" s="818">
        <f>'Pay Values'!I5</f>
        <v>0</v>
      </c>
      <c r="F9" s="819">
        <v>0</v>
      </c>
      <c r="G9" s="865">
        <f>Superpave!I3</f>
        <v>0</v>
      </c>
      <c r="H9" s="865">
        <f>Superpave!I3</f>
        <v>0</v>
      </c>
      <c r="I9" s="865">
        <f>Superpave!I3</f>
        <v>0</v>
      </c>
      <c r="J9" s="948">
        <f>'Pay Values'!I9</f>
        <v>0</v>
      </c>
      <c r="K9" s="1177"/>
    </row>
    <row r="10" spans="1:11">
      <c r="A10" s="817"/>
      <c r="B10" s="1140" t="str">
        <f>t_smpl!B10</f>
        <v/>
      </c>
      <c r="C10" s="824" t="s">
        <v>1553</v>
      </c>
      <c r="D10" s="824">
        <v>1</v>
      </c>
      <c r="E10" s="824">
        <f>'Pay Values'!I6</f>
        <v>0</v>
      </c>
      <c r="F10" s="823">
        <v>0</v>
      </c>
      <c r="G10" s="866">
        <f>Superpave!I4</f>
        <v>0</v>
      </c>
      <c r="H10" s="866">
        <f>Superpave!I4</f>
        <v>0</v>
      </c>
      <c r="I10" s="866">
        <f>Superpave!I4</f>
        <v>0</v>
      </c>
      <c r="J10" s="949">
        <f>'Pay Values'!I9</f>
        <v>0</v>
      </c>
      <c r="K10" s="1178"/>
    </row>
    <row r="11" spans="1:11">
      <c r="A11" s="817"/>
      <c r="B11" s="1140" t="str">
        <f>t_smpl!B11</f>
        <v/>
      </c>
      <c r="C11" s="824" t="s">
        <v>1553</v>
      </c>
      <c r="D11" s="824">
        <v>1</v>
      </c>
      <c r="E11" s="824">
        <f>'Pay Values'!I6</f>
        <v>0</v>
      </c>
      <c r="F11" s="823">
        <v>0</v>
      </c>
      <c r="G11" s="866">
        <f>Superpave!I5</f>
        <v>0</v>
      </c>
      <c r="H11" s="866">
        <f>Superpave!I5</f>
        <v>0</v>
      </c>
      <c r="I11" s="866">
        <f>Superpave!I5</f>
        <v>0</v>
      </c>
      <c r="J11" s="949">
        <f>'Pay Values'!I9</f>
        <v>0</v>
      </c>
      <c r="K11" s="1178"/>
    </row>
    <row r="12" spans="1:11" ht="13.5" thickBot="1">
      <c r="A12" s="817" t="s">
        <v>138</v>
      </c>
      <c r="B12" s="1138" t="str">
        <f>t_smpl!B12</f>
        <v/>
      </c>
      <c r="C12" s="830" t="s">
        <v>1553</v>
      </c>
      <c r="D12" s="830">
        <v>1</v>
      </c>
      <c r="E12" s="830">
        <f>'Pay Values'!I6</f>
        <v>0</v>
      </c>
      <c r="F12" s="829">
        <v>0</v>
      </c>
      <c r="G12" s="867">
        <f>Superpave!I6</f>
        <v>0</v>
      </c>
      <c r="H12" s="867">
        <f>Superpave!I6</f>
        <v>0</v>
      </c>
      <c r="I12" s="867">
        <f>Superpave!I6</f>
        <v>0</v>
      </c>
      <c r="J12" s="950">
        <f>'Pay Values'!I9</f>
        <v>0</v>
      </c>
      <c r="K12" s="1179"/>
    </row>
    <row r="13" spans="1:11">
      <c r="A13" s="947" t="s">
        <v>910</v>
      </c>
      <c r="B13" s="1139" t="str">
        <f>t_smpl!B13</f>
        <v/>
      </c>
      <c r="C13" s="818" t="s">
        <v>1553</v>
      </c>
      <c r="D13" s="818">
        <v>1</v>
      </c>
      <c r="E13" s="818">
        <f>IF(Calculations!M1,'Pay Values'!I6,'Pay Values'!I5)</f>
        <v>0</v>
      </c>
      <c r="F13" s="819">
        <v>0</v>
      </c>
      <c r="G13" s="865" t="e">
        <f ca="1">INDIRECT("G"&amp;'Super Verify'!B5+8)</f>
        <v>#VALUE!</v>
      </c>
      <c r="H13" s="865" t="e">
        <f ca="1">INDIRECT("G"&amp;'Super Verify'!B5+8)</f>
        <v>#VALUE!</v>
      </c>
      <c r="I13" s="865" t="e">
        <f ca="1">INDIRECT("G"&amp;'Super Verify'!B5+8)</f>
        <v>#VALUE!</v>
      </c>
      <c r="J13" s="948">
        <f>'Pay Values'!I9</f>
        <v>0</v>
      </c>
      <c r="K13" s="1177"/>
    </row>
    <row r="14" spans="1:11">
      <c r="A14" s="947" t="s">
        <v>911</v>
      </c>
      <c r="B14" s="1149" t="str">
        <f>t_smpl!B14</f>
        <v/>
      </c>
      <c r="C14" s="1150" t="s">
        <v>1553</v>
      </c>
      <c r="D14" s="1150">
        <v>1</v>
      </c>
      <c r="E14" s="1150">
        <f>IF(Calculations!M2,'Pay Values'!I6,'Pay Values'!I5)</f>
        <v>0</v>
      </c>
      <c r="F14" s="1155">
        <v>0</v>
      </c>
      <c r="G14" s="1181" t="e">
        <f ca="1">INDIRECT("G"&amp;'Super Verify'!B12+8)</f>
        <v>#VALUE!</v>
      </c>
      <c r="H14" s="1181" t="e">
        <f ca="1">INDIRECT("G"&amp;'Super Verify'!B12+8)</f>
        <v>#VALUE!</v>
      </c>
      <c r="I14" s="1181" t="e">
        <f ca="1">INDIRECT("G"&amp;'Super Verify'!B12+8)</f>
        <v>#VALUE!</v>
      </c>
      <c r="J14" s="1182">
        <f>'Pay Values'!I9</f>
        <v>0</v>
      </c>
      <c r="K14" s="1183"/>
    </row>
    <row r="15" spans="1:11">
      <c r="B15"/>
      <c r="C15"/>
      <c r="D15"/>
      <c r="E15"/>
      <c r="F15"/>
      <c r="G15"/>
      <c r="H15"/>
      <c r="I15"/>
      <c r="J15"/>
      <c r="K15"/>
    </row>
  </sheetData>
  <phoneticPr fontId="32" type="noConversion"/>
  <pageMargins left="0.4" right="0.26" top="1" bottom="1" header="0.5" footer="0.5"/>
  <pageSetup scale="58" orientation="landscape" r:id="rId1"/>
  <headerFooter alignWithMargins="0"/>
  <legacyDrawing r:id="rId2"/>
  <tableParts count="1">
    <tablePart r:id="rId3"/>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indexed="45"/>
    <pageSetUpPr fitToPage="1"/>
  </sheetPr>
  <dimension ref="A1:G15"/>
  <sheetViews>
    <sheetView zoomScale="75" workbookViewId="0">
      <pane xSplit="2" ySplit="7" topLeftCell="C8" activePane="bottomRight" state="frozen"/>
      <selection activeCell="C11" sqref="C11:F11"/>
      <selection pane="topRight" activeCell="C11" sqref="C11:F11"/>
      <selection pane="bottomLeft" activeCell="C11" sqref="C11:F11"/>
      <selection pane="bottomRight" activeCell="B7" sqref="B7"/>
    </sheetView>
  </sheetViews>
  <sheetFormatPr defaultRowHeight="12.75"/>
  <cols>
    <col min="1" max="1" width="45.7109375" style="753" customWidth="1"/>
    <col min="2" max="2" width="20.140625" style="753" customWidth="1"/>
    <col min="3" max="3" width="16.28515625" style="753" customWidth="1"/>
    <col min="4" max="4" width="15.42578125" style="753" customWidth="1"/>
    <col min="5" max="5" width="59.28515625" style="753" customWidth="1"/>
    <col min="6" max="6" width="17.7109375" style="753" customWidth="1"/>
    <col min="7" max="7" width="16.7109375" style="753" customWidth="1"/>
    <col min="8" max="8" width="6.7109375" style="753" customWidth="1"/>
    <col min="9" max="16384" width="9.140625" style="753"/>
  </cols>
  <sheetData>
    <row r="1" spans="1:7" s="783" customFormat="1" ht="12.75" customHeight="1">
      <c r="A1" s="795" t="s">
        <v>7</v>
      </c>
      <c r="B1" s="791"/>
      <c r="C1" s="791"/>
      <c r="D1" s="791"/>
      <c r="E1" s="791"/>
      <c r="F1" s="791"/>
      <c r="G1" s="789" t="s">
        <v>1069</v>
      </c>
    </row>
    <row r="2" spans="1:7" s="783" customFormat="1" ht="12.75" customHeight="1">
      <c r="A2" s="795" t="s">
        <v>1008</v>
      </c>
      <c r="B2" s="869" t="s">
        <v>1880</v>
      </c>
      <c r="C2" s="869" t="s">
        <v>1880</v>
      </c>
      <c r="D2" s="869" t="s">
        <v>1880</v>
      </c>
      <c r="E2" s="869" t="s">
        <v>1880</v>
      </c>
      <c r="F2" s="869" t="s">
        <v>1880</v>
      </c>
      <c r="G2" s="869" t="s">
        <v>1880</v>
      </c>
    </row>
    <row r="3" spans="1:7" s="783" customFormat="1" ht="12.75" customHeight="1" thickBot="1">
      <c r="A3" s="795" t="s">
        <v>1009</v>
      </c>
      <c r="B3" s="792" t="s">
        <v>739</v>
      </c>
      <c r="C3" s="792" t="s">
        <v>1870</v>
      </c>
      <c r="D3" s="792" t="s">
        <v>1871</v>
      </c>
      <c r="E3" s="792" t="s">
        <v>1881</v>
      </c>
      <c r="F3" s="786" t="s">
        <v>734</v>
      </c>
      <c r="G3" s="786" t="s">
        <v>736</v>
      </c>
    </row>
    <row r="4" spans="1:7" s="805" customFormat="1" ht="130.5" customHeight="1" thickBot="1">
      <c r="A4" s="795" t="s">
        <v>726</v>
      </c>
      <c r="B4" s="856" t="s">
        <v>9</v>
      </c>
      <c r="C4" s="870"/>
      <c r="D4" s="870"/>
      <c r="E4" s="952" t="s">
        <v>535</v>
      </c>
      <c r="F4" s="871"/>
      <c r="G4" s="872"/>
    </row>
    <row r="5" spans="1:7" s="783" customFormat="1" ht="26.25" thickBot="1">
      <c r="A5" s="795" t="s">
        <v>727</v>
      </c>
      <c r="B5" s="806" t="s">
        <v>1667</v>
      </c>
      <c r="C5" s="860"/>
      <c r="D5" s="860"/>
      <c r="E5" s="873"/>
      <c r="F5" s="861"/>
      <c r="G5" s="874" t="s">
        <v>737</v>
      </c>
    </row>
    <row r="6" spans="1:7" ht="54" customHeight="1" thickBot="1">
      <c r="A6" s="812" t="s">
        <v>48</v>
      </c>
      <c r="B6" s="787" t="s">
        <v>1157</v>
      </c>
      <c r="C6" s="788" t="s">
        <v>953</v>
      </c>
      <c r="D6" s="788" t="s">
        <v>1152</v>
      </c>
      <c r="E6" s="814" t="s">
        <v>1158</v>
      </c>
      <c r="F6" s="788" t="s">
        <v>1392</v>
      </c>
      <c r="G6" s="815" t="s">
        <v>55</v>
      </c>
    </row>
    <row r="7" spans="1:7" s="783" customFormat="1" ht="26.25" thickBot="1">
      <c r="A7" s="816" t="s">
        <v>1670</v>
      </c>
      <c r="B7" s="1133" t="s">
        <v>739</v>
      </c>
      <c r="C7" s="1014" t="s">
        <v>1870</v>
      </c>
      <c r="D7" s="1014" t="s">
        <v>1871</v>
      </c>
      <c r="E7" s="1014" t="s">
        <v>1881</v>
      </c>
      <c r="F7" s="1014" t="s">
        <v>734</v>
      </c>
      <c r="G7" s="1134" t="s">
        <v>736</v>
      </c>
    </row>
    <row r="8" spans="1:7" ht="13.5" thickBot="1">
      <c r="A8" s="817" t="s">
        <v>935</v>
      </c>
      <c r="B8" s="1184" t="str">
        <f>t_smpl!B8</f>
        <v/>
      </c>
      <c r="C8" s="818" t="s">
        <v>1553</v>
      </c>
      <c r="D8" s="818">
        <v>1</v>
      </c>
      <c r="E8" s="1213" t="str">
        <f>Superpave!B6</f>
        <v/>
      </c>
      <c r="F8" s="1213">
        <f>'Pay Values'!I9</f>
        <v>0</v>
      </c>
      <c r="G8" s="1177"/>
    </row>
    <row r="9" spans="1:7">
      <c r="A9" s="817" t="s">
        <v>135</v>
      </c>
      <c r="B9" s="1139" t="str">
        <f>t_smpl!B9</f>
        <v/>
      </c>
      <c r="C9" s="818" t="s">
        <v>1553</v>
      </c>
      <c r="D9" s="818">
        <v>1</v>
      </c>
      <c r="E9" s="1213" t="str">
        <f>Superpave!B6</f>
        <v/>
      </c>
      <c r="F9" s="1213">
        <f>'Pay Values'!I9</f>
        <v>0</v>
      </c>
      <c r="G9" s="1177"/>
    </row>
    <row r="10" spans="1:7">
      <c r="A10" s="817"/>
      <c r="B10" s="1140" t="str">
        <f>t_smpl!B10</f>
        <v/>
      </c>
      <c r="C10" s="824" t="s">
        <v>1553</v>
      </c>
      <c r="D10" s="824">
        <v>1</v>
      </c>
      <c r="E10" s="1004" t="str">
        <f>Superpave!E6</f>
        <v/>
      </c>
      <c r="F10" s="1004">
        <f>'Pay Values'!I9</f>
        <v>0</v>
      </c>
      <c r="G10" s="1178"/>
    </row>
    <row r="11" spans="1:7">
      <c r="A11" s="817"/>
      <c r="B11" s="1140" t="str">
        <f>t_smpl!B11</f>
        <v/>
      </c>
      <c r="C11" s="824" t="s">
        <v>1553</v>
      </c>
      <c r="D11" s="824">
        <v>1</v>
      </c>
      <c r="E11" s="1004" t="str">
        <f>Superpave!B8</f>
        <v/>
      </c>
      <c r="F11" s="1004">
        <f>'Pay Values'!I9</f>
        <v>0</v>
      </c>
      <c r="G11" s="1178"/>
    </row>
    <row r="12" spans="1:7" ht="13.5" thickBot="1">
      <c r="A12" s="817" t="s">
        <v>138</v>
      </c>
      <c r="B12" s="1138" t="str">
        <f>t_smpl!B12</f>
        <v/>
      </c>
      <c r="C12" s="830" t="s">
        <v>1553</v>
      </c>
      <c r="D12" s="830">
        <v>1</v>
      </c>
      <c r="E12" s="1214" t="str">
        <f>Superpave!E8</f>
        <v/>
      </c>
      <c r="F12" s="1214">
        <f>'Pay Values'!I9</f>
        <v>0</v>
      </c>
      <c r="G12" s="1179"/>
    </row>
    <row r="13" spans="1:7">
      <c r="A13" s="947" t="s">
        <v>910</v>
      </c>
      <c r="B13" s="1139" t="str">
        <f>t_smpl!B13</f>
        <v/>
      </c>
      <c r="C13" s="818" t="s">
        <v>1553</v>
      </c>
      <c r="D13" s="818">
        <v>1</v>
      </c>
      <c r="E13" s="1213">
        <f>'Super Verify'!E5</f>
        <v>0</v>
      </c>
      <c r="F13" s="1213">
        <f>'Pay Values'!I9</f>
        <v>0</v>
      </c>
      <c r="G13" s="1177"/>
    </row>
    <row r="14" spans="1:7">
      <c r="A14" s="947" t="s">
        <v>911</v>
      </c>
      <c r="B14" s="1149" t="str">
        <f>t_smpl!B14</f>
        <v/>
      </c>
      <c r="C14" s="1150" t="s">
        <v>1553</v>
      </c>
      <c r="D14" s="1150">
        <v>1</v>
      </c>
      <c r="E14" s="1194">
        <f>'Super Verify'!E12</f>
        <v>0</v>
      </c>
      <c r="F14" s="1194">
        <f>'Pay Values'!I9</f>
        <v>0</v>
      </c>
      <c r="G14" s="1183"/>
    </row>
    <row r="15" spans="1:7">
      <c r="B15"/>
      <c r="C15"/>
      <c r="D15"/>
      <c r="E15"/>
      <c r="F15"/>
      <c r="G15"/>
    </row>
  </sheetData>
  <phoneticPr fontId="32" type="noConversion"/>
  <pageMargins left="0.4" right="0.26" top="1" bottom="1" header="0.5" footer="0.5"/>
  <pageSetup scale="21" orientation="landscape" r:id="rId1"/>
  <headerFooter alignWithMargins="0"/>
  <legacyDrawing r:id="rId2"/>
  <tableParts count="1">
    <tablePart r:id="rId3"/>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indexed="45"/>
    <pageSetUpPr fitToPage="1"/>
  </sheetPr>
  <dimension ref="A1:H15"/>
  <sheetViews>
    <sheetView zoomScale="75" workbookViewId="0">
      <pane xSplit="2" ySplit="7" topLeftCell="C8" activePane="bottomRight" state="frozen"/>
      <selection activeCell="C11" sqref="C11:F11"/>
      <selection pane="topRight" activeCell="C11" sqref="C11:F11"/>
      <selection pane="bottomLeft" activeCell="C11" sqref="C11:F11"/>
      <selection pane="bottomRight" activeCell="C9" sqref="C9"/>
    </sheetView>
  </sheetViews>
  <sheetFormatPr defaultRowHeight="12.75"/>
  <cols>
    <col min="1" max="1" width="45.7109375" style="753" customWidth="1"/>
    <col min="2" max="2" width="21.7109375" style="753" customWidth="1"/>
    <col min="3" max="3" width="17" style="753" customWidth="1"/>
    <col min="4" max="4" width="15.42578125" style="753" customWidth="1"/>
    <col min="5" max="6" width="13.7109375" style="753" customWidth="1"/>
    <col min="7" max="7" width="16.7109375" style="753" customWidth="1"/>
    <col min="8" max="8" width="17.7109375" style="753" customWidth="1"/>
    <col min="9" max="16384" width="9.140625" style="753"/>
  </cols>
  <sheetData>
    <row r="1" spans="1:8" s="783" customFormat="1" ht="12.75" customHeight="1">
      <c r="A1" s="795" t="s">
        <v>7</v>
      </c>
      <c r="B1" s="791"/>
      <c r="C1" s="791"/>
      <c r="D1" s="791"/>
      <c r="E1" s="789" t="s">
        <v>1068</v>
      </c>
      <c r="F1" s="789" t="s">
        <v>1068</v>
      </c>
      <c r="G1" s="789" t="s">
        <v>1069</v>
      </c>
      <c r="H1" s="791"/>
    </row>
    <row r="2" spans="1:8" s="783" customFormat="1" ht="12.75" customHeight="1">
      <c r="A2" s="795" t="s">
        <v>1008</v>
      </c>
      <c r="B2" s="877" t="s">
        <v>2035</v>
      </c>
      <c r="C2" s="877" t="s">
        <v>2035</v>
      </c>
      <c r="D2" s="877" t="s">
        <v>2035</v>
      </c>
      <c r="E2" s="877" t="s">
        <v>2035</v>
      </c>
      <c r="F2" s="877" t="s">
        <v>2035</v>
      </c>
      <c r="G2" s="877" t="s">
        <v>2035</v>
      </c>
      <c r="H2" s="877" t="s">
        <v>2035</v>
      </c>
    </row>
    <row r="3" spans="1:8" s="783" customFormat="1" ht="12.75" customHeight="1" thickBot="1">
      <c r="A3" s="795" t="s">
        <v>1009</v>
      </c>
      <c r="B3" s="792" t="s">
        <v>739</v>
      </c>
      <c r="C3" s="792" t="s">
        <v>1870</v>
      </c>
      <c r="D3" s="792" t="s">
        <v>1871</v>
      </c>
      <c r="E3" s="786" t="s">
        <v>730</v>
      </c>
      <c r="F3" s="786" t="s">
        <v>2036</v>
      </c>
      <c r="G3" s="786" t="s">
        <v>736</v>
      </c>
      <c r="H3" s="786" t="s">
        <v>734</v>
      </c>
    </row>
    <row r="4" spans="1:8" s="805" customFormat="1" ht="60.75" thickBot="1">
      <c r="A4" s="795" t="s">
        <v>726</v>
      </c>
      <c r="B4" s="856" t="s">
        <v>9</v>
      </c>
      <c r="C4" s="870"/>
      <c r="D4" s="878"/>
      <c r="E4" s="879"/>
      <c r="F4" s="880"/>
      <c r="G4" s="872"/>
      <c r="H4" s="881"/>
    </row>
    <row r="5" spans="1:8" s="783" customFormat="1" ht="84.75" customHeight="1" thickBot="1">
      <c r="A5" s="795" t="s">
        <v>727</v>
      </c>
      <c r="B5" s="806" t="s">
        <v>1667</v>
      </c>
      <c r="C5" s="860"/>
      <c r="D5" s="860"/>
      <c r="E5" s="807" t="s">
        <v>1668</v>
      </c>
      <c r="F5" s="882" t="s">
        <v>932</v>
      </c>
      <c r="G5" s="874" t="s">
        <v>737</v>
      </c>
      <c r="H5" s="861"/>
    </row>
    <row r="6" spans="1:8" ht="39" customHeight="1" thickBot="1">
      <c r="A6" s="812" t="s">
        <v>48</v>
      </c>
      <c r="B6" s="814" t="s">
        <v>943</v>
      </c>
      <c r="C6" s="788" t="s">
        <v>953</v>
      </c>
      <c r="D6" s="788" t="s">
        <v>1152</v>
      </c>
      <c r="E6" s="813" t="s">
        <v>23</v>
      </c>
      <c r="F6" s="813" t="s">
        <v>1159</v>
      </c>
      <c r="G6" s="815" t="s">
        <v>55</v>
      </c>
      <c r="H6" s="788" t="s">
        <v>1392</v>
      </c>
    </row>
    <row r="7" spans="1:8" s="783" customFormat="1" ht="26.25" thickBot="1">
      <c r="A7" s="816" t="s">
        <v>1670</v>
      </c>
      <c r="B7" s="1133" t="s">
        <v>739</v>
      </c>
      <c r="C7" s="1014" t="s">
        <v>1870</v>
      </c>
      <c r="D7" s="1014" t="s">
        <v>1871</v>
      </c>
      <c r="E7" s="1014" t="s">
        <v>730</v>
      </c>
      <c r="F7" s="1014" t="s">
        <v>2036</v>
      </c>
      <c r="G7" s="1014" t="s">
        <v>736</v>
      </c>
      <c r="H7" s="1134" t="s">
        <v>734</v>
      </c>
    </row>
    <row r="8" spans="1:8" ht="13.5" thickBot="1">
      <c r="A8" s="817" t="s">
        <v>935</v>
      </c>
      <c r="B8" s="1139" t="str">
        <f>t_smpl!B8</f>
        <v/>
      </c>
      <c r="C8" s="818" t="s">
        <v>1553</v>
      </c>
      <c r="D8" s="818">
        <v>1</v>
      </c>
      <c r="E8" s="819" t="s">
        <v>1637</v>
      </c>
      <c r="F8" s="819"/>
      <c r="G8" s="820"/>
      <c r="H8" s="1185">
        <f>'Pay Values'!I9</f>
        <v>0</v>
      </c>
    </row>
    <row r="9" spans="1:8">
      <c r="A9" s="817" t="s">
        <v>135</v>
      </c>
      <c r="B9" s="1139" t="str">
        <f>t_smpl!B9</f>
        <v/>
      </c>
      <c r="C9" s="818" t="s">
        <v>1553</v>
      </c>
      <c r="D9" s="818">
        <v>1</v>
      </c>
      <c r="E9" s="819" t="s">
        <v>1637</v>
      </c>
      <c r="F9" s="819"/>
      <c r="G9" s="820"/>
      <c r="H9" s="1185">
        <f>'Pay Values'!I9</f>
        <v>0</v>
      </c>
    </row>
    <row r="10" spans="1:8">
      <c r="A10" s="817"/>
      <c r="B10" s="1140" t="str">
        <f>t_smpl!B10</f>
        <v/>
      </c>
      <c r="C10" s="824" t="s">
        <v>1553</v>
      </c>
      <c r="D10" s="824">
        <v>1</v>
      </c>
      <c r="E10" s="823" t="s">
        <v>1637</v>
      </c>
      <c r="F10" s="823"/>
      <c r="G10" s="825"/>
      <c r="H10" s="1186">
        <f>'Pay Values'!I9</f>
        <v>0</v>
      </c>
    </row>
    <row r="11" spans="1:8">
      <c r="A11" s="817"/>
      <c r="B11" s="1140" t="str">
        <f>t_smpl!B11</f>
        <v/>
      </c>
      <c r="C11" s="824" t="s">
        <v>1553</v>
      </c>
      <c r="D11" s="824">
        <v>1</v>
      </c>
      <c r="E11" s="823" t="s">
        <v>1637</v>
      </c>
      <c r="F11" s="823"/>
      <c r="G11" s="825"/>
      <c r="H11" s="1186">
        <f>'Pay Values'!I9</f>
        <v>0</v>
      </c>
    </row>
    <row r="12" spans="1:8" ht="13.5" thickBot="1">
      <c r="A12" s="817" t="s">
        <v>138</v>
      </c>
      <c r="B12" s="1138" t="str">
        <f>t_smpl!B12</f>
        <v/>
      </c>
      <c r="C12" s="830" t="s">
        <v>1553</v>
      </c>
      <c r="D12" s="830">
        <v>1</v>
      </c>
      <c r="E12" s="829" t="s">
        <v>1637</v>
      </c>
      <c r="F12" s="829"/>
      <c r="G12" s="831"/>
      <c r="H12" s="1187">
        <f>'Pay Values'!I9</f>
        <v>0</v>
      </c>
    </row>
    <row r="13" spans="1:8">
      <c r="A13" s="947" t="s">
        <v>910</v>
      </c>
      <c r="B13" s="1163" t="str">
        <f>t_smpl!B13</f>
        <v/>
      </c>
      <c r="C13" s="818" t="s">
        <v>1553</v>
      </c>
      <c r="D13" s="818">
        <v>1</v>
      </c>
      <c r="E13" s="875" t="s">
        <v>1637</v>
      </c>
      <c r="F13" s="875"/>
      <c r="G13" s="876"/>
      <c r="H13" s="1188">
        <f>'Pay Values'!I9</f>
        <v>0</v>
      </c>
    </row>
    <row r="14" spans="1:8">
      <c r="A14" s="947" t="s">
        <v>911</v>
      </c>
      <c r="B14" s="1149" t="str">
        <f>t_smpl!B14</f>
        <v/>
      </c>
      <c r="C14" s="1150" t="s">
        <v>1553</v>
      </c>
      <c r="D14" s="1150">
        <v>1</v>
      </c>
      <c r="E14" s="1155" t="s">
        <v>1637</v>
      </c>
      <c r="F14" s="1155"/>
      <c r="G14" s="1152"/>
      <c r="H14" s="1189">
        <f>'Pay Values'!I9</f>
        <v>0</v>
      </c>
    </row>
    <row r="15" spans="1:8">
      <c r="B15"/>
      <c r="C15"/>
      <c r="D15"/>
      <c r="E15"/>
      <c r="F15"/>
      <c r="G15"/>
      <c r="H15"/>
    </row>
  </sheetData>
  <phoneticPr fontId="32" type="noConversion"/>
  <pageMargins left="0.4" right="0.26" top="1" bottom="1" header="0.5" footer="0.5"/>
  <pageSetup scale="63" orientation="landscape" r:id="rId1"/>
  <headerFooter alignWithMargins="0"/>
  <legacyDrawing r:id="rId2"/>
  <tableParts count="1">
    <tablePart r:id="rId3"/>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indexed="45"/>
  </sheetPr>
  <dimension ref="A1:M1478"/>
  <sheetViews>
    <sheetView zoomScale="80" zoomScaleNormal="80" workbookViewId="0">
      <pane ySplit="7" topLeftCell="A188" activePane="bottomLeft" state="frozen"/>
      <selection activeCell="C11" sqref="C11:F11"/>
      <selection pane="bottomLeft" activeCell="G191" sqref="G191"/>
    </sheetView>
  </sheetViews>
  <sheetFormatPr defaultRowHeight="12.75"/>
  <cols>
    <col min="1" max="1" width="45.7109375" style="753" customWidth="1"/>
    <col min="2" max="2" width="25.42578125" style="753" customWidth="1"/>
    <col min="3" max="3" width="13.28515625" style="753" customWidth="1"/>
    <col min="4" max="4" width="16.28515625" style="753" customWidth="1"/>
    <col min="5" max="5" width="13.7109375" style="753" customWidth="1"/>
    <col min="6" max="6" width="52.5703125" style="753" customWidth="1"/>
    <col min="7" max="7" width="35.85546875" style="753" customWidth="1"/>
    <col min="8" max="8" width="18.7109375" style="753" customWidth="1"/>
    <col min="9" max="9" width="17.7109375" style="753" customWidth="1"/>
    <col min="10" max="10" width="2.28515625" style="753" customWidth="1"/>
    <col min="11" max="11" width="32.28515625" style="753" bestFit="1" customWidth="1"/>
    <col min="12" max="16384" width="9.140625" style="753"/>
  </cols>
  <sheetData>
    <row r="1" spans="1:11">
      <c r="A1" s="795" t="s">
        <v>7</v>
      </c>
      <c r="B1" s="791"/>
      <c r="C1" s="791"/>
      <c r="D1" s="791"/>
      <c r="E1" s="791"/>
      <c r="F1" s="791"/>
      <c r="G1" s="791"/>
      <c r="H1" s="791"/>
      <c r="I1" s="789" t="s">
        <v>1069</v>
      </c>
    </row>
    <row r="2" spans="1:11">
      <c r="A2" s="795" t="s">
        <v>1008</v>
      </c>
      <c r="B2" s="781" t="s">
        <v>1074</v>
      </c>
      <c r="C2" s="781" t="s">
        <v>1074</v>
      </c>
      <c r="D2" s="781" t="s">
        <v>1074</v>
      </c>
      <c r="E2" s="781" t="s">
        <v>1074</v>
      </c>
      <c r="F2" s="781" t="s">
        <v>1074</v>
      </c>
      <c r="G2" s="781" t="s">
        <v>1074</v>
      </c>
      <c r="H2" s="781" t="s">
        <v>1074</v>
      </c>
      <c r="I2" s="781" t="s">
        <v>1074</v>
      </c>
    </row>
    <row r="3" spans="1:11" ht="13.5" thickBot="1">
      <c r="A3" s="795" t="s">
        <v>1009</v>
      </c>
      <c r="B3" s="792" t="s">
        <v>739</v>
      </c>
      <c r="C3" s="792" t="s">
        <v>1870</v>
      </c>
      <c r="D3" s="792" t="s">
        <v>1871</v>
      </c>
      <c r="E3" s="792" t="s">
        <v>1075</v>
      </c>
      <c r="F3" s="792" t="s">
        <v>1076</v>
      </c>
      <c r="G3" s="792" t="s">
        <v>1077</v>
      </c>
      <c r="H3" s="786" t="s">
        <v>734</v>
      </c>
      <c r="I3" s="786" t="s">
        <v>736</v>
      </c>
    </row>
    <row r="4" spans="1:11" ht="160.9" customHeight="1" thickBot="1">
      <c r="A4" s="795" t="s">
        <v>726</v>
      </c>
      <c r="B4" s="856" t="s">
        <v>9</v>
      </c>
      <c r="C4" s="857"/>
      <c r="D4" s="857"/>
      <c r="E4" s="858"/>
      <c r="F4" s="961" t="s">
        <v>1546</v>
      </c>
      <c r="G4" s="961" t="s">
        <v>339</v>
      </c>
      <c r="H4" s="838"/>
      <c r="I4" s="839"/>
    </row>
    <row r="5" spans="1:11" ht="51.75" thickBot="1">
      <c r="A5" s="795" t="s">
        <v>727</v>
      </c>
      <c r="B5" s="806" t="s">
        <v>1667</v>
      </c>
      <c r="C5" s="860"/>
      <c r="D5" s="860"/>
      <c r="E5" s="860"/>
      <c r="F5" s="955" t="s">
        <v>1161</v>
      </c>
      <c r="G5" s="955" t="s">
        <v>1162</v>
      </c>
      <c r="H5" s="861"/>
      <c r="I5" s="874" t="s">
        <v>737</v>
      </c>
      <c r="K5" s="962" t="s">
        <v>1833</v>
      </c>
    </row>
    <row r="6" spans="1:11" ht="39" thickBot="1">
      <c r="A6" s="812" t="s">
        <v>48</v>
      </c>
      <c r="B6" s="814" t="s">
        <v>943</v>
      </c>
      <c r="C6" s="813" t="s">
        <v>953</v>
      </c>
      <c r="D6" s="813" t="s">
        <v>1152</v>
      </c>
      <c r="E6" s="813" t="s">
        <v>1163</v>
      </c>
      <c r="F6" s="814" t="s">
        <v>1164</v>
      </c>
      <c r="G6" s="814" t="s">
        <v>1165</v>
      </c>
      <c r="H6" s="788" t="s">
        <v>1392</v>
      </c>
      <c r="I6" s="815" t="s">
        <v>55</v>
      </c>
    </row>
    <row r="7" spans="1:11" ht="26.25" thickBot="1">
      <c r="A7" s="816" t="s">
        <v>1670</v>
      </c>
      <c r="B7" s="1133" t="s">
        <v>739</v>
      </c>
      <c r="C7" s="1014" t="s">
        <v>1870</v>
      </c>
      <c r="D7" s="1014" t="s">
        <v>1871</v>
      </c>
      <c r="E7" s="1014" t="s">
        <v>1075</v>
      </c>
      <c r="F7" s="1014" t="s">
        <v>1076</v>
      </c>
      <c r="G7" s="1014" t="s">
        <v>1077</v>
      </c>
      <c r="H7" s="1014" t="s">
        <v>734</v>
      </c>
      <c r="I7" s="1134" t="s">
        <v>736</v>
      </c>
    </row>
    <row r="8" spans="1:11">
      <c r="A8" s="956" t="s">
        <v>1167</v>
      </c>
      <c r="B8" s="1190" t="str">
        <f>t_smpl!B8</f>
        <v/>
      </c>
      <c r="C8" s="1000" t="s">
        <v>1553</v>
      </c>
      <c r="D8" s="1000">
        <v>1</v>
      </c>
      <c r="E8" s="1007">
        <v>1</v>
      </c>
      <c r="F8" s="999" t="s">
        <v>1637</v>
      </c>
      <c r="G8" s="1002">
        <v>0</v>
      </c>
      <c r="H8" s="1006">
        <f>'Pay Values'!I9</f>
        <v>0</v>
      </c>
      <c r="I8" s="1191"/>
    </row>
    <row r="9" spans="1:11">
      <c r="A9" s="956" t="s">
        <v>1545</v>
      </c>
      <c r="B9" s="1140" t="str">
        <f t="shared" ref="B9:B15" si="0">B8</f>
        <v/>
      </c>
      <c r="C9" s="823" t="s">
        <v>1553</v>
      </c>
      <c r="D9" s="823">
        <v>1</v>
      </c>
      <c r="E9" s="1001">
        <v>2</v>
      </c>
      <c r="F9" s="824" t="str">
        <f>IF(t_smpl!Z8="COMP","ISPC","OSPC")</f>
        <v>ISPC</v>
      </c>
      <c r="G9" s="1003">
        <v>0</v>
      </c>
      <c r="H9" s="989">
        <f t="shared" ref="H9:H72" si="1">H8</f>
        <v>0</v>
      </c>
      <c r="I9" s="1178"/>
    </row>
    <row r="10" spans="1:11">
      <c r="A10" s="956" t="s">
        <v>1168</v>
      </c>
      <c r="B10" s="1140" t="str">
        <f t="shared" si="0"/>
        <v/>
      </c>
      <c r="C10" s="823" t="s">
        <v>1553</v>
      </c>
      <c r="D10" s="823">
        <v>1</v>
      </c>
      <c r="E10" s="1001">
        <v>3</v>
      </c>
      <c r="F10" s="824" t="s">
        <v>1637</v>
      </c>
      <c r="G10" s="1003">
        <v>0</v>
      </c>
      <c r="H10" s="989">
        <f t="shared" si="1"/>
        <v>0</v>
      </c>
      <c r="I10" s="1178"/>
    </row>
    <row r="11" spans="1:11">
      <c r="A11" s="956" t="s">
        <v>1169</v>
      </c>
      <c r="B11" s="1140" t="str">
        <f t="shared" si="0"/>
        <v/>
      </c>
      <c r="C11" s="823" t="s">
        <v>1553</v>
      </c>
      <c r="D11" s="823">
        <v>1</v>
      </c>
      <c r="E11" s="1001">
        <v>4</v>
      </c>
      <c r="F11" s="828" t="s">
        <v>1637</v>
      </c>
      <c r="G11" s="1004">
        <v>0</v>
      </c>
      <c r="H11" s="989">
        <f t="shared" si="1"/>
        <v>0</v>
      </c>
      <c r="I11" s="1178"/>
    </row>
    <row r="12" spans="1:11">
      <c r="A12" s="956" t="s">
        <v>1170</v>
      </c>
      <c r="B12" s="1140" t="str">
        <f t="shared" si="0"/>
        <v/>
      </c>
      <c r="C12" s="823" t="s">
        <v>1553</v>
      </c>
      <c r="D12" s="823">
        <v>1</v>
      </c>
      <c r="E12" s="1001">
        <v>5</v>
      </c>
      <c r="F12" s="828" t="s">
        <v>1637</v>
      </c>
      <c r="G12" s="1004">
        <v>0</v>
      </c>
      <c r="H12" s="989">
        <f t="shared" si="1"/>
        <v>0</v>
      </c>
      <c r="I12" s="1178"/>
    </row>
    <row r="13" spans="1:11">
      <c r="A13" s="956" t="s">
        <v>1171</v>
      </c>
      <c r="B13" s="1140" t="str">
        <f t="shared" si="0"/>
        <v/>
      </c>
      <c r="C13" s="823" t="s">
        <v>1553</v>
      </c>
      <c r="D13" s="823">
        <v>1</v>
      </c>
      <c r="E13" s="1001">
        <v>6</v>
      </c>
      <c r="F13" s="828" t="s">
        <v>1637</v>
      </c>
      <c r="G13" s="1004">
        <v>0</v>
      </c>
      <c r="H13" s="989">
        <f t="shared" si="1"/>
        <v>0</v>
      </c>
      <c r="I13" s="1178"/>
    </row>
    <row r="14" spans="1:11">
      <c r="A14" s="956" t="s">
        <v>1172</v>
      </c>
      <c r="B14" s="1140" t="str">
        <f t="shared" si="0"/>
        <v/>
      </c>
      <c r="C14" s="823" t="s">
        <v>1553</v>
      </c>
      <c r="D14" s="823">
        <v>1</v>
      </c>
      <c r="E14" s="1001">
        <v>7</v>
      </c>
      <c r="F14" s="828" t="s">
        <v>1637</v>
      </c>
      <c r="G14" s="1004">
        <v>0</v>
      </c>
      <c r="H14" s="989">
        <f t="shared" si="1"/>
        <v>0</v>
      </c>
      <c r="I14" s="1178"/>
    </row>
    <row r="15" spans="1:11">
      <c r="A15" s="956" t="s">
        <v>231</v>
      </c>
      <c r="B15" s="1140" t="str">
        <f t="shared" si="0"/>
        <v/>
      </c>
      <c r="C15" s="823" t="s">
        <v>1553</v>
      </c>
      <c r="D15" s="823">
        <v>1</v>
      </c>
      <c r="E15" s="1001">
        <v>8</v>
      </c>
      <c r="F15" s="824">
        <f>'Pay Values'!I3</f>
        <v>0</v>
      </c>
      <c r="G15" s="1003">
        <v>0</v>
      </c>
      <c r="H15" s="989">
        <f t="shared" si="1"/>
        <v>0</v>
      </c>
      <c r="I15" s="1178"/>
    </row>
    <row r="16" spans="1:11">
      <c r="A16" s="956" t="s">
        <v>1337</v>
      </c>
      <c r="B16" s="1140" t="str">
        <f t="shared" ref="B16:B79" si="2">B15</f>
        <v/>
      </c>
      <c r="C16" s="823" t="s">
        <v>1553</v>
      </c>
      <c r="D16" s="823">
        <v>1</v>
      </c>
      <c r="E16" s="1001">
        <v>9</v>
      </c>
      <c r="F16" s="823" t="s">
        <v>1637</v>
      </c>
      <c r="G16" s="1003">
        <v>0</v>
      </c>
      <c r="H16" s="989">
        <f t="shared" si="1"/>
        <v>0</v>
      </c>
      <c r="I16" s="1178"/>
    </row>
    <row r="17" spans="1:11">
      <c r="A17" s="956" t="s">
        <v>232</v>
      </c>
      <c r="B17" s="1140" t="str">
        <f t="shared" si="2"/>
        <v/>
      </c>
      <c r="C17" s="823" t="s">
        <v>1553</v>
      </c>
      <c r="D17" s="823">
        <v>1</v>
      </c>
      <c r="E17" s="1001">
        <v>10</v>
      </c>
      <c r="F17" s="823" t="s">
        <v>1637</v>
      </c>
      <c r="G17" s="981" t="str">
        <f>Superpave!R9</f>
        <v/>
      </c>
      <c r="H17" s="989">
        <f t="shared" si="1"/>
        <v>0</v>
      </c>
      <c r="I17" s="1178"/>
    </row>
    <row r="18" spans="1:11">
      <c r="A18" s="956" t="s">
        <v>233</v>
      </c>
      <c r="B18" s="1140" t="str">
        <f t="shared" si="2"/>
        <v/>
      </c>
      <c r="C18" s="823" t="s">
        <v>1553</v>
      </c>
      <c r="D18" s="823">
        <v>1</v>
      </c>
      <c r="E18" s="1001">
        <v>11</v>
      </c>
      <c r="F18" s="959" t="str">
        <f>Superpave!N3</f>
        <v/>
      </c>
      <c r="G18" s="1003">
        <v>0</v>
      </c>
      <c r="H18" s="989">
        <f t="shared" si="1"/>
        <v>0</v>
      </c>
      <c r="I18" s="1178"/>
    </row>
    <row r="19" spans="1:11">
      <c r="A19" s="956" t="s">
        <v>234</v>
      </c>
      <c r="B19" s="1140" t="str">
        <f t="shared" si="2"/>
        <v/>
      </c>
      <c r="C19" s="823" t="s">
        <v>1553</v>
      </c>
      <c r="D19" s="823">
        <v>1</v>
      </c>
      <c r="E19" s="1001">
        <v>12</v>
      </c>
      <c r="F19" s="824" t="str">
        <f>Superpave!N4</f>
        <v/>
      </c>
      <c r="G19" s="1003">
        <v>0</v>
      </c>
      <c r="H19" s="989">
        <f t="shared" si="1"/>
        <v>0</v>
      </c>
      <c r="I19" s="1178"/>
    </row>
    <row r="20" spans="1:11">
      <c r="A20" s="956" t="s">
        <v>235</v>
      </c>
      <c r="B20" s="1140" t="str">
        <f t="shared" si="2"/>
        <v/>
      </c>
      <c r="C20" s="823" t="s">
        <v>1553</v>
      </c>
      <c r="D20" s="823">
        <v>1</v>
      </c>
      <c r="E20" s="1001">
        <v>13</v>
      </c>
      <c r="F20" s="824" t="str">
        <f>Superpave!N5</f>
        <v/>
      </c>
      <c r="G20" s="1003">
        <v>0</v>
      </c>
      <c r="H20" s="989">
        <f t="shared" si="1"/>
        <v>0</v>
      </c>
      <c r="I20" s="1178"/>
    </row>
    <row r="21" spans="1:11">
      <c r="A21" s="956" t="s">
        <v>236</v>
      </c>
      <c r="B21" s="1140" t="str">
        <f t="shared" si="2"/>
        <v/>
      </c>
      <c r="C21" s="823" t="s">
        <v>1553</v>
      </c>
      <c r="D21" s="823">
        <v>1</v>
      </c>
      <c r="E21" s="1001">
        <v>14</v>
      </c>
      <c r="F21" s="824" t="str">
        <f>Superpave!N6</f>
        <v/>
      </c>
      <c r="G21" s="1003">
        <v>0</v>
      </c>
      <c r="H21" s="989">
        <f t="shared" si="1"/>
        <v>0</v>
      </c>
      <c r="I21" s="1178"/>
    </row>
    <row r="22" spans="1:11">
      <c r="A22" s="956" t="s">
        <v>237</v>
      </c>
      <c r="B22" s="1140" t="str">
        <f t="shared" si="2"/>
        <v/>
      </c>
      <c r="C22" s="823" t="s">
        <v>1553</v>
      </c>
      <c r="D22" s="823">
        <v>1</v>
      </c>
      <c r="E22" s="1001">
        <v>15</v>
      </c>
      <c r="F22" s="824" t="str">
        <f>Superpave!N7</f>
        <v/>
      </c>
      <c r="G22" s="1003">
        <v>0</v>
      </c>
      <c r="H22" s="989">
        <f t="shared" si="1"/>
        <v>0</v>
      </c>
      <c r="I22" s="1178"/>
      <c r="K22" s="885"/>
    </row>
    <row r="23" spans="1:11">
      <c r="A23" s="956" t="s">
        <v>238</v>
      </c>
      <c r="B23" s="1140" t="str">
        <f t="shared" si="2"/>
        <v/>
      </c>
      <c r="C23" s="823" t="s">
        <v>1553</v>
      </c>
      <c r="D23" s="823">
        <v>1</v>
      </c>
      <c r="E23" s="1001">
        <v>16</v>
      </c>
      <c r="F23" s="824" t="str">
        <f>Superpave!N8</f>
        <v/>
      </c>
      <c r="G23" s="1003">
        <v>0</v>
      </c>
      <c r="H23" s="989">
        <f t="shared" si="1"/>
        <v>0</v>
      </c>
      <c r="I23" s="1178"/>
      <c r="J23" s="885"/>
    </row>
    <row r="24" spans="1:11">
      <c r="A24" s="956" t="s">
        <v>239</v>
      </c>
      <c r="B24" s="1140" t="str">
        <f t="shared" si="2"/>
        <v/>
      </c>
      <c r="C24" s="823" t="s">
        <v>1553</v>
      </c>
      <c r="D24" s="823">
        <v>1</v>
      </c>
      <c r="E24" s="1001">
        <v>17</v>
      </c>
      <c r="F24" s="824" t="str">
        <f>Superpave!O3</f>
        <v/>
      </c>
      <c r="G24" s="1003">
        <v>0</v>
      </c>
      <c r="H24" s="989">
        <f t="shared" si="1"/>
        <v>0</v>
      </c>
      <c r="I24" s="1178"/>
      <c r="K24" s="885"/>
    </row>
    <row r="25" spans="1:11">
      <c r="A25" s="956" t="s">
        <v>240</v>
      </c>
      <c r="B25" s="1140" t="str">
        <f t="shared" si="2"/>
        <v/>
      </c>
      <c r="C25" s="823" t="s">
        <v>1553</v>
      </c>
      <c r="D25" s="823">
        <v>1</v>
      </c>
      <c r="E25" s="1001">
        <v>18</v>
      </c>
      <c r="F25" s="824" t="str">
        <f>Superpave!O4</f>
        <v/>
      </c>
      <c r="G25" s="1003">
        <v>0</v>
      </c>
      <c r="H25" s="989">
        <f t="shared" si="1"/>
        <v>0</v>
      </c>
      <c r="I25" s="1178"/>
    </row>
    <row r="26" spans="1:11">
      <c r="A26" s="956" t="s">
        <v>241</v>
      </c>
      <c r="B26" s="1140" t="str">
        <f t="shared" si="2"/>
        <v/>
      </c>
      <c r="C26" s="823" t="s">
        <v>1553</v>
      </c>
      <c r="D26" s="823">
        <v>1</v>
      </c>
      <c r="E26" s="1001">
        <v>19</v>
      </c>
      <c r="F26" s="824" t="str">
        <f>Superpave!O5</f>
        <v/>
      </c>
      <c r="G26" s="1003">
        <v>0</v>
      </c>
      <c r="H26" s="989">
        <f t="shared" si="1"/>
        <v>0</v>
      </c>
      <c r="I26" s="1178"/>
      <c r="K26" s="885"/>
    </row>
    <row r="27" spans="1:11">
      <c r="A27" s="956" t="s">
        <v>242</v>
      </c>
      <c r="B27" s="1140" t="str">
        <f t="shared" si="2"/>
        <v/>
      </c>
      <c r="C27" s="823" t="s">
        <v>1553</v>
      </c>
      <c r="D27" s="823">
        <v>1</v>
      </c>
      <c r="E27" s="1001">
        <v>20</v>
      </c>
      <c r="F27" s="824" t="str">
        <f>Superpave!O6</f>
        <v/>
      </c>
      <c r="G27" s="1003">
        <v>0</v>
      </c>
      <c r="H27" s="989">
        <f t="shared" si="1"/>
        <v>0</v>
      </c>
      <c r="I27" s="1178"/>
      <c r="K27" s="885"/>
    </row>
    <row r="28" spans="1:11">
      <c r="A28" s="956" t="s">
        <v>243</v>
      </c>
      <c r="B28" s="1140" t="str">
        <f t="shared" si="2"/>
        <v/>
      </c>
      <c r="C28" s="823" t="s">
        <v>1553</v>
      </c>
      <c r="D28" s="823">
        <v>1</v>
      </c>
      <c r="E28" s="1001">
        <v>21</v>
      </c>
      <c r="F28" s="824" t="str">
        <f>Superpave!O7</f>
        <v/>
      </c>
      <c r="G28" s="1003">
        <v>0</v>
      </c>
      <c r="H28" s="989">
        <f t="shared" si="1"/>
        <v>0</v>
      </c>
      <c r="I28" s="1178"/>
    </row>
    <row r="29" spans="1:11">
      <c r="A29" s="956" t="s">
        <v>244</v>
      </c>
      <c r="B29" s="1140" t="str">
        <f t="shared" si="2"/>
        <v/>
      </c>
      <c r="C29" s="823" t="s">
        <v>1553</v>
      </c>
      <c r="D29" s="823">
        <v>1</v>
      </c>
      <c r="E29" s="1001">
        <v>22</v>
      </c>
      <c r="F29" s="824" t="str">
        <f>Superpave!O8</f>
        <v/>
      </c>
      <c r="G29" s="1003">
        <v>0</v>
      </c>
      <c r="H29" s="989">
        <f t="shared" si="1"/>
        <v>0</v>
      </c>
      <c r="I29" s="1178"/>
      <c r="K29" s="958"/>
    </row>
    <row r="30" spans="1:11">
      <c r="A30" s="956" t="s">
        <v>245</v>
      </c>
      <c r="B30" s="1140" t="str">
        <f t="shared" si="2"/>
        <v/>
      </c>
      <c r="C30" s="823" t="s">
        <v>1553</v>
      </c>
      <c r="D30" s="823">
        <v>1</v>
      </c>
      <c r="E30" s="1001">
        <v>23</v>
      </c>
      <c r="F30" s="823" t="s">
        <v>1637</v>
      </c>
      <c r="G30" s="980">
        <f>Superpave!R3</f>
        <v>0</v>
      </c>
      <c r="H30" s="989">
        <f t="shared" si="1"/>
        <v>0</v>
      </c>
      <c r="I30" s="1178"/>
    </row>
    <row r="31" spans="1:11">
      <c r="A31" s="956" t="s">
        <v>246</v>
      </c>
      <c r="B31" s="1163" t="str">
        <f t="shared" si="2"/>
        <v/>
      </c>
      <c r="C31" s="875" t="s">
        <v>1553</v>
      </c>
      <c r="D31" s="875">
        <v>1</v>
      </c>
      <c r="E31" s="1001">
        <v>24</v>
      </c>
      <c r="F31" s="823" t="s">
        <v>1637</v>
      </c>
      <c r="G31" s="980">
        <f>Superpave!R4</f>
        <v>0</v>
      </c>
      <c r="H31" s="989">
        <f t="shared" si="1"/>
        <v>0</v>
      </c>
      <c r="I31" s="1192"/>
      <c r="K31" s="885"/>
    </row>
    <row r="32" spans="1:11">
      <c r="A32" s="956" t="s">
        <v>247</v>
      </c>
      <c r="B32" s="1140" t="str">
        <f t="shared" si="2"/>
        <v/>
      </c>
      <c r="C32" s="823" t="s">
        <v>1553</v>
      </c>
      <c r="D32" s="823">
        <v>1</v>
      </c>
      <c r="E32" s="1001">
        <v>25</v>
      </c>
      <c r="F32" s="823" t="s">
        <v>1637</v>
      </c>
      <c r="G32" s="980">
        <f>Superpave!R5</f>
        <v>0</v>
      </c>
      <c r="H32" s="989">
        <f t="shared" si="1"/>
        <v>0</v>
      </c>
      <c r="I32" s="1178"/>
    </row>
    <row r="33" spans="1:11">
      <c r="A33" s="956" t="s">
        <v>248</v>
      </c>
      <c r="B33" s="1140" t="str">
        <f t="shared" si="2"/>
        <v/>
      </c>
      <c r="C33" s="823" t="s">
        <v>1553</v>
      </c>
      <c r="D33" s="823">
        <v>1</v>
      </c>
      <c r="E33" s="1001">
        <v>26</v>
      </c>
      <c r="F33" s="823" t="s">
        <v>1637</v>
      </c>
      <c r="G33" s="980">
        <f>Superpave!R6</f>
        <v>0</v>
      </c>
      <c r="H33" s="989">
        <f t="shared" si="1"/>
        <v>0</v>
      </c>
      <c r="I33" s="1178"/>
    </row>
    <row r="34" spans="1:11">
      <c r="A34" s="956" t="s">
        <v>249</v>
      </c>
      <c r="B34" s="1140" t="str">
        <f t="shared" si="2"/>
        <v/>
      </c>
      <c r="C34" s="823" t="s">
        <v>1553</v>
      </c>
      <c r="D34" s="823">
        <v>1</v>
      </c>
      <c r="E34" s="1001">
        <v>27</v>
      </c>
      <c r="F34" s="823" t="s">
        <v>1637</v>
      </c>
      <c r="G34" s="980">
        <f>Superpave!R7</f>
        <v>0</v>
      </c>
      <c r="H34" s="989">
        <f t="shared" si="1"/>
        <v>0</v>
      </c>
      <c r="I34" s="1178"/>
    </row>
    <row r="35" spans="1:11">
      <c r="A35" s="956" t="s">
        <v>250</v>
      </c>
      <c r="B35" s="1140" t="str">
        <f t="shared" si="2"/>
        <v/>
      </c>
      <c r="C35" s="823" t="s">
        <v>1553</v>
      </c>
      <c r="D35" s="823">
        <v>1</v>
      </c>
      <c r="E35" s="1001">
        <v>28</v>
      </c>
      <c r="F35" s="823" t="s">
        <v>1637</v>
      </c>
      <c r="G35" s="980">
        <f>Superpave!R8</f>
        <v>0</v>
      </c>
      <c r="H35" s="989">
        <f t="shared" si="1"/>
        <v>0</v>
      </c>
      <c r="I35" s="1178"/>
    </row>
    <row r="36" spans="1:11">
      <c r="A36" s="956" t="s">
        <v>251</v>
      </c>
      <c r="B36" s="1140" t="str">
        <f t="shared" si="2"/>
        <v/>
      </c>
      <c r="C36" s="823" t="s">
        <v>1553</v>
      </c>
      <c r="D36" s="823">
        <v>1</v>
      </c>
      <c r="E36" s="1001">
        <v>29</v>
      </c>
      <c r="F36" s="823" t="s">
        <v>1637</v>
      </c>
      <c r="G36" s="981">
        <f>Superpave!Q3</f>
        <v>0</v>
      </c>
      <c r="H36" s="989">
        <f t="shared" si="1"/>
        <v>0</v>
      </c>
      <c r="I36" s="1178"/>
    </row>
    <row r="37" spans="1:11">
      <c r="A37" s="956" t="s">
        <v>252</v>
      </c>
      <c r="B37" s="1140" t="str">
        <f t="shared" si="2"/>
        <v/>
      </c>
      <c r="C37" s="823" t="s">
        <v>1553</v>
      </c>
      <c r="D37" s="823">
        <v>1</v>
      </c>
      <c r="E37" s="1001">
        <v>30</v>
      </c>
      <c r="F37" s="823" t="s">
        <v>1637</v>
      </c>
      <c r="G37" s="981">
        <f>Superpave!Q4</f>
        <v>0</v>
      </c>
      <c r="H37" s="989">
        <f t="shared" si="1"/>
        <v>0</v>
      </c>
      <c r="I37" s="1178"/>
    </row>
    <row r="38" spans="1:11">
      <c r="A38" s="956" t="s">
        <v>253</v>
      </c>
      <c r="B38" s="1140" t="str">
        <f t="shared" si="2"/>
        <v/>
      </c>
      <c r="C38" s="823" t="s">
        <v>1553</v>
      </c>
      <c r="D38" s="823">
        <v>1</v>
      </c>
      <c r="E38" s="1001">
        <v>31</v>
      </c>
      <c r="F38" s="823" t="s">
        <v>1637</v>
      </c>
      <c r="G38" s="981">
        <f>Superpave!Q5</f>
        <v>0</v>
      </c>
      <c r="H38" s="989">
        <f t="shared" si="1"/>
        <v>0</v>
      </c>
      <c r="I38" s="1178"/>
      <c r="K38" s="885"/>
    </row>
    <row r="39" spans="1:11">
      <c r="A39" s="956" t="s">
        <v>254</v>
      </c>
      <c r="B39" s="1140" t="str">
        <f t="shared" si="2"/>
        <v/>
      </c>
      <c r="C39" s="823" t="s">
        <v>1553</v>
      </c>
      <c r="D39" s="823">
        <v>1</v>
      </c>
      <c r="E39" s="1001">
        <v>32</v>
      </c>
      <c r="F39" s="823" t="s">
        <v>1637</v>
      </c>
      <c r="G39" s="981">
        <f>Superpave!Q6</f>
        <v>0</v>
      </c>
      <c r="H39" s="989">
        <f t="shared" si="1"/>
        <v>0</v>
      </c>
      <c r="I39" s="1178"/>
      <c r="J39" s="885"/>
    </row>
    <row r="40" spans="1:11">
      <c r="A40" s="956" t="s">
        <v>255</v>
      </c>
      <c r="B40" s="1140" t="str">
        <f t="shared" si="2"/>
        <v/>
      </c>
      <c r="C40" s="823" t="s">
        <v>1553</v>
      </c>
      <c r="D40" s="823">
        <v>1</v>
      </c>
      <c r="E40" s="1001">
        <v>33</v>
      </c>
      <c r="F40" s="823" t="s">
        <v>1637</v>
      </c>
      <c r="G40" s="981">
        <f>Superpave!Q7</f>
        <v>0</v>
      </c>
      <c r="H40" s="989">
        <f t="shared" si="1"/>
        <v>0</v>
      </c>
      <c r="I40" s="1178"/>
      <c r="K40" s="885"/>
    </row>
    <row r="41" spans="1:11">
      <c r="A41" s="956" t="s">
        <v>256</v>
      </c>
      <c r="B41" s="1140" t="str">
        <f t="shared" si="2"/>
        <v/>
      </c>
      <c r="C41" s="823" t="s">
        <v>1553</v>
      </c>
      <c r="D41" s="823">
        <v>1</v>
      </c>
      <c r="E41" s="1001">
        <v>34</v>
      </c>
      <c r="F41" s="823" t="s">
        <v>1637</v>
      </c>
      <c r="G41" s="981">
        <f>Superpave!Q8</f>
        <v>0</v>
      </c>
      <c r="H41" s="989">
        <f t="shared" si="1"/>
        <v>0</v>
      </c>
      <c r="I41" s="1178"/>
    </row>
    <row r="42" spans="1:11">
      <c r="A42" s="956" t="s">
        <v>1336</v>
      </c>
      <c r="B42" s="1140" t="str">
        <f t="shared" si="2"/>
        <v/>
      </c>
      <c r="C42" s="823" t="s">
        <v>1553</v>
      </c>
      <c r="D42" s="823">
        <v>1</v>
      </c>
      <c r="E42" s="1001">
        <v>35</v>
      </c>
      <c r="F42" s="823" t="s">
        <v>1637</v>
      </c>
      <c r="G42" s="1003">
        <v>0</v>
      </c>
      <c r="H42" s="989">
        <f t="shared" si="1"/>
        <v>0</v>
      </c>
      <c r="I42" s="1178"/>
    </row>
    <row r="43" spans="1:11">
      <c r="A43" s="956" t="s">
        <v>257</v>
      </c>
      <c r="B43" s="1140" t="str">
        <f t="shared" si="2"/>
        <v/>
      </c>
      <c r="C43" s="823" t="s">
        <v>1553</v>
      </c>
      <c r="D43" s="823">
        <v>1</v>
      </c>
      <c r="E43" s="1001">
        <v>36</v>
      </c>
      <c r="F43" s="823" t="s">
        <v>1637</v>
      </c>
      <c r="G43" s="982">
        <f>Superpave!I3</f>
        <v>0</v>
      </c>
      <c r="H43" s="989">
        <f t="shared" si="1"/>
        <v>0</v>
      </c>
      <c r="I43" s="1178"/>
      <c r="K43" s="885"/>
    </row>
    <row r="44" spans="1:11">
      <c r="A44" s="956" t="s">
        <v>258</v>
      </c>
      <c r="B44" s="1140" t="str">
        <f t="shared" si="2"/>
        <v/>
      </c>
      <c r="C44" s="823" t="s">
        <v>1553</v>
      </c>
      <c r="D44" s="823">
        <v>1</v>
      </c>
      <c r="E44" s="1001">
        <v>37</v>
      </c>
      <c r="F44" s="823" t="s">
        <v>1637</v>
      </c>
      <c r="G44" s="983">
        <f>Superpave!J3</f>
        <v>0</v>
      </c>
      <c r="H44" s="989">
        <f t="shared" si="1"/>
        <v>0</v>
      </c>
      <c r="I44" s="1178"/>
    </row>
    <row r="45" spans="1:11">
      <c r="A45" s="956" t="s">
        <v>259</v>
      </c>
      <c r="B45" s="1140" t="str">
        <f t="shared" si="2"/>
        <v/>
      </c>
      <c r="C45" s="823" t="s">
        <v>1553</v>
      </c>
      <c r="D45" s="823">
        <v>1</v>
      </c>
      <c r="E45" s="1001">
        <v>38</v>
      </c>
      <c r="F45" s="992">
        <f>Superpave!K3</f>
        <v>0</v>
      </c>
      <c r="G45" s="1005">
        <v>0</v>
      </c>
      <c r="H45" s="989">
        <f t="shared" si="1"/>
        <v>0</v>
      </c>
      <c r="I45" s="1178"/>
      <c r="K45" s="958"/>
    </row>
    <row r="46" spans="1:11">
      <c r="A46" s="956" t="s">
        <v>260</v>
      </c>
      <c r="B46" s="1140" t="str">
        <f t="shared" si="2"/>
        <v/>
      </c>
      <c r="C46" s="823" t="s">
        <v>1553</v>
      </c>
      <c r="D46" s="823">
        <v>1</v>
      </c>
      <c r="E46" s="1001">
        <v>39</v>
      </c>
      <c r="F46" s="823" t="s">
        <v>1637</v>
      </c>
      <c r="G46" s="981">
        <f>Superpave!L3</f>
        <v>0</v>
      </c>
      <c r="H46" s="989">
        <f t="shared" si="1"/>
        <v>0</v>
      </c>
      <c r="I46" s="1178"/>
    </row>
    <row r="47" spans="1:11">
      <c r="A47" s="956" t="s">
        <v>1338</v>
      </c>
      <c r="B47" s="1163" t="str">
        <f t="shared" si="2"/>
        <v/>
      </c>
      <c r="C47" s="875" t="s">
        <v>1553</v>
      </c>
      <c r="D47" s="875">
        <v>1</v>
      </c>
      <c r="E47" s="1001">
        <v>40</v>
      </c>
      <c r="F47" s="823" t="s">
        <v>1637</v>
      </c>
      <c r="G47" s="1003">
        <v>0</v>
      </c>
      <c r="H47" s="989">
        <f t="shared" si="1"/>
        <v>0</v>
      </c>
      <c r="I47" s="1192"/>
      <c r="K47" s="885"/>
    </row>
    <row r="48" spans="1:11">
      <c r="A48" s="956" t="s">
        <v>261</v>
      </c>
      <c r="B48" s="1140" t="str">
        <f t="shared" si="2"/>
        <v/>
      </c>
      <c r="C48" s="823" t="s">
        <v>1553</v>
      </c>
      <c r="D48" s="823">
        <v>1</v>
      </c>
      <c r="E48" s="1001">
        <v>41</v>
      </c>
      <c r="F48" s="824" t="str">
        <f>Calculations!AU35</f>
        <v/>
      </c>
      <c r="G48" s="1003">
        <v>0</v>
      </c>
      <c r="H48" s="989">
        <f t="shared" si="1"/>
        <v>0</v>
      </c>
      <c r="I48" s="1178"/>
    </row>
    <row r="49" spans="1:11">
      <c r="A49" s="956" t="s">
        <v>262</v>
      </c>
      <c r="B49" s="1140" t="str">
        <f t="shared" si="2"/>
        <v/>
      </c>
      <c r="C49" s="823" t="s">
        <v>1553</v>
      </c>
      <c r="D49" s="823">
        <v>1</v>
      </c>
      <c r="E49" s="1001">
        <v>42</v>
      </c>
      <c r="F49" s="823" t="s">
        <v>1637</v>
      </c>
      <c r="G49" s="980" t="str">
        <f>Superpave!B14</f>
        <v/>
      </c>
      <c r="H49" s="989">
        <f t="shared" si="1"/>
        <v>0</v>
      </c>
      <c r="I49" s="1178"/>
    </row>
    <row r="50" spans="1:11">
      <c r="A50" s="956" t="s">
        <v>263</v>
      </c>
      <c r="B50" s="1140" t="str">
        <f t="shared" si="2"/>
        <v/>
      </c>
      <c r="C50" s="823" t="s">
        <v>1553</v>
      </c>
      <c r="D50" s="823">
        <v>1</v>
      </c>
      <c r="E50" s="1001">
        <v>43</v>
      </c>
      <c r="F50" s="823" t="s">
        <v>1637</v>
      </c>
      <c r="G50" s="980" t="str">
        <f>Superpave!H14</f>
        <v/>
      </c>
      <c r="H50" s="989">
        <f t="shared" si="1"/>
        <v>0</v>
      </c>
      <c r="I50" s="1178"/>
    </row>
    <row r="51" spans="1:11">
      <c r="A51" s="956" t="s">
        <v>264</v>
      </c>
      <c r="B51" s="1140" t="str">
        <f t="shared" si="2"/>
        <v/>
      </c>
      <c r="C51" s="823" t="s">
        <v>1553</v>
      </c>
      <c r="D51" s="823">
        <v>1</v>
      </c>
      <c r="E51" s="1001">
        <v>44</v>
      </c>
      <c r="F51" s="823" t="s">
        <v>1637</v>
      </c>
      <c r="G51" s="984" t="str">
        <f>Superpave!I14</f>
        <v/>
      </c>
      <c r="H51" s="989">
        <f t="shared" si="1"/>
        <v>0</v>
      </c>
      <c r="I51" s="1178"/>
    </row>
    <row r="52" spans="1:11">
      <c r="A52" s="956" t="s">
        <v>265</v>
      </c>
      <c r="B52" s="1140" t="str">
        <f t="shared" si="2"/>
        <v/>
      </c>
      <c r="C52" s="823" t="s">
        <v>1553</v>
      </c>
      <c r="D52" s="823">
        <v>1</v>
      </c>
      <c r="E52" s="1001">
        <v>45</v>
      </c>
      <c r="F52" s="823" t="s">
        <v>1637</v>
      </c>
      <c r="G52" s="980" t="str">
        <f>Superpave!J14</f>
        <v/>
      </c>
      <c r="H52" s="989">
        <f t="shared" si="1"/>
        <v>0</v>
      </c>
      <c r="I52" s="1178"/>
    </row>
    <row r="53" spans="1:11">
      <c r="A53" s="956" t="s">
        <v>266</v>
      </c>
      <c r="B53" s="1140" t="str">
        <f t="shared" si="2"/>
        <v/>
      </c>
      <c r="C53" s="823" t="s">
        <v>1553</v>
      </c>
      <c r="D53" s="823">
        <v>1</v>
      </c>
      <c r="E53" s="1001">
        <v>46</v>
      </c>
      <c r="F53" s="823" t="s">
        <v>1637</v>
      </c>
      <c r="G53" s="980" t="str">
        <f>Superpave!L14</f>
        <v/>
      </c>
      <c r="H53" s="989">
        <f t="shared" si="1"/>
        <v>0</v>
      </c>
      <c r="I53" s="1178"/>
    </row>
    <row r="54" spans="1:11">
      <c r="A54" s="956" t="s">
        <v>267</v>
      </c>
      <c r="B54" s="1140" t="str">
        <f t="shared" si="2"/>
        <v/>
      </c>
      <c r="C54" s="823" t="s">
        <v>1553</v>
      </c>
      <c r="D54" s="823">
        <v>1</v>
      </c>
      <c r="E54" s="1001">
        <v>47</v>
      </c>
      <c r="F54" s="823" t="s">
        <v>1637</v>
      </c>
      <c r="G54" s="980" t="str">
        <f>Superpave!M14</f>
        <v/>
      </c>
      <c r="H54" s="989">
        <f t="shared" si="1"/>
        <v>0</v>
      </c>
      <c r="I54" s="1178"/>
      <c r="K54" s="885"/>
    </row>
    <row r="55" spans="1:11">
      <c r="A55" s="956" t="s">
        <v>268</v>
      </c>
      <c r="B55" s="1140" t="str">
        <f t="shared" si="2"/>
        <v/>
      </c>
      <c r="C55" s="823" t="s">
        <v>1553</v>
      </c>
      <c r="D55" s="823">
        <v>1</v>
      </c>
      <c r="E55" s="1001">
        <v>48</v>
      </c>
      <c r="F55" s="823" t="s">
        <v>1637</v>
      </c>
      <c r="G55" s="980" t="str">
        <f>Superpave!N14</f>
        <v/>
      </c>
      <c r="H55" s="989">
        <f t="shared" si="1"/>
        <v>0</v>
      </c>
      <c r="I55" s="1178"/>
      <c r="J55" s="885"/>
    </row>
    <row r="56" spans="1:11">
      <c r="A56" s="956" t="s">
        <v>269</v>
      </c>
      <c r="B56" s="1140" t="str">
        <f t="shared" si="2"/>
        <v/>
      </c>
      <c r="C56" s="823" t="s">
        <v>1553</v>
      </c>
      <c r="D56" s="823">
        <v>1</v>
      </c>
      <c r="E56" s="1001">
        <v>49</v>
      </c>
      <c r="F56" s="980" t="str">
        <f>Superpave!O14</f>
        <v/>
      </c>
      <c r="G56" s="1178"/>
      <c r="H56" s="989">
        <f t="shared" si="1"/>
        <v>0</v>
      </c>
      <c r="I56" s="1178"/>
      <c r="K56" s="885"/>
    </row>
    <row r="57" spans="1:11">
      <c r="A57" s="956" t="s">
        <v>270</v>
      </c>
      <c r="B57" s="1140" t="str">
        <f t="shared" si="2"/>
        <v/>
      </c>
      <c r="C57" s="823" t="s">
        <v>1553</v>
      </c>
      <c r="D57" s="823">
        <v>1</v>
      </c>
      <c r="E57" s="1001">
        <v>50</v>
      </c>
      <c r="F57" s="823" t="s">
        <v>1637</v>
      </c>
      <c r="G57" s="980">
        <f>Superpave!N43</f>
        <v>0</v>
      </c>
      <c r="H57" s="989">
        <f t="shared" si="1"/>
        <v>0</v>
      </c>
      <c r="I57" s="1178"/>
    </row>
    <row r="58" spans="1:11">
      <c r="A58" s="956" t="s">
        <v>271</v>
      </c>
      <c r="B58" s="1140" t="str">
        <f t="shared" si="2"/>
        <v/>
      </c>
      <c r="C58" s="823" t="s">
        <v>1553</v>
      </c>
      <c r="D58" s="823">
        <v>1</v>
      </c>
      <c r="E58" s="1001">
        <v>51</v>
      </c>
      <c r="F58" s="823" t="s">
        <v>1637</v>
      </c>
      <c r="G58" s="984" t="str">
        <f>Superpave!N42</f>
        <v/>
      </c>
      <c r="H58" s="989">
        <f t="shared" si="1"/>
        <v>0</v>
      </c>
      <c r="I58" s="1178"/>
      <c r="K58" s="885"/>
    </row>
    <row r="59" spans="1:11">
      <c r="A59" s="956" t="s">
        <v>1339</v>
      </c>
      <c r="B59" s="1140" t="str">
        <f t="shared" si="2"/>
        <v/>
      </c>
      <c r="C59" s="823" t="s">
        <v>1553</v>
      </c>
      <c r="D59" s="823">
        <v>1</v>
      </c>
      <c r="E59" s="1001">
        <v>52</v>
      </c>
      <c r="F59" s="823" t="s">
        <v>1637</v>
      </c>
      <c r="G59" s="1003">
        <v>0</v>
      </c>
      <c r="H59" s="989">
        <f t="shared" si="1"/>
        <v>0</v>
      </c>
      <c r="I59" s="1178"/>
      <c r="K59" s="885"/>
    </row>
    <row r="60" spans="1:11">
      <c r="A60" s="956" t="s">
        <v>272</v>
      </c>
      <c r="B60" s="1140" t="str">
        <f t="shared" si="2"/>
        <v/>
      </c>
      <c r="C60" s="823" t="s">
        <v>1553</v>
      </c>
      <c r="D60" s="823">
        <v>1</v>
      </c>
      <c r="E60" s="1001">
        <v>53</v>
      </c>
      <c r="F60" s="823" t="s">
        <v>1637</v>
      </c>
      <c r="G60" s="980" t="str">
        <f>Gradation!D10</f>
        <v/>
      </c>
      <c r="H60" s="989">
        <f t="shared" si="1"/>
        <v>0</v>
      </c>
      <c r="I60" s="1178"/>
    </row>
    <row r="61" spans="1:11">
      <c r="A61" s="956" t="s">
        <v>273</v>
      </c>
      <c r="B61" s="1140" t="str">
        <f t="shared" si="2"/>
        <v/>
      </c>
      <c r="C61" s="823" t="s">
        <v>1553</v>
      </c>
      <c r="D61" s="823">
        <v>1</v>
      </c>
      <c r="E61" s="1001">
        <v>54</v>
      </c>
      <c r="F61" s="823" t="s">
        <v>1637</v>
      </c>
      <c r="G61" s="980" t="str">
        <f>Gradation!D11</f>
        <v/>
      </c>
      <c r="H61" s="989">
        <f t="shared" si="1"/>
        <v>0</v>
      </c>
      <c r="I61" s="1178"/>
      <c r="K61" s="958"/>
    </row>
    <row r="62" spans="1:11">
      <c r="A62" s="956" t="s">
        <v>274</v>
      </c>
      <c r="B62" s="1140" t="str">
        <f t="shared" si="2"/>
        <v/>
      </c>
      <c r="C62" s="823" t="s">
        <v>1553</v>
      </c>
      <c r="D62" s="823">
        <v>1</v>
      </c>
      <c r="E62" s="1001">
        <v>55</v>
      </c>
      <c r="F62" s="823" t="s">
        <v>1637</v>
      </c>
      <c r="G62" s="980" t="str">
        <f>Gradation!D12</f>
        <v/>
      </c>
      <c r="H62" s="989">
        <f t="shared" si="1"/>
        <v>0</v>
      </c>
      <c r="I62" s="1178"/>
    </row>
    <row r="63" spans="1:11">
      <c r="A63" s="956" t="s">
        <v>275</v>
      </c>
      <c r="B63" s="1163" t="str">
        <f t="shared" si="2"/>
        <v/>
      </c>
      <c r="C63" s="875" t="s">
        <v>1553</v>
      </c>
      <c r="D63" s="875">
        <v>1</v>
      </c>
      <c r="E63" s="1001">
        <v>56</v>
      </c>
      <c r="F63" s="823" t="s">
        <v>1637</v>
      </c>
      <c r="G63" s="980" t="str">
        <f>Gradation!D13</f>
        <v/>
      </c>
      <c r="H63" s="989">
        <f t="shared" si="1"/>
        <v>0</v>
      </c>
      <c r="I63" s="1192"/>
      <c r="K63" s="885"/>
    </row>
    <row r="64" spans="1:11">
      <c r="A64" s="956" t="s">
        <v>276</v>
      </c>
      <c r="B64" s="1140" t="str">
        <f t="shared" si="2"/>
        <v/>
      </c>
      <c r="C64" s="823" t="s">
        <v>1553</v>
      </c>
      <c r="D64" s="823">
        <v>1</v>
      </c>
      <c r="E64" s="1001">
        <v>57</v>
      </c>
      <c r="F64" s="823" t="s">
        <v>1637</v>
      </c>
      <c r="G64" s="980" t="str">
        <f>Gradation!D14</f>
        <v/>
      </c>
      <c r="H64" s="989">
        <f t="shared" si="1"/>
        <v>0</v>
      </c>
      <c r="I64" s="1178"/>
    </row>
    <row r="65" spans="1:11">
      <c r="A65" s="956" t="s">
        <v>277</v>
      </c>
      <c r="B65" s="1140" t="str">
        <f t="shared" si="2"/>
        <v/>
      </c>
      <c r="C65" s="823" t="s">
        <v>1553</v>
      </c>
      <c r="D65" s="823">
        <v>1</v>
      </c>
      <c r="E65" s="1001">
        <v>58</v>
      </c>
      <c r="F65" s="823" t="s">
        <v>1637</v>
      </c>
      <c r="G65" s="980" t="str">
        <f>Gradation!D15</f>
        <v/>
      </c>
      <c r="H65" s="989">
        <f t="shared" si="1"/>
        <v>0</v>
      </c>
      <c r="I65" s="1178"/>
    </row>
    <row r="66" spans="1:11">
      <c r="A66" s="956" t="s">
        <v>278</v>
      </c>
      <c r="B66" s="1140" t="str">
        <f t="shared" si="2"/>
        <v/>
      </c>
      <c r="C66" s="823" t="s">
        <v>1553</v>
      </c>
      <c r="D66" s="823">
        <v>1</v>
      </c>
      <c r="E66" s="1001">
        <v>59</v>
      </c>
      <c r="F66" s="823" t="s">
        <v>1637</v>
      </c>
      <c r="G66" s="980" t="str">
        <f>Gradation!D16</f>
        <v/>
      </c>
      <c r="H66" s="989">
        <f t="shared" si="1"/>
        <v>0</v>
      </c>
      <c r="I66" s="1178"/>
    </row>
    <row r="67" spans="1:11">
      <c r="A67" s="956" t="s">
        <v>279</v>
      </c>
      <c r="B67" s="1140" t="str">
        <f t="shared" si="2"/>
        <v/>
      </c>
      <c r="C67" s="823" t="s">
        <v>1553</v>
      </c>
      <c r="D67" s="823">
        <v>1</v>
      </c>
      <c r="E67" s="1001">
        <v>60</v>
      </c>
      <c r="F67" s="823" t="s">
        <v>1637</v>
      </c>
      <c r="G67" s="980" t="str">
        <f>Gradation!D17</f>
        <v/>
      </c>
      <c r="H67" s="989">
        <f t="shared" si="1"/>
        <v>0</v>
      </c>
      <c r="I67" s="1178"/>
    </row>
    <row r="68" spans="1:11">
      <c r="A68" s="956" t="s">
        <v>280</v>
      </c>
      <c r="B68" s="1140" t="str">
        <f t="shared" si="2"/>
        <v/>
      </c>
      <c r="C68" s="823" t="s">
        <v>1553</v>
      </c>
      <c r="D68" s="823">
        <v>1</v>
      </c>
      <c r="E68" s="1001">
        <v>61</v>
      </c>
      <c r="F68" s="823" t="s">
        <v>1637</v>
      </c>
      <c r="G68" s="980" t="str">
        <f>Gradation!D18</f>
        <v/>
      </c>
      <c r="H68" s="989">
        <f t="shared" si="1"/>
        <v>0</v>
      </c>
      <c r="I68" s="1178"/>
    </row>
    <row r="69" spans="1:11">
      <c r="A69" s="956" t="s">
        <v>281</v>
      </c>
      <c r="B69" s="1140" t="str">
        <f t="shared" si="2"/>
        <v/>
      </c>
      <c r="C69" s="823" t="s">
        <v>1553</v>
      </c>
      <c r="D69" s="823">
        <v>1</v>
      </c>
      <c r="E69" s="1001">
        <v>62</v>
      </c>
      <c r="F69" s="823" t="s">
        <v>1637</v>
      </c>
      <c r="G69" s="980" t="str">
        <f>Gradation!D19</f>
        <v/>
      </c>
      <c r="H69" s="989">
        <f t="shared" si="1"/>
        <v>0</v>
      </c>
      <c r="I69" s="1178"/>
    </row>
    <row r="70" spans="1:11">
      <c r="A70" s="956" t="s">
        <v>282</v>
      </c>
      <c r="B70" s="1140" t="str">
        <f t="shared" si="2"/>
        <v/>
      </c>
      <c r="C70" s="823" t="s">
        <v>1553</v>
      </c>
      <c r="D70" s="823">
        <v>1</v>
      </c>
      <c r="E70" s="1001">
        <v>63</v>
      </c>
      <c r="F70" s="823" t="s">
        <v>1637</v>
      </c>
      <c r="G70" s="980" t="str">
        <f>Gradation!D20</f>
        <v/>
      </c>
      <c r="H70" s="989">
        <f t="shared" si="1"/>
        <v>0</v>
      </c>
      <c r="I70" s="1178"/>
      <c r="K70" s="885"/>
    </row>
    <row r="71" spans="1:11">
      <c r="A71" s="956" t="s">
        <v>283</v>
      </c>
      <c r="B71" s="1140" t="str">
        <f t="shared" si="2"/>
        <v/>
      </c>
      <c r="C71" s="823" t="s">
        <v>1553</v>
      </c>
      <c r="D71" s="823">
        <v>1</v>
      </c>
      <c r="E71" s="1001">
        <v>64</v>
      </c>
      <c r="F71" s="823" t="s">
        <v>1637</v>
      </c>
      <c r="G71" s="980" t="str">
        <f>Gradation!D21</f>
        <v/>
      </c>
      <c r="H71" s="989">
        <f t="shared" si="1"/>
        <v>0</v>
      </c>
      <c r="I71" s="1178"/>
      <c r="J71" s="885"/>
    </row>
    <row r="72" spans="1:11">
      <c r="A72" s="956" t="s">
        <v>284</v>
      </c>
      <c r="B72" s="1140" t="str">
        <f t="shared" si="2"/>
        <v/>
      </c>
      <c r="C72" s="823" t="s">
        <v>1553</v>
      </c>
      <c r="D72" s="823">
        <v>1</v>
      </c>
      <c r="E72" s="1001">
        <v>65</v>
      </c>
      <c r="F72" s="823" t="s">
        <v>1637</v>
      </c>
      <c r="G72" s="980" t="str">
        <f>Gradation!D22</f>
        <v/>
      </c>
      <c r="H72" s="989">
        <f t="shared" si="1"/>
        <v>0</v>
      </c>
      <c r="I72" s="1178"/>
      <c r="K72" s="885"/>
    </row>
    <row r="73" spans="1:11">
      <c r="A73" s="956" t="s">
        <v>285</v>
      </c>
      <c r="B73" s="1140" t="str">
        <f t="shared" si="2"/>
        <v/>
      </c>
      <c r="C73" s="823" t="s">
        <v>1553</v>
      </c>
      <c r="D73" s="823">
        <v>1</v>
      </c>
      <c r="E73" s="1001">
        <v>66</v>
      </c>
      <c r="F73" s="823" t="s">
        <v>1637</v>
      </c>
      <c r="G73" s="980" t="str">
        <f>Gradation!D23</f>
        <v/>
      </c>
      <c r="H73" s="989">
        <f t="shared" ref="H73:H254" si="3">H72</f>
        <v>0</v>
      </c>
      <c r="I73" s="1178"/>
    </row>
    <row r="74" spans="1:11">
      <c r="A74" s="956" t="s">
        <v>1340</v>
      </c>
      <c r="B74" s="1140" t="str">
        <f t="shared" si="2"/>
        <v/>
      </c>
      <c r="C74" s="823" t="s">
        <v>1553</v>
      </c>
      <c r="D74" s="823">
        <v>1</v>
      </c>
      <c r="E74" s="1001">
        <v>67</v>
      </c>
      <c r="F74" s="823" t="s">
        <v>1637</v>
      </c>
      <c r="G74" s="1003">
        <v>0</v>
      </c>
      <c r="H74" s="989">
        <f t="shared" si="3"/>
        <v>0</v>
      </c>
      <c r="I74" s="1178"/>
      <c r="K74" s="885"/>
    </row>
    <row r="75" spans="1:11">
      <c r="A75" s="956" t="s">
        <v>286</v>
      </c>
      <c r="B75" s="1140" t="str">
        <f t="shared" si="2"/>
        <v/>
      </c>
      <c r="C75" s="823" t="s">
        <v>1553</v>
      </c>
      <c r="D75" s="823">
        <v>1</v>
      </c>
      <c r="E75" s="1001">
        <v>68</v>
      </c>
      <c r="F75" s="824" t="str">
        <f>Cores!A10</f>
        <v>0-1-A</v>
      </c>
      <c r="G75" s="1003">
        <v>0</v>
      </c>
      <c r="H75" s="989">
        <f t="shared" si="3"/>
        <v>0</v>
      </c>
      <c r="I75" s="1178"/>
    </row>
    <row r="76" spans="1:11">
      <c r="A76" s="956" t="s">
        <v>287</v>
      </c>
      <c r="B76" s="1140" t="str">
        <f t="shared" si="2"/>
        <v/>
      </c>
      <c r="C76" s="823" t="s">
        <v>1553</v>
      </c>
      <c r="D76" s="823">
        <v>1</v>
      </c>
      <c r="E76" s="1001">
        <v>69</v>
      </c>
      <c r="F76" s="824" t="str">
        <f>Cores!A11</f>
        <v>0-1-B</v>
      </c>
      <c r="G76" s="1003">
        <v>0</v>
      </c>
      <c r="H76" s="989">
        <f t="shared" si="3"/>
        <v>0</v>
      </c>
      <c r="I76" s="1178"/>
    </row>
    <row r="77" spans="1:11">
      <c r="A77" s="956" t="s">
        <v>288</v>
      </c>
      <c r="B77" s="1140" t="str">
        <f t="shared" si="2"/>
        <v/>
      </c>
      <c r="C77" s="823" t="s">
        <v>1553</v>
      </c>
      <c r="D77" s="823">
        <v>1</v>
      </c>
      <c r="E77" s="1001">
        <v>70</v>
      </c>
      <c r="F77" s="824" t="str">
        <f>Cores!A12</f>
        <v>0-1-C</v>
      </c>
      <c r="G77" s="1003">
        <v>0</v>
      </c>
      <c r="H77" s="989">
        <f t="shared" si="3"/>
        <v>0</v>
      </c>
      <c r="I77" s="1178"/>
      <c r="K77" s="958"/>
    </row>
    <row r="78" spans="1:11">
      <c r="A78" s="956" t="s">
        <v>289</v>
      </c>
      <c r="B78" s="1140" t="str">
        <f t="shared" si="2"/>
        <v/>
      </c>
      <c r="C78" s="823" t="s">
        <v>1553</v>
      </c>
      <c r="D78" s="823">
        <v>1</v>
      </c>
      <c r="E78" s="1001">
        <v>71</v>
      </c>
      <c r="F78" s="824" t="str">
        <f>Cores!A13</f>
        <v>0-1-D</v>
      </c>
      <c r="G78" s="1003">
        <v>0</v>
      </c>
      <c r="H78" s="989">
        <f t="shared" si="3"/>
        <v>0</v>
      </c>
      <c r="I78" s="1178"/>
    </row>
    <row r="79" spans="1:11">
      <c r="A79" s="956" t="s">
        <v>1428</v>
      </c>
      <c r="B79" s="1140" t="str">
        <f t="shared" si="2"/>
        <v/>
      </c>
      <c r="C79" s="823" t="s">
        <v>1553</v>
      </c>
      <c r="D79" s="823">
        <v>1</v>
      </c>
      <c r="E79" s="1001">
        <v>72</v>
      </c>
      <c r="F79" s="824" t="str">
        <f>Cores!A33</f>
        <v>0-1-J1</v>
      </c>
      <c r="G79" s="1003">
        <v>0</v>
      </c>
      <c r="H79" s="989">
        <f t="shared" si="3"/>
        <v>0</v>
      </c>
      <c r="I79" s="1178"/>
    </row>
    <row r="80" spans="1:11">
      <c r="A80" s="956" t="s">
        <v>1429</v>
      </c>
      <c r="B80" s="1140" t="str">
        <f t="shared" ref="B80:B97" si="4">B79</f>
        <v/>
      </c>
      <c r="C80" s="823" t="s">
        <v>1553</v>
      </c>
      <c r="D80" s="823">
        <v>1</v>
      </c>
      <c r="E80" s="1001">
        <v>73</v>
      </c>
      <c r="F80" s="824" t="str">
        <f>Cores!A34</f>
        <v>0-1-J2</v>
      </c>
      <c r="G80" s="1003">
        <v>0</v>
      </c>
      <c r="H80" s="989">
        <f t="shared" si="3"/>
        <v>0</v>
      </c>
      <c r="I80" s="1178"/>
    </row>
    <row r="81" spans="1:11">
      <c r="A81" s="956" t="s">
        <v>1430</v>
      </c>
      <c r="B81" s="1140" t="str">
        <f t="shared" si="4"/>
        <v/>
      </c>
      <c r="C81" s="823" t="s">
        <v>1553</v>
      </c>
      <c r="D81" s="823">
        <v>1</v>
      </c>
      <c r="E81" s="1001">
        <v>74</v>
      </c>
      <c r="F81" s="824">
        <f>Cores!B10</f>
        <v>0</v>
      </c>
      <c r="G81" s="1003">
        <v>0</v>
      </c>
      <c r="H81" s="989">
        <f t="shared" si="3"/>
        <v>0</v>
      </c>
      <c r="I81" s="1178"/>
    </row>
    <row r="82" spans="1:11">
      <c r="A82" s="956" t="s">
        <v>145</v>
      </c>
      <c r="B82" s="1140" t="str">
        <f t="shared" si="4"/>
        <v/>
      </c>
      <c r="C82" s="823" t="s">
        <v>1553</v>
      </c>
      <c r="D82" s="823">
        <v>1</v>
      </c>
      <c r="E82" s="1001">
        <v>75</v>
      </c>
      <c r="F82" s="824">
        <f>Cores!B11</f>
        <v>0</v>
      </c>
      <c r="G82" s="1003">
        <v>0</v>
      </c>
      <c r="H82" s="989">
        <f t="shared" si="3"/>
        <v>0</v>
      </c>
      <c r="I82" s="1178"/>
    </row>
    <row r="83" spans="1:11">
      <c r="A83" s="956" t="s">
        <v>146</v>
      </c>
      <c r="B83" s="1140" t="str">
        <f t="shared" si="4"/>
        <v/>
      </c>
      <c r="C83" s="823" t="s">
        <v>1553</v>
      </c>
      <c r="D83" s="823">
        <v>1</v>
      </c>
      <c r="E83" s="1001">
        <v>76</v>
      </c>
      <c r="F83" s="824">
        <f>Cores!B12</f>
        <v>0</v>
      </c>
      <c r="G83" s="1003">
        <v>0</v>
      </c>
      <c r="H83" s="989">
        <f t="shared" si="3"/>
        <v>0</v>
      </c>
      <c r="I83" s="1178"/>
    </row>
    <row r="84" spans="1:11">
      <c r="A84" s="956" t="s">
        <v>147</v>
      </c>
      <c r="B84" s="1140" t="str">
        <f t="shared" si="4"/>
        <v/>
      </c>
      <c r="C84" s="823" t="s">
        <v>1553</v>
      </c>
      <c r="D84" s="823">
        <v>1</v>
      </c>
      <c r="E84" s="1001">
        <v>77</v>
      </c>
      <c r="F84" s="824">
        <f>Cores!B13</f>
        <v>0</v>
      </c>
      <c r="G84" s="1003">
        <v>0</v>
      </c>
      <c r="H84" s="989">
        <f t="shared" si="3"/>
        <v>0</v>
      </c>
      <c r="I84" s="1178"/>
    </row>
    <row r="85" spans="1:11">
      <c r="A85" s="956" t="s">
        <v>1322</v>
      </c>
      <c r="B85" s="1140" t="str">
        <f t="shared" si="4"/>
        <v/>
      </c>
      <c r="C85" s="823" t="s">
        <v>1553</v>
      </c>
      <c r="D85" s="823">
        <v>1</v>
      </c>
      <c r="E85" s="1001">
        <v>78</v>
      </c>
      <c r="F85" s="824">
        <f>Cores!B33</f>
        <v>0</v>
      </c>
      <c r="G85" s="1003">
        <v>0</v>
      </c>
      <c r="H85" s="989">
        <f t="shared" si="3"/>
        <v>0</v>
      </c>
      <c r="I85" s="1178"/>
      <c r="K85" s="885"/>
    </row>
    <row r="86" spans="1:11">
      <c r="A86" s="956" t="s">
        <v>1323</v>
      </c>
      <c r="B86" s="1140" t="str">
        <f t="shared" si="4"/>
        <v/>
      </c>
      <c r="C86" s="823" t="s">
        <v>1553</v>
      </c>
      <c r="D86" s="823">
        <v>1</v>
      </c>
      <c r="E86" s="1001">
        <v>79</v>
      </c>
      <c r="F86" s="824">
        <f>Cores!B34</f>
        <v>0</v>
      </c>
      <c r="G86" s="1003">
        <v>0</v>
      </c>
      <c r="H86" s="989">
        <f t="shared" si="3"/>
        <v>0</v>
      </c>
      <c r="I86" s="1178"/>
      <c r="J86" s="885"/>
    </row>
    <row r="87" spans="1:11">
      <c r="A87" s="956" t="s">
        <v>1324</v>
      </c>
      <c r="B87" s="1140" t="str">
        <f t="shared" si="4"/>
        <v/>
      </c>
      <c r="C87" s="823" t="s">
        <v>1553</v>
      </c>
      <c r="D87" s="823">
        <v>1</v>
      </c>
      <c r="E87" s="1001">
        <v>80</v>
      </c>
      <c r="F87" s="823" t="s">
        <v>1637</v>
      </c>
      <c r="G87" s="980" t="str">
        <f>Cores!H10</f>
        <v/>
      </c>
      <c r="H87" s="989">
        <f t="shared" si="3"/>
        <v>0</v>
      </c>
      <c r="I87" s="1178"/>
      <c r="K87" s="885"/>
    </row>
    <row r="88" spans="1:11">
      <c r="A88" s="956" t="s">
        <v>1325</v>
      </c>
      <c r="B88" s="1140" t="str">
        <f t="shared" si="4"/>
        <v/>
      </c>
      <c r="C88" s="823" t="s">
        <v>1553</v>
      </c>
      <c r="D88" s="823">
        <v>1</v>
      </c>
      <c r="E88" s="1001">
        <v>81</v>
      </c>
      <c r="F88" s="823" t="s">
        <v>1637</v>
      </c>
      <c r="G88" s="980" t="str">
        <f>Cores!H11</f>
        <v/>
      </c>
      <c r="H88" s="989">
        <f t="shared" si="3"/>
        <v>0</v>
      </c>
      <c r="I88" s="1178"/>
    </row>
    <row r="89" spans="1:11">
      <c r="A89" s="956" t="s">
        <v>1326</v>
      </c>
      <c r="B89" s="1140" t="str">
        <f t="shared" si="4"/>
        <v/>
      </c>
      <c r="C89" s="823" t="s">
        <v>1553</v>
      </c>
      <c r="D89" s="823">
        <v>1</v>
      </c>
      <c r="E89" s="1001">
        <v>82</v>
      </c>
      <c r="F89" s="823" t="s">
        <v>1637</v>
      </c>
      <c r="G89" s="980" t="str">
        <f>Cores!H12</f>
        <v/>
      </c>
      <c r="H89" s="989">
        <f t="shared" si="3"/>
        <v>0</v>
      </c>
      <c r="I89" s="1178"/>
      <c r="K89" s="885"/>
    </row>
    <row r="90" spans="1:11">
      <c r="A90" s="956" t="s">
        <v>1327</v>
      </c>
      <c r="B90" s="1140" t="str">
        <f t="shared" si="4"/>
        <v/>
      </c>
      <c r="C90" s="823" t="s">
        <v>1553</v>
      </c>
      <c r="D90" s="823">
        <v>1</v>
      </c>
      <c r="E90" s="1001">
        <v>83</v>
      </c>
      <c r="F90" s="823" t="s">
        <v>1637</v>
      </c>
      <c r="G90" s="980" t="str">
        <f>Cores!H13</f>
        <v/>
      </c>
      <c r="H90" s="989">
        <f t="shared" si="3"/>
        <v>0</v>
      </c>
      <c r="I90" s="1178"/>
      <c r="K90" s="885"/>
    </row>
    <row r="91" spans="1:11">
      <c r="A91" s="956" t="s">
        <v>1328</v>
      </c>
      <c r="B91" s="1140" t="str">
        <f t="shared" si="4"/>
        <v/>
      </c>
      <c r="C91" s="823" t="s">
        <v>1553</v>
      </c>
      <c r="D91" s="823">
        <v>1</v>
      </c>
      <c r="E91" s="1001">
        <v>84</v>
      </c>
      <c r="F91" s="823" t="s">
        <v>1637</v>
      </c>
      <c r="G91" s="980" t="str">
        <f>Cores!H33</f>
        <v/>
      </c>
      <c r="H91" s="989">
        <f t="shared" si="3"/>
        <v>0</v>
      </c>
      <c r="I91" s="1178"/>
    </row>
    <row r="92" spans="1:11">
      <c r="A92" s="956" t="s">
        <v>1329</v>
      </c>
      <c r="B92" s="1140" t="str">
        <f t="shared" si="4"/>
        <v/>
      </c>
      <c r="C92" s="823" t="s">
        <v>1553</v>
      </c>
      <c r="D92" s="823">
        <v>1</v>
      </c>
      <c r="E92" s="1001">
        <v>85</v>
      </c>
      <c r="F92" s="823" t="s">
        <v>1637</v>
      </c>
      <c r="G92" s="980" t="str">
        <f>Cores!H34</f>
        <v/>
      </c>
      <c r="H92" s="989">
        <f t="shared" si="3"/>
        <v>0</v>
      </c>
      <c r="I92" s="1178"/>
      <c r="K92" s="958"/>
    </row>
    <row r="93" spans="1:11">
      <c r="A93" s="956" t="s">
        <v>1330</v>
      </c>
      <c r="B93" s="1140" t="str">
        <f t="shared" si="4"/>
        <v/>
      </c>
      <c r="C93" s="823" t="s">
        <v>1553</v>
      </c>
      <c r="D93" s="823">
        <v>1</v>
      </c>
      <c r="E93" s="1001">
        <v>86</v>
      </c>
      <c r="F93" s="823" t="s">
        <v>1637</v>
      </c>
      <c r="G93" s="980" t="str">
        <f>Cores!I10</f>
        <v/>
      </c>
      <c r="H93" s="989">
        <f t="shared" si="3"/>
        <v>0</v>
      </c>
      <c r="I93" s="1178"/>
    </row>
    <row r="94" spans="1:11">
      <c r="A94" s="956" t="s">
        <v>1331</v>
      </c>
      <c r="B94" s="1163" t="str">
        <f t="shared" si="4"/>
        <v/>
      </c>
      <c r="C94" s="875" t="s">
        <v>1553</v>
      </c>
      <c r="D94" s="875">
        <v>1</v>
      </c>
      <c r="E94" s="1001">
        <v>87</v>
      </c>
      <c r="F94" s="823" t="s">
        <v>1637</v>
      </c>
      <c r="G94" s="980" t="str">
        <f>Cores!I11</f>
        <v/>
      </c>
      <c r="H94" s="989">
        <f t="shared" si="3"/>
        <v>0</v>
      </c>
      <c r="I94" s="1192"/>
      <c r="K94" s="885"/>
    </row>
    <row r="95" spans="1:11">
      <c r="A95" s="956" t="s">
        <v>1332</v>
      </c>
      <c r="B95" s="1140" t="str">
        <f t="shared" si="4"/>
        <v/>
      </c>
      <c r="C95" s="823" t="s">
        <v>1553</v>
      </c>
      <c r="D95" s="823">
        <v>1</v>
      </c>
      <c r="E95" s="1001">
        <v>88</v>
      </c>
      <c r="F95" s="823" t="s">
        <v>1637</v>
      </c>
      <c r="G95" s="980" t="str">
        <f>Cores!I12</f>
        <v/>
      </c>
      <c r="H95" s="989">
        <f t="shared" si="3"/>
        <v>0</v>
      </c>
      <c r="I95" s="1178"/>
    </row>
    <row r="96" spans="1:11">
      <c r="A96" s="956" t="s">
        <v>1333</v>
      </c>
      <c r="B96" s="1140" t="str">
        <f t="shared" si="4"/>
        <v/>
      </c>
      <c r="C96" s="823" t="s">
        <v>1553</v>
      </c>
      <c r="D96" s="823">
        <v>1</v>
      </c>
      <c r="E96" s="1001">
        <v>89</v>
      </c>
      <c r="F96" s="823" t="s">
        <v>1637</v>
      </c>
      <c r="G96" s="980" t="str">
        <f>Cores!I13</f>
        <v/>
      </c>
      <c r="H96" s="989">
        <f t="shared" si="3"/>
        <v>0</v>
      </c>
      <c r="I96" s="1178"/>
    </row>
    <row r="97" spans="1:9">
      <c r="A97" s="956" t="s">
        <v>1334</v>
      </c>
      <c r="B97" s="1140" t="str">
        <f t="shared" si="4"/>
        <v/>
      </c>
      <c r="C97" s="823" t="s">
        <v>1553</v>
      </c>
      <c r="D97" s="823">
        <v>1</v>
      </c>
      <c r="E97" s="1001">
        <v>90</v>
      </c>
      <c r="F97" s="823" t="s">
        <v>1637</v>
      </c>
      <c r="G97" s="980" t="str">
        <f>Cores!I33</f>
        <v/>
      </c>
      <c r="H97" s="989">
        <f t="shared" si="3"/>
        <v>0</v>
      </c>
      <c r="I97" s="1178"/>
    </row>
    <row r="98" spans="1:9" ht="12.75" customHeight="1">
      <c r="A98" s="956" t="s">
        <v>1335</v>
      </c>
      <c r="B98" s="1140" t="str">
        <f>B97</f>
        <v/>
      </c>
      <c r="C98" s="823" t="s">
        <v>1553</v>
      </c>
      <c r="D98" s="823">
        <v>1</v>
      </c>
      <c r="E98" s="1001">
        <v>91</v>
      </c>
      <c r="F98" s="823" t="s">
        <v>1637</v>
      </c>
      <c r="G98" s="980" t="str">
        <f>Cores!I34</f>
        <v/>
      </c>
      <c r="H98" s="989">
        <f>H97</f>
        <v>0</v>
      </c>
      <c r="I98" s="1178"/>
    </row>
    <row r="99" spans="1:9" ht="12.75" customHeight="1">
      <c r="A99" s="956" t="s">
        <v>2281</v>
      </c>
      <c r="B99" s="1219" t="str">
        <f>B98</f>
        <v/>
      </c>
      <c r="C99" s="823" t="s">
        <v>1553</v>
      </c>
      <c r="D99" s="823">
        <v>1</v>
      </c>
      <c r="E99" s="1001" t="s">
        <v>2304</v>
      </c>
      <c r="F99" s="1220"/>
      <c r="G99" s="1224">
        <f>Calculations!$D$15</f>
        <v>0</v>
      </c>
      <c r="H99" s="1222">
        <f>H98</f>
        <v>0</v>
      </c>
      <c r="I99" s="1223"/>
    </row>
    <row r="100" spans="1:9" ht="12.75" customHeight="1">
      <c r="A100" s="956" t="s">
        <v>261</v>
      </c>
      <c r="B100" s="1219" t="str">
        <f t="shared" ref="B100:D137" si="5">B99</f>
        <v/>
      </c>
      <c r="C100" s="823" t="s">
        <v>1553</v>
      </c>
      <c r="D100" s="823">
        <v>1</v>
      </c>
      <c r="E100" s="1001" t="s">
        <v>2305</v>
      </c>
      <c r="F100" s="1221" t="str">
        <f>Calculations!H20</f>
        <v/>
      </c>
      <c r="G100" s="1220"/>
      <c r="H100" s="1222">
        <f t="shared" ref="H100:H165" si="6">H99</f>
        <v>0</v>
      </c>
      <c r="I100" s="1223"/>
    </row>
    <row r="101" spans="1:9" ht="12.75" customHeight="1">
      <c r="A101" s="956" t="s">
        <v>2282</v>
      </c>
      <c r="B101" s="1219" t="str">
        <f t="shared" si="5"/>
        <v/>
      </c>
      <c r="C101" s="823" t="s">
        <v>1553</v>
      </c>
      <c r="D101" s="823">
        <v>1</v>
      </c>
      <c r="E101" s="1001" t="s">
        <v>2307</v>
      </c>
      <c r="F101" s="1221" t="str">
        <f>IF(Calculations!H12=1,"A",IF(Calculations!H12=2,"B"," "))</f>
        <v xml:space="preserve"> </v>
      </c>
      <c r="G101" s="1220"/>
      <c r="H101" s="1222">
        <f t="shared" si="6"/>
        <v>0</v>
      </c>
      <c r="I101" s="1223"/>
    </row>
    <row r="102" spans="1:9" ht="12.75" customHeight="1">
      <c r="A102" s="956" t="s">
        <v>2283</v>
      </c>
      <c r="B102" s="1219" t="str">
        <f t="shared" si="5"/>
        <v/>
      </c>
      <c r="C102" s="823" t="s">
        <v>1553</v>
      </c>
      <c r="D102" s="823">
        <v>1</v>
      </c>
      <c r="E102" s="1001" t="s">
        <v>2308</v>
      </c>
      <c r="F102" s="1220"/>
      <c r="G102" s="1221">
        <f>'Pay Values'!A13</f>
        <v>0</v>
      </c>
      <c r="H102" s="1222">
        <f t="shared" si="6"/>
        <v>0</v>
      </c>
      <c r="I102" s="1223"/>
    </row>
    <row r="103" spans="1:9" ht="12.75" customHeight="1">
      <c r="A103" s="956" t="s">
        <v>2284</v>
      </c>
      <c r="B103" s="1219" t="str">
        <f t="shared" si="5"/>
        <v/>
      </c>
      <c r="C103" s="823" t="s">
        <v>1553</v>
      </c>
      <c r="D103" s="823">
        <v>1</v>
      </c>
      <c r="E103" s="1001" t="s">
        <v>2309</v>
      </c>
      <c r="F103" s="1220"/>
      <c r="G103" s="1221" t="str">
        <f>'Pay Values'!D13</f>
        <v/>
      </c>
      <c r="H103" s="1222">
        <f t="shared" si="6"/>
        <v>0</v>
      </c>
      <c r="I103" s="1223"/>
    </row>
    <row r="104" spans="1:9" ht="12.75" customHeight="1">
      <c r="A104" s="956" t="s">
        <v>2285</v>
      </c>
      <c r="B104" s="1219" t="str">
        <f t="shared" si="5"/>
        <v/>
      </c>
      <c r="C104" s="823" t="s">
        <v>1553</v>
      </c>
      <c r="D104" s="823">
        <v>1</v>
      </c>
      <c r="E104" s="1001" t="s">
        <v>2310</v>
      </c>
      <c r="F104" s="1220"/>
      <c r="G104" s="1221" t="str">
        <f>'Pay Values'!E13</f>
        <v/>
      </c>
      <c r="H104" s="1222">
        <f t="shared" si="6"/>
        <v>0</v>
      </c>
      <c r="I104" s="1223"/>
    </row>
    <row r="105" spans="1:9" ht="12.75" customHeight="1">
      <c r="A105" s="956" t="s">
        <v>2286</v>
      </c>
      <c r="B105" s="1219" t="str">
        <f t="shared" si="5"/>
        <v/>
      </c>
      <c r="C105" s="823" t="s">
        <v>1553</v>
      </c>
      <c r="D105" s="823">
        <v>1</v>
      </c>
      <c r="E105" s="1001" t="s">
        <v>2311</v>
      </c>
      <c r="F105" s="1220"/>
      <c r="G105" s="1221" t="str">
        <f>'Pay Values'!G13</f>
        <v/>
      </c>
      <c r="H105" s="1222">
        <f t="shared" si="6"/>
        <v>0</v>
      </c>
      <c r="I105" s="1223"/>
    </row>
    <row r="106" spans="1:9" ht="12.75" customHeight="1">
      <c r="A106" s="956" t="s">
        <v>2287</v>
      </c>
      <c r="B106" s="1219" t="str">
        <f t="shared" si="5"/>
        <v/>
      </c>
      <c r="C106" s="823" t="s">
        <v>1553</v>
      </c>
      <c r="D106" s="823">
        <v>1</v>
      </c>
      <c r="E106" s="1001" t="s">
        <v>2312</v>
      </c>
      <c r="F106" s="1220"/>
      <c r="G106" s="1221">
        <f>'Pay Values'!H13</f>
        <v>0</v>
      </c>
      <c r="H106" s="1222">
        <f t="shared" si="6"/>
        <v>0</v>
      </c>
      <c r="I106" s="1223"/>
    </row>
    <row r="107" spans="1:9" ht="12.75" customHeight="1">
      <c r="A107" s="956" t="s">
        <v>2288</v>
      </c>
      <c r="B107" s="1219" t="str">
        <f t="shared" si="5"/>
        <v/>
      </c>
      <c r="C107" s="823" t="s">
        <v>1553</v>
      </c>
      <c r="D107" s="823">
        <v>1</v>
      </c>
      <c r="E107" s="1001" t="s">
        <v>2313</v>
      </c>
      <c r="F107" s="1220"/>
      <c r="G107" s="1221" t="str">
        <f>'Pay Values'!K13</f>
        <v/>
      </c>
      <c r="H107" s="1222">
        <f t="shared" si="6"/>
        <v>0</v>
      </c>
      <c r="I107" s="1223"/>
    </row>
    <row r="108" spans="1:9" ht="12.75" customHeight="1">
      <c r="A108" s="956" t="s">
        <v>2289</v>
      </c>
      <c r="B108" s="1219" t="str">
        <f t="shared" si="5"/>
        <v/>
      </c>
      <c r="C108" s="823" t="s">
        <v>1553</v>
      </c>
      <c r="D108" s="823">
        <v>1</v>
      </c>
      <c r="E108" s="1001" t="s">
        <v>2314</v>
      </c>
      <c r="F108" s="1220"/>
      <c r="G108" s="1221" t="str">
        <f>'Pay Values'!B21</f>
        <v/>
      </c>
      <c r="H108" s="1222">
        <f t="shared" si="6"/>
        <v>0</v>
      </c>
      <c r="I108" s="1223"/>
    </row>
    <row r="109" spans="1:9" ht="12.75" customHeight="1">
      <c r="A109" s="956" t="s">
        <v>2290</v>
      </c>
      <c r="B109" s="1219" t="str">
        <f t="shared" si="5"/>
        <v/>
      </c>
      <c r="C109" s="823" t="s">
        <v>1553</v>
      </c>
      <c r="D109" s="823">
        <v>1</v>
      </c>
      <c r="E109" s="1001" t="s">
        <v>2315</v>
      </c>
      <c r="F109" s="1220"/>
      <c r="G109" s="1221" t="str">
        <f>'Pay Values'!B22</f>
        <v/>
      </c>
      <c r="H109" s="1222">
        <f t="shared" si="6"/>
        <v>0</v>
      </c>
      <c r="I109" s="1223"/>
    </row>
    <row r="110" spans="1:9" ht="12.75" customHeight="1">
      <c r="A110" s="956" t="s">
        <v>2291</v>
      </c>
      <c r="B110" s="1219" t="str">
        <f t="shared" si="5"/>
        <v/>
      </c>
      <c r="C110" s="823" t="s">
        <v>1553</v>
      </c>
      <c r="D110" s="823">
        <v>1</v>
      </c>
      <c r="E110" s="1001" t="s">
        <v>2316</v>
      </c>
      <c r="F110" s="1220"/>
      <c r="G110" s="1221">
        <f>ROUND('Pay Values'!J20,2)</f>
        <v>0</v>
      </c>
      <c r="H110" s="1222">
        <f t="shared" si="6"/>
        <v>0</v>
      </c>
      <c r="I110" s="1223"/>
    </row>
    <row r="111" spans="1:9" ht="12.75" customHeight="1">
      <c r="A111" s="956" t="s">
        <v>2292</v>
      </c>
      <c r="B111" s="1219" t="str">
        <f t="shared" si="5"/>
        <v/>
      </c>
      <c r="C111" s="823" t="s">
        <v>1553</v>
      </c>
      <c r="D111" s="823">
        <v>1</v>
      </c>
      <c r="E111" s="1001" t="s">
        <v>2317</v>
      </c>
      <c r="F111" s="1220"/>
      <c r="G111" s="1221" t="str">
        <f>'Pay Values'!J21</f>
        <v/>
      </c>
      <c r="H111" s="1222">
        <f t="shared" si="6"/>
        <v>0</v>
      </c>
      <c r="I111" s="1223"/>
    </row>
    <row r="112" spans="1:9" ht="12.75" customHeight="1">
      <c r="A112" s="956" t="s">
        <v>2293</v>
      </c>
      <c r="B112" s="1219" t="str">
        <f t="shared" si="5"/>
        <v/>
      </c>
      <c r="C112" s="823" t="s">
        <v>1553</v>
      </c>
      <c r="D112" s="823">
        <v>1</v>
      </c>
      <c r="E112" s="1001" t="s">
        <v>2318</v>
      </c>
      <c r="F112" s="1220"/>
      <c r="G112" s="1221" t="str">
        <f>'Pay Values'!J24</f>
        <v/>
      </c>
      <c r="H112" s="1222">
        <f t="shared" si="6"/>
        <v>0</v>
      </c>
      <c r="I112" s="1223"/>
    </row>
    <row r="113" spans="1:9" ht="12.75" customHeight="1">
      <c r="A113" s="956" t="s">
        <v>2294</v>
      </c>
      <c r="B113" s="1219" t="str">
        <f t="shared" si="5"/>
        <v/>
      </c>
      <c r="C113" s="823" t="s">
        <v>1553</v>
      </c>
      <c r="D113" s="823">
        <v>1</v>
      </c>
      <c r="E113" s="1001" t="s">
        <v>2319</v>
      </c>
      <c r="F113" s="1221" t="str">
        <f>'Pay Values'!B37</f>
        <v/>
      </c>
      <c r="G113" s="1220"/>
      <c r="H113" s="1222">
        <f t="shared" si="6"/>
        <v>0</v>
      </c>
      <c r="I113" s="1223"/>
    </row>
    <row r="114" spans="1:9" ht="12.75" customHeight="1">
      <c r="A114" s="956" t="s">
        <v>2295</v>
      </c>
      <c r="B114" s="1219" t="str">
        <f t="shared" si="5"/>
        <v/>
      </c>
      <c r="C114" s="823" t="s">
        <v>1553</v>
      </c>
      <c r="D114" s="823">
        <v>1</v>
      </c>
      <c r="E114" s="1001" t="s">
        <v>2320</v>
      </c>
      <c r="F114" s="1221" t="str">
        <f>'Pay Values'!C37</f>
        <v/>
      </c>
      <c r="G114" s="1220"/>
      <c r="H114" s="1222">
        <f t="shared" si="6"/>
        <v>0</v>
      </c>
      <c r="I114" s="1223"/>
    </row>
    <row r="115" spans="1:9" ht="12.75" customHeight="1">
      <c r="A115" s="956" t="s">
        <v>2296</v>
      </c>
      <c r="B115" s="1219" t="str">
        <f t="shared" si="5"/>
        <v/>
      </c>
      <c r="C115" s="823" t="s">
        <v>1553</v>
      </c>
      <c r="D115" s="823">
        <v>1</v>
      </c>
      <c r="E115" s="1001" t="s">
        <v>2321</v>
      </c>
      <c r="F115" s="1220"/>
      <c r="G115" s="1221" t="str">
        <f>'Pay Values'!E37</f>
        <v/>
      </c>
      <c r="H115" s="1222">
        <f t="shared" si="6"/>
        <v>0</v>
      </c>
      <c r="I115" s="1223"/>
    </row>
    <row r="116" spans="1:9" ht="12.75" customHeight="1">
      <c r="A116" s="956" t="s">
        <v>2297</v>
      </c>
      <c r="B116" s="1219" t="str">
        <f t="shared" si="5"/>
        <v/>
      </c>
      <c r="C116" s="823" t="s">
        <v>1553</v>
      </c>
      <c r="D116" s="823">
        <v>1</v>
      </c>
      <c r="E116" s="1001" t="s">
        <v>2322</v>
      </c>
      <c r="F116" s="1221">
        <f>'Pay Values'!B43</f>
        <v>0</v>
      </c>
      <c r="G116" s="1220"/>
      <c r="H116" s="1222">
        <f t="shared" si="6"/>
        <v>0</v>
      </c>
      <c r="I116" s="1223"/>
    </row>
    <row r="117" spans="1:9" ht="12.75" customHeight="1">
      <c r="A117" s="956" t="s">
        <v>2298</v>
      </c>
      <c r="B117" s="1219" t="str">
        <f t="shared" si="5"/>
        <v/>
      </c>
      <c r="C117" s="823" t="s">
        <v>1553</v>
      </c>
      <c r="D117" s="823">
        <v>1</v>
      </c>
      <c r="E117" s="1001" t="s">
        <v>2323</v>
      </c>
      <c r="F117" s="1221">
        <f>'Pay Values'!B44</f>
        <v>0</v>
      </c>
      <c r="G117" s="1220"/>
      <c r="H117" s="1222">
        <f t="shared" si="6"/>
        <v>0</v>
      </c>
      <c r="I117" s="1223"/>
    </row>
    <row r="118" spans="1:9" ht="12.75" customHeight="1">
      <c r="A118" s="956" t="s">
        <v>2299</v>
      </c>
      <c r="B118" s="1219" t="str">
        <f t="shared" si="5"/>
        <v/>
      </c>
      <c r="C118" s="823" t="s">
        <v>1553</v>
      </c>
      <c r="D118" s="823">
        <v>1</v>
      </c>
      <c r="E118" s="1001" t="s">
        <v>2324</v>
      </c>
      <c r="F118" s="1221" t="e">
        <f>VLOOKUP(Calculations!$D$147,Calculations!$A$147:$B$161,2,FALSE)</f>
        <v>#N/A</v>
      </c>
      <c r="G118" s="1220"/>
      <c r="H118" s="1222">
        <f t="shared" si="6"/>
        <v>0</v>
      </c>
      <c r="I118" s="1223"/>
    </row>
    <row r="119" spans="1:9" ht="12.75" customHeight="1">
      <c r="A119" s="956" t="s">
        <v>2300</v>
      </c>
      <c r="B119" s="1219" t="str">
        <f t="shared" si="5"/>
        <v/>
      </c>
      <c r="C119" s="823" t="s">
        <v>1553</v>
      </c>
      <c r="D119" s="823">
        <v>1</v>
      </c>
      <c r="E119" s="1001" t="s">
        <v>2325</v>
      </c>
      <c r="F119" s="1221" t="str">
        <f>'Pay Values'!B46</f>
        <v/>
      </c>
      <c r="G119" s="1220"/>
      <c r="H119" s="1222">
        <f t="shared" si="6"/>
        <v>0</v>
      </c>
      <c r="I119" s="1223"/>
    </row>
    <row r="120" spans="1:9" ht="12.75" customHeight="1">
      <c r="A120" s="956" t="s">
        <v>2301</v>
      </c>
      <c r="B120" s="1219" t="str">
        <f t="shared" si="5"/>
        <v/>
      </c>
      <c r="C120" s="823" t="s">
        <v>1553</v>
      </c>
      <c r="D120" s="823">
        <v>1</v>
      </c>
      <c r="E120" s="1001" t="s">
        <v>2326</v>
      </c>
      <c r="F120" s="1221">
        <f>'Pay Values'!C46</f>
        <v>0</v>
      </c>
      <c r="G120" s="1220"/>
      <c r="H120" s="1222">
        <f t="shared" si="6"/>
        <v>0</v>
      </c>
      <c r="I120" s="1223"/>
    </row>
    <row r="121" spans="1:9" ht="12.75" customHeight="1">
      <c r="A121" s="956" t="s">
        <v>2302</v>
      </c>
      <c r="B121" s="1219" t="str">
        <f t="shared" si="5"/>
        <v/>
      </c>
      <c r="C121" s="823" t="s">
        <v>1553</v>
      </c>
      <c r="D121" s="823">
        <v>1</v>
      </c>
      <c r="E121" s="1001" t="s">
        <v>2327</v>
      </c>
      <c r="F121" s="1221" t="str">
        <f>IF(Calculations!O1=1,"Yes", "No")</f>
        <v>No</v>
      </c>
      <c r="G121" s="1220"/>
      <c r="H121" s="1222">
        <f t="shared" si="6"/>
        <v>0</v>
      </c>
      <c r="I121" s="1223"/>
    </row>
    <row r="122" spans="1:9" ht="12.75" customHeight="1">
      <c r="A122" s="956" t="s">
        <v>2303</v>
      </c>
      <c r="B122" s="1219" t="str">
        <f t="shared" si="5"/>
        <v/>
      </c>
      <c r="C122" s="823" t="s">
        <v>1553</v>
      </c>
      <c r="D122" s="823">
        <v>1</v>
      </c>
      <c r="E122" s="1001" t="s">
        <v>2328</v>
      </c>
      <c r="F122" s="1221" t="str">
        <f>IF(Calculations!O2=1,"Yes", "No")</f>
        <v>No</v>
      </c>
      <c r="G122" s="1220"/>
      <c r="H122" s="1222">
        <f t="shared" si="6"/>
        <v>0</v>
      </c>
      <c r="I122" s="1223"/>
    </row>
    <row r="123" spans="1:9" ht="12.75" customHeight="1">
      <c r="A123" s="956" t="s">
        <v>2505</v>
      </c>
      <c r="B123" s="1219" t="str">
        <f t="shared" si="5"/>
        <v/>
      </c>
      <c r="C123" s="823" t="s">
        <v>1553</v>
      </c>
      <c r="D123" s="823">
        <v>1</v>
      </c>
      <c r="E123" s="1001" t="s">
        <v>2519</v>
      </c>
      <c r="F123" s="1001"/>
      <c r="G123" s="980">
        <f>Gradation!$N$10</f>
        <v>0</v>
      </c>
      <c r="H123" s="1222">
        <f t="shared" si="6"/>
        <v>0</v>
      </c>
      <c r="I123" s="1223"/>
    </row>
    <row r="124" spans="1:9" ht="12.75" customHeight="1">
      <c r="A124" s="956" t="s">
        <v>2506</v>
      </c>
      <c r="B124" s="1219" t="str">
        <f t="shared" si="5"/>
        <v/>
      </c>
      <c r="C124" s="823" t="s">
        <v>1553</v>
      </c>
      <c r="D124" s="823">
        <v>1</v>
      </c>
      <c r="E124" s="1001" t="s">
        <v>2520</v>
      </c>
      <c r="F124" s="1001"/>
      <c r="G124" s="980">
        <f>Gradation!$N$11</f>
        <v>0</v>
      </c>
      <c r="H124" s="1222">
        <f t="shared" si="6"/>
        <v>0</v>
      </c>
      <c r="I124" s="1223"/>
    </row>
    <row r="125" spans="1:9" ht="12.75" customHeight="1">
      <c r="A125" s="956" t="s">
        <v>2507</v>
      </c>
      <c r="B125" s="1219" t="str">
        <f t="shared" si="5"/>
        <v/>
      </c>
      <c r="C125" s="823" t="s">
        <v>1553</v>
      </c>
      <c r="D125" s="823">
        <v>1</v>
      </c>
      <c r="E125" s="1001" t="s">
        <v>2521</v>
      </c>
      <c r="F125" s="1001"/>
      <c r="G125" s="980">
        <f>Gradation!$N$12</f>
        <v>0</v>
      </c>
      <c r="H125" s="1222">
        <f t="shared" si="6"/>
        <v>0</v>
      </c>
      <c r="I125" s="1223"/>
    </row>
    <row r="126" spans="1:9" ht="12.75" customHeight="1">
      <c r="A126" s="956" t="s">
        <v>2508</v>
      </c>
      <c r="B126" s="1219" t="str">
        <f t="shared" si="5"/>
        <v/>
      </c>
      <c r="C126" s="823" t="s">
        <v>1553</v>
      </c>
      <c r="D126" s="823">
        <v>1</v>
      </c>
      <c r="E126" s="1001" t="s">
        <v>2522</v>
      </c>
      <c r="F126" s="1001"/>
      <c r="G126" s="980">
        <f>Gradation!$N$13</f>
        <v>0</v>
      </c>
      <c r="H126" s="1222">
        <f t="shared" si="6"/>
        <v>0</v>
      </c>
      <c r="I126" s="1223"/>
    </row>
    <row r="127" spans="1:9" ht="12.75" customHeight="1">
      <c r="A127" s="956" t="s">
        <v>2509</v>
      </c>
      <c r="B127" s="1219" t="str">
        <f t="shared" si="5"/>
        <v/>
      </c>
      <c r="C127" s="823" t="s">
        <v>1553</v>
      </c>
      <c r="D127" s="823">
        <v>1</v>
      </c>
      <c r="E127" s="1001" t="s">
        <v>2523</v>
      </c>
      <c r="F127" s="1001"/>
      <c r="G127" s="980">
        <f>Gradation!$N$14</f>
        <v>0</v>
      </c>
      <c r="H127" s="1222">
        <f t="shared" si="6"/>
        <v>0</v>
      </c>
      <c r="I127" s="1223"/>
    </row>
    <row r="128" spans="1:9" ht="12.75" customHeight="1">
      <c r="A128" s="956" t="s">
        <v>2510</v>
      </c>
      <c r="B128" s="1219" t="str">
        <f t="shared" si="5"/>
        <v/>
      </c>
      <c r="C128" s="823" t="s">
        <v>1553</v>
      </c>
      <c r="D128" s="823">
        <v>1</v>
      </c>
      <c r="E128" s="1001" t="s">
        <v>2524</v>
      </c>
      <c r="F128" s="1001"/>
      <c r="G128" s="980">
        <f>Gradation!$N$15</f>
        <v>0</v>
      </c>
      <c r="H128" s="1222">
        <f t="shared" si="6"/>
        <v>0</v>
      </c>
      <c r="I128" s="1223"/>
    </row>
    <row r="129" spans="1:12" ht="12.75" customHeight="1">
      <c r="A129" s="956" t="s">
        <v>2511</v>
      </c>
      <c r="B129" s="1219" t="str">
        <f t="shared" si="5"/>
        <v/>
      </c>
      <c r="C129" s="823" t="s">
        <v>1553</v>
      </c>
      <c r="D129" s="823">
        <v>1</v>
      </c>
      <c r="E129" s="1001" t="s">
        <v>2525</v>
      </c>
      <c r="F129" s="1001"/>
      <c r="G129" s="980">
        <f>Gradation!$N$16</f>
        <v>0</v>
      </c>
      <c r="H129" s="1222">
        <f t="shared" si="6"/>
        <v>0</v>
      </c>
      <c r="I129" s="1223"/>
    </row>
    <row r="130" spans="1:12" ht="12.75" customHeight="1">
      <c r="A130" s="956" t="s">
        <v>2512</v>
      </c>
      <c r="B130" s="1219" t="str">
        <f t="shared" si="5"/>
        <v/>
      </c>
      <c r="C130" s="823" t="s">
        <v>1553</v>
      </c>
      <c r="D130" s="823">
        <v>1</v>
      </c>
      <c r="E130" s="1001" t="s">
        <v>2526</v>
      </c>
      <c r="F130" s="1001"/>
      <c r="G130" s="980">
        <f>Gradation!$N$17</f>
        <v>0</v>
      </c>
      <c r="H130" s="1222">
        <f t="shared" si="6"/>
        <v>0</v>
      </c>
      <c r="I130" s="1223"/>
    </row>
    <row r="131" spans="1:12" ht="12.75" customHeight="1">
      <c r="A131" s="956" t="s">
        <v>2513</v>
      </c>
      <c r="B131" s="1219" t="str">
        <f t="shared" si="5"/>
        <v/>
      </c>
      <c r="C131" s="823" t="s">
        <v>1553</v>
      </c>
      <c r="D131" s="823">
        <v>1</v>
      </c>
      <c r="E131" s="1001" t="s">
        <v>2527</v>
      </c>
      <c r="F131" s="1001"/>
      <c r="G131" s="980">
        <f>Gradation!$N$18</f>
        <v>0</v>
      </c>
      <c r="H131" s="1222">
        <f t="shared" si="6"/>
        <v>0</v>
      </c>
      <c r="I131" s="1223"/>
    </row>
    <row r="132" spans="1:12" ht="12.75" customHeight="1">
      <c r="A132" s="956" t="s">
        <v>2514</v>
      </c>
      <c r="B132" s="1219" t="str">
        <f t="shared" si="5"/>
        <v/>
      </c>
      <c r="C132" s="823" t="s">
        <v>1553</v>
      </c>
      <c r="D132" s="823">
        <v>1</v>
      </c>
      <c r="E132" s="1001" t="s">
        <v>2528</v>
      </c>
      <c r="F132" s="1001"/>
      <c r="G132" s="980">
        <f>Gradation!$N$19</f>
        <v>0</v>
      </c>
      <c r="H132" s="1222">
        <f t="shared" si="6"/>
        <v>0</v>
      </c>
      <c r="I132" s="1223"/>
    </row>
    <row r="133" spans="1:12" ht="12.75" customHeight="1">
      <c r="A133" s="956" t="s">
        <v>2515</v>
      </c>
      <c r="B133" s="1219" t="str">
        <f t="shared" si="5"/>
        <v/>
      </c>
      <c r="C133" s="823" t="s">
        <v>1553</v>
      </c>
      <c r="D133" s="823">
        <v>1</v>
      </c>
      <c r="E133" s="1001" t="s">
        <v>2529</v>
      </c>
      <c r="F133" s="1001"/>
      <c r="G133" s="980">
        <f>Gradation!$N$20</f>
        <v>0</v>
      </c>
      <c r="H133" s="1222">
        <f t="shared" si="6"/>
        <v>0</v>
      </c>
      <c r="I133" s="1223"/>
    </row>
    <row r="134" spans="1:12" ht="12.75" customHeight="1">
      <c r="A134" s="956" t="s">
        <v>2516</v>
      </c>
      <c r="B134" s="1219" t="str">
        <f t="shared" si="5"/>
        <v/>
      </c>
      <c r="C134" s="823" t="s">
        <v>1553</v>
      </c>
      <c r="D134" s="823">
        <v>1</v>
      </c>
      <c r="E134" s="1001" t="s">
        <v>2530</v>
      </c>
      <c r="F134" s="1001"/>
      <c r="G134" s="980">
        <f>Gradation!$N$21</f>
        <v>0</v>
      </c>
      <c r="H134" s="1222">
        <f t="shared" si="6"/>
        <v>0</v>
      </c>
      <c r="I134" s="1223"/>
    </row>
    <row r="135" spans="1:12" ht="12.75" customHeight="1">
      <c r="A135" s="956" t="s">
        <v>2517</v>
      </c>
      <c r="B135" s="1219" t="str">
        <f t="shared" si="5"/>
        <v/>
      </c>
      <c r="C135" s="823" t="s">
        <v>1553</v>
      </c>
      <c r="D135" s="823">
        <v>1</v>
      </c>
      <c r="E135" s="1001" t="s">
        <v>2531</v>
      </c>
      <c r="F135" s="1001"/>
      <c r="G135" s="980">
        <f>Gradation!$N$22</f>
        <v>0</v>
      </c>
      <c r="H135" s="1222">
        <f t="shared" si="6"/>
        <v>0</v>
      </c>
      <c r="I135" s="1223"/>
    </row>
    <row r="136" spans="1:12" ht="12.75" customHeight="1">
      <c r="A136" s="956" t="s">
        <v>2518</v>
      </c>
      <c r="B136" s="1219" t="str">
        <f t="shared" si="5"/>
        <v/>
      </c>
      <c r="C136" s="823" t="s">
        <v>1553</v>
      </c>
      <c r="D136" s="823">
        <v>1</v>
      </c>
      <c r="E136" s="1001" t="s">
        <v>2532</v>
      </c>
      <c r="F136" s="1001"/>
      <c r="G136" s="980">
        <f>Gradation!$N$23</f>
        <v>0</v>
      </c>
      <c r="H136" s="1222">
        <f t="shared" si="6"/>
        <v>0</v>
      </c>
      <c r="I136" s="1223"/>
    </row>
    <row r="137" spans="1:12" ht="12.75" customHeight="1">
      <c r="A137" s="1505" t="s">
        <v>2805</v>
      </c>
      <c r="B137" s="1506" t="str">
        <f t="shared" si="5"/>
        <v/>
      </c>
      <c r="C137" s="1507" t="str">
        <f t="shared" si="5"/>
        <v>AMAMAW</v>
      </c>
      <c r="D137" s="1507">
        <f t="shared" si="5"/>
        <v>1</v>
      </c>
      <c r="E137" s="1508">
        <v>130</v>
      </c>
      <c r="F137" s="1509"/>
      <c r="G137" s="1516">
        <f>IF('Performance Specimens'!$H$41="",0,'Performance Specimens'!$H$41)</f>
        <v>0</v>
      </c>
      <c r="H137" s="1510">
        <f t="shared" si="6"/>
        <v>0</v>
      </c>
      <c r="I137" s="1178"/>
      <c r="K137" s="904"/>
      <c r="L137" s="904"/>
    </row>
    <row r="138" spans="1:12" ht="12.75" customHeight="1">
      <c r="A138" s="1505" t="s">
        <v>2806</v>
      </c>
      <c r="B138" s="1506" t="str">
        <f t="shared" ref="B138:D155" si="7">B137</f>
        <v/>
      </c>
      <c r="C138" s="1507" t="str">
        <f t="shared" si="7"/>
        <v>AMAMAW</v>
      </c>
      <c r="D138" s="1507">
        <f t="shared" si="7"/>
        <v>1</v>
      </c>
      <c r="E138" s="1508">
        <v>131</v>
      </c>
      <c r="F138" s="1509"/>
      <c r="G138" s="1516">
        <f>IF('Performance Specimens'!$O$41="",0,'Performance Specimens'!$O$41)</f>
        <v>0</v>
      </c>
      <c r="H138" s="1510">
        <f t="shared" si="6"/>
        <v>0</v>
      </c>
      <c r="I138" s="1178"/>
      <c r="K138" s="904"/>
      <c r="L138" s="904"/>
    </row>
    <row r="139" spans="1:12" ht="12.75" customHeight="1">
      <c r="A139" s="1505" t="s">
        <v>3239</v>
      </c>
      <c r="B139" s="1506" t="str">
        <f t="shared" ref="B139:D139" si="8">B138</f>
        <v/>
      </c>
      <c r="C139" s="1507" t="str">
        <f t="shared" si="8"/>
        <v>AMAMAW</v>
      </c>
      <c r="D139" s="1507">
        <f t="shared" si="8"/>
        <v>1</v>
      </c>
      <c r="E139" s="1508">
        <v>132</v>
      </c>
      <c r="F139" s="1509"/>
      <c r="G139" s="1516">
        <f>IF('Performance Specimens'!$H$57="",0,'Performance Specimens'!$H$57)</f>
        <v>0</v>
      </c>
      <c r="H139" s="1510">
        <f t="shared" si="6"/>
        <v>0</v>
      </c>
      <c r="I139" s="1178"/>
      <c r="K139" s="904"/>
      <c r="L139" s="904"/>
    </row>
    <row r="140" spans="1:12" ht="12.75" customHeight="1">
      <c r="A140" s="1505" t="s">
        <v>3240</v>
      </c>
      <c r="B140" s="1506" t="str">
        <f t="shared" ref="B140:D140" si="9">B139</f>
        <v/>
      </c>
      <c r="C140" s="1507" t="str">
        <f t="shared" si="9"/>
        <v>AMAMAW</v>
      </c>
      <c r="D140" s="1507">
        <f t="shared" si="9"/>
        <v>1</v>
      </c>
      <c r="E140" s="1508">
        <v>133</v>
      </c>
      <c r="F140" s="1509"/>
      <c r="G140" s="1516">
        <f>IF('Performance Specimens'!$O$57="",0,'Performance Specimens'!$O$57)</f>
        <v>0</v>
      </c>
      <c r="H140" s="1510">
        <f t="shared" si="6"/>
        <v>0</v>
      </c>
      <c r="I140" s="1178"/>
      <c r="K140" s="904"/>
      <c r="L140" s="904"/>
    </row>
    <row r="141" spans="1:12" ht="12.75" customHeight="1">
      <c r="A141" s="1505" t="s">
        <v>2807</v>
      </c>
      <c r="B141" s="1506" t="str">
        <f>B138</f>
        <v/>
      </c>
      <c r="C141" s="1507" t="str">
        <f>C138</f>
        <v>AMAMAW</v>
      </c>
      <c r="D141" s="1507">
        <f>D138</f>
        <v>1</v>
      </c>
      <c r="E141" s="1508">
        <v>134</v>
      </c>
      <c r="F141" s="1511">
        <f>Calculations!$AR$1</f>
        <v>0</v>
      </c>
      <c r="G141" s="1509"/>
      <c r="H141" s="1510">
        <f>H138</f>
        <v>0</v>
      </c>
      <c r="I141" s="1178"/>
      <c r="K141" s="904"/>
      <c r="L141" s="904"/>
    </row>
    <row r="142" spans="1:12" ht="12.75" customHeight="1">
      <c r="A142" s="1505" t="s">
        <v>2808</v>
      </c>
      <c r="B142" s="1506" t="str">
        <f t="shared" si="7"/>
        <v/>
      </c>
      <c r="C142" s="1507" t="str">
        <f t="shared" si="7"/>
        <v>AMAMAW</v>
      </c>
      <c r="D142" s="1507">
        <f t="shared" si="7"/>
        <v>1</v>
      </c>
      <c r="E142" s="1508">
        <v>135</v>
      </c>
      <c r="F142" s="1509"/>
      <c r="G142" s="1510" t="s">
        <v>3253</v>
      </c>
      <c r="H142" s="1510">
        <f t="shared" si="6"/>
        <v>0</v>
      </c>
      <c r="I142" s="1178"/>
      <c r="K142" s="904"/>
      <c r="L142" s="904"/>
    </row>
    <row r="143" spans="1:12" ht="12.75" customHeight="1">
      <c r="A143" s="1505" t="s">
        <v>2809</v>
      </c>
      <c r="B143" s="1506" t="str">
        <f t="shared" si="7"/>
        <v/>
      </c>
      <c r="C143" s="1507" t="str">
        <f t="shared" si="7"/>
        <v>AMAMAW</v>
      </c>
      <c r="D143" s="1507">
        <f t="shared" si="7"/>
        <v>1</v>
      </c>
      <c r="E143" s="1508">
        <v>136</v>
      </c>
      <c r="F143" s="1509"/>
      <c r="G143" s="1510" t="s">
        <v>3253</v>
      </c>
      <c r="H143" s="1510">
        <f t="shared" si="6"/>
        <v>0</v>
      </c>
      <c r="I143" s="1178"/>
      <c r="K143" s="904"/>
      <c r="L143" s="904"/>
    </row>
    <row r="144" spans="1:12" ht="12.75" customHeight="1">
      <c r="A144" s="1505" t="s">
        <v>2810</v>
      </c>
      <c r="B144" s="1506" t="str">
        <f t="shared" si="7"/>
        <v/>
      </c>
      <c r="C144" s="1507" t="str">
        <f t="shared" si="7"/>
        <v>AMAMAW</v>
      </c>
      <c r="D144" s="1507">
        <f t="shared" si="7"/>
        <v>1</v>
      </c>
      <c r="E144" s="1508">
        <v>137</v>
      </c>
      <c r="F144" s="1509"/>
      <c r="G144" s="1510" t="s">
        <v>3253</v>
      </c>
      <c r="H144" s="1510">
        <f t="shared" si="6"/>
        <v>0</v>
      </c>
      <c r="I144" s="1178"/>
      <c r="K144" s="904"/>
      <c r="L144" s="904"/>
    </row>
    <row r="145" spans="1:12" ht="12.75" customHeight="1">
      <c r="A145" s="1505" t="s">
        <v>2811</v>
      </c>
      <c r="B145" s="1506" t="str">
        <f t="shared" si="7"/>
        <v/>
      </c>
      <c r="C145" s="1507" t="str">
        <f t="shared" si="7"/>
        <v>AMAMAW</v>
      </c>
      <c r="D145" s="1507">
        <f t="shared" si="7"/>
        <v>1</v>
      </c>
      <c r="E145" s="1508">
        <v>138</v>
      </c>
      <c r="F145" s="1509"/>
      <c r="G145" s="1510" t="s">
        <v>3253</v>
      </c>
      <c r="H145" s="1510">
        <f t="shared" si="6"/>
        <v>0</v>
      </c>
      <c r="I145" s="1178"/>
      <c r="K145" s="904"/>
      <c r="L145" s="904"/>
    </row>
    <row r="146" spans="1:12" ht="12.75" customHeight="1">
      <c r="A146" s="1505" t="s">
        <v>2812</v>
      </c>
      <c r="B146" s="1506" t="str">
        <f t="shared" si="7"/>
        <v/>
      </c>
      <c r="C146" s="1507" t="str">
        <f t="shared" si="7"/>
        <v>AMAMAW</v>
      </c>
      <c r="D146" s="1507">
        <f t="shared" si="7"/>
        <v>1</v>
      </c>
      <c r="E146" s="1508">
        <v>139</v>
      </c>
      <c r="F146" s="1509"/>
      <c r="G146" s="1510" t="s">
        <v>3253</v>
      </c>
      <c r="H146" s="1510">
        <f t="shared" si="6"/>
        <v>0</v>
      </c>
      <c r="I146" s="1178"/>
      <c r="K146" s="904"/>
      <c r="L146" s="904"/>
    </row>
    <row r="147" spans="1:12" ht="12.75" customHeight="1">
      <c r="A147" s="1505" t="s">
        <v>2813</v>
      </c>
      <c r="B147" s="1506" t="str">
        <f t="shared" si="7"/>
        <v/>
      </c>
      <c r="C147" s="1507" t="str">
        <f t="shared" si="7"/>
        <v>AMAMAW</v>
      </c>
      <c r="D147" s="1507">
        <f t="shared" si="7"/>
        <v>1</v>
      </c>
      <c r="E147" s="1508">
        <v>140</v>
      </c>
      <c r="F147" s="1509"/>
      <c r="G147" s="1510" t="s">
        <v>3253</v>
      </c>
      <c r="H147" s="1510">
        <f t="shared" si="6"/>
        <v>0</v>
      </c>
      <c r="I147" s="1178"/>
      <c r="K147" s="904"/>
      <c r="L147" s="904"/>
    </row>
    <row r="148" spans="1:12" ht="12.75" customHeight="1">
      <c r="A148" s="1505" t="s">
        <v>2814</v>
      </c>
      <c r="B148" s="1506" t="str">
        <f t="shared" si="7"/>
        <v/>
      </c>
      <c r="C148" s="1507" t="str">
        <f t="shared" si="7"/>
        <v>AMAMAW</v>
      </c>
      <c r="D148" s="1507">
        <f t="shared" si="7"/>
        <v>1</v>
      </c>
      <c r="E148" s="1508">
        <v>141</v>
      </c>
      <c r="F148" s="1509"/>
      <c r="G148" s="1510" t="s">
        <v>3253</v>
      </c>
      <c r="H148" s="1510">
        <f t="shared" si="6"/>
        <v>0</v>
      </c>
      <c r="I148" s="1178"/>
      <c r="K148" s="904"/>
      <c r="L148" s="904"/>
    </row>
    <row r="149" spans="1:12" ht="12.75" customHeight="1">
      <c r="A149" s="1505" t="s">
        <v>2815</v>
      </c>
      <c r="B149" s="1506" t="str">
        <f t="shared" si="7"/>
        <v/>
      </c>
      <c r="C149" s="1507" t="str">
        <f t="shared" si="7"/>
        <v>AMAMAW</v>
      </c>
      <c r="D149" s="1507">
        <f t="shared" si="7"/>
        <v>1</v>
      </c>
      <c r="E149" s="1508">
        <v>142</v>
      </c>
      <c r="F149" s="1509"/>
      <c r="G149" s="1510" t="s">
        <v>3253</v>
      </c>
      <c r="H149" s="1510">
        <f t="shared" si="6"/>
        <v>0</v>
      </c>
      <c r="I149" s="1178"/>
      <c r="K149" s="904"/>
      <c r="L149" s="904"/>
    </row>
    <row r="150" spans="1:12" ht="12.75" customHeight="1">
      <c r="A150" s="1505" t="s">
        <v>2816</v>
      </c>
      <c r="B150" s="1506" t="str">
        <f t="shared" si="7"/>
        <v/>
      </c>
      <c r="C150" s="1507" t="str">
        <f t="shared" si="7"/>
        <v>AMAMAW</v>
      </c>
      <c r="D150" s="1507">
        <f t="shared" si="7"/>
        <v>1</v>
      </c>
      <c r="E150" s="1508">
        <v>143</v>
      </c>
      <c r="F150" s="1509"/>
      <c r="G150" s="1510" t="s">
        <v>3253</v>
      </c>
      <c r="H150" s="1510">
        <f t="shared" si="6"/>
        <v>0</v>
      </c>
      <c r="I150" s="1178"/>
      <c r="K150" s="904"/>
      <c r="L150" s="904"/>
    </row>
    <row r="151" spans="1:12" ht="12.75" customHeight="1">
      <c r="A151" s="1505" t="s">
        <v>2817</v>
      </c>
      <c r="B151" s="1506" t="str">
        <f t="shared" si="7"/>
        <v/>
      </c>
      <c r="C151" s="1507" t="str">
        <f t="shared" si="7"/>
        <v>AMAMAW</v>
      </c>
      <c r="D151" s="1507">
        <f t="shared" si="7"/>
        <v>1</v>
      </c>
      <c r="E151" s="1508">
        <v>144</v>
      </c>
      <c r="F151" s="1509"/>
      <c r="G151" s="1510" t="s">
        <v>3253</v>
      </c>
      <c r="H151" s="1510">
        <f t="shared" si="6"/>
        <v>0</v>
      </c>
      <c r="I151" s="1178"/>
      <c r="K151" s="904"/>
      <c r="L151" s="904"/>
    </row>
    <row r="152" spans="1:12" ht="12.75" customHeight="1">
      <c r="A152" s="1505" t="s">
        <v>2818</v>
      </c>
      <c r="B152" s="1506" t="str">
        <f t="shared" si="7"/>
        <v/>
      </c>
      <c r="C152" s="1507" t="str">
        <f t="shared" si="7"/>
        <v>AMAMAW</v>
      </c>
      <c r="D152" s="1507">
        <f t="shared" si="7"/>
        <v>1</v>
      </c>
      <c r="E152" s="1508">
        <v>145</v>
      </c>
      <c r="F152" s="1509"/>
      <c r="G152" s="1510" t="s">
        <v>3253</v>
      </c>
      <c r="H152" s="1510">
        <f t="shared" si="6"/>
        <v>0</v>
      </c>
      <c r="I152" s="1178"/>
      <c r="K152" s="904"/>
      <c r="L152" s="904"/>
    </row>
    <row r="153" spans="1:12" ht="12.75" customHeight="1">
      <c r="A153" s="1505" t="s">
        <v>2819</v>
      </c>
      <c r="B153" s="1506" t="str">
        <f t="shared" si="7"/>
        <v/>
      </c>
      <c r="C153" s="1507" t="str">
        <f t="shared" si="7"/>
        <v>AMAMAW</v>
      </c>
      <c r="D153" s="1507">
        <f t="shared" si="7"/>
        <v>1</v>
      </c>
      <c r="E153" s="1508">
        <v>146</v>
      </c>
      <c r="F153" s="1509"/>
      <c r="G153" s="1510" t="s">
        <v>3253</v>
      </c>
      <c r="H153" s="1510">
        <f t="shared" si="6"/>
        <v>0</v>
      </c>
      <c r="I153" s="1178"/>
      <c r="K153" s="904"/>
      <c r="L153" s="904"/>
    </row>
    <row r="154" spans="1:12" ht="12.75" customHeight="1">
      <c r="A154" s="1505" t="s">
        <v>2820</v>
      </c>
      <c r="B154" s="1506" t="str">
        <f t="shared" si="7"/>
        <v/>
      </c>
      <c r="C154" s="1507" t="str">
        <f t="shared" si="7"/>
        <v>AMAMAW</v>
      </c>
      <c r="D154" s="1507">
        <f t="shared" si="7"/>
        <v>1</v>
      </c>
      <c r="E154" s="1508">
        <v>147</v>
      </c>
      <c r="F154" s="1509"/>
      <c r="G154" s="1510" t="s">
        <v>3253</v>
      </c>
      <c r="H154" s="1510">
        <f t="shared" si="6"/>
        <v>0</v>
      </c>
      <c r="I154" s="1178"/>
      <c r="K154" s="904"/>
      <c r="L154" s="904"/>
    </row>
    <row r="155" spans="1:12" ht="12.75" customHeight="1">
      <c r="A155" s="1505" t="s">
        <v>2821</v>
      </c>
      <c r="B155" s="1506" t="str">
        <f t="shared" si="7"/>
        <v/>
      </c>
      <c r="C155" s="1507" t="str">
        <f t="shared" si="7"/>
        <v>AMAMAW</v>
      </c>
      <c r="D155" s="1507">
        <f t="shared" si="7"/>
        <v>1</v>
      </c>
      <c r="E155" s="1508">
        <v>148</v>
      </c>
      <c r="F155" s="1509"/>
      <c r="G155" s="1510" t="s">
        <v>3253</v>
      </c>
      <c r="H155" s="1510">
        <f t="shared" si="6"/>
        <v>0</v>
      </c>
      <c r="I155" s="1178"/>
      <c r="K155" s="904"/>
      <c r="L155" s="904"/>
    </row>
    <row r="156" spans="1:12" ht="12.75" customHeight="1">
      <c r="A156" s="1505" t="s">
        <v>2822</v>
      </c>
      <c r="B156" s="1506" t="str">
        <f t="shared" ref="B156:D171" si="10">B155</f>
        <v/>
      </c>
      <c r="C156" s="1507" t="str">
        <f t="shared" si="10"/>
        <v>AMAMAW</v>
      </c>
      <c r="D156" s="1507">
        <f t="shared" si="10"/>
        <v>1</v>
      </c>
      <c r="E156" s="1508">
        <v>149</v>
      </c>
      <c r="F156" s="1509"/>
      <c r="G156" s="1510" t="s">
        <v>3253</v>
      </c>
      <c r="H156" s="1510">
        <f t="shared" si="6"/>
        <v>0</v>
      </c>
      <c r="I156" s="1178"/>
      <c r="K156" s="904"/>
      <c r="L156" s="904"/>
    </row>
    <row r="157" spans="1:12" ht="12.75" customHeight="1">
      <c r="A157" s="1505" t="s">
        <v>2823</v>
      </c>
      <c r="B157" s="1506" t="str">
        <f t="shared" si="10"/>
        <v/>
      </c>
      <c r="C157" s="1507" t="str">
        <f t="shared" si="10"/>
        <v>AMAMAW</v>
      </c>
      <c r="D157" s="1507">
        <f t="shared" si="10"/>
        <v>1</v>
      </c>
      <c r="E157" s="1508">
        <v>150</v>
      </c>
      <c r="F157" s="1509"/>
      <c r="G157" s="1510" t="s">
        <v>3253</v>
      </c>
      <c r="H157" s="1510">
        <f t="shared" si="6"/>
        <v>0</v>
      </c>
      <c r="I157" s="1178"/>
      <c r="K157" s="904"/>
      <c r="L157" s="904"/>
    </row>
    <row r="158" spans="1:12" ht="12.75" customHeight="1">
      <c r="A158" s="1505" t="s">
        <v>2824</v>
      </c>
      <c r="B158" s="1506" t="str">
        <f t="shared" si="10"/>
        <v/>
      </c>
      <c r="C158" s="1507" t="str">
        <f t="shared" si="10"/>
        <v>AMAMAW</v>
      </c>
      <c r="D158" s="1507">
        <f t="shared" si="10"/>
        <v>1</v>
      </c>
      <c r="E158" s="1508">
        <v>151</v>
      </c>
      <c r="F158" s="1509"/>
      <c r="G158" s="1510" t="s">
        <v>3253</v>
      </c>
      <c r="H158" s="1510">
        <f t="shared" si="6"/>
        <v>0</v>
      </c>
      <c r="I158" s="1178"/>
      <c r="K158" s="904"/>
      <c r="L158" s="904"/>
    </row>
    <row r="159" spans="1:12" ht="12.75" customHeight="1">
      <c r="A159" s="1505" t="s">
        <v>2825</v>
      </c>
      <c r="B159" s="1506" t="str">
        <f t="shared" si="10"/>
        <v/>
      </c>
      <c r="C159" s="1507" t="str">
        <f t="shared" si="10"/>
        <v>AMAMAW</v>
      </c>
      <c r="D159" s="1507">
        <f t="shared" si="10"/>
        <v>1</v>
      </c>
      <c r="E159" s="1508">
        <v>152</v>
      </c>
      <c r="F159" s="1509"/>
      <c r="G159" s="1510" t="s">
        <v>3253</v>
      </c>
      <c r="H159" s="1510">
        <f t="shared" si="6"/>
        <v>0</v>
      </c>
      <c r="I159" s="1178"/>
      <c r="K159" s="904"/>
      <c r="L159" s="904"/>
    </row>
    <row r="160" spans="1:12" ht="12.75" customHeight="1">
      <c r="A160" s="1505" t="s">
        <v>2826</v>
      </c>
      <c r="B160" s="1506" t="str">
        <f t="shared" si="10"/>
        <v/>
      </c>
      <c r="C160" s="1507" t="str">
        <f t="shared" si="10"/>
        <v>AMAMAW</v>
      </c>
      <c r="D160" s="1507">
        <f t="shared" si="10"/>
        <v>1</v>
      </c>
      <c r="E160" s="1508">
        <v>153</v>
      </c>
      <c r="F160" s="1509"/>
      <c r="G160" s="1510" t="s">
        <v>3253</v>
      </c>
      <c r="H160" s="1510">
        <f t="shared" si="6"/>
        <v>0</v>
      </c>
      <c r="I160" s="1178"/>
      <c r="K160" s="904"/>
      <c r="L160" s="904"/>
    </row>
    <row r="161" spans="1:12" ht="12.75" customHeight="1">
      <c r="A161" s="1505" t="s">
        <v>2827</v>
      </c>
      <c r="B161" s="1506" t="str">
        <f t="shared" si="10"/>
        <v/>
      </c>
      <c r="C161" s="1507" t="str">
        <f t="shared" si="10"/>
        <v>AMAMAW</v>
      </c>
      <c r="D161" s="1507">
        <f t="shared" si="10"/>
        <v>1</v>
      </c>
      <c r="E161" s="1508">
        <v>154</v>
      </c>
      <c r="F161" s="1509"/>
      <c r="G161" s="1510" t="s">
        <v>3253</v>
      </c>
      <c r="H161" s="1510">
        <f t="shared" si="6"/>
        <v>0</v>
      </c>
      <c r="I161" s="1178"/>
      <c r="K161" s="904"/>
      <c r="L161" s="904"/>
    </row>
    <row r="162" spans="1:12" ht="12.75" customHeight="1">
      <c r="A162" s="1505" t="s">
        <v>2828</v>
      </c>
      <c r="B162" s="1506" t="str">
        <f t="shared" si="10"/>
        <v/>
      </c>
      <c r="C162" s="1507" t="str">
        <f t="shared" si="10"/>
        <v>AMAMAW</v>
      </c>
      <c r="D162" s="1507">
        <f t="shared" si="10"/>
        <v>1</v>
      </c>
      <c r="E162" s="1508">
        <v>155</v>
      </c>
      <c r="F162" s="1509"/>
      <c r="G162" s="1510" t="s">
        <v>3253</v>
      </c>
      <c r="H162" s="1510">
        <f t="shared" si="6"/>
        <v>0</v>
      </c>
      <c r="I162" s="1178"/>
      <c r="K162" s="904"/>
      <c r="L162" s="904"/>
    </row>
    <row r="163" spans="1:12" ht="12.75" customHeight="1">
      <c r="A163" s="1505" t="s">
        <v>2829</v>
      </c>
      <c r="B163" s="1506" t="str">
        <f t="shared" si="10"/>
        <v/>
      </c>
      <c r="C163" s="1507" t="str">
        <f t="shared" si="10"/>
        <v>AMAMAW</v>
      </c>
      <c r="D163" s="1507">
        <f t="shared" si="10"/>
        <v>1</v>
      </c>
      <c r="E163" s="1508">
        <v>156</v>
      </c>
      <c r="F163" s="1509"/>
      <c r="G163" s="1510" t="s">
        <v>3253</v>
      </c>
      <c r="H163" s="1510">
        <f t="shared" si="6"/>
        <v>0</v>
      </c>
      <c r="I163" s="1178"/>
      <c r="K163" s="904"/>
      <c r="L163" s="904"/>
    </row>
    <row r="164" spans="1:12" ht="12.75" customHeight="1">
      <c r="A164" s="1505" t="s">
        <v>2830</v>
      </c>
      <c r="B164" s="1506" t="str">
        <f t="shared" si="10"/>
        <v/>
      </c>
      <c r="C164" s="1507" t="str">
        <f t="shared" si="10"/>
        <v>AMAMAW</v>
      </c>
      <c r="D164" s="1507">
        <f t="shared" si="10"/>
        <v>1</v>
      </c>
      <c r="E164" s="1508">
        <v>157</v>
      </c>
      <c r="F164" s="1509"/>
      <c r="G164" s="1510" t="s">
        <v>3253</v>
      </c>
      <c r="H164" s="1510">
        <f t="shared" si="6"/>
        <v>0</v>
      </c>
      <c r="I164" s="1178"/>
      <c r="K164" s="904"/>
      <c r="L164" s="904"/>
    </row>
    <row r="165" spans="1:12" ht="12.75" customHeight="1">
      <c r="A165" s="1505" t="s">
        <v>2831</v>
      </c>
      <c r="B165" s="1506" t="str">
        <f t="shared" si="10"/>
        <v/>
      </c>
      <c r="C165" s="1507" t="str">
        <f t="shared" si="10"/>
        <v>AMAMAW</v>
      </c>
      <c r="D165" s="1507">
        <f t="shared" si="10"/>
        <v>1</v>
      </c>
      <c r="E165" s="1508">
        <v>158</v>
      </c>
      <c r="F165" s="1509"/>
      <c r="G165" s="1510" t="s">
        <v>3253</v>
      </c>
      <c r="H165" s="1510">
        <f t="shared" si="6"/>
        <v>0</v>
      </c>
      <c r="I165" s="1178"/>
      <c r="K165" s="904"/>
      <c r="L165" s="904"/>
    </row>
    <row r="166" spans="1:12" ht="12.75" customHeight="1">
      <c r="A166" s="1505" t="s">
        <v>2832</v>
      </c>
      <c r="B166" s="1506" t="str">
        <f t="shared" si="10"/>
        <v/>
      </c>
      <c r="C166" s="1507" t="str">
        <f t="shared" si="10"/>
        <v>AMAMAW</v>
      </c>
      <c r="D166" s="1507">
        <f t="shared" si="10"/>
        <v>1</v>
      </c>
      <c r="E166" s="1508">
        <v>159</v>
      </c>
      <c r="F166" s="1509"/>
      <c r="G166" s="1510" t="s">
        <v>3253</v>
      </c>
      <c r="H166" s="1510">
        <f t="shared" ref="H166:H216" si="11">H165</f>
        <v>0</v>
      </c>
      <c r="I166" s="1178"/>
      <c r="K166" s="904"/>
      <c r="L166" s="904"/>
    </row>
    <row r="167" spans="1:12" ht="12.75" customHeight="1">
      <c r="A167" s="1505" t="s">
        <v>2833</v>
      </c>
      <c r="B167" s="1512" t="str">
        <f t="shared" si="10"/>
        <v/>
      </c>
      <c r="C167" s="1513" t="str">
        <f t="shared" si="10"/>
        <v>AMAMAW</v>
      </c>
      <c r="D167" s="1513">
        <f t="shared" si="10"/>
        <v>1</v>
      </c>
      <c r="E167" s="1514">
        <v>160</v>
      </c>
      <c r="F167" s="1509"/>
      <c r="G167" s="1510" t="s">
        <v>3253</v>
      </c>
      <c r="H167" s="1515">
        <f t="shared" si="11"/>
        <v>0</v>
      </c>
      <c r="I167" s="1178"/>
      <c r="K167" s="904"/>
      <c r="L167" s="904"/>
    </row>
    <row r="168" spans="1:12" ht="12.75" customHeight="1">
      <c r="A168" s="1505" t="s">
        <v>2834</v>
      </c>
      <c r="B168" s="1512" t="str">
        <f t="shared" si="10"/>
        <v/>
      </c>
      <c r="C168" s="1513" t="str">
        <f t="shared" si="10"/>
        <v>AMAMAW</v>
      </c>
      <c r="D168" s="1513">
        <f t="shared" si="10"/>
        <v>1</v>
      </c>
      <c r="E168" s="1514">
        <v>161</v>
      </c>
      <c r="F168" s="1509"/>
      <c r="G168" s="1510" t="s">
        <v>3253</v>
      </c>
      <c r="H168" s="1515">
        <f t="shared" si="11"/>
        <v>0</v>
      </c>
      <c r="I168" s="1178"/>
      <c r="K168" s="904"/>
      <c r="L168" s="904"/>
    </row>
    <row r="169" spans="1:12" ht="12.75" customHeight="1">
      <c r="A169" s="1505" t="s">
        <v>2835</v>
      </c>
      <c r="B169" s="1512" t="str">
        <f t="shared" si="10"/>
        <v/>
      </c>
      <c r="C169" s="1513" t="str">
        <f t="shared" si="10"/>
        <v>AMAMAW</v>
      </c>
      <c r="D169" s="1513">
        <f t="shared" si="10"/>
        <v>1</v>
      </c>
      <c r="E169" s="1514">
        <v>162</v>
      </c>
      <c r="F169" s="1509"/>
      <c r="G169" s="1510" t="s">
        <v>3253</v>
      </c>
      <c r="H169" s="1515">
        <f t="shared" si="11"/>
        <v>0</v>
      </c>
      <c r="I169" s="1178"/>
      <c r="K169" s="904"/>
      <c r="L169" s="904"/>
    </row>
    <row r="170" spans="1:12" ht="12.75" customHeight="1">
      <c r="A170" s="1505" t="s">
        <v>2836</v>
      </c>
      <c r="B170" s="1512" t="str">
        <f t="shared" si="10"/>
        <v/>
      </c>
      <c r="C170" s="1513" t="str">
        <f t="shared" si="10"/>
        <v>AMAMAW</v>
      </c>
      <c r="D170" s="1513">
        <f t="shared" si="10"/>
        <v>1</v>
      </c>
      <c r="E170" s="1514">
        <v>163</v>
      </c>
      <c r="F170" s="1509"/>
      <c r="G170" s="1510" t="s">
        <v>3253</v>
      </c>
      <c r="H170" s="1515">
        <f t="shared" si="11"/>
        <v>0</v>
      </c>
      <c r="I170" s="1178"/>
      <c r="K170" s="904"/>
      <c r="L170" s="904"/>
    </row>
    <row r="171" spans="1:12" ht="12.75" customHeight="1">
      <c r="A171" s="1505" t="s">
        <v>2837</v>
      </c>
      <c r="B171" s="1506" t="str">
        <f t="shared" si="10"/>
        <v/>
      </c>
      <c r="C171" s="1507" t="str">
        <f t="shared" si="10"/>
        <v>AMAMAW</v>
      </c>
      <c r="D171" s="1507">
        <f t="shared" si="10"/>
        <v>1</v>
      </c>
      <c r="E171" s="1508">
        <v>164</v>
      </c>
      <c r="F171" s="1509"/>
      <c r="G171" s="1510" t="s">
        <v>3253</v>
      </c>
      <c r="H171" s="1510">
        <f t="shared" si="11"/>
        <v>0</v>
      </c>
      <c r="I171" s="1178"/>
      <c r="K171" s="904"/>
      <c r="L171" s="904"/>
    </row>
    <row r="172" spans="1:12" ht="12.75" customHeight="1">
      <c r="A172" s="1505" t="s">
        <v>2838</v>
      </c>
      <c r="B172" s="1512" t="str">
        <f t="shared" ref="B172:D187" si="12">B171</f>
        <v/>
      </c>
      <c r="C172" s="1513" t="str">
        <f t="shared" si="12"/>
        <v>AMAMAW</v>
      </c>
      <c r="D172" s="1513">
        <f t="shared" si="12"/>
        <v>1</v>
      </c>
      <c r="E172" s="1514">
        <v>165</v>
      </c>
      <c r="F172" s="1509"/>
      <c r="G172" s="1510" t="s">
        <v>3253</v>
      </c>
      <c r="H172" s="1515">
        <f t="shared" si="11"/>
        <v>0</v>
      </c>
      <c r="I172" s="1178"/>
      <c r="K172" s="904"/>
      <c r="L172" s="904"/>
    </row>
    <row r="173" spans="1:12" ht="12.75" customHeight="1">
      <c r="A173" s="1505" t="s">
        <v>2839</v>
      </c>
      <c r="B173" s="1512" t="str">
        <f t="shared" si="12"/>
        <v/>
      </c>
      <c r="C173" s="1513" t="str">
        <f t="shared" si="12"/>
        <v>AMAMAW</v>
      </c>
      <c r="D173" s="1513">
        <f t="shared" si="12"/>
        <v>1</v>
      </c>
      <c r="E173" s="1514">
        <v>166</v>
      </c>
      <c r="F173" s="1509"/>
      <c r="G173" s="1510" t="s">
        <v>3253</v>
      </c>
      <c r="H173" s="1515">
        <f t="shared" si="11"/>
        <v>0</v>
      </c>
      <c r="I173" s="1178"/>
      <c r="K173" s="904"/>
      <c r="L173" s="904"/>
    </row>
    <row r="174" spans="1:12" ht="12.75" customHeight="1">
      <c r="A174" s="1505" t="s">
        <v>2840</v>
      </c>
      <c r="B174" s="1512" t="str">
        <f t="shared" si="12"/>
        <v/>
      </c>
      <c r="C174" s="1513" t="str">
        <f t="shared" si="12"/>
        <v>AMAMAW</v>
      </c>
      <c r="D174" s="1513">
        <f t="shared" si="12"/>
        <v>1</v>
      </c>
      <c r="E174" s="1514">
        <v>167</v>
      </c>
      <c r="F174" s="1509"/>
      <c r="G174" s="1510" t="s">
        <v>3253</v>
      </c>
      <c r="H174" s="1515">
        <f t="shared" si="11"/>
        <v>0</v>
      </c>
      <c r="I174" s="1178"/>
      <c r="K174" s="904"/>
      <c r="L174" s="904"/>
    </row>
    <row r="175" spans="1:12" ht="12.75" customHeight="1">
      <c r="A175" s="1505" t="s">
        <v>2841</v>
      </c>
      <c r="B175" s="1512" t="str">
        <f t="shared" si="12"/>
        <v/>
      </c>
      <c r="C175" s="1513" t="str">
        <f t="shared" si="12"/>
        <v>AMAMAW</v>
      </c>
      <c r="D175" s="1513">
        <f t="shared" si="12"/>
        <v>1</v>
      </c>
      <c r="E175" s="1514">
        <v>168</v>
      </c>
      <c r="F175" s="1509"/>
      <c r="G175" s="1510" t="s">
        <v>3253</v>
      </c>
      <c r="H175" s="1515">
        <f t="shared" si="11"/>
        <v>0</v>
      </c>
      <c r="I175" s="1178"/>
      <c r="K175" s="904"/>
      <c r="L175" s="904"/>
    </row>
    <row r="176" spans="1:12" ht="12.75" customHeight="1">
      <c r="A176" s="1505" t="s">
        <v>2842</v>
      </c>
      <c r="B176" s="1506" t="str">
        <f t="shared" si="12"/>
        <v/>
      </c>
      <c r="C176" s="1507" t="str">
        <f t="shared" si="12"/>
        <v>AMAMAW</v>
      </c>
      <c r="D176" s="1507">
        <f t="shared" si="12"/>
        <v>1</v>
      </c>
      <c r="E176" s="1508">
        <v>169</v>
      </c>
      <c r="F176" s="1509"/>
      <c r="G176" s="1510" t="s">
        <v>3253</v>
      </c>
      <c r="H176" s="1510">
        <f t="shared" si="11"/>
        <v>0</v>
      </c>
      <c r="I176" s="1178"/>
      <c r="K176" s="904"/>
      <c r="L176" s="904"/>
    </row>
    <row r="177" spans="1:12" ht="12.75" customHeight="1">
      <c r="A177" s="1505" t="s">
        <v>2843</v>
      </c>
      <c r="B177" s="1512" t="str">
        <f t="shared" si="12"/>
        <v/>
      </c>
      <c r="C177" s="1513" t="str">
        <f t="shared" si="12"/>
        <v>AMAMAW</v>
      </c>
      <c r="D177" s="1513">
        <f t="shared" si="12"/>
        <v>1</v>
      </c>
      <c r="E177" s="1514">
        <v>170</v>
      </c>
      <c r="F177" s="1509"/>
      <c r="G177" s="1510" t="s">
        <v>3253</v>
      </c>
      <c r="H177" s="1515">
        <f t="shared" si="11"/>
        <v>0</v>
      </c>
      <c r="I177" s="1178"/>
      <c r="K177" s="904"/>
      <c r="L177" s="904"/>
    </row>
    <row r="178" spans="1:12" ht="12.75" customHeight="1">
      <c r="A178" s="1505" t="s">
        <v>2844</v>
      </c>
      <c r="B178" s="1512" t="str">
        <f t="shared" si="12"/>
        <v/>
      </c>
      <c r="C178" s="1513" t="str">
        <f t="shared" si="12"/>
        <v>AMAMAW</v>
      </c>
      <c r="D178" s="1513">
        <f t="shared" si="12"/>
        <v>1</v>
      </c>
      <c r="E178" s="1514">
        <v>171</v>
      </c>
      <c r="F178" s="1509"/>
      <c r="G178" s="1510" t="s">
        <v>3253</v>
      </c>
      <c r="H178" s="1515">
        <f t="shared" si="11"/>
        <v>0</v>
      </c>
      <c r="I178" s="1178"/>
      <c r="K178" s="904"/>
      <c r="L178" s="904"/>
    </row>
    <row r="179" spans="1:12" ht="12.75" customHeight="1">
      <c r="A179" s="1505" t="s">
        <v>2845</v>
      </c>
      <c r="B179" s="1512" t="str">
        <f t="shared" si="12"/>
        <v/>
      </c>
      <c r="C179" s="1513" t="str">
        <f t="shared" si="12"/>
        <v>AMAMAW</v>
      </c>
      <c r="D179" s="1513">
        <f t="shared" si="12"/>
        <v>1</v>
      </c>
      <c r="E179" s="1514">
        <v>172</v>
      </c>
      <c r="F179" s="1509"/>
      <c r="G179" s="1510" t="s">
        <v>3253</v>
      </c>
      <c r="H179" s="1515">
        <f t="shared" si="11"/>
        <v>0</v>
      </c>
      <c r="I179" s="1178"/>
      <c r="K179" s="904"/>
      <c r="L179" s="904"/>
    </row>
    <row r="180" spans="1:12" ht="12.75" customHeight="1">
      <c r="A180" s="1505" t="s">
        <v>2846</v>
      </c>
      <c r="B180" s="1512" t="str">
        <f t="shared" si="12"/>
        <v/>
      </c>
      <c r="C180" s="1513" t="str">
        <f t="shared" si="12"/>
        <v>AMAMAW</v>
      </c>
      <c r="D180" s="1513">
        <f t="shared" si="12"/>
        <v>1</v>
      </c>
      <c r="E180" s="1514">
        <v>173</v>
      </c>
      <c r="F180" s="1509"/>
      <c r="G180" s="1510" t="s">
        <v>3253</v>
      </c>
      <c r="H180" s="1515">
        <f t="shared" si="11"/>
        <v>0</v>
      </c>
      <c r="I180" s="1178"/>
      <c r="K180" s="904"/>
      <c r="L180" s="904"/>
    </row>
    <row r="181" spans="1:12" ht="12.75" customHeight="1">
      <c r="A181" s="1505" t="s">
        <v>2847</v>
      </c>
      <c r="B181" s="1512" t="str">
        <f t="shared" si="12"/>
        <v/>
      </c>
      <c r="C181" s="1513" t="str">
        <f t="shared" si="12"/>
        <v>AMAMAW</v>
      </c>
      <c r="D181" s="1513">
        <f t="shared" si="12"/>
        <v>1</v>
      </c>
      <c r="E181" s="1514">
        <v>174</v>
      </c>
      <c r="F181" s="1509"/>
      <c r="G181" s="1510" t="s">
        <v>3253</v>
      </c>
      <c r="H181" s="1510">
        <f t="shared" si="11"/>
        <v>0</v>
      </c>
      <c r="I181" s="1178"/>
      <c r="K181" s="904"/>
      <c r="L181" s="904"/>
    </row>
    <row r="182" spans="1:12" ht="12.75" customHeight="1">
      <c r="A182" s="1505" t="s">
        <v>2848</v>
      </c>
      <c r="B182" s="1512" t="str">
        <f t="shared" si="12"/>
        <v/>
      </c>
      <c r="C182" s="1513" t="str">
        <f t="shared" si="12"/>
        <v>AMAMAW</v>
      </c>
      <c r="D182" s="1513">
        <f t="shared" si="12"/>
        <v>1</v>
      </c>
      <c r="E182" s="1514">
        <v>175</v>
      </c>
      <c r="F182" s="1510">
        <f>Calculations!$AR$1</f>
        <v>0</v>
      </c>
      <c r="G182" s="1516"/>
      <c r="H182" s="1515">
        <f t="shared" si="11"/>
        <v>0</v>
      </c>
      <c r="I182" s="1178"/>
      <c r="K182" s="904"/>
      <c r="L182" s="904"/>
    </row>
    <row r="183" spans="1:12" ht="12.75" customHeight="1">
      <c r="A183" s="1505" t="s">
        <v>2849</v>
      </c>
      <c r="B183" s="1512" t="str">
        <f t="shared" si="12"/>
        <v/>
      </c>
      <c r="C183" s="1513" t="str">
        <f t="shared" si="12"/>
        <v>AMAMAW</v>
      </c>
      <c r="D183" s="1513">
        <f t="shared" si="12"/>
        <v>1</v>
      </c>
      <c r="E183" s="1514">
        <v>176</v>
      </c>
      <c r="F183" s="1509"/>
      <c r="G183" s="1516">
        <f>IF('Field Rutting'!$E19="",0,'Field Rutting'!$E19)</f>
        <v>0</v>
      </c>
      <c r="H183" s="1515">
        <f t="shared" si="11"/>
        <v>0</v>
      </c>
      <c r="I183" s="1178"/>
      <c r="K183" s="904"/>
      <c r="L183" s="904"/>
    </row>
    <row r="184" spans="1:12" ht="12.75" customHeight="1">
      <c r="A184" s="1505" t="s">
        <v>2850</v>
      </c>
      <c r="B184" s="1512" t="str">
        <f t="shared" si="12"/>
        <v/>
      </c>
      <c r="C184" s="1513" t="str">
        <f t="shared" si="12"/>
        <v>AMAMAW</v>
      </c>
      <c r="D184" s="1513">
        <f t="shared" si="12"/>
        <v>1</v>
      </c>
      <c r="E184" s="1514">
        <v>177</v>
      </c>
      <c r="F184" s="1509"/>
      <c r="G184" s="1516">
        <f>IF('Field Rutting'!$E20="",0,'Field Rutting'!$E20)</f>
        <v>0</v>
      </c>
      <c r="H184" s="1515">
        <f t="shared" si="11"/>
        <v>0</v>
      </c>
      <c r="I184" s="1178"/>
      <c r="K184" s="904"/>
      <c r="L184" s="904"/>
    </row>
    <row r="185" spans="1:12" ht="12.75" customHeight="1">
      <c r="A185" s="1505" t="s">
        <v>2851</v>
      </c>
      <c r="B185" s="1512" t="str">
        <f t="shared" si="12"/>
        <v/>
      </c>
      <c r="C185" s="1513" t="str">
        <f t="shared" si="12"/>
        <v>AMAMAW</v>
      </c>
      <c r="D185" s="1513">
        <f t="shared" si="12"/>
        <v>1</v>
      </c>
      <c r="E185" s="1514">
        <v>178</v>
      </c>
      <c r="F185" s="1509"/>
      <c r="G185" s="1516">
        <f>IF('Field Rutting'!$E21="",0,'Field Rutting'!$E21)</f>
        <v>0</v>
      </c>
      <c r="H185" s="1515">
        <f t="shared" si="11"/>
        <v>0</v>
      </c>
      <c r="I185" s="1178"/>
      <c r="K185" s="904"/>
      <c r="L185" s="904"/>
    </row>
    <row r="186" spans="1:12" ht="12.75" customHeight="1">
      <c r="A186" s="1505" t="s">
        <v>2852</v>
      </c>
      <c r="B186" s="1512" t="str">
        <f t="shared" si="12"/>
        <v/>
      </c>
      <c r="C186" s="1513" t="str">
        <f t="shared" si="12"/>
        <v>AMAMAW</v>
      </c>
      <c r="D186" s="1513">
        <f t="shared" si="12"/>
        <v>1</v>
      </c>
      <c r="E186" s="1514">
        <v>179</v>
      </c>
      <c r="F186" s="1509"/>
      <c r="G186" s="1516">
        <f>IF('Field Rutting'!$E22="",0,'Field Rutting'!$E22)</f>
        <v>0</v>
      </c>
      <c r="H186" s="1515">
        <f t="shared" si="11"/>
        <v>0</v>
      </c>
      <c r="I186" s="1178"/>
      <c r="K186" s="904"/>
      <c r="L186" s="904"/>
    </row>
    <row r="187" spans="1:12" ht="12.75" customHeight="1">
      <c r="A187" s="1505" t="s">
        <v>2853</v>
      </c>
      <c r="B187" s="1512" t="str">
        <f t="shared" si="12"/>
        <v/>
      </c>
      <c r="C187" s="1513" t="str">
        <f t="shared" si="12"/>
        <v>AMAMAW</v>
      </c>
      <c r="D187" s="1513">
        <f t="shared" si="12"/>
        <v>1</v>
      </c>
      <c r="E187" s="1514">
        <v>180</v>
      </c>
      <c r="F187" s="1509"/>
      <c r="G187" s="1516">
        <f>IF('Field Rutting'!$E23="",0,'Field Rutting'!$E23)</f>
        <v>0</v>
      </c>
      <c r="H187" s="1515">
        <f t="shared" si="11"/>
        <v>0</v>
      </c>
      <c r="I187" s="1178"/>
      <c r="K187" s="904"/>
      <c r="L187" s="904"/>
    </row>
    <row r="188" spans="1:12" ht="12.75" customHeight="1">
      <c r="A188" s="1505" t="s">
        <v>2854</v>
      </c>
      <c r="B188" s="1512" t="str">
        <f t="shared" ref="B188:D203" si="13">B187</f>
        <v/>
      </c>
      <c r="C188" s="1513" t="str">
        <f t="shared" si="13"/>
        <v>AMAMAW</v>
      </c>
      <c r="D188" s="1513">
        <f t="shared" si="13"/>
        <v>1</v>
      </c>
      <c r="E188" s="1514">
        <v>181</v>
      </c>
      <c r="F188" s="1509"/>
      <c r="G188" s="1516">
        <f>IF('Field Rutting'!$E24="",0,'Field Rutting'!$E24)</f>
        <v>0</v>
      </c>
      <c r="H188" s="1515">
        <f t="shared" si="11"/>
        <v>0</v>
      </c>
      <c r="I188" s="1178"/>
      <c r="K188" s="904"/>
      <c r="L188" s="904"/>
    </row>
    <row r="189" spans="1:12" ht="12.75" customHeight="1">
      <c r="A189" s="1505" t="s">
        <v>2855</v>
      </c>
      <c r="B189" s="1512" t="str">
        <f t="shared" si="13"/>
        <v/>
      </c>
      <c r="C189" s="1513" t="str">
        <f t="shared" si="13"/>
        <v>AMAMAW</v>
      </c>
      <c r="D189" s="1513">
        <f t="shared" si="13"/>
        <v>1</v>
      </c>
      <c r="E189" s="1514">
        <v>182</v>
      </c>
      <c r="F189" s="1509"/>
      <c r="G189" s="1516">
        <f>IF('Field Rutting'!$M19="",0,'Field Rutting'!$M19)</f>
        <v>0</v>
      </c>
      <c r="H189" s="1515">
        <f t="shared" si="11"/>
        <v>0</v>
      </c>
      <c r="I189" s="1178"/>
      <c r="K189" s="904"/>
      <c r="L189" s="904"/>
    </row>
    <row r="190" spans="1:12" ht="12.75" customHeight="1">
      <c r="A190" s="1505" t="s">
        <v>2856</v>
      </c>
      <c r="B190" s="1512" t="str">
        <f t="shared" si="13"/>
        <v/>
      </c>
      <c r="C190" s="1513" t="str">
        <f t="shared" si="13"/>
        <v>AMAMAW</v>
      </c>
      <c r="D190" s="1513">
        <f t="shared" si="13"/>
        <v>1</v>
      </c>
      <c r="E190" s="1514">
        <v>183</v>
      </c>
      <c r="F190" s="1509"/>
      <c r="G190" s="1516">
        <f>IF('Field Rutting'!$M20="",0,'Field Rutting'!$M20)</f>
        <v>0</v>
      </c>
      <c r="H190" s="1515">
        <f t="shared" si="11"/>
        <v>0</v>
      </c>
      <c r="I190" s="1178"/>
      <c r="K190" s="904"/>
      <c r="L190" s="904"/>
    </row>
    <row r="191" spans="1:12" ht="12.75" customHeight="1">
      <c r="A191" s="1505" t="s">
        <v>2857</v>
      </c>
      <c r="B191" s="1512" t="str">
        <f t="shared" si="13"/>
        <v/>
      </c>
      <c r="C191" s="1513" t="str">
        <f t="shared" si="13"/>
        <v>AMAMAW</v>
      </c>
      <c r="D191" s="1513">
        <f t="shared" si="13"/>
        <v>1</v>
      </c>
      <c r="E191" s="1514">
        <v>184</v>
      </c>
      <c r="F191" s="1509"/>
      <c r="G191" s="1516">
        <f>IF('Field Rutting'!$M21="",0,'Field Rutting'!$M21)</f>
        <v>0</v>
      </c>
      <c r="H191" s="1515">
        <f t="shared" si="11"/>
        <v>0</v>
      </c>
      <c r="I191" s="1178"/>
      <c r="K191" s="904"/>
      <c r="L191" s="904"/>
    </row>
    <row r="192" spans="1:12" ht="12.75" customHeight="1">
      <c r="A192" s="1505" t="s">
        <v>2858</v>
      </c>
      <c r="B192" s="1512" t="str">
        <f t="shared" si="13"/>
        <v/>
      </c>
      <c r="C192" s="1513" t="str">
        <f t="shared" si="13"/>
        <v>AMAMAW</v>
      </c>
      <c r="D192" s="1513">
        <f t="shared" si="13"/>
        <v>1</v>
      </c>
      <c r="E192" s="1514">
        <v>185</v>
      </c>
      <c r="F192" s="1509"/>
      <c r="G192" s="1516">
        <f>IF('Field Rutting'!$M22="",0,'Field Rutting'!$M22)</f>
        <v>0</v>
      </c>
      <c r="H192" s="1515">
        <f t="shared" si="11"/>
        <v>0</v>
      </c>
      <c r="I192" s="1178"/>
      <c r="K192" s="904"/>
      <c r="L192" s="904"/>
    </row>
    <row r="193" spans="1:13" ht="12.75" customHeight="1">
      <c r="A193" s="1505" t="s">
        <v>2859</v>
      </c>
      <c r="B193" s="1512" t="str">
        <f t="shared" si="13"/>
        <v/>
      </c>
      <c r="C193" s="1513" t="str">
        <f t="shared" si="13"/>
        <v>AMAMAW</v>
      </c>
      <c r="D193" s="1513">
        <f t="shared" si="13"/>
        <v>1</v>
      </c>
      <c r="E193" s="1514">
        <v>186</v>
      </c>
      <c r="F193" s="1509"/>
      <c r="G193" s="1516">
        <f>IF('Field Rutting'!$M23="",0,'Field Rutting'!$M23)</f>
        <v>0</v>
      </c>
      <c r="H193" s="1515">
        <f t="shared" si="11"/>
        <v>0</v>
      </c>
      <c r="I193" s="1178"/>
      <c r="K193" s="904"/>
      <c r="L193" s="904"/>
    </row>
    <row r="194" spans="1:13" ht="12.75" customHeight="1">
      <c r="A194" s="1505" t="s">
        <v>2860</v>
      </c>
      <c r="B194" s="1512" t="str">
        <f t="shared" si="13"/>
        <v/>
      </c>
      <c r="C194" s="1513" t="str">
        <f t="shared" si="13"/>
        <v>AMAMAW</v>
      </c>
      <c r="D194" s="1513">
        <f t="shared" si="13"/>
        <v>1</v>
      </c>
      <c r="E194" s="1514">
        <v>187</v>
      </c>
      <c r="F194" s="1509"/>
      <c r="G194" s="1516">
        <f>IF('Field Rutting'!$M24="",0,'Field Rutting'!$M24)</f>
        <v>0</v>
      </c>
      <c r="H194" s="1515">
        <f t="shared" si="11"/>
        <v>0</v>
      </c>
      <c r="I194" s="1178"/>
      <c r="K194" s="904"/>
      <c r="L194" s="904"/>
    </row>
    <row r="195" spans="1:13" ht="12.75" customHeight="1">
      <c r="A195" s="1505" t="s">
        <v>2861</v>
      </c>
      <c r="B195" s="1512" t="str">
        <f t="shared" si="13"/>
        <v/>
      </c>
      <c r="C195" s="1513" t="str">
        <f t="shared" si="13"/>
        <v>AMAMAW</v>
      </c>
      <c r="D195" s="1513">
        <f t="shared" si="13"/>
        <v>1</v>
      </c>
      <c r="E195" s="1514">
        <v>188</v>
      </c>
      <c r="F195" s="1509"/>
      <c r="G195" s="1516"/>
      <c r="H195" s="1515">
        <f t="shared" si="11"/>
        <v>0</v>
      </c>
      <c r="I195" s="1178"/>
      <c r="K195" s="904"/>
      <c r="L195" s="904"/>
    </row>
    <row r="196" spans="1:13" ht="12.75" customHeight="1">
      <c r="A196" s="1505" t="s">
        <v>2862</v>
      </c>
      <c r="B196" s="1512" t="str">
        <f t="shared" si="13"/>
        <v/>
      </c>
      <c r="C196" s="1513" t="str">
        <f t="shared" si="13"/>
        <v>AMAMAW</v>
      </c>
      <c r="D196" s="1513">
        <f t="shared" si="13"/>
        <v>1</v>
      </c>
      <c r="E196" s="1514">
        <v>189</v>
      </c>
      <c r="F196" s="1509"/>
      <c r="G196" s="1510"/>
      <c r="H196" s="1515">
        <f t="shared" si="11"/>
        <v>0</v>
      </c>
      <c r="I196" s="1178"/>
      <c r="K196" s="904"/>
      <c r="L196" s="904"/>
    </row>
    <row r="197" spans="1:13" ht="12.75" customHeight="1">
      <c r="A197" s="1505" t="s">
        <v>2863</v>
      </c>
      <c r="B197" s="1512" t="str">
        <f t="shared" si="13"/>
        <v/>
      </c>
      <c r="C197" s="1513" t="str">
        <f t="shared" si="13"/>
        <v>AMAMAW</v>
      </c>
      <c r="D197" s="1513">
        <f t="shared" si="13"/>
        <v>1</v>
      </c>
      <c r="E197" s="1514">
        <v>190</v>
      </c>
      <c r="F197" s="1509"/>
      <c r="G197" s="1510"/>
      <c r="H197" s="1515">
        <f t="shared" si="11"/>
        <v>0</v>
      </c>
      <c r="I197" s="1178"/>
      <c r="K197" s="904"/>
      <c r="L197" s="904"/>
    </row>
    <row r="198" spans="1:13" ht="12.75" customHeight="1">
      <c r="A198" s="1505" t="s">
        <v>2864</v>
      </c>
      <c r="B198" s="1512" t="str">
        <f t="shared" si="13"/>
        <v/>
      </c>
      <c r="C198" s="1513" t="str">
        <f t="shared" si="13"/>
        <v>AMAMAW</v>
      </c>
      <c r="D198" s="1513">
        <f t="shared" si="13"/>
        <v>1</v>
      </c>
      <c r="E198" s="1514">
        <v>191</v>
      </c>
      <c r="F198" s="1509"/>
      <c r="G198" s="1510"/>
      <c r="H198" s="1515">
        <f t="shared" si="11"/>
        <v>0</v>
      </c>
      <c r="I198" s="1178"/>
      <c r="K198" s="904"/>
      <c r="L198" s="904"/>
    </row>
    <row r="199" spans="1:13" ht="12.75" customHeight="1">
      <c r="A199" s="1505" t="s">
        <v>2865</v>
      </c>
      <c r="B199" s="1512" t="str">
        <f t="shared" si="13"/>
        <v/>
      </c>
      <c r="C199" s="1513" t="str">
        <f t="shared" si="13"/>
        <v>AMAMAW</v>
      </c>
      <c r="D199" s="1513">
        <f t="shared" si="13"/>
        <v>1</v>
      </c>
      <c r="E199" s="1514">
        <v>192</v>
      </c>
      <c r="F199" s="1509"/>
      <c r="G199" s="1510"/>
      <c r="H199" s="1515">
        <f t="shared" si="11"/>
        <v>0</v>
      </c>
      <c r="I199" s="1178"/>
      <c r="K199" s="904"/>
      <c r="L199" s="904"/>
    </row>
    <row r="200" spans="1:13" ht="12.75" customHeight="1">
      <c r="A200" s="1505" t="s">
        <v>2866</v>
      </c>
      <c r="B200" s="1506" t="str">
        <f t="shared" si="13"/>
        <v/>
      </c>
      <c r="C200" s="1507" t="str">
        <f t="shared" si="13"/>
        <v>AMAMAW</v>
      </c>
      <c r="D200" s="1507">
        <f t="shared" si="13"/>
        <v>1</v>
      </c>
      <c r="E200" s="1508">
        <v>193</v>
      </c>
      <c r="F200" s="1509"/>
      <c r="G200" s="1510"/>
      <c r="H200" s="1510">
        <f t="shared" si="11"/>
        <v>0</v>
      </c>
      <c r="I200" s="1178"/>
      <c r="K200" s="904"/>
      <c r="L200" s="904"/>
    </row>
    <row r="201" spans="1:13" ht="12.75" customHeight="1">
      <c r="A201" s="1505" t="s">
        <v>3255</v>
      </c>
      <c r="B201" s="1512" t="str">
        <f t="shared" si="13"/>
        <v/>
      </c>
      <c r="C201" s="1513" t="str">
        <f t="shared" si="13"/>
        <v>AMAMAW</v>
      </c>
      <c r="D201" s="1513">
        <f t="shared" si="13"/>
        <v>1</v>
      </c>
      <c r="E201" s="1514">
        <v>194</v>
      </c>
      <c r="F201" s="1509"/>
      <c r="G201" s="1510"/>
      <c r="H201" s="1515">
        <f t="shared" si="11"/>
        <v>0</v>
      </c>
      <c r="I201" s="1517"/>
      <c r="K201" s="904"/>
      <c r="L201" s="904"/>
      <c r="M201" s="904"/>
    </row>
    <row r="202" spans="1:13" ht="12.75" customHeight="1">
      <c r="A202" s="1505" t="s">
        <v>3256</v>
      </c>
      <c r="B202" s="1512" t="str">
        <f t="shared" si="13"/>
        <v/>
      </c>
      <c r="C202" s="1513" t="str">
        <f t="shared" si="13"/>
        <v>AMAMAW</v>
      </c>
      <c r="D202" s="1513">
        <f t="shared" si="13"/>
        <v>1</v>
      </c>
      <c r="E202" s="1514">
        <v>195</v>
      </c>
      <c r="F202" s="1509"/>
      <c r="G202" s="1515" t="s">
        <v>3253</v>
      </c>
      <c r="H202" s="1515">
        <f t="shared" si="11"/>
        <v>0</v>
      </c>
      <c r="I202" s="1517"/>
      <c r="K202" s="904"/>
      <c r="L202" s="904"/>
      <c r="M202" s="904"/>
    </row>
    <row r="203" spans="1:13" ht="12.75" customHeight="1">
      <c r="A203" s="1505" t="s">
        <v>3257</v>
      </c>
      <c r="B203" s="1512" t="str">
        <f t="shared" si="13"/>
        <v/>
      </c>
      <c r="C203" s="1513" t="str">
        <f t="shared" si="13"/>
        <v>AMAMAW</v>
      </c>
      <c r="D203" s="1513">
        <f t="shared" si="13"/>
        <v>1</v>
      </c>
      <c r="E203" s="1514">
        <v>196</v>
      </c>
      <c r="F203" s="1509"/>
      <c r="G203" s="1515" t="s">
        <v>3253</v>
      </c>
      <c r="H203" s="1515">
        <f t="shared" si="11"/>
        <v>0</v>
      </c>
      <c r="I203" s="1517"/>
      <c r="K203" s="904"/>
      <c r="L203" s="904"/>
      <c r="M203" s="904"/>
    </row>
    <row r="204" spans="1:13" ht="12.75" customHeight="1">
      <c r="A204" s="1505" t="s">
        <v>3258</v>
      </c>
      <c r="B204" s="1512" t="str">
        <f t="shared" ref="B204:D216" si="14">B203</f>
        <v/>
      </c>
      <c r="C204" s="1513" t="str">
        <f t="shared" si="14"/>
        <v>AMAMAW</v>
      </c>
      <c r="D204" s="1513">
        <f t="shared" si="14"/>
        <v>1</v>
      </c>
      <c r="E204" s="1514">
        <v>197</v>
      </c>
      <c r="F204" s="1509"/>
      <c r="G204" s="1515" t="s">
        <v>3253</v>
      </c>
      <c r="H204" s="1515">
        <f t="shared" si="11"/>
        <v>0</v>
      </c>
      <c r="I204" s="1517"/>
      <c r="K204" s="904"/>
      <c r="L204" s="904"/>
      <c r="M204" s="904"/>
    </row>
    <row r="205" spans="1:13" ht="12.75" customHeight="1">
      <c r="A205" s="1505" t="s">
        <v>3259</v>
      </c>
      <c r="B205" s="1512" t="str">
        <f t="shared" si="14"/>
        <v/>
      </c>
      <c r="C205" s="1513" t="str">
        <f t="shared" si="14"/>
        <v>AMAMAW</v>
      </c>
      <c r="D205" s="1513">
        <f t="shared" si="14"/>
        <v>1</v>
      </c>
      <c r="E205" s="1514">
        <v>198</v>
      </c>
      <c r="F205" s="1509"/>
      <c r="G205" s="1515" t="s">
        <v>3253</v>
      </c>
      <c r="H205" s="1515">
        <f t="shared" si="11"/>
        <v>0</v>
      </c>
      <c r="I205" s="1517"/>
      <c r="K205" s="904"/>
      <c r="L205" s="904"/>
      <c r="M205" s="904"/>
    </row>
    <row r="206" spans="1:13" ht="12.75" customHeight="1">
      <c r="A206" s="1505" t="s">
        <v>3260</v>
      </c>
      <c r="B206" s="1512" t="str">
        <f t="shared" si="14"/>
        <v/>
      </c>
      <c r="C206" s="1513" t="str">
        <f t="shared" si="14"/>
        <v>AMAMAW</v>
      </c>
      <c r="D206" s="1513">
        <f t="shared" si="14"/>
        <v>1</v>
      </c>
      <c r="E206" s="1514">
        <v>199</v>
      </c>
      <c r="F206" s="1509"/>
      <c r="G206" s="1515" t="s">
        <v>3253</v>
      </c>
      <c r="H206" s="1515">
        <f t="shared" si="11"/>
        <v>0</v>
      </c>
      <c r="I206" s="1517"/>
      <c r="K206" s="904"/>
      <c r="L206" s="904"/>
      <c r="M206" s="904"/>
    </row>
    <row r="207" spans="1:13" ht="12.75" customHeight="1">
      <c r="A207" s="1505" t="s">
        <v>3261</v>
      </c>
      <c r="B207" s="1512" t="str">
        <f t="shared" si="14"/>
        <v/>
      </c>
      <c r="C207" s="1513" t="str">
        <f t="shared" si="14"/>
        <v>AMAMAW</v>
      </c>
      <c r="D207" s="1513">
        <f t="shared" si="14"/>
        <v>1</v>
      </c>
      <c r="E207" s="1514">
        <v>200</v>
      </c>
      <c r="F207" s="1509"/>
      <c r="G207" s="1515" t="s">
        <v>3253</v>
      </c>
      <c r="H207" s="1515">
        <f t="shared" si="11"/>
        <v>0</v>
      </c>
      <c r="I207" s="1517"/>
      <c r="K207" s="904"/>
      <c r="L207" s="904"/>
      <c r="M207" s="904"/>
    </row>
    <row r="208" spans="1:13" ht="12.75" customHeight="1">
      <c r="A208" s="1505" t="s">
        <v>3262</v>
      </c>
      <c r="B208" s="1512" t="str">
        <f t="shared" si="14"/>
        <v/>
      </c>
      <c r="C208" s="1513" t="str">
        <f t="shared" si="14"/>
        <v>AMAMAW</v>
      </c>
      <c r="D208" s="1513">
        <f t="shared" si="14"/>
        <v>1</v>
      </c>
      <c r="E208" s="1514">
        <v>201</v>
      </c>
      <c r="F208" s="1509"/>
      <c r="G208" s="1515" t="s">
        <v>3253</v>
      </c>
      <c r="H208" s="1515">
        <f t="shared" si="11"/>
        <v>0</v>
      </c>
      <c r="I208" s="1517"/>
      <c r="K208" s="904"/>
      <c r="L208" s="904"/>
      <c r="M208" s="904"/>
    </row>
    <row r="209" spans="1:13" ht="12.75" customHeight="1">
      <c r="A209" s="1505" t="s">
        <v>3263</v>
      </c>
      <c r="B209" s="1512" t="str">
        <f t="shared" si="14"/>
        <v/>
      </c>
      <c r="C209" s="1513" t="str">
        <f t="shared" si="14"/>
        <v>AMAMAW</v>
      </c>
      <c r="D209" s="1513">
        <f t="shared" si="14"/>
        <v>1</v>
      </c>
      <c r="E209" s="1514">
        <v>202</v>
      </c>
      <c r="F209" s="1509"/>
      <c r="G209" s="1515" t="s">
        <v>3253</v>
      </c>
      <c r="H209" s="1515">
        <f t="shared" si="11"/>
        <v>0</v>
      </c>
      <c r="I209" s="1517"/>
      <c r="K209" s="904"/>
      <c r="L209" s="904"/>
      <c r="M209" s="904"/>
    </row>
    <row r="210" spans="1:13" ht="12.75" customHeight="1">
      <c r="A210" s="1505" t="s">
        <v>3264</v>
      </c>
      <c r="B210" s="1512" t="str">
        <f t="shared" si="14"/>
        <v/>
      </c>
      <c r="C210" s="1513" t="str">
        <f t="shared" si="14"/>
        <v>AMAMAW</v>
      </c>
      <c r="D210" s="1513">
        <f t="shared" si="14"/>
        <v>1</v>
      </c>
      <c r="E210" s="1514">
        <v>203</v>
      </c>
      <c r="F210" s="1509"/>
      <c r="G210" s="1515" t="s">
        <v>3253</v>
      </c>
      <c r="H210" s="1515">
        <f t="shared" si="11"/>
        <v>0</v>
      </c>
      <c r="I210" s="1517"/>
      <c r="K210" s="904"/>
      <c r="L210" s="904"/>
      <c r="M210" s="904"/>
    </row>
    <row r="211" spans="1:13" ht="12.75" customHeight="1">
      <c r="A211" s="1505" t="s">
        <v>3265</v>
      </c>
      <c r="B211" s="1512" t="str">
        <f t="shared" si="14"/>
        <v/>
      </c>
      <c r="C211" s="1513" t="str">
        <f t="shared" si="14"/>
        <v>AMAMAW</v>
      </c>
      <c r="D211" s="1513">
        <f t="shared" si="14"/>
        <v>1</v>
      </c>
      <c r="E211" s="1514">
        <v>204</v>
      </c>
      <c r="F211" s="1509"/>
      <c r="G211" s="1515" t="s">
        <v>3253</v>
      </c>
      <c r="H211" s="1515">
        <f t="shared" si="11"/>
        <v>0</v>
      </c>
      <c r="I211" s="1517"/>
      <c r="K211" s="904"/>
      <c r="L211" s="904"/>
      <c r="M211" s="904"/>
    </row>
    <row r="212" spans="1:13" ht="12.75" customHeight="1">
      <c r="A212" s="1505" t="s">
        <v>3266</v>
      </c>
      <c r="B212" s="1512" t="str">
        <f t="shared" si="14"/>
        <v/>
      </c>
      <c r="C212" s="1513" t="str">
        <f t="shared" si="14"/>
        <v>AMAMAW</v>
      </c>
      <c r="D212" s="1513">
        <f t="shared" si="14"/>
        <v>1</v>
      </c>
      <c r="E212" s="1514">
        <v>205</v>
      </c>
      <c r="F212" s="1509"/>
      <c r="G212" s="1515" t="s">
        <v>3253</v>
      </c>
      <c r="H212" s="1515">
        <f t="shared" si="11"/>
        <v>0</v>
      </c>
      <c r="I212" s="1517"/>
      <c r="K212" s="904"/>
      <c r="L212" s="904"/>
      <c r="M212" s="904"/>
    </row>
    <row r="213" spans="1:13" ht="12.75" customHeight="1">
      <c r="A213" s="1505" t="s">
        <v>3267</v>
      </c>
      <c r="B213" s="1512" t="str">
        <f t="shared" si="14"/>
        <v/>
      </c>
      <c r="C213" s="1513" t="str">
        <f t="shared" si="14"/>
        <v>AMAMAW</v>
      </c>
      <c r="D213" s="1513">
        <f t="shared" si="14"/>
        <v>1</v>
      </c>
      <c r="E213" s="1514">
        <v>206</v>
      </c>
      <c r="F213" s="1509"/>
      <c r="G213" s="1515" t="s">
        <v>3253</v>
      </c>
      <c r="H213" s="1515">
        <f t="shared" si="11"/>
        <v>0</v>
      </c>
      <c r="I213" s="1517"/>
      <c r="K213" s="904"/>
      <c r="L213" s="904"/>
      <c r="M213" s="904"/>
    </row>
    <row r="214" spans="1:13" ht="12.75" customHeight="1">
      <c r="A214" s="1505" t="s">
        <v>3268</v>
      </c>
      <c r="B214" s="1512" t="str">
        <f t="shared" si="14"/>
        <v/>
      </c>
      <c r="C214" s="1513" t="str">
        <f t="shared" si="14"/>
        <v>AMAMAW</v>
      </c>
      <c r="D214" s="1513">
        <f t="shared" si="14"/>
        <v>1</v>
      </c>
      <c r="E214" s="1514">
        <v>207</v>
      </c>
      <c r="F214" s="1509"/>
      <c r="G214" s="1515" t="s">
        <v>3253</v>
      </c>
      <c r="H214" s="1515">
        <f t="shared" si="11"/>
        <v>0</v>
      </c>
      <c r="I214" s="1517"/>
      <c r="K214" s="904"/>
      <c r="L214" s="904"/>
      <c r="M214" s="904"/>
    </row>
    <row r="215" spans="1:13" ht="12.75" customHeight="1">
      <c r="A215" s="1505" t="s">
        <v>3269</v>
      </c>
      <c r="B215" s="1512" t="str">
        <f t="shared" si="14"/>
        <v/>
      </c>
      <c r="C215" s="1513" t="str">
        <f t="shared" si="14"/>
        <v>AMAMAW</v>
      </c>
      <c r="D215" s="1513">
        <f t="shared" si="14"/>
        <v>1</v>
      </c>
      <c r="E215" s="1514">
        <v>208</v>
      </c>
      <c r="F215" s="1509"/>
      <c r="G215" s="1515" t="s">
        <v>3253</v>
      </c>
      <c r="H215" s="1515">
        <f t="shared" si="11"/>
        <v>0</v>
      </c>
      <c r="I215" s="1517"/>
      <c r="K215" s="904"/>
      <c r="L215" s="904"/>
      <c r="M215" s="904"/>
    </row>
    <row r="216" spans="1:13" ht="12.75" customHeight="1" thickBot="1">
      <c r="A216" s="1505" t="s">
        <v>3270</v>
      </c>
      <c r="B216" s="1506" t="str">
        <f t="shared" si="14"/>
        <v/>
      </c>
      <c r="C216" s="1507" t="str">
        <f t="shared" si="14"/>
        <v>AMAMAW</v>
      </c>
      <c r="D216" s="1507">
        <f t="shared" si="14"/>
        <v>1</v>
      </c>
      <c r="E216" s="1508">
        <v>209</v>
      </c>
      <c r="F216" s="1509"/>
      <c r="G216" s="1515" t="s">
        <v>3253</v>
      </c>
      <c r="H216" s="1510">
        <f t="shared" si="11"/>
        <v>0</v>
      </c>
      <c r="I216" s="1518"/>
      <c r="K216" s="904"/>
      <c r="L216" s="904"/>
      <c r="M216" s="904"/>
    </row>
    <row r="217" spans="1:13" ht="13.5" thickBot="1">
      <c r="A217" s="956" t="s">
        <v>1341</v>
      </c>
      <c r="B217" s="1140" t="str">
        <f>B98</f>
        <v/>
      </c>
      <c r="C217" s="823" t="s">
        <v>1553</v>
      </c>
      <c r="D217" s="823">
        <v>1</v>
      </c>
      <c r="E217" s="1039" t="s">
        <v>341</v>
      </c>
      <c r="F217" s="823" t="s">
        <v>1637</v>
      </c>
      <c r="G217" s="1004">
        <v>0</v>
      </c>
      <c r="H217" s="1222">
        <f>H122</f>
        <v>0</v>
      </c>
      <c r="I217" s="1178"/>
      <c r="K217" s="957" t="s">
        <v>1341</v>
      </c>
    </row>
    <row r="218" spans="1:13">
      <c r="A218" s="956" t="s">
        <v>1342</v>
      </c>
      <c r="B218" s="1190" t="str">
        <f>t_smpl!B9</f>
        <v/>
      </c>
      <c r="C218" s="1000" t="s">
        <v>1553</v>
      </c>
      <c r="D218" s="1000">
        <v>1</v>
      </c>
      <c r="E218" s="1007">
        <v>1</v>
      </c>
      <c r="F218" s="999" t="s">
        <v>1637</v>
      </c>
      <c r="G218" s="1002">
        <v>0</v>
      </c>
      <c r="H218" s="1006">
        <f t="shared" si="3"/>
        <v>0</v>
      </c>
      <c r="I218" s="1191"/>
    </row>
    <row r="219" spans="1:13">
      <c r="A219" s="956" t="s">
        <v>1547</v>
      </c>
      <c r="B219" s="1140" t="str">
        <f t="shared" ref="B219:B225" si="15">B218</f>
        <v/>
      </c>
      <c r="C219" s="823" t="s">
        <v>1553</v>
      </c>
      <c r="D219" s="823">
        <v>1</v>
      </c>
      <c r="E219" s="1001">
        <v>2</v>
      </c>
      <c r="F219" s="824" t="str">
        <f>IF(t_smpl!Z9="COMP","ISPC","OSPC")</f>
        <v>ISPC</v>
      </c>
      <c r="G219" s="1003">
        <v>0</v>
      </c>
      <c r="H219" s="989">
        <f t="shared" si="3"/>
        <v>0</v>
      </c>
      <c r="I219" s="1178"/>
    </row>
    <row r="220" spans="1:13">
      <c r="A220" s="956" t="s">
        <v>1343</v>
      </c>
      <c r="B220" s="1140" t="str">
        <f t="shared" si="15"/>
        <v/>
      </c>
      <c r="C220" s="823" t="s">
        <v>1553</v>
      </c>
      <c r="D220" s="823">
        <v>1</v>
      </c>
      <c r="E220" s="1001">
        <v>3</v>
      </c>
      <c r="F220" s="824" t="s">
        <v>1637</v>
      </c>
      <c r="G220" s="1003">
        <v>0</v>
      </c>
      <c r="H220" s="989">
        <f t="shared" si="3"/>
        <v>0</v>
      </c>
      <c r="I220" s="1178"/>
    </row>
    <row r="221" spans="1:13">
      <c r="A221" s="956" t="s">
        <v>1344</v>
      </c>
      <c r="B221" s="1140" t="str">
        <f t="shared" si="15"/>
        <v/>
      </c>
      <c r="C221" s="823" t="s">
        <v>1553</v>
      </c>
      <c r="D221" s="823">
        <v>1</v>
      </c>
      <c r="E221" s="1001">
        <v>4</v>
      </c>
      <c r="F221" s="828" t="s">
        <v>1637</v>
      </c>
      <c r="G221" s="1004">
        <v>0</v>
      </c>
      <c r="H221" s="989">
        <f t="shared" si="3"/>
        <v>0</v>
      </c>
      <c r="I221" s="1178"/>
    </row>
    <row r="222" spans="1:13">
      <c r="A222" s="956" t="s">
        <v>1345</v>
      </c>
      <c r="B222" s="1140" t="str">
        <f t="shared" si="15"/>
        <v/>
      </c>
      <c r="C222" s="823" t="s">
        <v>1553</v>
      </c>
      <c r="D222" s="823">
        <v>1</v>
      </c>
      <c r="E222" s="1001">
        <v>5</v>
      </c>
      <c r="F222" s="828" t="s">
        <v>1637</v>
      </c>
      <c r="G222" s="1004">
        <v>0</v>
      </c>
      <c r="H222" s="989">
        <f t="shared" si="3"/>
        <v>0</v>
      </c>
      <c r="I222" s="1178"/>
    </row>
    <row r="223" spans="1:13">
      <c r="A223" s="956" t="s">
        <v>1346</v>
      </c>
      <c r="B223" s="1140" t="str">
        <f t="shared" si="15"/>
        <v/>
      </c>
      <c r="C223" s="823" t="s">
        <v>1553</v>
      </c>
      <c r="D223" s="823">
        <v>1</v>
      </c>
      <c r="E223" s="1001">
        <v>6</v>
      </c>
      <c r="F223" s="828" t="s">
        <v>1637</v>
      </c>
      <c r="G223" s="1004">
        <v>0</v>
      </c>
      <c r="H223" s="989">
        <f t="shared" si="3"/>
        <v>0</v>
      </c>
      <c r="I223" s="1178"/>
    </row>
    <row r="224" spans="1:13">
      <c r="A224" s="956" t="s">
        <v>1347</v>
      </c>
      <c r="B224" s="1140" t="str">
        <f t="shared" si="15"/>
        <v/>
      </c>
      <c r="C224" s="823" t="s">
        <v>1553</v>
      </c>
      <c r="D224" s="823">
        <v>1</v>
      </c>
      <c r="E224" s="1001">
        <v>7</v>
      </c>
      <c r="F224" s="828" t="s">
        <v>1637</v>
      </c>
      <c r="G224" s="1004">
        <v>0</v>
      </c>
      <c r="H224" s="989">
        <f t="shared" si="3"/>
        <v>0</v>
      </c>
      <c r="I224" s="1178"/>
    </row>
    <row r="225" spans="1:11">
      <c r="A225" s="956" t="s">
        <v>1348</v>
      </c>
      <c r="B225" s="1140" t="str">
        <f t="shared" si="15"/>
        <v/>
      </c>
      <c r="C225" s="823" t="s">
        <v>1553</v>
      </c>
      <c r="D225" s="823">
        <v>1</v>
      </c>
      <c r="E225" s="1001">
        <v>8</v>
      </c>
      <c r="F225" s="824">
        <f>'Pay Values'!I3</f>
        <v>0</v>
      </c>
      <c r="G225" s="1003">
        <v>0</v>
      </c>
      <c r="H225" s="989">
        <f t="shared" si="3"/>
        <v>0</v>
      </c>
      <c r="I225" s="1178"/>
    </row>
    <row r="226" spans="1:11">
      <c r="A226" s="956" t="s">
        <v>1349</v>
      </c>
      <c r="B226" s="1140" t="str">
        <f t="shared" ref="B226:B289" si="16">B225</f>
        <v/>
      </c>
      <c r="C226" s="823" t="s">
        <v>1553</v>
      </c>
      <c r="D226" s="823">
        <v>1</v>
      </c>
      <c r="E226" s="1001">
        <v>9</v>
      </c>
      <c r="F226" s="823" t="s">
        <v>1637</v>
      </c>
      <c r="G226" s="1003">
        <v>0</v>
      </c>
      <c r="H226" s="989">
        <f t="shared" si="3"/>
        <v>0</v>
      </c>
      <c r="I226" s="1178"/>
    </row>
    <row r="227" spans="1:11">
      <c r="A227" s="956" t="s">
        <v>1350</v>
      </c>
      <c r="B227" s="1140" t="str">
        <f t="shared" si="16"/>
        <v/>
      </c>
      <c r="C227" s="823" t="s">
        <v>1553</v>
      </c>
      <c r="D227" s="823">
        <v>1</v>
      </c>
      <c r="E227" s="1001">
        <v>10</v>
      </c>
      <c r="F227" s="823" t="s">
        <v>1637</v>
      </c>
      <c r="G227" s="981" t="str">
        <f>Superpave!R9</f>
        <v/>
      </c>
      <c r="H227" s="989">
        <f t="shared" si="3"/>
        <v>0</v>
      </c>
      <c r="I227" s="1178"/>
    </row>
    <row r="228" spans="1:11">
      <c r="A228" s="956" t="s">
        <v>1351</v>
      </c>
      <c r="B228" s="1140" t="str">
        <f t="shared" si="16"/>
        <v/>
      </c>
      <c r="C228" s="823" t="s">
        <v>1553</v>
      </c>
      <c r="D228" s="823">
        <v>1</v>
      </c>
      <c r="E228" s="1001">
        <v>11</v>
      </c>
      <c r="F228" s="959" t="str">
        <f>Superpave!N3</f>
        <v/>
      </c>
      <c r="G228" s="1003">
        <v>0</v>
      </c>
      <c r="H228" s="989">
        <f t="shared" si="3"/>
        <v>0</v>
      </c>
      <c r="I228" s="1178"/>
    </row>
    <row r="229" spans="1:11">
      <c r="A229" s="956" t="s">
        <v>1352</v>
      </c>
      <c r="B229" s="1140" t="str">
        <f t="shared" si="16"/>
        <v/>
      </c>
      <c r="C229" s="823" t="s">
        <v>1553</v>
      </c>
      <c r="D229" s="823">
        <v>1</v>
      </c>
      <c r="E229" s="1001">
        <v>12</v>
      </c>
      <c r="F229" s="824" t="str">
        <f>Superpave!N4</f>
        <v/>
      </c>
      <c r="G229" s="1003">
        <v>0</v>
      </c>
      <c r="H229" s="989">
        <f t="shared" si="3"/>
        <v>0</v>
      </c>
      <c r="I229" s="1178"/>
    </row>
    <row r="230" spans="1:11">
      <c r="A230" s="956" t="s">
        <v>1353</v>
      </c>
      <c r="B230" s="1140" t="str">
        <f t="shared" si="16"/>
        <v/>
      </c>
      <c r="C230" s="823" t="s">
        <v>1553</v>
      </c>
      <c r="D230" s="823">
        <v>1</v>
      </c>
      <c r="E230" s="1001">
        <v>13</v>
      </c>
      <c r="F230" s="824" t="str">
        <f>Superpave!N5</f>
        <v/>
      </c>
      <c r="G230" s="1003">
        <v>0</v>
      </c>
      <c r="H230" s="989">
        <f t="shared" si="3"/>
        <v>0</v>
      </c>
      <c r="I230" s="1178"/>
    </row>
    <row r="231" spans="1:11">
      <c r="A231" s="956" t="s">
        <v>1355</v>
      </c>
      <c r="B231" s="1140" t="str">
        <f t="shared" si="16"/>
        <v/>
      </c>
      <c r="C231" s="823" t="s">
        <v>1553</v>
      </c>
      <c r="D231" s="823">
        <v>1</v>
      </c>
      <c r="E231" s="1001">
        <v>14</v>
      </c>
      <c r="F231" s="824" t="str">
        <f>Superpave!N6</f>
        <v/>
      </c>
      <c r="G231" s="1003">
        <v>0</v>
      </c>
      <c r="H231" s="989">
        <f t="shared" si="3"/>
        <v>0</v>
      </c>
      <c r="I231" s="1178"/>
    </row>
    <row r="232" spans="1:11">
      <c r="A232" s="956" t="s">
        <v>1356</v>
      </c>
      <c r="B232" s="1140" t="str">
        <f t="shared" si="16"/>
        <v/>
      </c>
      <c r="C232" s="823" t="s">
        <v>1553</v>
      </c>
      <c r="D232" s="823">
        <v>1</v>
      </c>
      <c r="E232" s="1001">
        <v>15</v>
      </c>
      <c r="F232" s="824" t="str">
        <f>Superpave!N7</f>
        <v/>
      </c>
      <c r="G232" s="1003">
        <v>0</v>
      </c>
      <c r="H232" s="989">
        <f t="shared" si="3"/>
        <v>0</v>
      </c>
      <c r="I232" s="1178"/>
      <c r="K232" s="885"/>
    </row>
    <row r="233" spans="1:11">
      <c r="A233" s="956" t="s">
        <v>1357</v>
      </c>
      <c r="B233" s="1140" t="str">
        <f t="shared" si="16"/>
        <v/>
      </c>
      <c r="C233" s="823" t="s">
        <v>1553</v>
      </c>
      <c r="D233" s="823">
        <v>1</v>
      </c>
      <c r="E233" s="1001">
        <v>16</v>
      </c>
      <c r="F233" s="824" t="str">
        <f>Superpave!N8</f>
        <v/>
      </c>
      <c r="G233" s="1003">
        <v>0</v>
      </c>
      <c r="H233" s="989">
        <f t="shared" si="3"/>
        <v>0</v>
      </c>
      <c r="I233" s="1178"/>
      <c r="J233" s="885"/>
    </row>
    <row r="234" spans="1:11">
      <c r="A234" s="956" t="s">
        <v>1358</v>
      </c>
      <c r="B234" s="1140" t="str">
        <f t="shared" si="16"/>
        <v/>
      </c>
      <c r="C234" s="823" t="s">
        <v>1553</v>
      </c>
      <c r="D234" s="823">
        <v>1</v>
      </c>
      <c r="E234" s="1001">
        <v>17</v>
      </c>
      <c r="F234" s="824" t="str">
        <f>Superpave!O3</f>
        <v/>
      </c>
      <c r="G234" s="1003">
        <v>0</v>
      </c>
      <c r="H234" s="989">
        <f t="shared" si="3"/>
        <v>0</v>
      </c>
      <c r="I234" s="1178"/>
      <c r="K234" s="885"/>
    </row>
    <row r="235" spans="1:11">
      <c r="A235" s="956" t="s">
        <v>1359</v>
      </c>
      <c r="B235" s="1140" t="str">
        <f t="shared" si="16"/>
        <v/>
      </c>
      <c r="C235" s="823" t="s">
        <v>1553</v>
      </c>
      <c r="D235" s="823">
        <v>1</v>
      </c>
      <c r="E235" s="1001">
        <v>18</v>
      </c>
      <c r="F235" s="824" t="str">
        <f>Superpave!O4</f>
        <v/>
      </c>
      <c r="G235" s="1003">
        <v>0</v>
      </c>
      <c r="H235" s="989">
        <f t="shared" si="3"/>
        <v>0</v>
      </c>
      <c r="I235" s="1178"/>
    </row>
    <row r="236" spans="1:11">
      <c r="A236" s="956" t="s">
        <v>1360</v>
      </c>
      <c r="B236" s="1140" t="str">
        <f t="shared" si="16"/>
        <v/>
      </c>
      <c r="C236" s="823" t="s">
        <v>1553</v>
      </c>
      <c r="D236" s="823">
        <v>1</v>
      </c>
      <c r="E236" s="1001">
        <v>19</v>
      </c>
      <c r="F236" s="824" t="str">
        <f>Superpave!O5</f>
        <v/>
      </c>
      <c r="G236" s="1003">
        <v>0</v>
      </c>
      <c r="H236" s="989">
        <f t="shared" si="3"/>
        <v>0</v>
      </c>
      <c r="I236" s="1178"/>
      <c r="K236" s="885"/>
    </row>
    <row r="237" spans="1:11">
      <c r="A237" s="956" t="s">
        <v>1361</v>
      </c>
      <c r="B237" s="1140" t="str">
        <f t="shared" si="16"/>
        <v/>
      </c>
      <c r="C237" s="823" t="s">
        <v>1553</v>
      </c>
      <c r="D237" s="823">
        <v>1</v>
      </c>
      <c r="E237" s="1001">
        <v>20</v>
      </c>
      <c r="F237" s="824" t="str">
        <f>Superpave!O6</f>
        <v/>
      </c>
      <c r="G237" s="1003">
        <v>0</v>
      </c>
      <c r="H237" s="989">
        <f t="shared" si="3"/>
        <v>0</v>
      </c>
      <c r="I237" s="1178"/>
      <c r="K237" s="885"/>
    </row>
    <row r="238" spans="1:11">
      <c r="A238" s="956" t="s">
        <v>1362</v>
      </c>
      <c r="B238" s="1140" t="str">
        <f t="shared" si="16"/>
        <v/>
      </c>
      <c r="C238" s="823" t="s">
        <v>1553</v>
      </c>
      <c r="D238" s="823">
        <v>1</v>
      </c>
      <c r="E238" s="1001">
        <v>21</v>
      </c>
      <c r="F238" s="824" t="str">
        <f>Superpave!O7</f>
        <v/>
      </c>
      <c r="G238" s="1003">
        <v>0</v>
      </c>
      <c r="H238" s="989">
        <f t="shared" si="3"/>
        <v>0</v>
      </c>
      <c r="I238" s="1178"/>
    </row>
    <row r="239" spans="1:11">
      <c r="A239" s="956" t="s">
        <v>1363</v>
      </c>
      <c r="B239" s="1140" t="str">
        <f t="shared" si="16"/>
        <v/>
      </c>
      <c r="C239" s="823" t="s">
        <v>1553</v>
      </c>
      <c r="D239" s="823">
        <v>1</v>
      </c>
      <c r="E239" s="1001">
        <v>22</v>
      </c>
      <c r="F239" s="824" t="str">
        <f>Superpave!O8</f>
        <v/>
      </c>
      <c r="G239" s="1003">
        <v>0</v>
      </c>
      <c r="H239" s="989">
        <f t="shared" si="3"/>
        <v>0</v>
      </c>
      <c r="I239" s="1178"/>
      <c r="K239" s="958"/>
    </row>
    <row r="240" spans="1:11">
      <c r="A240" s="956" t="s">
        <v>1364</v>
      </c>
      <c r="B240" s="1140" t="str">
        <f t="shared" si="16"/>
        <v/>
      </c>
      <c r="C240" s="823" t="s">
        <v>1553</v>
      </c>
      <c r="D240" s="823">
        <v>1</v>
      </c>
      <c r="E240" s="1001">
        <v>23</v>
      </c>
      <c r="F240" s="823" t="s">
        <v>1637</v>
      </c>
      <c r="G240" s="980">
        <f>Superpave!R3</f>
        <v>0</v>
      </c>
      <c r="H240" s="989">
        <f t="shared" si="3"/>
        <v>0</v>
      </c>
      <c r="I240" s="1178"/>
    </row>
    <row r="241" spans="1:11">
      <c r="A241" s="956" t="s">
        <v>1365</v>
      </c>
      <c r="B241" s="1163" t="str">
        <f t="shared" si="16"/>
        <v/>
      </c>
      <c r="C241" s="875" t="s">
        <v>1553</v>
      </c>
      <c r="D241" s="875">
        <v>1</v>
      </c>
      <c r="E241" s="1001">
        <v>24</v>
      </c>
      <c r="F241" s="823" t="s">
        <v>1637</v>
      </c>
      <c r="G241" s="980">
        <f>Superpave!R4</f>
        <v>0</v>
      </c>
      <c r="H241" s="989">
        <f t="shared" si="3"/>
        <v>0</v>
      </c>
      <c r="I241" s="1192"/>
      <c r="K241" s="885"/>
    </row>
    <row r="242" spans="1:11">
      <c r="A242" s="956" t="s">
        <v>1366</v>
      </c>
      <c r="B242" s="1140" t="str">
        <f t="shared" si="16"/>
        <v/>
      </c>
      <c r="C242" s="823" t="s">
        <v>1553</v>
      </c>
      <c r="D242" s="823">
        <v>1</v>
      </c>
      <c r="E242" s="1001">
        <v>25</v>
      </c>
      <c r="F242" s="823" t="s">
        <v>1637</v>
      </c>
      <c r="G242" s="980">
        <f>Superpave!R5</f>
        <v>0</v>
      </c>
      <c r="H242" s="989">
        <f t="shared" si="3"/>
        <v>0</v>
      </c>
      <c r="I242" s="1178"/>
    </row>
    <row r="243" spans="1:11">
      <c r="A243" s="956" t="s">
        <v>1367</v>
      </c>
      <c r="B243" s="1140" t="str">
        <f t="shared" si="16"/>
        <v/>
      </c>
      <c r="C243" s="823" t="s">
        <v>1553</v>
      </c>
      <c r="D243" s="823">
        <v>1</v>
      </c>
      <c r="E243" s="1001">
        <v>26</v>
      </c>
      <c r="F243" s="823" t="s">
        <v>1637</v>
      </c>
      <c r="G243" s="980">
        <f>Superpave!R6</f>
        <v>0</v>
      </c>
      <c r="H243" s="989">
        <f t="shared" si="3"/>
        <v>0</v>
      </c>
      <c r="I243" s="1178"/>
    </row>
    <row r="244" spans="1:11">
      <c r="A244" s="956" t="s">
        <v>1368</v>
      </c>
      <c r="B244" s="1140" t="str">
        <f t="shared" si="16"/>
        <v/>
      </c>
      <c r="C244" s="823" t="s">
        <v>1553</v>
      </c>
      <c r="D244" s="823">
        <v>1</v>
      </c>
      <c r="E244" s="1001">
        <v>27</v>
      </c>
      <c r="F244" s="823" t="s">
        <v>1637</v>
      </c>
      <c r="G244" s="980">
        <f>Superpave!R7</f>
        <v>0</v>
      </c>
      <c r="H244" s="989">
        <f t="shared" si="3"/>
        <v>0</v>
      </c>
      <c r="I244" s="1178"/>
    </row>
    <row r="245" spans="1:11">
      <c r="A245" s="956" t="s">
        <v>1369</v>
      </c>
      <c r="B245" s="1140" t="str">
        <f t="shared" si="16"/>
        <v/>
      </c>
      <c r="C245" s="823" t="s">
        <v>1553</v>
      </c>
      <c r="D245" s="823">
        <v>1</v>
      </c>
      <c r="E245" s="1001">
        <v>28</v>
      </c>
      <c r="F245" s="823" t="s">
        <v>1637</v>
      </c>
      <c r="G245" s="980">
        <f>Superpave!R8</f>
        <v>0</v>
      </c>
      <c r="H245" s="989">
        <f t="shared" si="3"/>
        <v>0</v>
      </c>
      <c r="I245" s="1178"/>
    </row>
    <row r="246" spans="1:11">
      <c r="A246" s="956" t="s">
        <v>1370</v>
      </c>
      <c r="B246" s="1140" t="str">
        <f t="shared" si="16"/>
        <v/>
      </c>
      <c r="C246" s="823" t="s">
        <v>1553</v>
      </c>
      <c r="D246" s="823">
        <v>1</v>
      </c>
      <c r="E246" s="1001">
        <v>29</v>
      </c>
      <c r="F246" s="823" t="s">
        <v>1637</v>
      </c>
      <c r="G246" s="981">
        <f>Superpave!Q3</f>
        <v>0</v>
      </c>
      <c r="H246" s="989">
        <f t="shared" si="3"/>
        <v>0</v>
      </c>
      <c r="I246" s="1178"/>
    </row>
    <row r="247" spans="1:11">
      <c r="A247" s="956" t="s">
        <v>1371</v>
      </c>
      <c r="B247" s="1140" t="str">
        <f t="shared" si="16"/>
        <v/>
      </c>
      <c r="C247" s="823" t="s">
        <v>1553</v>
      </c>
      <c r="D247" s="823">
        <v>1</v>
      </c>
      <c r="E247" s="1001">
        <v>30</v>
      </c>
      <c r="F247" s="823" t="s">
        <v>1637</v>
      </c>
      <c r="G247" s="981">
        <f>Superpave!Q4</f>
        <v>0</v>
      </c>
      <c r="H247" s="989">
        <f t="shared" si="3"/>
        <v>0</v>
      </c>
      <c r="I247" s="1178"/>
    </row>
    <row r="248" spans="1:11">
      <c r="A248" s="956" t="s">
        <v>1372</v>
      </c>
      <c r="B248" s="1140" t="str">
        <f t="shared" si="16"/>
        <v/>
      </c>
      <c r="C248" s="823" t="s">
        <v>1553</v>
      </c>
      <c r="D248" s="823">
        <v>1</v>
      </c>
      <c r="E248" s="1001">
        <v>31</v>
      </c>
      <c r="F248" s="823" t="s">
        <v>1637</v>
      </c>
      <c r="G248" s="981">
        <f>Superpave!Q5</f>
        <v>0</v>
      </c>
      <c r="H248" s="989">
        <f t="shared" si="3"/>
        <v>0</v>
      </c>
      <c r="I248" s="1178"/>
      <c r="K248" s="885"/>
    </row>
    <row r="249" spans="1:11">
      <c r="A249" s="956" t="s">
        <v>1373</v>
      </c>
      <c r="B249" s="1140" t="str">
        <f t="shared" si="16"/>
        <v/>
      </c>
      <c r="C249" s="823" t="s">
        <v>1553</v>
      </c>
      <c r="D249" s="823">
        <v>1</v>
      </c>
      <c r="E249" s="1001">
        <v>32</v>
      </c>
      <c r="F249" s="823" t="s">
        <v>1637</v>
      </c>
      <c r="G249" s="981">
        <f>Superpave!Q6</f>
        <v>0</v>
      </c>
      <c r="H249" s="989">
        <f t="shared" si="3"/>
        <v>0</v>
      </c>
      <c r="I249" s="1178"/>
      <c r="J249" s="885"/>
    </row>
    <row r="250" spans="1:11">
      <c r="A250" s="956" t="s">
        <v>1374</v>
      </c>
      <c r="B250" s="1140" t="str">
        <f t="shared" si="16"/>
        <v/>
      </c>
      <c r="C250" s="823" t="s">
        <v>1553</v>
      </c>
      <c r="D250" s="823">
        <v>1</v>
      </c>
      <c r="E250" s="1001">
        <v>33</v>
      </c>
      <c r="F250" s="823" t="s">
        <v>1637</v>
      </c>
      <c r="G250" s="981">
        <f>Superpave!Q7</f>
        <v>0</v>
      </c>
      <c r="H250" s="989">
        <f t="shared" si="3"/>
        <v>0</v>
      </c>
      <c r="I250" s="1178"/>
      <c r="K250" s="885"/>
    </row>
    <row r="251" spans="1:11">
      <c r="A251" s="956" t="s">
        <v>1375</v>
      </c>
      <c r="B251" s="1140" t="str">
        <f t="shared" si="16"/>
        <v/>
      </c>
      <c r="C251" s="823" t="s">
        <v>1553</v>
      </c>
      <c r="D251" s="823">
        <v>1</v>
      </c>
      <c r="E251" s="1001">
        <v>34</v>
      </c>
      <c r="F251" s="823" t="s">
        <v>1637</v>
      </c>
      <c r="G251" s="981">
        <f>Superpave!Q8</f>
        <v>0</v>
      </c>
      <c r="H251" s="989">
        <f t="shared" si="3"/>
        <v>0</v>
      </c>
      <c r="I251" s="1178"/>
    </row>
    <row r="252" spans="1:11">
      <c r="A252" s="956" t="s">
        <v>1376</v>
      </c>
      <c r="B252" s="1140" t="str">
        <f t="shared" si="16"/>
        <v/>
      </c>
      <c r="C252" s="823" t="s">
        <v>1553</v>
      </c>
      <c r="D252" s="823">
        <v>1</v>
      </c>
      <c r="E252" s="1001">
        <v>35</v>
      </c>
      <c r="F252" s="823" t="s">
        <v>1637</v>
      </c>
      <c r="G252" s="1003">
        <v>0</v>
      </c>
      <c r="H252" s="989">
        <f t="shared" si="3"/>
        <v>0</v>
      </c>
      <c r="I252" s="1178"/>
    </row>
    <row r="253" spans="1:11">
      <c r="A253" s="956" t="s">
        <v>1377</v>
      </c>
      <c r="B253" s="1140" t="str">
        <f t="shared" si="16"/>
        <v/>
      </c>
      <c r="C253" s="823" t="s">
        <v>1553</v>
      </c>
      <c r="D253" s="823">
        <v>1</v>
      </c>
      <c r="E253" s="1001">
        <v>36</v>
      </c>
      <c r="F253" s="823" t="s">
        <v>1637</v>
      </c>
      <c r="G253" s="982">
        <f>Superpave!I3</f>
        <v>0</v>
      </c>
      <c r="H253" s="989">
        <f t="shared" si="3"/>
        <v>0</v>
      </c>
      <c r="I253" s="1178"/>
      <c r="K253" s="885"/>
    </row>
    <row r="254" spans="1:11">
      <c r="A254" s="956" t="s">
        <v>1378</v>
      </c>
      <c r="B254" s="1140" t="str">
        <f t="shared" si="16"/>
        <v/>
      </c>
      <c r="C254" s="823" t="s">
        <v>1553</v>
      </c>
      <c r="D254" s="823">
        <v>1</v>
      </c>
      <c r="E254" s="1001">
        <v>37</v>
      </c>
      <c r="F254" s="823" t="s">
        <v>1637</v>
      </c>
      <c r="G254" s="983">
        <f>Superpave!J3</f>
        <v>0</v>
      </c>
      <c r="H254" s="989">
        <f t="shared" si="3"/>
        <v>0</v>
      </c>
      <c r="I254" s="1178"/>
    </row>
    <row r="255" spans="1:11">
      <c r="A255" s="956" t="s">
        <v>1379</v>
      </c>
      <c r="B255" s="1140" t="str">
        <f t="shared" si="16"/>
        <v/>
      </c>
      <c r="C255" s="823" t="s">
        <v>1553</v>
      </c>
      <c r="D255" s="823">
        <v>1</v>
      </c>
      <c r="E255" s="1001">
        <v>38</v>
      </c>
      <c r="F255" s="992">
        <f>Superpave!K3</f>
        <v>0</v>
      </c>
      <c r="G255" s="1005">
        <v>0</v>
      </c>
      <c r="H255" s="989">
        <f t="shared" ref="H255:H436" si="17">H254</f>
        <v>0</v>
      </c>
      <c r="I255" s="1178"/>
      <c r="K255" s="958"/>
    </row>
    <row r="256" spans="1:11">
      <c r="A256" s="956" t="s">
        <v>1380</v>
      </c>
      <c r="B256" s="1140" t="str">
        <f t="shared" si="16"/>
        <v/>
      </c>
      <c r="C256" s="823" t="s">
        <v>1553</v>
      </c>
      <c r="D256" s="823">
        <v>1</v>
      </c>
      <c r="E256" s="1001">
        <v>39</v>
      </c>
      <c r="F256" s="823" t="s">
        <v>1637</v>
      </c>
      <c r="G256" s="981">
        <f>Superpave!L3</f>
        <v>0</v>
      </c>
      <c r="H256" s="989">
        <f t="shared" si="17"/>
        <v>0</v>
      </c>
      <c r="I256" s="1178"/>
    </row>
    <row r="257" spans="1:11">
      <c r="A257" s="956" t="s">
        <v>1381</v>
      </c>
      <c r="B257" s="1163" t="str">
        <f t="shared" si="16"/>
        <v/>
      </c>
      <c r="C257" s="875" t="s">
        <v>1553</v>
      </c>
      <c r="D257" s="875">
        <v>1</v>
      </c>
      <c r="E257" s="1001">
        <v>40</v>
      </c>
      <c r="F257" s="823" t="s">
        <v>1637</v>
      </c>
      <c r="G257" s="1003">
        <v>0</v>
      </c>
      <c r="H257" s="989">
        <f t="shared" si="17"/>
        <v>0</v>
      </c>
      <c r="I257" s="1192"/>
      <c r="K257" s="885"/>
    </row>
    <row r="258" spans="1:11">
      <c r="A258" s="956" t="s">
        <v>1382</v>
      </c>
      <c r="B258" s="1140" t="str">
        <f t="shared" si="16"/>
        <v/>
      </c>
      <c r="C258" s="823" t="s">
        <v>1553</v>
      </c>
      <c r="D258" s="823">
        <v>1</v>
      </c>
      <c r="E258" s="1001">
        <v>41</v>
      </c>
      <c r="F258" s="824" t="str">
        <f>Calculations!AU35</f>
        <v/>
      </c>
      <c r="G258" s="1003">
        <v>0</v>
      </c>
      <c r="H258" s="989">
        <f t="shared" si="17"/>
        <v>0</v>
      </c>
      <c r="I258" s="1178"/>
    </row>
    <row r="259" spans="1:11">
      <c r="A259" s="956" t="s">
        <v>1383</v>
      </c>
      <c r="B259" s="1140" t="str">
        <f t="shared" si="16"/>
        <v/>
      </c>
      <c r="C259" s="823" t="s">
        <v>1553</v>
      </c>
      <c r="D259" s="823">
        <v>1</v>
      </c>
      <c r="E259" s="1001">
        <v>42</v>
      </c>
      <c r="F259" s="823" t="s">
        <v>1637</v>
      </c>
      <c r="G259" s="980" t="str">
        <f>Superpave!B14</f>
        <v/>
      </c>
      <c r="H259" s="989">
        <f t="shared" si="17"/>
        <v>0</v>
      </c>
      <c r="I259" s="1178"/>
    </row>
    <row r="260" spans="1:11">
      <c r="A260" s="956" t="s">
        <v>1384</v>
      </c>
      <c r="B260" s="1140" t="str">
        <f t="shared" si="16"/>
        <v/>
      </c>
      <c r="C260" s="823" t="s">
        <v>1553</v>
      </c>
      <c r="D260" s="823">
        <v>1</v>
      </c>
      <c r="E260" s="1001">
        <v>43</v>
      </c>
      <c r="F260" s="823" t="s">
        <v>1637</v>
      </c>
      <c r="G260" s="980" t="str">
        <f>Superpave!H14</f>
        <v/>
      </c>
      <c r="H260" s="989">
        <f t="shared" si="17"/>
        <v>0</v>
      </c>
      <c r="I260" s="1178"/>
    </row>
    <row r="261" spans="1:11">
      <c r="A261" s="956" t="s">
        <v>1385</v>
      </c>
      <c r="B261" s="1140" t="str">
        <f t="shared" si="16"/>
        <v/>
      </c>
      <c r="C261" s="823" t="s">
        <v>1553</v>
      </c>
      <c r="D261" s="823">
        <v>1</v>
      </c>
      <c r="E261" s="1001">
        <v>44</v>
      </c>
      <c r="F261" s="823" t="s">
        <v>1637</v>
      </c>
      <c r="G261" s="984" t="str">
        <f>Superpave!I14</f>
        <v/>
      </c>
      <c r="H261" s="989">
        <f t="shared" si="17"/>
        <v>0</v>
      </c>
      <c r="I261" s="1178"/>
    </row>
    <row r="262" spans="1:11">
      <c r="A262" s="956" t="s">
        <v>1386</v>
      </c>
      <c r="B262" s="1140" t="str">
        <f t="shared" si="16"/>
        <v/>
      </c>
      <c r="C262" s="823" t="s">
        <v>1553</v>
      </c>
      <c r="D262" s="823">
        <v>1</v>
      </c>
      <c r="E262" s="1001">
        <v>45</v>
      </c>
      <c r="F262" s="823" t="s">
        <v>1637</v>
      </c>
      <c r="G262" s="980" t="str">
        <f>Superpave!J14</f>
        <v/>
      </c>
      <c r="H262" s="989">
        <f t="shared" si="17"/>
        <v>0</v>
      </c>
      <c r="I262" s="1178"/>
    </row>
    <row r="263" spans="1:11">
      <c r="A263" s="956" t="s">
        <v>1387</v>
      </c>
      <c r="B263" s="1140" t="str">
        <f t="shared" si="16"/>
        <v/>
      </c>
      <c r="C263" s="823" t="s">
        <v>1553</v>
      </c>
      <c r="D263" s="823">
        <v>1</v>
      </c>
      <c r="E263" s="1001">
        <v>46</v>
      </c>
      <c r="F263" s="823" t="s">
        <v>1637</v>
      </c>
      <c r="G263" s="980" t="str">
        <f>Superpave!L14</f>
        <v/>
      </c>
      <c r="H263" s="989">
        <f t="shared" si="17"/>
        <v>0</v>
      </c>
      <c r="I263" s="1178"/>
    </row>
    <row r="264" spans="1:11">
      <c r="A264" s="956" t="s">
        <v>1388</v>
      </c>
      <c r="B264" s="1140" t="str">
        <f t="shared" si="16"/>
        <v/>
      </c>
      <c r="C264" s="823" t="s">
        <v>1553</v>
      </c>
      <c r="D264" s="823">
        <v>1</v>
      </c>
      <c r="E264" s="1001">
        <v>47</v>
      </c>
      <c r="F264" s="823" t="s">
        <v>1637</v>
      </c>
      <c r="G264" s="980" t="str">
        <f>Superpave!M14</f>
        <v/>
      </c>
      <c r="H264" s="989">
        <f t="shared" si="17"/>
        <v>0</v>
      </c>
      <c r="I264" s="1178"/>
      <c r="K264" s="885"/>
    </row>
    <row r="265" spans="1:11">
      <c r="A265" s="956" t="s">
        <v>1389</v>
      </c>
      <c r="B265" s="1140" t="str">
        <f t="shared" si="16"/>
        <v/>
      </c>
      <c r="C265" s="823" t="s">
        <v>1553</v>
      </c>
      <c r="D265" s="823">
        <v>1</v>
      </c>
      <c r="E265" s="1001">
        <v>48</v>
      </c>
      <c r="F265" s="823" t="s">
        <v>1637</v>
      </c>
      <c r="G265" s="980" t="str">
        <f>Superpave!N14</f>
        <v/>
      </c>
      <c r="H265" s="989">
        <f t="shared" si="17"/>
        <v>0</v>
      </c>
      <c r="I265" s="1178"/>
      <c r="J265" s="885"/>
    </row>
    <row r="266" spans="1:11">
      <c r="A266" s="956" t="s">
        <v>1390</v>
      </c>
      <c r="B266" s="1140" t="str">
        <f t="shared" si="16"/>
        <v/>
      </c>
      <c r="C266" s="823" t="s">
        <v>1553</v>
      </c>
      <c r="D266" s="823">
        <v>1</v>
      </c>
      <c r="E266" s="1001">
        <v>49</v>
      </c>
      <c r="F266" s="980" t="str">
        <f>Superpave!O14</f>
        <v/>
      </c>
      <c r="G266" s="1178"/>
      <c r="H266" s="989">
        <f t="shared" si="17"/>
        <v>0</v>
      </c>
      <c r="I266" s="1178"/>
      <c r="K266" s="885"/>
    </row>
    <row r="267" spans="1:11">
      <c r="A267" s="956" t="s">
        <v>307</v>
      </c>
      <c r="B267" s="1140" t="str">
        <f t="shared" si="16"/>
        <v/>
      </c>
      <c r="C267" s="823" t="s">
        <v>1553</v>
      </c>
      <c r="D267" s="823">
        <v>1</v>
      </c>
      <c r="E267" s="1001">
        <v>50</v>
      </c>
      <c r="F267" s="823" t="s">
        <v>1637</v>
      </c>
      <c r="G267" s="980">
        <f>Superpave!N43</f>
        <v>0</v>
      </c>
      <c r="H267" s="989">
        <f t="shared" si="17"/>
        <v>0</v>
      </c>
      <c r="I267" s="1178"/>
    </row>
    <row r="268" spans="1:11">
      <c r="A268" s="956" t="s">
        <v>308</v>
      </c>
      <c r="B268" s="1140" t="str">
        <f t="shared" si="16"/>
        <v/>
      </c>
      <c r="C268" s="823" t="s">
        <v>1553</v>
      </c>
      <c r="D268" s="823">
        <v>1</v>
      </c>
      <c r="E268" s="1001">
        <v>51</v>
      </c>
      <c r="F268" s="823" t="s">
        <v>1637</v>
      </c>
      <c r="G268" s="984" t="str">
        <f>Superpave!N42</f>
        <v/>
      </c>
      <c r="H268" s="989">
        <f t="shared" si="17"/>
        <v>0</v>
      </c>
      <c r="I268" s="1178"/>
      <c r="K268" s="885"/>
    </row>
    <row r="269" spans="1:11">
      <c r="A269" s="956" t="s">
        <v>309</v>
      </c>
      <c r="B269" s="1140" t="str">
        <f t="shared" si="16"/>
        <v/>
      </c>
      <c r="C269" s="823" t="s">
        <v>1553</v>
      </c>
      <c r="D269" s="823">
        <v>1</v>
      </c>
      <c r="E269" s="1001">
        <v>52</v>
      </c>
      <c r="F269" s="823" t="s">
        <v>1637</v>
      </c>
      <c r="G269" s="1003">
        <v>0</v>
      </c>
      <c r="H269" s="989">
        <f t="shared" si="17"/>
        <v>0</v>
      </c>
      <c r="I269" s="1178"/>
      <c r="K269" s="885"/>
    </row>
    <row r="270" spans="1:11">
      <c r="A270" s="956" t="s">
        <v>310</v>
      </c>
      <c r="B270" s="1140" t="str">
        <f t="shared" si="16"/>
        <v/>
      </c>
      <c r="C270" s="823" t="s">
        <v>1553</v>
      </c>
      <c r="D270" s="823">
        <v>1</v>
      </c>
      <c r="E270" s="1001">
        <v>53</v>
      </c>
      <c r="F270" s="823" t="s">
        <v>1637</v>
      </c>
      <c r="G270" s="980" t="str">
        <f>Gradation!D10</f>
        <v/>
      </c>
      <c r="H270" s="989">
        <f t="shared" si="17"/>
        <v>0</v>
      </c>
      <c r="I270" s="1178"/>
    </row>
    <row r="271" spans="1:11">
      <c r="A271" s="956" t="s">
        <v>311</v>
      </c>
      <c r="B271" s="1140" t="str">
        <f t="shared" si="16"/>
        <v/>
      </c>
      <c r="C271" s="823" t="s">
        <v>1553</v>
      </c>
      <c r="D271" s="823">
        <v>1</v>
      </c>
      <c r="E271" s="1001">
        <v>54</v>
      </c>
      <c r="F271" s="823" t="s">
        <v>1637</v>
      </c>
      <c r="G271" s="980" t="str">
        <f>Gradation!D11</f>
        <v/>
      </c>
      <c r="H271" s="989">
        <f t="shared" si="17"/>
        <v>0</v>
      </c>
      <c r="I271" s="1178"/>
      <c r="K271" s="958"/>
    </row>
    <row r="272" spans="1:11">
      <c r="A272" s="956" t="s">
        <v>312</v>
      </c>
      <c r="B272" s="1140" t="str">
        <f t="shared" si="16"/>
        <v/>
      </c>
      <c r="C272" s="823" t="s">
        <v>1553</v>
      </c>
      <c r="D272" s="823">
        <v>1</v>
      </c>
      <c r="E272" s="1001">
        <v>55</v>
      </c>
      <c r="F272" s="823" t="s">
        <v>1637</v>
      </c>
      <c r="G272" s="980" t="str">
        <f>Gradation!D12</f>
        <v/>
      </c>
      <c r="H272" s="989">
        <f t="shared" si="17"/>
        <v>0</v>
      </c>
      <c r="I272" s="1178"/>
    </row>
    <row r="273" spans="1:11">
      <c r="A273" s="956" t="s">
        <v>313</v>
      </c>
      <c r="B273" s="1163" t="str">
        <f t="shared" si="16"/>
        <v/>
      </c>
      <c r="C273" s="875" t="s">
        <v>1553</v>
      </c>
      <c r="D273" s="875">
        <v>1</v>
      </c>
      <c r="E273" s="1001">
        <v>56</v>
      </c>
      <c r="F273" s="823" t="s">
        <v>1637</v>
      </c>
      <c r="G273" s="980" t="str">
        <f>Gradation!D13</f>
        <v/>
      </c>
      <c r="H273" s="989">
        <f t="shared" si="17"/>
        <v>0</v>
      </c>
      <c r="I273" s="1192"/>
      <c r="K273" s="885"/>
    </row>
    <row r="274" spans="1:11">
      <c r="A274" s="956" t="s">
        <v>314</v>
      </c>
      <c r="B274" s="1140" t="str">
        <f t="shared" si="16"/>
        <v/>
      </c>
      <c r="C274" s="823" t="s">
        <v>1553</v>
      </c>
      <c r="D274" s="823">
        <v>1</v>
      </c>
      <c r="E274" s="1001">
        <v>57</v>
      </c>
      <c r="F274" s="823" t="s">
        <v>1637</v>
      </c>
      <c r="G274" s="980" t="str">
        <f>Gradation!D14</f>
        <v/>
      </c>
      <c r="H274" s="989">
        <f t="shared" si="17"/>
        <v>0</v>
      </c>
      <c r="I274" s="1178"/>
    </row>
    <row r="275" spans="1:11">
      <c r="A275" s="956" t="s">
        <v>315</v>
      </c>
      <c r="B275" s="1140" t="str">
        <f t="shared" si="16"/>
        <v/>
      </c>
      <c r="C275" s="823" t="s">
        <v>1553</v>
      </c>
      <c r="D275" s="823">
        <v>1</v>
      </c>
      <c r="E275" s="1001">
        <v>58</v>
      </c>
      <c r="F275" s="823" t="s">
        <v>1637</v>
      </c>
      <c r="G275" s="980" t="str">
        <f>Gradation!D15</f>
        <v/>
      </c>
      <c r="H275" s="989">
        <f t="shared" si="17"/>
        <v>0</v>
      </c>
      <c r="I275" s="1178"/>
    </row>
    <row r="276" spans="1:11">
      <c r="A276" s="956" t="s">
        <v>316</v>
      </c>
      <c r="B276" s="1140" t="str">
        <f t="shared" si="16"/>
        <v/>
      </c>
      <c r="C276" s="823" t="s">
        <v>1553</v>
      </c>
      <c r="D276" s="823">
        <v>1</v>
      </c>
      <c r="E276" s="1001">
        <v>59</v>
      </c>
      <c r="F276" s="823" t="s">
        <v>1637</v>
      </c>
      <c r="G276" s="980" t="str">
        <f>Gradation!D16</f>
        <v/>
      </c>
      <c r="H276" s="989">
        <f t="shared" si="17"/>
        <v>0</v>
      </c>
      <c r="I276" s="1178"/>
    </row>
    <row r="277" spans="1:11">
      <c r="A277" s="956" t="s">
        <v>317</v>
      </c>
      <c r="B277" s="1140" t="str">
        <f t="shared" si="16"/>
        <v/>
      </c>
      <c r="C277" s="823" t="s">
        <v>1553</v>
      </c>
      <c r="D277" s="823">
        <v>1</v>
      </c>
      <c r="E277" s="1001">
        <v>60</v>
      </c>
      <c r="F277" s="823" t="s">
        <v>1637</v>
      </c>
      <c r="G277" s="980" t="str">
        <f>Gradation!D17</f>
        <v/>
      </c>
      <c r="H277" s="989">
        <f t="shared" si="17"/>
        <v>0</v>
      </c>
      <c r="I277" s="1178"/>
    </row>
    <row r="278" spans="1:11">
      <c r="A278" s="956" t="s">
        <v>318</v>
      </c>
      <c r="B278" s="1140" t="str">
        <f t="shared" si="16"/>
        <v/>
      </c>
      <c r="C278" s="823" t="s">
        <v>1553</v>
      </c>
      <c r="D278" s="823">
        <v>1</v>
      </c>
      <c r="E278" s="1001">
        <v>61</v>
      </c>
      <c r="F278" s="823" t="s">
        <v>1637</v>
      </c>
      <c r="G278" s="980" t="str">
        <f>Gradation!D18</f>
        <v/>
      </c>
      <c r="H278" s="989">
        <f t="shared" si="17"/>
        <v>0</v>
      </c>
      <c r="I278" s="1178"/>
    </row>
    <row r="279" spans="1:11">
      <c r="A279" s="956" t="s">
        <v>319</v>
      </c>
      <c r="B279" s="1140" t="str">
        <f t="shared" si="16"/>
        <v/>
      </c>
      <c r="C279" s="823" t="s">
        <v>1553</v>
      </c>
      <c r="D279" s="823">
        <v>1</v>
      </c>
      <c r="E279" s="1001">
        <v>62</v>
      </c>
      <c r="F279" s="823" t="s">
        <v>1637</v>
      </c>
      <c r="G279" s="980" t="str">
        <f>Gradation!D19</f>
        <v/>
      </c>
      <c r="H279" s="989">
        <f t="shared" si="17"/>
        <v>0</v>
      </c>
      <c r="I279" s="1178"/>
    </row>
    <row r="280" spans="1:11">
      <c r="A280" s="956" t="s">
        <v>320</v>
      </c>
      <c r="B280" s="1140" t="str">
        <f t="shared" si="16"/>
        <v/>
      </c>
      <c r="C280" s="823" t="s">
        <v>1553</v>
      </c>
      <c r="D280" s="823">
        <v>1</v>
      </c>
      <c r="E280" s="1001">
        <v>63</v>
      </c>
      <c r="F280" s="823" t="s">
        <v>1637</v>
      </c>
      <c r="G280" s="980" t="str">
        <f>Gradation!D20</f>
        <v/>
      </c>
      <c r="H280" s="989">
        <f t="shared" si="17"/>
        <v>0</v>
      </c>
      <c r="I280" s="1178"/>
      <c r="K280" s="885"/>
    </row>
    <row r="281" spans="1:11">
      <c r="A281" s="956" t="s">
        <v>321</v>
      </c>
      <c r="B281" s="1140" t="str">
        <f t="shared" si="16"/>
        <v/>
      </c>
      <c r="C281" s="823" t="s">
        <v>1553</v>
      </c>
      <c r="D281" s="823">
        <v>1</v>
      </c>
      <c r="E281" s="1001">
        <v>64</v>
      </c>
      <c r="F281" s="823" t="s">
        <v>1637</v>
      </c>
      <c r="G281" s="980" t="str">
        <f>Gradation!D21</f>
        <v/>
      </c>
      <c r="H281" s="989">
        <f t="shared" si="17"/>
        <v>0</v>
      </c>
      <c r="I281" s="1178"/>
      <c r="J281" s="885"/>
    </row>
    <row r="282" spans="1:11">
      <c r="A282" s="956" t="s">
        <v>322</v>
      </c>
      <c r="B282" s="1140" t="str">
        <f t="shared" si="16"/>
        <v/>
      </c>
      <c r="C282" s="823" t="s">
        <v>1553</v>
      </c>
      <c r="D282" s="823">
        <v>1</v>
      </c>
      <c r="E282" s="1001">
        <v>65</v>
      </c>
      <c r="F282" s="823" t="s">
        <v>1637</v>
      </c>
      <c r="G282" s="980" t="str">
        <f>Gradation!D22</f>
        <v/>
      </c>
      <c r="H282" s="989">
        <f t="shared" si="17"/>
        <v>0</v>
      </c>
      <c r="I282" s="1178"/>
      <c r="K282" s="885"/>
    </row>
    <row r="283" spans="1:11">
      <c r="A283" s="956" t="s">
        <v>323</v>
      </c>
      <c r="B283" s="1140" t="str">
        <f t="shared" si="16"/>
        <v/>
      </c>
      <c r="C283" s="823" t="s">
        <v>1553</v>
      </c>
      <c r="D283" s="823">
        <v>1</v>
      </c>
      <c r="E283" s="1001">
        <v>66</v>
      </c>
      <c r="F283" s="823" t="s">
        <v>1637</v>
      </c>
      <c r="G283" s="980" t="str">
        <f>Gradation!D23</f>
        <v/>
      </c>
      <c r="H283" s="989">
        <f t="shared" si="17"/>
        <v>0</v>
      </c>
      <c r="I283" s="1178"/>
    </row>
    <row r="284" spans="1:11">
      <c r="A284" s="956" t="s">
        <v>324</v>
      </c>
      <c r="B284" s="1140" t="str">
        <f t="shared" si="16"/>
        <v/>
      </c>
      <c r="C284" s="823" t="s">
        <v>1553</v>
      </c>
      <c r="D284" s="823">
        <v>1</v>
      </c>
      <c r="E284" s="1001">
        <v>67</v>
      </c>
      <c r="F284" s="823" t="s">
        <v>1637</v>
      </c>
      <c r="G284" s="1003">
        <v>0</v>
      </c>
      <c r="H284" s="989">
        <f t="shared" si="17"/>
        <v>0</v>
      </c>
      <c r="I284" s="1178"/>
      <c r="K284" s="885"/>
    </row>
    <row r="285" spans="1:11">
      <c r="A285" s="956" t="s">
        <v>325</v>
      </c>
      <c r="B285" s="1140" t="str">
        <f t="shared" si="16"/>
        <v/>
      </c>
      <c r="C285" s="823" t="s">
        <v>1553</v>
      </c>
      <c r="D285" s="823">
        <v>1</v>
      </c>
      <c r="E285" s="1001">
        <v>68</v>
      </c>
      <c r="F285" s="824" t="str">
        <f>Cores!A10</f>
        <v>0-1-A</v>
      </c>
      <c r="G285" s="1003">
        <v>0</v>
      </c>
      <c r="H285" s="989">
        <f t="shared" si="17"/>
        <v>0</v>
      </c>
      <c r="I285" s="1178"/>
    </row>
    <row r="286" spans="1:11">
      <c r="A286" s="956" t="s">
        <v>326</v>
      </c>
      <c r="B286" s="1140" t="str">
        <f t="shared" si="16"/>
        <v/>
      </c>
      <c r="C286" s="823" t="s">
        <v>1553</v>
      </c>
      <c r="D286" s="823">
        <v>1</v>
      </c>
      <c r="E286" s="1001">
        <v>69</v>
      </c>
      <c r="F286" s="824" t="str">
        <f>Cores!A11</f>
        <v>0-1-B</v>
      </c>
      <c r="G286" s="1003">
        <v>0</v>
      </c>
      <c r="H286" s="989">
        <f t="shared" si="17"/>
        <v>0</v>
      </c>
      <c r="I286" s="1178"/>
    </row>
    <row r="287" spans="1:11">
      <c r="A287" s="956" t="s">
        <v>327</v>
      </c>
      <c r="B287" s="1140" t="str">
        <f t="shared" si="16"/>
        <v/>
      </c>
      <c r="C287" s="823" t="s">
        <v>1553</v>
      </c>
      <c r="D287" s="823">
        <v>1</v>
      </c>
      <c r="E287" s="1001">
        <v>70</v>
      </c>
      <c r="F287" s="824" t="str">
        <f>Cores!A12</f>
        <v>0-1-C</v>
      </c>
      <c r="G287" s="1003">
        <v>0</v>
      </c>
      <c r="H287" s="989">
        <f t="shared" si="17"/>
        <v>0</v>
      </c>
      <c r="I287" s="1178"/>
      <c r="K287" s="958"/>
    </row>
    <row r="288" spans="1:11">
      <c r="A288" s="956" t="s">
        <v>328</v>
      </c>
      <c r="B288" s="1140" t="str">
        <f t="shared" si="16"/>
        <v/>
      </c>
      <c r="C288" s="823" t="s">
        <v>1553</v>
      </c>
      <c r="D288" s="823">
        <v>1</v>
      </c>
      <c r="E288" s="1001">
        <v>71</v>
      </c>
      <c r="F288" s="824" t="str">
        <f>Cores!A13</f>
        <v>0-1-D</v>
      </c>
      <c r="G288" s="1003">
        <v>0</v>
      </c>
      <c r="H288" s="989">
        <f t="shared" si="17"/>
        <v>0</v>
      </c>
      <c r="I288" s="1178"/>
    </row>
    <row r="289" spans="1:11">
      <c r="A289" s="956" t="s">
        <v>329</v>
      </c>
      <c r="B289" s="1140" t="str">
        <f t="shared" si="16"/>
        <v/>
      </c>
      <c r="C289" s="823" t="s">
        <v>1553</v>
      </c>
      <c r="D289" s="823">
        <v>1</v>
      </c>
      <c r="E289" s="1001">
        <v>72</v>
      </c>
      <c r="F289" s="824" t="str">
        <f>Cores!A33</f>
        <v>0-1-J1</v>
      </c>
      <c r="G289" s="1003">
        <v>0</v>
      </c>
      <c r="H289" s="989">
        <f t="shared" si="17"/>
        <v>0</v>
      </c>
      <c r="I289" s="1178"/>
    </row>
    <row r="290" spans="1:11">
      <c r="A290" s="956" t="s">
        <v>330</v>
      </c>
      <c r="B290" s="1140" t="str">
        <f t="shared" ref="B290:B308" si="18">B289</f>
        <v/>
      </c>
      <c r="C290" s="823" t="s">
        <v>1553</v>
      </c>
      <c r="D290" s="823">
        <v>1</v>
      </c>
      <c r="E290" s="1001">
        <v>73</v>
      </c>
      <c r="F290" s="824" t="str">
        <f>Cores!A34</f>
        <v>0-1-J2</v>
      </c>
      <c r="G290" s="1003">
        <v>0</v>
      </c>
      <c r="H290" s="989">
        <f t="shared" si="17"/>
        <v>0</v>
      </c>
      <c r="I290" s="1178"/>
    </row>
    <row r="291" spans="1:11">
      <c r="A291" s="956" t="s">
        <v>331</v>
      </c>
      <c r="B291" s="1140" t="str">
        <f t="shared" si="18"/>
        <v/>
      </c>
      <c r="C291" s="823" t="s">
        <v>1553</v>
      </c>
      <c r="D291" s="823">
        <v>1</v>
      </c>
      <c r="E291" s="1001">
        <v>74</v>
      </c>
      <c r="F291" s="824">
        <f>Cores!B10</f>
        <v>0</v>
      </c>
      <c r="G291" s="1003">
        <v>0</v>
      </c>
      <c r="H291" s="989">
        <f t="shared" si="17"/>
        <v>0</v>
      </c>
      <c r="I291" s="1178"/>
    </row>
    <row r="292" spans="1:11">
      <c r="A292" s="956" t="s">
        <v>332</v>
      </c>
      <c r="B292" s="1140" t="str">
        <f t="shared" si="18"/>
        <v/>
      </c>
      <c r="C292" s="823" t="s">
        <v>1553</v>
      </c>
      <c r="D292" s="823">
        <v>1</v>
      </c>
      <c r="E292" s="1001">
        <v>75</v>
      </c>
      <c r="F292" s="824">
        <f>Cores!B11</f>
        <v>0</v>
      </c>
      <c r="G292" s="1003">
        <v>0</v>
      </c>
      <c r="H292" s="989">
        <f t="shared" si="17"/>
        <v>0</v>
      </c>
      <c r="I292" s="1178"/>
    </row>
    <row r="293" spans="1:11">
      <c r="A293" s="956" t="s">
        <v>333</v>
      </c>
      <c r="B293" s="1140" t="str">
        <f t="shared" si="18"/>
        <v/>
      </c>
      <c r="C293" s="823" t="s">
        <v>1553</v>
      </c>
      <c r="D293" s="823">
        <v>1</v>
      </c>
      <c r="E293" s="1001">
        <v>76</v>
      </c>
      <c r="F293" s="824">
        <f>Cores!B12</f>
        <v>0</v>
      </c>
      <c r="G293" s="1003">
        <v>0</v>
      </c>
      <c r="H293" s="989">
        <f t="shared" si="17"/>
        <v>0</v>
      </c>
      <c r="I293" s="1178"/>
    </row>
    <row r="294" spans="1:11">
      <c r="A294" s="956" t="s">
        <v>334</v>
      </c>
      <c r="B294" s="1140" t="str">
        <f t="shared" si="18"/>
        <v/>
      </c>
      <c r="C294" s="823" t="s">
        <v>1553</v>
      </c>
      <c r="D294" s="823">
        <v>1</v>
      </c>
      <c r="E294" s="1001">
        <v>77</v>
      </c>
      <c r="F294" s="824">
        <f>Cores!B13</f>
        <v>0</v>
      </c>
      <c r="G294" s="1003">
        <v>0</v>
      </c>
      <c r="H294" s="989">
        <f t="shared" si="17"/>
        <v>0</v>
      </c>
      <c r="I294" s="1178"/>
    </row>
    <row r="295" spans="1:11">
      <c r="A295" s="956" t="s">
        <v>335</v>
      </c>
      <c r="B295" s="1140" t="str">
        <f t="shared" si="18"/>
        <v/>
      </c>
      <c r="C295" s="823" t="s">
        <v>1553</v>
      </c>
      <c r="D295" s="823">
        <v>1</v>
      </c>
      <c r="E295" s="1001">
        <v>78</v>
      </c>
      <c r="F295" s="824">
        <f>Cores!B33</f>
        <v>0</v>
      </c>
      <c r="G295" s="1003">
        <v>0</v>
      </c>
      <c r="H295" s="989">
        <f t="shared" si="17"/>
        <v>0</v>
      </c>
      <c r="I295" s="1178"/>
      <c r="K295" s="885"/>
    </row>
    <row r="296" spans="1:11">
      <c r="A296" s="956" t="s">
        <v>336</v>
      </c>
      <c r="B296" s="1140" t="str">
        <f t="shared" si="18"/>
        <v/>
      </c>
      <c r="C296" s="823" t="s">
        <v>1553</v>
      </c>
      <c r="D296" s="823">
        <v>1</v>
      </c>
      <c r="E296" s="1001">
        <v>79</v>
      </c>
      <c r="F296" s="824">
        <f>Cores!B34</f>
        <v>0</v>
      </c>
      <c r="G296" s="1003">
        <v>0</v>
      </c>
      <c r="H296" s="989">
        <f t="shared" si="17"/>
        <v>0</v>
      </c>
      <c r="I296" s="1178"/>
      <c r="J296" s="885"/>
    </row>
    <row r="297" spans="1:11">
      <c r="A297" s="956" t="s">
        <v>337</v>
      </c>
      <c r="B297" s="1140" t="str">
        <f t="shared" si="18"/>
        <v/>
      </c>
      <c r="C297" s="823" t="s">
        <v>1553</v>
      </c>
      <c r="D297" s="823">
        <v>1</v>
      </c>
      <c r="E297" s="1001">
        <v>80</v>
      </c>
      <c r="F297" s="823" t="s">
        <v>1637</v>
      </c>
      <c r="G297" s="980" t="str">
        <f>Cores!H10</f>
        <v/>
      </c>
      <c r="H297" s="989">
        <f t="shared" si="17"/>
        <v>0</v>
      </c>
      <c r="I297" s="1178"/>
      <c r="K297" s="885"/>
    </row>
    <row r="298" spans="1:11">
      <c r="A298" s="956" t="s">
        <v>1401</v>
      </c>
      <c r="B298" s="1140" t="str">
        <f t="shared" si="18"/>
        <v/>
      </c>
      <c r="C298" s="823" t="s">
        <v>1553</v>
      </c>
      <c r="D298" s="823">
        <v>1</v>
      </c>
      <c r="E298" s="1001">
        <v>81</v>
      </c>
      <c r="F298" s="823" t="s">
        <v>1637</v>
      </c>
      <c r="G298" s="980" t="str">
        <f>Cores!H11</f>
        <v/>
      </c>
      <c r="H298" s="989">
        <f t="shared" si="17"/>
        <v>0</v>
      </c>
      <c r="I298" s="1178"/>
    </row>
    <row r="299" spans="1:11">
      <c r="A299" s="956" t="s">
        <v>1402</v>
      </c>
      <c r="B299" s="1140" t="str">
        <f t="shared" si="18"/>
        <v/>
      </c>
      <c r="C299" s="823" t="s">
        <v>1553</v>
      </c>
      <c r="D299" s="823">
        <v>1</v>
      </c>
      <c r="E299" s="1001">
        <v>82</v>
      </c>
      <c r="F299" s="823" t="s">
        <v>1637</v>
      </c>
      <c r="G299" s="980" t="str">
        <f>Cores!H12</f>
        <v/>
      </c>
      <c r="H299" s="989">
        <f t="shared" si="17"/>
        <v>0</v>
      </c>
      <c r="I299" s="1178"/>
      <c r="K299" s="885"/>
    </row>
    <row r="300" spans="1:11">
      <c r="A300" s="956" t="s">
        <v>1403</v>
      </c>
      <c r="B300" s="1140" t="str">
        <f t="shared" si="18"/>
        <v/>
      </c>
      <c r="C300" s="823" t="s">
        <v>1553</v>
      </c>
      <c r="D300" s="823">
        <v>1</v>
      </c>
      <c r="E300" s="1001">
        <v>83</v>
      </c>
      <c r="F300" s="823" t="s">
        <v>1637</v>
      </c>
      <c r="G300" s="980" t="str">
        <f>Cores!H13</f>
        <v/>
      </c>
      <c r="H300" s="989">
        <f t="shared" si="17"/>
        <v>0</v>
      </c>
      <c r="I300" s="1178"/>
      <c r="K300" s="885"/>
    </row>
    <row r="301" spans="1:11">
      <c r="A301" s="956" t="s">
        <v>1404</v>
      </c>
      <c r="B301" s="1140" t="str">
        <f t="shared" si="18"/>
        <v/>
      </c>
      <c r="C301" s="823" t="s">
        <v>1553</v>
      </c>
      <c r="D301" s="823">
        <v>1</v>
      </c>
      <c r="E301" s="1001">
        <v>84</v>
      </c>
      <c r="F301" s="823" t="s">
        <v>1637</v>
      </c>
      <c r="G301" s="980" t="str">
        <f>Cores!H33</f>
        <v/>
      </c>
      <c r="H301" s="989">
        <f t="shared" si="17"/>
        <v>0</v>
      </c>
      <c r="I301" s="1178"/>
    </row>
    <row r="302" spans="1:11">
      <c r="A302" s="956" t="s">
        <v>1405</v>
      </c>
      <c r="B302" s="1140" t="str">
        <f t="shared" si="18"/>
        <v/>
      </c>
      <c r="C302" s="823" t="s">
        <v>1553</v>
      </c>
      <c r="D302" s="823">
        <v>1</v>
      </c>
      <c r="E302" s="1001">
        <v>85</v>
      </c>
      <c r="F302" s="823" t="s">
        <v>1637</v>
      </c>
      <c r="G302" s="980" t="str">
        <f>Cores!H34</f>
        <v/>
      </c>
      <c r="H302" s="989">
        <f t="shared" si="17"/>
        <v>0</v>
      </c>
      <c r="I302" s="1178"/>
      <c r="K302" s="958"/>
    </row>
    <row r="303" spans="1:11">
      <c r="A303" s="956" t="s">
        <v>1406</v>
      </c>
      <c r="B303" s="1140" t="str">
        <f t="shared" si="18"/>
        <v/>
      </c>
      <c r="C303" s="823" t="s">
        <v>1553</v>
      </c>
      <c r="D303" s="823">
        <v>1</v>
      </c>
      <c r="E303" s="1001">
        <v>86</v>
      </c>
      <c r="F303" s="823" t="s">
        <v>1637</v>
      </c>
      <c r="G303" s="980" t="str">
        <f>Cores!I10</f>
        <v/>
      </c>
      <c r="H303" s="989">
        <f t="shared" si="17"/>
        <v>0</v>
      </c>
      <c r="I303" s="1178"/>
    </row>
    <row r="304" spans="1:11">
      <c r="A304" s="956" t="s">
        <v>1407</v>
      </c>
      <c r="B304" s="1163" t="str">
        <f t="shared" si="18"/>
        <v/>
      </c>
      <c r="C304" s="875" t="s">
        <v>1553</v>
      </c>
      <c r="D304" s="875">
        <v>1</v>
      </c>
      <c r="E304" s="1001">
        <v>87</v>
      </c>
      <c r="F304" s="823" t="s">
        <v>1637</v>
      </c>
      <c r="G304" s="980" t="str">
        <f>Cores!I11</f>
        <v/>
      </c>
      <c r="H304" s="989">
        <f t="shared" si="17"/>
        <v>0</v>
      </c>
      <c r="I304" s="1192"/>
      <c r="K304" s="885"/>
    </row>
    <row r="305" spans="1:9">
      <c r="A305" s="956" t="s">
        <v>1408</v>
      </c>
      <c r="B305" s="1140" t="str">
        <f t="shared" si="18"/>
        <v/>
      </c>
      <c r="C305" s="823" t="s">
        <v>1553</v>
      </c>
      <c r="D305" s="823">
        <v>1</v>
      </c>
      <c r="E305" s="1001">
        <v>88</v>
      </c>
      <c r="F305" s="823" t="s">
        <v>1637</v>
      </c>
      <c r="G305" s="980" t="str">
        <f>Cores!I12</f>
        <v/>
      </c>
      <c r="H305" s="989">
        <f t="shared" si="17"/>
        <v>0</v>
      </c>
      <c r="I305" s="1178"/>
    </row>
    <row r="306" spans="1:9">
      <c r="A306" s="956" t="s">
        <v>1409</v>
      </c>
      <c r="B306" s="1140" t="str">
        <f t="shared" si="18"/>
        <v/>
      </c>
      <c r="C306" s="823" t="s">
        <v>1553</v>
      </c>
      <c r="D306" s="823">
        <v>1</v>
      </c>
      <c r="E306" s="1001">
        <v>89</v>
      </c>
      <c r="F306" s="823" t="s">
        <v>1637</v>
      </c>
      <c r="G306" s="980" t="str">
        <f>Cores!I13</f>
        <v/>
      </c>
      <c r="H306" s="989">
        <f t="shared" si="17"/>
        <v>0</v>
      </c>
      <c r="I306" s="1178"/>
    </row>
    <row r="307" spans="1:9">
      <c r="A307" s="956" t="s">
        <v>1410</v>
      </c>
      <c r="B307" s="1140" t="str">
        <f t="shared" si="18"/>
        <v/>
      </c>
      <c r="C307" s="823" t="s">
        <v>1553</v>
      </c>
      <c r="D307" s="823">
        <v>1</v>
      </c>
      <c r="E307" s="1001">
        <v>90</v>
      </c>
      <c r="F307" s="823" t="s">
        <v>1637</v>
      </c>
      <c r="G307" s="980" t="str">
        <f>Cores!I33</f>
        <v/>
      </c>
      <c r="H307" s="989">
        <f t="shared" si="17"/>
        <v>0</v>
      </c>
      <c r="I307" s="1178"/>
    </row>
    <row r="308" spans="1:9" ht="12.75" customHeight="1">
      <c r="A308" s="956" t="s">
        <v>1411</v>
      </c>
      <c r="B308" s="1140" t="str">
        <f t="shared" si="18"/>
        <v/>
      </c>
      <c r="C308" s="823" t="s">
        <v>1553</v>
      </c>
      <c r="D308" s="823">
        <v>1</v>
      </c>
      <c r="E308" s="1001">
        <v>91</v>
      </c>
      <c r="F308" s="823" t="s">
        <v>1637</v>
      </c>
      <c r="G308" s="980" t="str">
        <f>Cores!I34</f>
        <v/>
      </c>
      <c r="H308" s="989">
        <f t="shared" si="17"/>
        <v>0</v>
      </c>
      <c r="I308" s="1178"/>
    </row>
    <row r="309" spans="1:9" ht="12.75" customHeight="1">
      <c r="A309" s="956" t="s">
        <v>2329</v>
      </c>
      <c r="B309" s="1219" t="str">
        <f>B308</f>
        <v/>
      </c>
      <c r="C309" s="823" t="s">
        <v>1553</v>
      </c>
      <c r="D309" s="823">
        <v>1</v>
      </c>
      <c r="E309" s="1001" t="s">
        <v>2304</v>
      </c>
      <c r="F309" s="1220"/>
      <c r="G309" s="1226">
        <f>Calculations!$D$15</f>
        <v>0</v>
      </c>
      <c r="H309" s="1222">
        <f>H308</f>
        <v>0</v>
      </c>
      <c r="I309" s="1223"/>
    </row>
    <row r="310" spans="1:9" ht="12.75" customHeight="1">
      <c r="A310" s="956" t="s">
        <v>1382</v>
      </c>
      <c r="B310" s="1219" t="str">
        <f t="shared" ref="B310:D347" si="19">B309</f>
        <v/>
      </c>
      <c r="C310" s="823" t="s">
        <v>1553</v>
      </c>
      <c r="D310" s="823">
        <v>1</v>
      </c>
      <c r="E310" s="1001" t="s">
        <v>2305</v>
      </c>
      <c r="F310" s="1225" t="str">
        <f>Calculations!$H$20</f>
        <v/>
      </c>
      <c r="G310" s="1220"/>
      <c r="H310" s="1222">
        <f t="shared" ref="H310:H375" si="20">H309</f>
        <v>0</v>
      </c>
      <c r="I310" s="1223"/>
    </row>
    <row r="311" spans="1:9" ht="12.75" customHeight="1">
      <c r="A311" s="956" t="s">
        <v>2330</v>
      </c>
      <c r="B311" s="1219" t="str">
        <f t="shared" si="19"/>
        <v/>
      </c>
      <c r="C311" s="823" t="s">
        <v>1553</v>
      </c>
      <c r="D311" s="823">
        <v>1</v>
      </c>
      <c r="E311" s="1001" t="s">
        <v>2307</v>
      </c>
      <c r="F311" s="1225" t="str">
        <f>IF(Calculations!$H$12=1,"A",IF(Calculations!$H$12=2,"B"," "))</f>
        <v xml:space="preserve"> </v>
      </c>
      <c r="G311" s="1220"/>
      <c r="H311" s="1222">
        <f t="shared" si="20"/>
        <v>0</v>
      </c>
      <c r="I311" s="1223"/>
    </row>
    <row r="312" spans="1:9" ht="12.75" customHeight="1">
      <c r="A312" s="956" t="s">
        <v>2331</v>
      </c>
      <c r="B312" s="1219" t="str">
        <f t="shared" si="19"/>
        <v/>
      </c>
      <c r="C312" s="823" t="s">
        <v>1553</v>
      </c>
      <c r="D312" s="823">
        <v>1</v>
      </c>
      <c r="E312" s="1001" t="s">
        <v>2308</v>
      </c>
      <c r="F312" s="1220"/>
      <c r="G312" s="1221">
        <f>'Pay Values'!$A$13</f>
        <v>0</v>
      </c>
      <c r="H312" s="1222">
        <f t="shared" si="20"/>
        <v>0</v>
      </c>
      <c r="I312" s="1223"/>
    </row>
    <row r="313" spans="1:9" ht="12.75" customHeight="1">
      <c r="A313" s="956" t="s">
        <v>2332</v>
      </c>
      <c r="B313" s="1219" t="str">
        <f t="shared" si="19"/>
        <v/>
      </c>
      <c r="C313" s="823" t="s">
        <v>1553</v>
      </c>
      <c r="D313" s="823">
        <v>1</v>
      </c>
      <c r="E313" s="1001" t="s">
        <v>2309</v>
      </c>
      <c r="F313" s="1220"/>
      <c r="G313" s="1221" t="str">
        <f>'Pay Values'!$D$13</f>
        <v/>
      </c>
      <c r="H313" s="1222">
        <f t="shared" si="20"/>
        <v>0</v>
      </c>
      <c r="I313" s="1223"/>
    </row>
    <row r="314" spans="1:9" ht="12.75" customHeight="1">
      <c r="A314" s="956" t="s">
        <v>2333</v>
      </c>
      <c r="B314" s="1219" t="str">
        <f t="shared" si="19"/>
        <v/>
      </c>
      <c r="C314" s="823" t="s">
        <v>1553</v>
      </c>
      <c r="D314" s="823">
        <v>1</v>
      </c>
      <c r="E314" s="1001" t="s">
        <v>2310</v>
      </c>
      <c r="F314" s="1220"/>
      <c r="G314" s="1221" t="str">
        <f>'Pay Values'!$E$13</f>
        <v/>
      </c>
      <c r="H314" s="1222">
        <f t="shared" si="20"/>
        <v>0</v>
      </c>
      <c r="I314" s="1223"/>
    </row>
    <row r="315" spans="1:9" ht="12.75" customHeight="1">
      <c r="A315" s="956" t="s">
        <v>2334</v>
      </c>
      <c r="B315" s="1219" t="str">
        <f t="shared" si="19"/>
        <v/>
      </c>
      <c r="C315" s="823" t="s">
        <v>1553</v>
      </c>
      <c r="D315" s="823">
        <v>1</v>
      </c>
      <c r="E315" s="1001" t="s">
        <v>2311</v>
      </c>
      <c r="F315" s="1220"/>
      <c r="G315" s="1221" t="str">
        <f>'Pay Values'!$G$13</f>
        <v/>
      </c>
      <c r="H315" s="1222">
        <f t="shared" si="20"/>
        <v>0</v>
      </c>
      <c r="I315" s="1223"/>
    </row>
    <row r="316" spans="1:9" ht="12.75" customHeight="1">
      <c r="A316" s="956" t="s">
        <v>2335</v>
      </c>
      <c r="B316" s="1219" t="str">
        <f t="shared" si="19"/>
        <v/>
      </c>
      <c r="C316" s="823" t="s">
        <v>1553</v>
      </c>
      <c r="D316" s="823">
        <v>1</v>
      </c>
      <c r="E316" s="1001" t="s">
        <v>2312</v>
      </c>
      <c r="F316" s="1220"/>
      <c r="G316" s="1221">
        <f>'Pay Values'!$H$13</f>
        <v>0</v>
      </c>
      <c r="H316" s="1222">
        <f t="shared" si="20"/>
        <v>0</v>
      </c>
      <c r="I316" s="1223"/>
    </row>
    <row r="317" spans="1:9" ht="12.75" customHeight="1">
      <c r="A317" s="956" t="s">
        <v>2336</v>
      </c>
      <c r="B317" s="1219" t="str">
        <f t="shared" si="19"/>
        <v/>
      </c>
      <c r="C317" s="823" t="s">
        <v>1553</v>
      </c>
      <c r="D317" s="823">
        <v>1</v>
      </c>
      <c r="E317" s="1001" t="s">
        <v>2313</v>
      </c>
      <c r="F317" s="1220"/>
      <c r="G317" s="1221" t="str">
        <f>'Pay Values'!$K$13</f>
        <v/>
      </c>
      <c r="H317" s="1222">
        <f t="shared" si="20"/>
        <v>0</v>
      </c>
      <c r="I317" s="1223"/>
    </row>
    <row r="318" spans="1:9" ht="12.75" customHeight="1">
      <c r="A318" s="956" t="s">
        <v>2337</v>
      </c>
      <c r="B318" s="1219" t="str">
        <f t="shared" si="19"/>
        <v/>
      </c>
      <c r="C318" s="823" t="s">
        <v>1553</v>
      </c>
      <c r="D318" s="823">
        <v>1</v>
      </c>
      <c r="E318" s="1001" t="s">
        <v>2314</v>
      </c>
      <c r="F318" s="1220"/>
      <c r="G318" s="1221" t="str">
        <f>'Pay Values'!$B$21</f>
        <v/>
      </c>
      <c r="H318" s="1222">
        <f t="shared" si="20"/>
        <v>0</v>
      </c>
      <c r="I318" s="1223"/>
    </row>
    <row r="319" spans="1:9" ht="12.75" customHeight="1">
      <c r="A319" s="956" t="s">
        <v>2338</v>
      </c>
      <c r="B319" s="1219" t="str">
        <f t="shared" si="19"/>
        <v/>
      </c>
      <c r="C319" s="823" t="s">
        <v>1553</v>
      </c>
      <c r="D319" s="823">
        <v>1</v>
      </c>
      <c r="E319" s="1001" t="s">
        <v>2315</v>
      </c>
      <c r="F319" s="1220"/>
      <c r="G319" s="1221" t="str">
        <f>'Pay Values'!$B$22</f>
        <v/>
      </c>
      <c r="H319" s="1222">
        <f t="shared" si="20"/>
        <v>0</v>
      </c>
      <c r="I319" s="1223"/>
    </row>
    <row r="320" spans="1:9" ht="12.75" customHeight="1">
      <c r="A320" s="956" t="s">
        <v>2339</v>
      </c>
      <c r="B320" s="1219" t="str">
        <f t="shared" si="19"/>
        <v/>
      </c>
      <c r="C320" s="823" t="s">
        <v>1553</v>
      </c>
      <c r="D320" s="823">
        <v>1</v>
      </c>
      <c r="E320" s="1001" t="s">
        <v>2316</v>
      </c>
      <c r="F320" s="1220"/>
      <c r="G320" s="1225">
        <f>ROUND('Pay Values'!$J$20,2)</f>
        <v>0</v>
      </c>
      <c r="H320" s="1222">
        <f t="shared" si="20"/>
        <v>0</v>
      </c>
      <c r="I320" s="1223"/>
    </row>
    <row r="321" spans="1:9" ht="12.75" customHeight="1">
      <c r="A321" s="956" t="s">
        <v>2340</v>
      </c>
      <c r="B321" s="1219" t="str">
        <f t="shared" si="19"/>
        <v/>
      </c>
      <c r="C321" s="823" t="s">
        <v>1553</v>
      </c>
      <c r="D321" s="823">
        <v>1</v>
      </c>
      <c r="E321" s="1001" t="s">
        <v>2317</v>
      </c>
      <c r="F321" s="1220"/>
      <c r="G321" s="1225" t="str">
        <f>'Pay Values'!$J$21</f>
        <v/>
      </c>
      <c r="H321" s="1222">
        <f t="shared" si="20"/>
        <v>0</v>
      </c>
      <c r="I321" s="1223"/>
    </row>
    <row r="322" spans="1:9" ht="12.75" customHeight="1">
      <c r="A322" s="956" t="s">
        <v>2341</v>
      </c>
      <c r="B322" s="1219" t="str">
        <f t="shared" si="19"/>
        <v/>
      </c>
      <c r="C322" s="823" t="s">
        <v>1553</v>
      </c>
      <c r="D322" s="823">
        <v>1</v>
      </c>
      <c r="E322" s="1001" t="s">
        <v>2318</v>
      </c>
      <c r="F322" s="1220"/>
      <c r="G322" s="1225" t="str">
        <f>'Pay Values'!$J$24</f>
        <v/>
      </c>
      <c r="H322" s="1222">
        <f t="shared" si="20"/>
        <v>0</v>
      </c>
      <c r="I322" s="1223"/>
    </row>
    <row r="323" spans="1:9" ht="12.75" customHeight="1">
      <c r="A323" s="956" t="s">
        <v>2342</v>
      </c>
      <c r="B323" s="1219" t="str">
        <f t="shared" si="19"/>
        <v/>
      </c>
      <c r="C323" s="823" t="s">
        <v>1553</v>
      </c>
      <c r="D323" s="823">
        <v>1</v>
      </c>
      <c r="E323" s="1001" t="s">
        <v>2319</v>
      </c>
      <c r="F323" s="1221" t="str">
        <f>'Pay Values'!$B$37</f>
        <v/>
      </c>
      <c r="G323" s="1220"/>
      <c r="H323" s="1222">
        <f t="shared" si="20"/>
        <v>0</v>
      </c>
      <c r="I323" s="1223"/>
    </row>
    <row r="324" spans="1:9" ht="12.75" customHeight="1">
      <c r="A324" s="956" t="s">
        <v>2343</v>
      </c>
      <c r="B324" s="1219" t="str">
        <f t="shared" si="19"/>
        <v/>
      </c>
      <c r="C324" s="823" t="s">
        <v>1553</v>
      </c>
      <c r="D324" s="823">
        <v>1</v>
      </c>
      <c r="E324" s="1001" t="s">
        <v>2320</v>
      </c>
      <c r="F324" s="1221" t="str">
        <f>'Pay Values'!$C$37</f>
        <v/>
      </c>
      <c r="G324" s="1220"/>
      <c r="H324" s="1222">
        <f t="shared" si="20"/>
        <v>0</v>
      </c>
      <c r="I324" s="1223"/>
    </row>
    <row r="325" spans="1:9" ht="12.75" customHeight="1">
      <c r="A325" s="956" t="s">
        <v>2344</v>
      </c>
      <c r="B325" s="1219" t="str">
        <f t="shared" si="19"/>
        <v/>
      </c>
      <c r="C325" s="823" t="s">
        <v>1553</v>
      </c>
      <c r="D325" s="823">
        <v>1</v>
      </c>
      <c r="E325" s="1001" t="s">
        <v>2321</v>
      </c>
      <c r="F325" s="1220"/>
      <c r="G325" s="1221" t="str">
        <f>'Pay Values'!$E$37</f>
        <v/>
      </c>
      <c r="H325" s="1222">
        <f t="shared" si="20"/>
        <v>0</v>
      </c>
      <c r="I325" s="1223"/>
    </row>
    <row r="326" spans="1:9" ht="12.75" customHeight="1">
      <c r="A326" s="956" t="s">
        <v>2345</v>
      </c>
      <c r="B326" s="1219" t="str">
        <f t="shared" si="19"/>
        <v/>
      </c>
      <c r="C326" s="823" t="s">
        <v>1553</v>
      </c>
      <c r="D326" s="823">
        <v>1</v>
      </c>
      <c r="E326" s="1001" t="s">
        <v>2322</v>
      </c>
      <c r="F326" s="1221">
        <f>'Pay Values'!$B$43</f>
        <v>0</v>
      </c>
      <c r="G326" s="1220"/>
      <c r="H326" s="1222">
        <f t="shared" si="20"/>
        <v>0</v>
      </c>
      <c r="I326" s="1223"/>
    </row>
    <row r="327" spans="1:9" ht="12.75" customHeight="1">
      <c r="A327" s="956" t="s">
        <v>2346</v>
      </c>
      <c r="B327" s="1219" t="str">
        <f t="shared" si="19"/>
        <v/>
      </c>
      <c r="C327" s="823" t="s">
        <v>1553</v>
      </c>
      <c r="D327" s="823">
        <v>1</v>
      </c>
      <c r="E327" s="1001" t="s">
        <v>2323</v>
      </c>
      <c r="F327" s="1221">
        <f>'Pay Values'!$B$44</f>
        <v>0</v>
      </c>
      <c r="G327" s="1220"/>
      <c r="H327" s="1222">
        <f t="shared" si="20"/>
        <v>0</v>
      </c>
      <c r="I327" s="1223"/>
    </row>
    <row r="328" spans="1:9" ht="12.75" customHeight="1">
      <c r="A328" s="956" t="s">
        <v>2347</v>
      </c>
      <c r="B328" s="1219" t="str">
        <f t="shared" si="19"/>
        <v/>
      </c>
      <c r="C328" s="823" t="s">
        <v>1553</v>
      </c>
      <c r="D328" s="823">
        <v>1</v>
      </c>
      <c r="E328" s="1001" t="s">
        <v>2324</v>
      </c>
      <c r="F328" s="1225" t="e">
        <f>VLOOKUP(Calculations!$D$147,Calculations!$A$147:$B$161,2,FALSE)</f>
        <v>#N/A</v>
      </c>
      <c r="G328" s="1220"/>
      <c r="H328" s="1222">
        <f t="shared" si="20"/>
        <v>0</v>
      </c>
      <c r="I328" s="1223"/>
    </row>
    <row r="329" spans="1:9" ht="12.75" customHeight="1">
      <c r="A329" s="956" t="s">
        <v>2348</v>
      </c>
      <c r="B329" s="1219" t="str">
        <f t="shared" si="19"/>
        <v/>
      </c>
      <c r="C329" s="823" t="s">
        <v>1553</v>
      </c>
      <c r="D329" s="823">
        <v>1</v>
      </c>
      <c r="E329" s="1001" t="s">
        <v>2325</v>
      </c>
      <c r="F329" s="1225" t="str">
        <f>'Pay Values'!$B$46</f>
        <v/>
      </c>
      <c r="G329" s="1220"/>
      <c r="H329" s="1222">
        <f t="shared" si="20"/>
        <v>0</v>
      </c>
      <c r="I329" s="1223"/>
    </row>
    <row r="330" spans="1:9" ht="12.75" customHeight="1">
      <c r="A330" s="956" t="s">
        <v>2349</v>
      </c>
      <c r="B330" s="1219" t="str">
        <f t="shared" si="19"/>
        <v/>
      </c>
      <c r="C330" s="823" t="s">
        <v>1553</v>
      </c>
      <c r="D330" s="823">
        <v>1</v>
      </c>
      <c r="E330" s="1001" t="s">
        <v>2326</v>
      </c>
      <c r="F330" s="1225">
        <f>'Pay Values'!$C$46</f>
        <v>0</v>
      </c>
      <c r="G330" s="1220"/>
      <c r="H330" s="1222">
        <f t="shared" si="20"/>
        <v>0</v>
      </c>
      <c r="I330" s="1223"/>
    </row>
    <row r="331" spans="1:9" ht="12.75" customHeight="1">
      <c r="A331" s="956" t="s">
        <v>2350</v>
      </c>
      <c r="B331" s="1219" t="str">
        <f t="shared" si="19"/>
        <v/>
      </c>
      <c r="C331" s="823" t="s">
        <v>1553</v>
      </c>
      <c r="D331" s="823">
        <v>1</v>
      </c>
      <c r="E331" s="1001" t="s">
        <v>2327</v>
      </c>
      <c r="F331" s="1225" t="str">
        <f>IF(Calculations!$O$1=1,"Yes", "No")</f>
        <v>No</v>
      </c>
      <c r="G331" s="1220"/>
      <c r="H331" s="1222">
        <f t="shared" si="20"/>
        <v>0</v>
      </c>
      <c r="I331" s="1223"/>
    </row>
    <row r="332" spans="1:9" ht="12.75" customHeight="1">
      <c r="A332" s="956" t="s">
        <v>2351</v>
      </c>
      <c r="B332" s="1219" t="str">
        <f t="shared" si="19"/>
        <v/>
      </c>
      <c r="C332" s="823" t="s">
        <v>1553</v>
      </c>
      <c r="D332" s="823">
        <v>1</v>
      </c>
      <c r="E332" s="1001" t="s">
        <v>2328</v>
      </c>
      <c r="F332" s="1225" t="str">
        <f>IF(Calculations!$O$2=1,"Yes", "No")</f>
        <v>No</v>
      </c>
      <c r="G332" s="1220"/>
      <c r="H332" s="1222">
        <f t="shared" si="20"/>
        <v>0</v>
      </c>
      <c r="I332" s="1223"/>
    </row>
    <row r="333" spans="1:9" ht="12.75" customHeight="1">
      <c r="A333" s="956" t="s">
        <v>2533</v>
      </c>
      <c r="B333" s="1219" t="str">
        <f t="shared" si="19"/>
        <v/>
      </c>
      <c r="C333" s="823" t="s">
        <v>1553</v>
      </c>
      <c r="D333" s="823">
        <v>1</v>
      </c>
      <c r="E333" s="1001" t="s">
        <v>2519</v>
      </c>
      <c r="F333" s="1001"/>
      <c r="G333" s="980">
        <f>Gradation!$N$10</f>
        <v>0</v>
      </c>
      <c r="H333" s="1222">
        <f t="shared" si="20"/>
        <v>0</v>
      </c>
      <c r="I333" s="1223"/>
    </row>
    <row r="334" spans="1:9" ht="12.75" customHeight="1">
      <c r="A334" s="956" t="s">
        <v>2534</v>
      </c>
      <c r="B334" s="1219" t="str">
        <f t="shared" si="19"/>
        <v/>
      </c>
      <c r="C334" s="823" t="s">
        <v>1553</v>
      </c>
      <c r="D334" s="823">
        <v>1</v>
      </c>
      <c r="E334" s="1001" t="s">
        <v>2520</v>
      </c>
      <c r="F334" s="1001"/>
      <c r="G334" s="980">
        <f>Gradation!$N$11</f>
        <v>0</v>
      </c>
      <c r="H334" s="1222">
        <f t="shared" si="20"/>
        <v>0</v>
      </c>
      <c r="I334" s="1223"/>
    </row>
    <row r="335" spans="1:9" ht="12.75" customHeight="1">
      <c r="A335" s="956" t="s">
        <v>2535</v>
      </c>
      <c r="B335" s="1219" t="str">
        <f t="shared" si="19"/>
        <v/>
      </c>
      <c r="C335" s="823" t="s">
        <v>1553</v>
      </c>
      <c r="D335" s="823">
        <v>1</v>
      </c>
      <c r="E335" s="1001" t="s">
        <v>2521</v>
      </c>
      <c r="F335" s="1001"/>
      <c r="G335" s="980">
        <f>Gradation!$N$12</f>
        <v>0</v>
      </c>
      <c r="H335" s="1222">
        <f t="shared" si="20"/>
        <v>0</v>
      </c>
      <c r="I335" s="1223"/>
    </row>
    <row r="336" spans="1:9" ht="12.75" customHeight="1">
      <c r="A336" s="956" t="s">
        <v>2536</v>
      </c>
      <c r="B336" s="1219" t="str">
        <f t="shared" si="19"/>
        <v/>
      </c>
      <c r="C336" s="823" t="s">
        <v>1553</v>
      </c>
      <c r="D336" s="823">
        <v>1</v>
      </c>
      <c r="E336" s="1001" t="s">
        <v>2522</v>
      </c>
      <c r="F336" s="1001"/>
      <c r="G336" s="980">
        <f>Gradation!$N$13</f>
        <v>0</v>
      </c>
      <c r="H336" s="1222">
        <f t="shared" si="20"/>
        <v>0</v>
      </c>
      <c r="I336" s="1223"/>
    </row>
    <row r="337" spans="1:9" ht="12.75" customHeight="1">
      <c r="A337" s="956" t="s">
        <v>2537</v>
      </c>
      <c r="B337" s="1219" t="str">
        <f t="shared" si="19"/>
        <v/>
      </c>
      <c r="C337" s="823" t="s">
        <v>1553</v>
      </c>
      <c r="D337" s="823">
        <v>1</v>
      </c>
      <c r="E337" s="1001" t="s">
        <v>2523</v>
      </c>
      <c r="F337" s="1001"/>
      <c r="G337" s="980">
        <f>Gradation!$N$14</f>
        <v>0</v>
      </c>
      <c r="H337" s="1222">
        <f t="shared" si="20"/>
        <v>0</v>
      </c>
      <c r="I337" s="1223"/>
    </row>
    <row r="338" spans="1:9" ht="12.75" customHeight="1">
      <c r="A338" s="956" t="s">
        <v>2538</v>
      </c>
      <c r="B338" s="1219" t="str">
        <f t="shared" si="19"/>
        <v/>
      </c>
      <c r="C338" s="823" t="s">
        <v>1553</v>
      </c>
      <c r="D338" s="823">
        <v>1</v>
      </c>
      <c r="E338" s="1001" t="s">
        <v>2524</v>
      </c>
      <c r="F338" s="1001"/>
      <c r="G338" s="980">
        <f>Gradation!$N$15</f>
        <v>0</v>
      </c>
      <c r="H338" s="1222">
        <f t="shared" si="20"/>
        <v>0</v>
      </c>
      <c r="I338" s="1223"/>
    </row>
    <row r="339" spans="1:9" ht="12.75" customHeight="1">
      <c r="A339" s="956" t="s">
        <v>2539</v>
      </c>
      <c r="B339" s="1219" t="str">
        <f t="shared" si="19"/>
        <v/>
      </c>
      <c r="C339" s="823" t="s">
        <v>1553</v>
      </c>
      <c r="D339" s="823">
        <v>1</v>
      </c>
      <c r="E339" s="1001" t="s">
        <v>2525</v>
      </c>
      <c r="F339" s="1001"/>
      <c r="G339" s="980">
        <f>Gradation!$N$16</f>
        <v>0</v>
      </c>
      <c r="H339" s="1222">
        <f t="shared" si="20"/>
        <v>0</v>
      </c>
      <c r="I339" s="1223"/>
    </row>
    <row r="340" spans="1:9" ht="12.75" customHeight="1">
      <c r="A340" s="956" t="s">
        <v>2540</v>
      </c>
      <c r="B340" s="1219" t="str">
        <f t="shared" si="19"/>
        <v/>
      </c>
      <c r="C340" s="823" t="s">
        <v>1553</v>
      </c>
      <c r="D340" s="823">
        <v>1</v>
      </c>
      <c r="E340" s="1001" t="s">
        <v>2526</v>
      </c>
      <c r="F340" s="1001"/>
      <c r="G340" s="980">
        <f>Gradation!$N$17</f>
        <v>0</v>
      </c>
      <c r="H340" s="1222">
        <f t="shared" si="20"/>
        <v>0</v>
      </c>
      <c r="I340" s="1223"/>
    </row>
    <row r="341" spans="1:9" ht="12.75" customHeight="1">
      <c r="A341" s="956" t="s">
        <v>2541</v>
      </c>
      <c r="B341" s="1219" t="str">
        <f t="shared" si="19"/>
        <v/>
      </c>
      <c r="C341" s="823" t="s">
        <v>1553</v>
      </c>
      <c r="D341" s="823">
        <v>1</v>
      </c>
      <c r="E341" s="1001" t="s">
        <v>2527</v>
      </c>
      <c r="F341" s="1001"/>
      <c r="G341" s="980">
        <f>Gradation!$N$18</f>
        <v>0</v>
      </c>
      <c r="H341" s="1222">
        <f t="shared" si="20"/>
        <v>0</v>
      </c>
      <c r="I341" s="1223"/>
    </row>
    <row r="342" spans="1:9" ht="12.75" customHeight="1">
      <c r="A342" s="956" t="s">
        <v>2542</v>
      </c>
      <c r="B342" s="1219" t="str">
        <f t="shared" si="19"/>
        <v/>
      </c>
      <c r="C342" s="823" t="s">
        <v>1553</v>
      </c>
      <c r="D342" s="823">
        <v>1</v>
      </c>
      <c r="E342" s="1001" t="s">
        <v>2528</v>
      </c>
      <c r="F342" s="1001"/>
      <c r="G342" s="980">
        <f>Gradation!$N$19</f>
        <v>0</v>
      </c>
      <c r="H342" s="1222">
        <f t="shared" si="20"/>
        <v>0</v>
      </c>
      <c r="I342" s="1223"/>
    </row>
    <row r="343" spans="1:9" ht="12.75" customHeight="1">
      <c r="A343" s="956" t="s">
        <v>2543</v>
      </c>
      <c r="B343" s="1219" t="str">
        <f t="shared" si="19"/>
        <v/>
      </c>
      <c r="C343" s="823" t="s">
        <v>1553</v>
      </c>
      <c r="D343" s="823">
        <v>1</v>
      </c>
      <c r="E343" s="1001" t="s">
        <v>2529</v>
      </c>
      <c r="F343" s="1001"/>
      <c r="G343" s="980">
        <f>Gradation!$N$20</f>
        <v>0</v>
      </c>
      <c r="H343" s="1222">
        <f t="shared" si="20"/>
        <v>0</v>
      </c>
      <c r="I343" s="1223"/>
    </row>
    <row r="344" spans="1:9" ht="12.75" customHeight="1">
      <c r="A344" s="956" t="s">
        <v>2544</v>
      </c>
      <c r="B344" s="1219" t="str">
        <f t="shared" si="19"/>
        <v/>
      </c>
      <c r="C344" s="823" t="s">
        <v>1553</v>
      </c>
      <c r="D344" s="823">
        <v>1</v>
      </c>
      <c r="E344" s="1001" t="s">
        <v>2530</v>
      </c>
      <c r="F344" s="1001"/>
      <c r="G344" s="980">
        <f>Gradation!$N$21</f>
        <v>0</v>
      </c>
      <c r="H344" s="1222">
        <f t="shared" si="20"/>
        <v>0</v>
      </c>
      <c r="I344" s="1223"/>
    </row>
    <row r="345" spans="1:9" ht="12.75" customHeight="1">
      <c r="A345" s="956" t="s">
        <v>2545</v>
      </c>
      <c r="B345" s="1219" t="str">
        <f t="shared" si="19"/>
        <v/>
      </c>
      <c r="C345" s="823" t="s">
        <v>1553</v>
      </c>
      <c r="D345" s="823">
        <v>1</v>
      </c>
      <c r="E345" s="1001" t="s">
        <v>2531</v>
      </c>
      <c r="F345" s="1001"/>
      <c r="G345" s="980">
        <f>Gradation!$N$22</f>
        <v>0</v>
      </c>
      <c r="H345" s="1222">
        <f t="shared" si="20"/>
        <v>0</v>
      </c>
      <c r="I345" s="1223"/>
    </row>
    <row r="346" spans="1:9" ht="12.75" customHeight="1">
      <c r="A346" s="956" t="s">
        <v>2546</v>
      </c>
      <c r="B346" s="1219" t="str">
        <f t="shared" si="19"/>
        <v/>
      </c>
      <c r="C346" s="823" t="s">
        <v>1553</v>
      </c>
      <c r="D346" s="823">
        <v>1</v>
      </c>
      <c r="E346" s="1001" t="s">
        <v>2532</v>
      </c>
      <c r="F346" s="1001"/>
      <c r="G346" s="980">
        <f>Gradation!$N$23</f>
        <v>0</v>
      </c>
      <c r="H346" s="1222">
        <f t="shared" si="20"/>
        <v>0</v>
      </c>
      <c r="I346" s="1223"/>
    </row>
    <row r="347" spans="1:9" ht="12.75" customHeight="1">
      <c r="A347" s="1505" t="s">
        <v>2867</v>
      </c>
      <c r="B347" s="1506" t="str">
        <f t="shared" si="19"/>
        <v/>
      </c>
      <c r="C347" s="1507" t="str">
        <f t="shared" si="19"/>
        <v>AMAMAW</v>
      </c>
      <c r="D347" s="1507">
        <f t="shared" si="19"/>
        <v>1</v>
      </c>
      <c r="E347" s="1508">
        <v>130</v>
      </c>
      <c r="F347" s="1509"/>
      <c r="G347" s="1516">
        <f>IF('Performance Specimens'!$H$41="",0,'Performance Specimens'!$H$41)</f>
        <v>0</v>
      </c>
      <c r="H347" s="1510">
        <f t="shared" si="20"/>
        <v>0</v>
      </c>
      <c r="I347" s="1178"/>
    </row>
    <row r="348" spans="1:9" ht="12.75" customHeight="1">
      <c r="A348" s="1505" t="s">
        <v>2868</v>
      </c>
      <c r="B348" s="1506" t="str">
        <f t="shared" ref="B348:D365" si="21">B347</f>
        <v/>
      </c>
      <c r="C348" s="1507" t="str">
        <f t="shared" si="21"/>
        <v>AMAMAW</v>
      </c>
      <c r="D348" s="1507">
        <f t="shared" si="21"/>
        <v>1</v>
      </c>
      <c r="E348" s="1508">
        <v>131</v>
      </c>
      <c r="F348" s="1509"/>
      <c r="G348" s="1516">
        <f>IF('Performance Specimens'!$O$41="",0,'Performance Specimens'!$O$41)</f>
        <v>0</v>
      </c>
      <c r="H348" s="1510">
        <f t="shared" si="20"/>
        <v>0</v>
      </c>
      <c r="I348" s="1178"/>
    </row>
    <row r="349" spans="1:9" ht="12.75" customHeight="1">
      <c r="A349" s="1505" t="s">
        <v>3241</v>
      </c>
      <c r="B349" s="1506" t="str">
        <f t="shared" ref="B349:D349" si="22">B348</f>
        <v/>
      </c>
      <c r="C349" s="1507" t="str">
        <f t="shared" si="22"/>
        <v>AMAMAW</v>
      </c>
      <c r="D349" s="1507">
        <f t="shared" si="22"/>
        <v>1</v>
      </c>
      <c r="E349" s="1508">
        <v>132</v>
      </c>
      <c r="F349" s="1509"/>
      <c r="G349" s="1516">
        <f>IF('Performance Specimens'!$H$57="",0,'Performance Specimens'!$H$57)</f>
        <v>0</v>
      </c>
      <c r="H349" s="1510">
        <f t="shared" si="20"/>
        <v>0</v>
      </c>
      <c r="I349" s="1178"/>
    </row>
    <row r="350" spans="1:9" ht="12.75" customHeight="1">
      <c r="A350" s="1505" t="s">
        <v>3242</v>
      </c>
      <c r="B350" s="1506" t="str">
        <f t="shared" ref="B350:D350" si="23">B349</f>
        <v/>
      </c>
      <c r="C350" s="1507" t="str">
        <f t="shared" si="23"/>
        <v>AMAMAW</v>
      </c>
      <c r="D350" s="1507">
        <f t="shared" si="23"/>
        <v>1</v>
      </c>
      <c r="E350" s="1508">
        <v>133</v>
      </c>
      <c r="F350" s="1509"/>
      <c r="G350" s="1516">
        <f>IF('Performance Specimens'!$O$57="",0,'Performance Specimens'!$O$57)</f>
        <v>0</v>
      </c>
      <c r="H350" s="1510">
        <f t="shared" si="20"/>
        <v>0</v>
      </c>
      <c r="I350" s="1178"/>
    </row>
    <row r="351" spans="1:9" ht="12.75" customHeight="1">
      <c r="A351" s="1505" t="s">
        <v>2869</v>
      </c>
      <c r="B351" s="1506" t="str">
        <f>B348</f>
        <v/>
      </c>
      <c r="C351" s="1507" t="str">
        <f>C348</f>
        <v>AMAMAW</v>
      </c>
      <c r="D351" s="1507">
        <f>D348</f>
        <v>1</v>
      </c>
      <c r="E351" s="1508">
        <v>134</v>
      </c>
      <c r="F351" s="1511">
        <f>Calculations!$AR$1</f>
        <v>0</v>
      </c>
      <c r="G351" s="1509"/>
      <c r="H351" s="1510">
        <f>H348</f>
        <v>0</v>
      </c>
      <c r="I351" s="1178"/>
    </row>
    <row r="352" spans="1:9" ht="12.75" customHeight="1">
      <c r="A352" s="1505" t="s">
        <v>2870</v>
      </c>
      <c r="B352" s="1506" t="str">
        <f t="shared" si="21"/>
        <v/>
      </c>
      <c r="C352" s="1507" t="str">
        <f t="shared" si="21"/>
        <v>AMAMAW</v>
      </c>
      <c r="D352" s="1507">
        <f t="shared" si="21"/>
        <v>1</v>
      </c>
      <c r="E352" s="1508">
        <v>135</v>
      </c>
      <c r="F352" s="1509"/>
      <c r="G352" s="1510">
        <f ca="1">IF('KYCT Data Sublot # 1'!$B$14="",0,'KYCT Data Sublot # 1'!$B$14)</f>
        <v>0</v>
      </c>
      <c r="H352" s="1510">
        <f t="shared" si="20"/>
        <v>0</v>
      </c>
      <c r="I352" s="1178"/>
    </row>
    <row r="353" spans="1:9" ht="12.75" customHeight="1">
      <c r="A353" s="1505" t="s">
        <v>2871</v>
      </c>
      <c r="B353" s="1506" t="str">
        <f t="shared" si="21"/>
        <v/>
      </c>
      <c r="C353" s="1507" t="str">
        <f t="shared" si="21"/>
        <v>AMAMAW</v>
      </c>
      <c r="D353" s="1507">
        <f t="shared" si="21"/>
        <v>1</v>
      </c>
      <c r="E353" s="1508">
        <v>136</v>
      </c>
      <c r="F353" s="1509"/>
      <c r="G353" s="1510">
        <f ca="1">IF('KYCT Data Sublot # 1'!$B$18="",0,'KYCT Data Sublot # 1'!$B$18)</f>
        <v>0</v>
      </c>
      <c r="H353" s="1510">
        <f t="shared" si="20"/>
        <v>0</v>
      </c>
      <c r="I353" s="1178"/>
    </row>
    <row r="354" spans="1:9" ht="12.75" customHeight="1">
      <c r="A354" s="1505" t="s">
        <v>2872</v>
      </c>
      <c r="B354" s="1506" t="str">
        <f t="shared" si="21"/>
        <v/>
      </c>
      <c r="C354" s="1507" t="str">
        <f t="shared" si="21"/>
        <v>AMAMAW</v>
      </c>
      <c r="D354" s="1507">
        <f t="shared" si="21"/>
        <v>1</v>
      </c>
      <c r="E354" s="1508">
        <v>137</v>
      </c>
      <c r="F354" s="1509"/>
      <c r="G354" s="1510">
        <f ca="1">IF('KYCT Data Sublot # 1'!$B$19="",0,'KYCT Data Sublot # 1'!$B$19)</f>
        <v>0</v>
      </c>
      <c r="H354" s="1510">
        <f t="shared" si="20"/>
        <v>0</v>
      </c>
      <c r="I354" s="1178"/>
    </row>
    <row r="355" spans="1:9" ht="12.75" customHeight="1">
      <c r="A355" s="1505" t="s">
        <v>2873</v>
      </c>
      <c r="B355" s="1506" t="str">
        <f t="shared" si="21"/>
        <v/>
      </c>
      <c r="C355" s="1507" t="str">
        <f t="shared" si="21"/>
        <v>AMAMAW</v>
      </c>
      <c r="D355" s="1507">
        <f t="shared" si="21"/>
        <v>1</v>
      </c>
      <c r="E355" s="1508">
        <v>138</v>
      </c>
      <c r="F355" s="1509"/>
      <c r="G355" s="1510">
        <f ca="1">IF('KYCT Data Sublot # 1'!$B$20="",0,'KYCT Data Sublot # 1'!$B$20)</f>
        <v>0</v>
      </c>
      <c r="H355" s="1510">
        <f t="shared" si="20"/>
        <v>0</v>
      </c>
      <c r="I355" s="1178"/>
    </row>
    <row r="356" spans="1:9" ht="12.75" customHeight="1">
      <c r="A356" s="1505" t="s">
        <v>2874</v>
      </c>
      <c r="B356" s="1506" t="str">
        <f t="shared" si="21"/>
        <v/>
      </c>
      <c r="C356" s="1507" t="str">
        <f t="shared" si="21"/>
        <v>AMAMAW</v>
      </c>
      <c r="D356" s="1507">
        <f t="shared" si="21"/>
        <v>1</v>
      </c>
      <c r="E356" s="1508">
        <v>139</v>
      </c>
      <c r="F356" s="1509"/>
      <c r="G356" s="1510">
        <f ca="1">IF('KYCT Data Sublot # 1'!$B$21="",0,'KYCT Data Sublot # 1'!$B$21)</f>
        <v>0</v>
      </c>
      <c r="H356" s="1510">
        <f t="shared" si="20"/>
        <v>0</v>
      </c>
      <c r="I356" s="1178"/>
    </row>
    <row r="357" spans="1:9" ht="12.75" customHeight="1">
      <c r="A357" s="1505" t="s">
        <v>2875</v>
      </c>
      <c r="B357" s="1506" t="str">
        <f t="shared" si="21"/>
        <v/>
      </c>
      <c r="C357" s="1507" t="str">
        <f t="shared" si="21"/>
        <v>AMAMAW</v>
      </c>
      <c r="D357" s="1507">
        <f t="shared" si="21"/>
        <v>1</v>
      </c>
      <c r="E357" s="1508">
        <v>140</v>
      </c>
      <c r="F357" s="1509"/>
      <c r="G357" s="1510">
        <f ca="1">IF('KYCT Data Sublot # 1'!$D$14="",0,'KYCT Data Sublot # 1'!$D$14)</f>
        <v>0</v>
      </c>
      <c r="H357" s="1510">
        <f t="shared" si="20"/>
        <v>0</v>
      </c>
      <c r="I357" s="1178"/>
    </row>
    <row r="358" spans="1:9" ht="12.75" customHeight="1">
      <c r="A358" s="1505" t="s">
        <v>2876</v>
      </c>
      <c r="B358" s="1506" t="str">
        <f t="shared" si="21"/>
        <v/>
      </c>
      <c r="C358" s="1507" t="str">
        <f t="shared" si="21"/>
        <v>AMAMAW</v>
      </c>
      <c r="D358" s="1507">
        <f t="shared" si="21"/>
        <v>1</v>
      </c>
      <c r="E358" s="1508">
        <v>141</v>
      </c>
      <c r="F358" s="1509"/>
      <c r="G358" s="1510">
        <f ca="1">IF('KYCT Data Sublot # 1'!$D$18="",0,'KYCT Data Sublot # 1'!$D$18)</f>
        <v>0</v>
      </c>
      <c r="H358" s="1510">
        <f t="shared" si="20"/>
        <v>0</v>
      </c>
      <c r="I358" s="1178"/>
    </row>
    <row r="359" spans="1:9" ht="12.75" customHeight="1">
      <c r="A359" s="1505" t="s">
        <v>2877</v>
      </c>
      <c r="B359" s="1506" t="str">
        <f t="shared" si="21"/>
        <v/>
      </c>
      <c r="C359" s="1507" t="str">
        <f t="shared" si="21"/>
        <v>AMAMAW</v>
      </c>
      <c r="D359" s="1507">
        <f t="shared" si="21"/>
        <v>1</v>
      </c>
      <c r="E359" s="1508">
        <v>142</v>
      </c>
      <c r="F359" s="1509"/>
      <c r="G359" s="1510">
        <f ca="1">IF('KYCT Data Sublot # 1'!$D$19="",0,'KYCT Data Sublot # 1'!$D$19)</f>
        <v>0</v>
      </c>
      <c r="H359" s="1510">
        <f t="shared" si="20"/>
        <v>0</v>
      </c>
      <c r="I359" s="1178"/>
    </row>
    <row r="360" spans="1:9" ht="12.75" customHeight="1">
      <c r="A360" s="1505" t="s">
        <v>2878</v>
      </c>
      <c r="B360" s="1506" t="str">
        <f t="shared" si="21"/>
        <v/>
      </c>
      <c r="C360" s="1507" t="str">
        <f t="shared" si="21"/>
        <v>AMAMAW</v>
      </c>
      <c r="D360" s="1507">
        <f t="shared" si="21"/>
        <v>1</v>
      </c>
      <c r="E360" s="1508">
        <v>143</v>
      </c>
      <c r="F360" s="1509"/>
      <c r="G360" s="1510">
        <f ca="1">IF('KYCT Data Sublot # 1'!$D$20="",0,'KYCT Data Sublot # 1'!$D$20)</f>
        <v>0</v>
      </c>
      <c r="H360" s="1510">
        <f t="shared" si="20"/>
        <v>0</v>
      </c>
      <c r="I360" s="1178"/>
    </row>
    <row r="361" spans="1:9" ht="12.75" customHeight="1">
      <c r="A361" s="1505" t="s">
        <v>2879</v>
      </c>
      <c r="B361" s="1506" t="str">
        <f t="shared" si="21"/>
        <v/>
      </c>
      <c r="C361" s="1507" t="str">
        <f t="shared" si="21"/>
        <v>AMAMAW</v>
      </c>
      <c r="D361" s="1507">
        <f t="shared" si="21"/>
        <v>1</v>
      </c>
      <c r="E361" s="1508">
        <v>144</v>
      </c>
      <c r="F361" s="1509"/>
      <c r="G361" s="1510">
        <f ca="1">IF('KYCT Data Sublot # 1'!$D$21="",0,'KYCT Data Sublot # 1'!$D$21)</f>
        <v>0</v>
      </c>
      <c r="H361" s="1510">
        <f t="shared" si="20"/>
        <v>0</v>
      </c>
      <c r="I361" s="1178"/>
    </row>
    <row r="362" spans="1:9" ht="12.75" customHeight="1">
      <c r="A362" s="1505" t="s">
        <v>2880</v>
      </c>
      <c r="B362" s="1506" t="str">
        <f t="shared" si="21"/>
        <v/>
      </c>
      <c r="C362" s="1507" t="str">
        <f t="shared" si="21"/>
        <v>AMAMAW</v>
      </c>
      <c r="D362" s="1507">
        <f t="shared" si="21"/>
        <v>1</v>
      </c>
      <c r="E362" s="1508">
        <v>145</v>
      </c>
      <c r="F362" s="1509"/>
      <c r="G362" s="1510">
        <f ca="1">IF('KYCT Data Sublot # 1'!$F$14="",0,'KYCT Data Sublot # 1'!$F$14)</f>
        <v>0</v>
      </c>
      <c r="H362" s="1510">
        <f t="shared" si="20"/>
        <v>0</v>
      </c>
      <c r="I362" s="1178"/>
    </row>
    <row r="363" spans="1:9" ht="12.75" customHeight="1">
      <c r="A363" s="1505" t="s">
        <v>2881</v>
      </c>
      <c r="B363" s="1506" t="str">
        <f t="shared" si="21"/>
        <v/>
      </c>
      <c r="C363" s="1507" t="str">
        <f t="shared" si="21"/>
        <v>AMAMAW</v>
      </c>
      <c r="D363" s="1507">
        <f t="shared" si="21"/>
        <v>1</v>
      </c>
      <c r="E363" s="1508">
        <v>146</v>
      </c>
      <c r="F363" s="1509"/>
      <c r="G363" s="1510">
        <f ca="1">IF('KYCT Data Sublot # 1'!$F$18="",0,'KYCT Data Sublot # 1'!$F$18)</f>
        <v>0</v>
      </c>
      <c r="H363" s="1510">
        <f t="shared" si="20"/>
        <v>0</v>
      </c>
      <c r="I363" s="1178"/>
    </row>
    <row r="364" spans="1:9" ht="12.75" customHeight="1">
      <c r="A364" s="1505" t="s">
        <v>2882</v>
      </c>
      <c r="B364" s="1506" t="str">
        <f t="shared" si="21"/>
        <v/>
      </c>
      <c r="C364" s="1507" t="str">
        <f t="shared" si="21"/>
        <v>AMAMAW</v>
      </c>
      <c r="D364" s="1507">
        <f t="shared" si="21"/>
        <v>1</v>
      </c>
      <c r="E364" s="1508">
        <v>147</v>
      </c>
      <c r="F364" s="1509"/>
      <c r="G364" s="1510">
        <f ca="1">IF('KYCT Data Sublot # 1'!$F$19="",0,'KYCT Data Sublot # 1'!$F$19)</f>
        <v>0</v>
      </c>
      <c r="H364" s="1510">
        <f t="shared" si="20"/>
        <v>0</v>
      </c>
      <c r="I364" s="1178"/>
    </row>
    <row r="365" spans="1:9" ht="12.75" customHeight="1">
      <c r="A365" s="1505" t="s">
        <v>2883</v>
      </c>
      <c r="B365" s="1506" t="str">
        <f t="shared" si="21"/>
        <v/>
      </c>
      <c r="C365" s="1507" t="str">
        <f t="shared" si="21"/>
        <v>AMAMAW</v>
      </c>
      <c r="D365" s="1507">
        <f t="shared" si="21"/>
        <v>1</v>
      </c>
      <c r="E365" s="1508">
        <v>148</v>
      </c>
      <c r="F365" s="1509"/>
      <c r="G365" s="1510">
        <f ca="1">IF('KYCT Data Sublot # 1'!$F$20="",0,'KYCT Data Sublot # 1'!$F$20)</f>
        <v>0</v>
      </c>
      <c r="H365" s="1510">
        <f t="shared" si="20"/>
        <v>0</v>
      </c>
      <c r="I365" s="1178"/>
    </row>
    <row r="366" spans="1:9" ht="12.75" customHeight="1">
      <c r="A366" s="1505" t="s">
        <v>2884</v>
      </c>
      <c r="B366" s="1506" t="str">
        <f t="shared" ref="B366:D381" si="24">B365</f>
        <v/>
      </c>
      <c r="C366" s="1507" t="str">
        <f t="shared" si="24"/>
        <v>AMAMAW</v>
      </c>
      <c r="D366" s="1507">
        <f t="shared" si="24"/>
        <v>1</v>
      </c>
      <c r="E366" s="1508">
        <v>149</v>
      </c>
      <c r="F366" s="1509"/>
      <c r="G366" s="1510">
        <f ca="1">IF('KYCT Data Sublot # 1'!$F$21="",0,'KYCT Data Sublot # 1'!$F$21)</f>
        <v>0</v>
      </c>
      <c r="H366" s="1510">
        <f t="shared" si="20"/>
        <v>0</v>
      </c>
      <c r="I366" s="1178"/>
    </row>
    <row r="367" spans="1:9" ht="12.75" customHeight="1">
      <c r="A367" s="1505" t="s">
        <v>2885</v>
      </c>
      <c r="B367" s="1506" t="str">
        <f t="shared" si="24"/>
        <v/>
      </c>
      <c r="C367" s="1507" t="str">
        <f t="shared" si="24"/>
        <v>AMAMAW</v>
      </c>
      <c r="D367" s="1507">
        <f t="shared" si="24"/>
        <v>1</v>
      </c>
      <c r="E367" s="1508">
        <v>150</v>
      </c>
      <c r="F367" s="1509"/>
      <c r="G367" s="1510">
        <f ca="1">IF('KYCT Data Sublot # 1'!$H$14="",0,'KYCT Data Sublot # 1'!$H$14)</f>
        <v>0</v>
      </c>
      <c r="H367" s="1510">
        <f t="shared" si="20"/>
        <v>0</v>
      </c>
      <c r="I367" s="1178"/>
    </row>
    <row r="368" spans="1:9" ht="12.75" customHeight="1">
      <c r="A368" s="1505" t="s">
        <v>2886</v>
      </c>
      <c r="B368" s="1506" t="str">
        <f t="shared" si="24"/>
        <v/>
      </c>
      <c r="C368" s="1507" t="str">
        <f t="shared" si="24"/>
        <v>AMAMAW</v>
      </c>
      <c r="D368" s="1507">
        <f t="shared" si="24"/>
        <v>1</v>
      </c>
      <c r="E368" s="1508">
        <v>151</v>
      </c>
      <c r="F368" s="1509"/>
      <c r="G368" s="1510">
        <f ca="1">IF('KYCT Data Sublot # 1'!$H$18="",0,'KYCT Data Sublot # 1'!$H$18)</f>
        <v>0</v>
      </c>
      <c r="H368" s="1510">
        <f t="shared" si="20"/>
        <v>0</v>
      </c>
      <c r="I368" s="1178"/>
    </row>
    <row r="369" spans="1:9" ht="12.75" customHeight="1">
      <c r="A369" s="1505" t="s">
        <v>2887</v>
      </c>
      <c r="B369" s="1506" t="str">
        <f t="shared" si="24"/>
        <v/>
      </c>
      <c r="C369" s="1507" t="str">
        <f t="shared" si="24"/>
        <v>AMAMAW</v>
      </c>
      <c r="D369" s="1507">
        <f t="shared" si="24"/>
        <v>1</v>
      </c>
      <c r="E369" s="1508">
        <v>152</v>
      </c>
      <c r="F369" s="1509"/>
      <c r="G369" s="1510">
        <f ca="1">IF('KYCT Data Sublot # 1'!$H$19="",0,'KYCT Data Sublot # 1'!$H$19)</f>
        <v>0</v>
      </c>
      <c r="H369" s="1510">
        <f t="shared" si="20"/>
        <v>0</v>
      </c>
      <c r="I369" s="1178"/>
    </row>
    <row r="370" spans="1:9" ht="12.75" customHeight="1">
      <c r="A370" s="1505" t="s">
        <v>2888</v>
      </c>
      <c r="B370" s="1506" t="str">
        <f t="shared" si="24"/>
        <v/>
      </c>
      <c r="C370" s="1507" t="str">
        <f t="shared" si="24"/>
        <v>AMAMAW</v>
      </c>
      <c r="D370" s="1507">
        <f t="shared" si="24"/>
        <v>1</v>
      </c>
      <c r="E370" s="1508">
        <v>153</v>
      </c>
      <c r="F370" s="1509"/>
      <c r="G370" s="1510">
        <f ca="1">IF('KYCT Data Sublot # 1'!$H$20="",0,'KYCT Data Sublot # 1'!$H$20)</f>
        <v>0</v>
      </c>
      <c r="H370" s="1510">
        <f t="shared" si="20"/>
        <v>0</v>
      </c>
      <c r="I370" s="1178"/>
    </row>
    <row r="371" spans="1:9" ht="12.75" customHeight="1">
      <c r="A371" s="1505" t="s">
        <v>2889</v>
      </c>
      <c r="B371" s="1506" t="str">
        <f t="shared" si="24"/>
        <v/>
      </c>
      <c r="C371" s="1507" t="str">
        <f t="shared" si="24"/>
        <v>AMAMAW</v>
      </c>
      <c r="D371" s="1507">
        <f t="shared" si="24"/>
        <v>1</v>
      </c>
      <c r="E371" s="1508">
        <v>154</v>
      </c>
      <c r="F371" s="1509"/>
      <c r="G371" s="1510">
        <f ca="1">IF('KYCT Data Sublot # 1'!$H$21="",0,'KYCT Data Sublot # 1'!$H$21)</f>
        <v>0</v>
      </c>
      <c r="H371" s="1510">
        <f t="shared" si="20"/>
        <v>0</v>
      </c>
      <c r="I371" s="1178"/>
    </row>
    <row r="372" spans="1:9" ht="12.75" customHeight="1">
      <c r="A372" s="1505" t="s">
        <v>2890</v>
      </c>
      <c r="B372" s="1506" t="str">
        <f t="shared" si="24"/>
        <v/>
      </c>
      <c r="C372" s="1507" t="str">
        <f t="shared" si="24"/>
        <v>AMAMAW</v>
      </c>
      <c r="D372" s="1507">
        <f t="shared" si="24"/>
        <v>1</v>
      </c>
      <c r="E372" s="1508">
        <v>155</v>
      </c>
      <c r="F372" s="1509"/>
      <c r="G372" s="1510">
        <f ca="1">IF('KYCT Data Sublot # 1'!$J$14="",0,'KYCT Data Sublot # 1'!$J$14)</f>
        <v>0</v>
      </c>
      <c r="H372" s="1510">
        <f t="shared" si="20"/>
        <v>0</v>
      </c>
      <c r="I372" s="1178"/>
    </row>
    <row r="373" spans="1:9" ht="12.75" customHeight="1">
      <c r="A373" s="1505" t="s">
        <v>2891</v>
      </c>
      <c r="B373" s="1506" t="str">
        <f t="shared" si="24"/>
        <v/>
      </c>
      <c r="C373" s="1507" t="str">
        <f t="shared" si="24"/>
        <v>AMAMAW</v>
      </c>
      <c r="D373" s="1507">
        <f t="shared" si="24"/>
        <v>1</v>
      </c>
      <c r="E373" s="1508">
        <v>156</v>
      </c>
      <c r="F373" s="1509"/>
      <c r="G373" s="1510">
        <f ca="1">IF('KYCT Data Sublot # 1'!$J$18="",0,'KYCT Data Sublot # 1'!$J$18)</f>
        <v>0</v>
      </c>
      <c r="H373" s="1510">
        <f t="shared" si="20"/>
        <v>0</v>
      </c>
      <c r="I373" s="1178"/>
    </row>
    <row r="374" spans="1:9" ht="12.75" customHeight="1">
      <c r="A374" s="1505" t="s">
        <v>2892</v>
      </c>
      <c r="B374" s="1506" t="str">
        <f t="shared" si="24"/>
        <v/>
      </c>
      <c r="C374" s="1507" t="str">
        <f t="shared" si="24"/>
        <v>AMAMAW</v>
      </c>
      <c r="D374" s="1507">
        <f t="shared" si="24"/>
        <v>1</v>
      </c>
      <c r="E374" s="1508">
        <v>157</v>
      </c>
      <c r="F374" s="1509"/>
      <c r="G374" s="1510">
        <f ca="1">IF('KYCT Data Sublot # 1'!$J$19="",0,'KYCT Data Sublot # 1'!$J$19)</f>
        <v>0</v>
      </c>
      <c r="H374" s="1510">
        <f t="shared" si="20"/>
        <v>0</v>
      </c>
      <c r="I374" s="1178"/>
    </row>
    <row r="375" spans="1:9" ht="12.75" customHeight="1">
      <c r="A375" s="1505" t="s">
        <v>2893</v>
      </c>
      <c r="B375" s="1506" t="str">
        <f t="shared" si="24"/>
        <v/>
      </c>
      <c r="C375" s="1507" t="str">
        <f t="shared" si="24"/>
        <v>AMAMAW</v>
      </c>
      <c r="D375" s="1507">
        <f t="shared" si="24"/>
        <v>1</v>
      </c>
      <c r="E375" s="1508">
        <v>158</v>
      </c>
      <c r="F375" s="1509"/>
      <c r="G375" s="1510">
        <f ca="1">IF('KYCT Data Sublot # 1'!$J$20="",0,'KYCT Data Sublot # 1'!$J$20)</f>
        <v>0</v>
      </c>
      <c r="H375" s="1510">
        <f t="shared" si="20"/>
        <v>0</v>
      </c>
      <c r="I375" s="1178"/>
    </row>
    <row r="376" spans="1:9" ht="12.75" customHeight="1">
      <c r="A376" s="1505" t="s">
        <v>2894</v>
      </c>
      <c r="B376" s="1506" t="str">
        <f t="shared" si="24"/>
        <v/>
      </c>
      <c r="C376" s="1507" t="str">
        <f t="shared" si="24"/>
        <v>AMAMAW</v>
      </c>
      <c r="D376" s="1507">
        <f t="shared" si="24"/>
        <v>1</v>
      </c>
      <c r="E376" s="1508">
        <v>159</v>
      </c>
      <c r="F376" s="1509"/>
      <c r="G376" s="1510">
        <f ca="1">IF('KYCT Data Sublot # 1'!$J$21="",0,'KYCT Data Sublot # 1'!$J$21)</f>
        <v>0</v>
      </c>
      <c r="H376" s="1510">
        <f t="shared" ref="H376:H426" si="25">H375</f>
        <v>0</v>
      </c>
      <c r="I376" s="1178"/>
    </row>
    <row r="377" spans="1:9" ht="12.75" customHeight="1">
      <c r="A377" s="1505" t="s">
        <v>2895</v>
      </c>
      <c r="B377" s="1512" t="str">
        <f t="shared" si="24"/>
        <v/>
      </c>
      <c r="C377" s="1513" t="str">
        <f t="shared" si="24"/>
        <v>AMAMAW</v>
      </c>
      <c r="D377" s="1513">
        <f t="shared" si="24"/>
        <v>1</v>
      </c>
      <c r="E377" s="1514">
        <v>160</v>
      </c>
      <c r="F377" s="1509"/>
      <c r="G377" s="1510">
        <f ca="1">IF('KYCT Data Sublot # 1'!$L$14="",0,'KYCT Data Sublot # 1'!$L$14)</f>
        <v>0</v>
      </c>
      <c r="H377" s="1515">
        <f t="shared" si="25"/>
        <v>0</v>
      </c>
      <c r="I377" s="1178"/>
    </row>
    <row r="378" spans="1:9" ht="12.75" customHeight="1">
      <c r="A378" s="1505" t="s">
        <v>2896</v>
      </c>
      <c r="B378" s="1512" t="str">
        <f t="shared" si="24"/>
        <v/>
      </c>
      <c r="C378" s="1513" t="str">
        <f t="shared" si="24"/>
        <v>AMAMAW</v>
      </c>
      <c r="D378" s="1513">
        <f t="shared" si="24"/>
        <v>1</v>
      </c>
      <c r="E378" s="1514">
        <v>161</v>
      </c>
      <c r="F378" s="1509"/>
      <c r="G378" s="1510">
        <f ca="1">IF('KYCT Data Sublot # 1'!$L$18="",0,'KYCT Data Sublot # 1'!$L$18)</f>
        <v>0</v>
      </c>
      <c r="H378" s="1515">
        <f t="shared" si="25"/>
        <v>0</v>
      </c>
      <c r="I378" s="1178"/>
    </row>
    <row r="379" spans="1:9" ht="12.75" customHeight="1">
      <c r="A379" s="1505" t="s">
        <v>2897</v>
      </c>
      <c r="B379" s="1512" t="str">
        <f t="shared" si="24"/>
        <v/>
      </c>
      <c r="C379" s="1513" t="str">
        <f t="shared" si="24"/>
        <v>AMAMAW</v>
      </c>
      <c r="D379" s="1513">
        <f t="shared" si="24"/>
        <v>1</v>
      </c>
      <c r="E379" s="1514">
        <v>162</v>
      </c>
      <c r="F379" s="1509"/>
      <c r="G379" s="1510">
        <f ca="1">IF('KYCT Data Sublot # 1'!$L$19="",0,'KYCT Data Sublot # 1'!$L$19)</f>
        <v>0</v>
      </c>
      <c r="H379" s="1515">
        <f t="shared" si="25"/>
        <v>0</v>
      </c>
      <c r="I379" s="1178"/>
    </row>
    <row r="380" spans="1:9" ht="12.75" customHeight="1">
      <c r="A380" s="1505" t="s">
        <v>2898</v>
      </c>
      <c r="B380" s="1512" t="str">
        <f t="shared" si="24"/>
        <v/>
      </c>
      <c r="C380" s="1513" t="str">
        <f t="shared" si="24"/>
        <v>AMAMAW</v>
      </c>
      <c r="D380" s="1513">
        <f t="shared" si="24"/>
        <v>1</v>
      </c>
      <c r="E380" s="1514">
        <v>163</v>
      </c>
      <c r="F380" s="1509"/>
      <c r="G380" s="1510">
        <f ca="1">IF('KYCT Data Sublot # 1'!$L$20="",0,'KYCT Data Sublot # 1'!$L$20)</f>
        <v>0</v>
      </c>
      <c r="H380" s="1515">
        <f t="shared" si="25"/>
        <v>0</v>
      </c>
      <c r="I380" s="1178"/>
    </row>
    <row r="381" spans="1:9" ht="12.75" customHeight="1">
      <c r="A381" s="1505" t="s">
        <v>2899</v>
      </c>
      <c r="B381" s="1506" t="str">
        <f t="shared" si="24"/>
        <v/>
      </c>
      <c r="C381" s="1507" t="str">
        <f t="shared" si="24"/>
        <v>AMAMAW</v>
      </c>
      <c r="D381" s="1507">
        <f t="shared" si="24"/>
        <v>1</v>
      </c>
      <c r="E381" s="1508">
        <v>164</v>
      </c>
      <c r="F381" s="1509"/>
      <c r="G381" s="1510">
        <f ca="1">IF('KYCT Data Sublot # 1'!$L$21="",0,'KYCT Data Sublot # 1'!$L$21)</f>
        <v>0</v>
      </c>
      <c r="H381" s="1510">
        <f t="shared" si="25"/>
        <v>0</v>
      </c>
      <c r="I381" s="1178"/>
    </row>
    <row r="382" spans="1:9" ht="12.75" customHeight="1">
      <c r="A382" s="1505" t="s">
        <v>2900</v>
      </c>
      <c r="B382" s="1512" t="str">
        <f t="shared" ref="B382:D397" si="26">B381</f>
        <v/>
      </c>
      <c r="C382" s="1513" t="str">
        <f t="shared" si="26"/>
        <v>AMAMAW</v>
      </c>
      <c r="D382" s="1513">
        <f t="shared" si="26"/>
        <v>1</v>
      </c>
      <c r="E382" s="1514">
        <v>165</v>
      </c>
      <c r="F382" s="1509"/>
      <c r="G382" s="1510">
        <f ca="1">IF('KYCT Data Sublot # 1'!$N$14="",0,'KYCT Data Sublot # 1'!$N$14)</f>
        <v>0</v>
      </c>
      <c r="H382" s="1515">
        <f t="shared" si="25"/>
        <v>0</v>
      </c>
      <c r="I382" s="1178"/>
    </row>
    <row r="383" spans="1:9" ht="12.75" customHeight="1">
      <c r="A383" s="1505" t="s">
        <v>2901</v>
      </c>
      <c r="B383" s="1512" t="str">
        <f t="shared" si="26"/>
        <v/>
      </c>
      <c r="C383" s="1513" t="str">
        <f t="shared" si="26"/>
        <v>AMAMAW</v>
      </c>
      <c r="D383" s="1513">
        <f t="shared" si="26"/>
        <v>1</v>
      </c>
      <c r="E383" s="1514">
        <v>166</v>
      </c>
      <c r="F383" s="1509"/>
      <c r="G383" s="1510">
        <f ca="1">IF('KYCT Data Sublot # 1'!$N$18="",0,'KYCT Data Sublot # 1'!$N$18)</f>
        <v>0</v>
      </c>
      <c r="H383" s="1515">
        <f t="shared" si="25"/>
        <v>0</v>
      </c>
      <c r="I383" s="1178"/>
    </row>
    <row r="384" spans="1:9" ht="12.75" customHeight="1">
      <c r="A384" s="1505" t="s">
        <v>2902</v>
      </c>
      <c r="B384" s="1512" t="str">
        <f t="shared" si="26"/>
        <v/>
      </c>
      <c r="C384" s="1513" t="str">
        <f t="shared" si="26"/>
        <v>AMAMAW</v>
      </c>
      <c r="D384" s="1513">
        <f t="shared" si="26"/>
        <v>1</v>
      </c>
      <c r="E384" s="1514">
        <v>167</v>
      </c>
      <c r="F384" s="1509"/>
      <c r="G384" s="1510">
        <f ca="1">IF('KYCT Data Sublot # 1'!$N$19="",0,'KYCT Data Sublot # 1'!$N$19)</f>
        <v>0</v>
      </c>
      <c r="H384" s="1515">
        <f t="shared" si="25"/>
        <v>0</v>
      </c>
      <c r="I384" s="1178"/>
    </row>
    <row r="385" spans="1:9" ht="12.75" customHeight="1">
      <c r="A385" s="1505" t="s">
        <v>2903</v>
      </c>
      <c r="B385" s="1512" t="str">
        <f t="shared" si="26"/>
        <v/>
      </c>
      <c r="C385" s="1513" t="str">
        <f t="shared" si="26"/>
        <v>AMAMAW</v>
      </c>
      <c r="D385" s="1513">
        <f t="shared" si="26"/>
        <v>1</v>
      </c>
      <c r="E385" s="1514">
        <v>168</v>
      </c>
      <c r="F385" s="1509"/>
      <c r="G385" s="1510">
        <f ca="1">IF('KYCT Data Sublot # 1'!$N$20="",0,'KYCT Data Sublot # 1'!$N$20)</f>
        <v>0</v>
      </c>
      <c r="H385" s="1515">
        <f t="shared" si="25"/>
        <v>0</v>
      </c>
      <c r="I385" s="1178"/>
    </row>
    <row r="386" spans="1:9" ht="12.75" customHeight="1">
      <c r="A386" s="1505" t="s">
        <v>2904</v>
      </c>
      <c r="B386" s="1506" t="str">
        <f t="shared" si="26"/>
        <v/>
      </c>
      <c r="C386" s="1507" t="str">
        <f t="shared" si="26"/>
        <v>AMAMAW</v>
      </c>
      <c r="D386" s="1507">
        <f t="shared" si="26"/>
        <v>1</v>
      </c>
      <c r="E386" s="1508">
        <v>169</v>
      </c>
      <c r="F386" s="1509"/>
      <c r="G386" s="1510">
        <f ca="1">IF('KYCT Data Sublot # 1'!$N$21="",0,'KYCT Data Sublot # 1'!$N$21)</f>
        <v>0</v>
      </c>
      <c r="H386" s="1510">
        <f t="shared" si="25"/>
        <v>0</v>
      </c>
      <c r="I386" s="1178"/>
    </row>
    <row r="387" spans="1:9" ht="12.75" customHeight="1">
      <c r="A387" s="1505" t="s">
        <v>2905</v>
      </c>
      <c r="B387" s="1512" t="str">
        <f t="shared" si="26"/>
        <v/>
      </c>
      <c r="C387" s="1513" t="str">
        <f t="shared" si="26"/>
        <v>AMAMAW</v>
      </c>
      <c r="D387" s="1513">
        <f t="shared" si="26"/>
        <v>1</v>
      </c>
      <c r="E387" s="1514">
        <v>170</v>
      </c>
      <c r="F387" s="1509"/>
      <c r="G387" s="1510">
        <f ca="1">IF('KYCT Data Sublot # 1'!$P$14="",0,'KYCT Data Sublot # 1'!$P$14)</f>
        <v>0</v>
      </c>
      <c r="H387" s="1515">
        <f t="shared" si="25"/>
        <v>0</v>
      </c>
      <c r="I387" s="1178"/>
    </row>
    <row r="388" spans="1:9" ht="12.75" customHeight="1">
      <c r="A388" s="1505" t="s">
        <v>2906</v>
      </c>
      <c r="B388" s="1512" t="str">
        <f t="shared" si="26"/>
        <v/>
      </c>
      <c r="C388" s="1513" t="str">
        <f t="shared" si="26"/>
        <v>AMAMAW</v>
      </c>
      <c r="D388" s="1513">
        <f t="shared" si="26"/>
        <v>1</v>
      </c>
      <c r="E388" s="1514">
        <v>171</v>
      </c>
      <c r="F388" s="1509"/>
      <c r="G388" s="1510">
        <f ca="1">IF('KYCT Data Sublot # 1'!$P$18="",0,'KYCT Data Sublot # 1'!$P$18)</f>
        <v>0</v>
      </c>
      <c r="H388" s="1515">
        <f t="shared" si="25"/>
        <v>0</v>
      </c>
      <c r="I388" s="1178"/>
    </row>
    <row r="389" spans="1:9" ht="12.75" customHeight="1">
      <c r="A389" s="1505" t="s">
        <v>2907</v>
      </c>
      <c r="B389" s="1512" t="str">
        <f t="shared" si="26"/>
        <v/>
      </c>
      <c r="C389" s="1513" t="str">
        <f t="shared" si="26"/>
        <v>AMAMAW</v>
      </c>
      <c r="D389" s="1513">
        <f t="shared" si="26"/>
        <v>1</v>
      </c>
      <c r="E389" s="1514">
        <v>172</v>
      </c>
      <c r="F389" s="1509"/>
      <c r="G389" s="1510">
        <f ca="1">IF('KYCT Data Sublot # 1'!$P$19="",0,'KYCT Data Sublot # 1'!$P$19)</f>
        <v>0</v>
      </c>
      <c r="H389" s="1515">
        <f t="shared" si="25"/>
        <v>0</v>
      </c>
      <c r="I389" s="1178"/>
    </row>
    <row r="390" spans="1:9" ht="12.75" customHeight="1">
      <c r="A390" s="1505" t="s">
        <v>2908</v>
      </c>
      <c r="B390" s="1512" t="str">
        <f t="shared" si="26"/>
        <v/>
      </c>
      <c r="C390" s="1513" t="str">
        <f t="shared" si="26"/>
        <v>AMAMAW</v>
      </c>
      <c r="D390" s="1513">
        <f t="shared" si="26"/>
        <v>1</v>
      </c>
      <c r="E390" s="1514">
        <v>173</v>
      </c>
      <c r="F390" s="1509"/>
      <c r="G390" s="1510">
        <f ca="1">IF('KYCT Data Sublot # 1'!$P$20="",0,'KYCT Data Sublot # 1'!$P$20)</f>
        <v>0</v>
      </c>
      <c r="H390" s="1515">
        <f t="shared" si="25"/>
        <v>0</v>
      </c>
      <c r="I390" s="1178"/>
    </row>
    <row r="391" spans="1:9" ht="12.75" customHeight="1">
      <c r="A391" s="1505" t="s">
        <v>2909</v>
      </c>
      <c r="B391" s="1512" t="str">
        <f t="shared" si="26"/>
        <v/>
      </c>
      <c r="C391" s="1513" t="str">
        <f t="shared" si="26"/>
        <v>AMAMAW</v>
      </c>
      <c r="D391" s="1513">
        <f t="shared" si="26"/>
        <v>1</v>
      </c>
      <c r="E391" s="1514">
        <v>174</v>
      </c>
      <c r="F391" s="1509"/>
      <c r="G391" s="1510">
        <f ca="1">IF('KYCT Data Sublot # 1'!$P$21="",0,'KYCT Data Sublot # 1'!$P$21)</f>
        <v>0</v>
      </c>
      <c r="H391" s="1510">
        <f t="shared" si="25"/>
        <v>0</v>
      </c>
      <c r="I391" s="1178"/>
    </row>
    <row r="392" spans="1:9" ht="12.75" customHeight="1">
      <c r="A392" s="1505" t="s">
        <v>2910</v>
      </c>
      <c r="B392" s="1512" t="str">
        <f t="shared" si="26"/>
        <v/>
      </c>
      <c r="C392" s="1513" t="str">
        <f t="shared" si="26"/>
        <v>AMAMAW</v>
      </c>
      <c r="D392" s="1513">
        <f t="shared" si="26"/>
        <v>1</v>
      </c>
      <c r="E392" s="1514">
        <v>175</v>
      </c>
      <c r="F392" s="1510">
        <f>Calculations!$AR$1</f>
        <v>0</v>
      </c>
      <c r="G392" s="1509"/>
      <c r="H392" s="1515">
        <f t="shared" si="25"/>
        <v>0</v>
      </c>
      <c r="I392" s="1178"/>
    </row>
    <row r="393" spans="1:9" ht="12.75" customHeight="1">
      <c r="A393" s="1505" t="s">
        <v>2911</v>
      </c>
      <c r="B393" s="1512" t="str">
        <f t="shared" si="26"/>
        <v/>
      </c>
      <c r="C393" s="1513" t="str">
        <f t="shared" si="26"/>
        <v>AMAMAW</v>
      </c>
      <c r="D393" s="1513">
        <f t="shared" si="26"/>
        <v>1</v>
      </c>
      <c r="E393" s="1514">
        <v>176</v>
      </c>
      <c r="F393" s="1509"/>
      <c r="G393" s="1516">
        <f>IF('Field Rutting'!$D$19="",0,'Field Rutting'!$D$19)</f>
        <v>0</v>
      </c>
      <c r="H393" s="1515">
        <f t="shared" si="25"/>
        <v>0</v>
      </c>
      <c r="I393" s="1178"/>
    </row>
    <row r="394" spans="1:9" ht="12.75" customHeight="1">
      <c r="A394" s="1505" t="s">
        <v>2912</v>
      </c>
      <c r="B394" s="1512" t="str">
        <f t="shared" si="26"/>
        <v/>
      </c>
      <c r="C394" s="1513" t="str">
        <f t="shared" si="26"/>
        <v>AMAMAW</v>
      </c>
      <c r="D394" s="1513">
        <f t="shared" si="26"/>
        <v>1</v>
      </c>
      <c r="E394" s="1514">
        <v>177</v>
      </c>
      <c r="F394" s="1509"/>
      <c r="G394" s="1516">
        <f>IF('Field Rutting'!$D$19="",0,'Field Rutting'!$D$19)</f>
        <v>0</v>
      </c>
      <c r="H394" s="1515">
        <f t="shared" si="25"/>
        <v>0</v>
      </c>
      <c r="I394" s="1178"/>
    </row>
    <row r="395" spans="1:9" ht="12.75" customHeight="1">
      <c r="A395" s="1505" t="s">
        <v>2913</v>
      </c>
      <c r="B395" s="1512" t="str">
        <f t="shared" si="26"/>
        <v/>
      </c>
      <c r="C395" s="1513" t="str">
        <f t="shared" si="26"/>
        <v>AMAMAW</v>
      </c>
      <c r="D395" s="1513">
        <f t="shared" si="26"/>
        <v>1</v>
      </c>
      <c r="E395" s="1514">
        <v>178</v>
      </c>
      <c r="F395" s="1509"/>
      <c r="G395" s="1516">
        <f>IF('Field Rutting'!$D$20="",0,'Field Rutting'!$D$20)</f>
        <v>0</v>
      </c>
      <c r="H395" s="1515">
        <f t="shared" si="25"/>
        <v>0</v>
      </c>
      <c r="I395" s="1178"/>
    </row>
    <row r="396" spans="1:9" ht="12.75" customHeight="1">
      <c r="A396" s="1505" t="s">
        <v>2914</v>
      </c>
      <c r="B396" s="1512" t="str">
        <f t="shared" si="26"/>
        <v/>
      </c>
      <c r="C396" s="1513" t="str">
        <f t="shared" si="26"/>
        <v>AMAMAW</v>
      </c>
      <c r="D396" s="1513">
        <f t="shared" si="26"/>
        <v>1</v>
      </c>
      <c r="E396" s="1514">
        <v>179</v>
      </c>
      <c r="F396" s="1509"/>
      <c r="G396" s="1516">
        <f>IF('Field Rutting'!$D$21="",0,'Field Rutting'!$D$21)</f>
        <v>0</v>
      </c>
      <c r="H396" s="1515">
        <f t="shared" si="25"/>
        <v>0</v>
      </c>
      <c r="I396" s="1178"/>
    </row>
    <row r="397" spans="1:9" ht="12.75" customHeight="1">
      <c r="A397" s="1505" t="s">
        <v>2915</v>
      </c>
      <c r="B397" s="1512" t="str">
        <f t="shared" si="26"/>
        <v/>
      </c>
      <c r="C397" s="1513" t="str">
        <f t="shared" si="26"/>
        <v>AMAMAW</v>
      </c>
      <c r="D397" s="1513">
        <f t="shared" si="26"/>
        <v>1</v>
      </c>
      <c r="E397" s="1514">
        <v>180</v>
      </c>
      <c r="F397" s="1509"/>
      <c r="G397" s="1516">
        <f>IF('Field Rutting'!$D$22="",0,'Field Rutting'!$D$22)</f>
        <v>0</v>
      </c>
      <c r="H397" s="1515">
        <f t="shared" si="25"/>
        <v>0</v>
      </c>
      <c r="I397" s="1178"/>
    </row>
    <row r="398" spans="1:9" ht="12.75" customHeight="1">
      <c r="A398" s="1505" t="s">
        <v>2916</v>
      </c>
      <c r="B398" s="1512" t="str">
        <f t="shared" ref="B398:D410" si="27">B397</f>
        <v/>
      </c>
      <c r="C398" s="1513" t="str">
        <f t="shared" si="27"/>
        <v>AMAMAW</v>
      </c>
      <c r="D398" s="1513">
        <f t="shared" si="27"/>
        <v>1</v>
      </c>
      <c r="E398" s="1514">
        <v>181</v>
      </c>
      <c r="F398" s="1509"/>
      <c r="G398" s="1516">
        <f>IF('Field Rutting'!$D$23="",0,'Field Rutting'!$D$23)</f>
        <v>0</v>
      </c>
      <c r="H398" s="1515">
        <f t="shared" si="25"/>
        <v>0</v>
      </c>
      <c r="I398" s="1178"/>
    </row>
    <row r="399" spans="1:9" ht="12.75" customHeight="1">
      <c r="A399" s="1505" t="s">
        <v>2917</v>
      </c>
      <c r="B399" s="1512" t="str">
        <f t="shared" si="27"/>
        <v/>
      </c>
      <c r="C399" s="1513" t="str">
        <f t="shared" si="27"/>
        <v>AMAMAW</v>
      </c>
      <c r="D399" s="1513">
        <f t="shared" si="27"/>
        <v>1</v>
      </c>
      <c r="E399" s="1514">
        <v>182</v>
      </c>
      <c r="F399" s="1509"/>
      <c r="G399" s="1516">
        <f>IF('Field Rutting'!$D$24="",0,'Field Rutting'!$D$24)</f>
        <v>0</v>
      </c>
      <c r="H399" s="1515">
        <f t="shared" si="25"/>
        <v>0</v>
      </c>
      <c r="I399" s="1178"/>
    </row>
    <row r="400" spans="1:9" ht="12.75" customHeight="1">
      <c r="A400" s="1505" t="s">
        <v>2918</v>
      </c>
      <c r="B400" s="1512" t="str">
        <f t="shared" si="27"/>
        <v/>
      </c>
      <c r="C400" s="1513" t="str">
        <f t="shared" si="27"/>
        <v>AMAMAW</v>
      </c>
      <c r="D400" s="1513">
        <f t="shared" si="27"/>
        <v>1</v>
      </c>
      <c r="E400" s="1514">
        <v>183</v>
      </c>
      <c r="F400" s="1509"/>
      <c r="G400" s="1516">
        <f>IF('Field Rutting'!$L$19="",0,'Field Rutting'!$L$19)</f>
        <v>0</v>
      </c>
      <c r="H400" s="1515">
        <f t="shared" si="25"/>
        <v>0</v>
      </c>
      <c r="I400" s="1178"/>
    </row>
    <row r="401" spans="1:9" ht="12.75" customHeight="1">
      <c r="A401" s="1505" t="s">
        <v>2919</v>
      </c>
      <c r="B401" s="1512" t="str">
        <f t="shared" si="27"/>
        <v/>
      </c>
      <c r="C401" s="1513" t="str">
        <f t="shared" si="27"/>
        <v>AMAMAW</v>
      </c>
      <c r="D401" s="1513">
        <f t="shared" si="27"/>
        <v>1</v>
      </c>
      <c r="E401" s="1514">
        <v>184</v>
      </c>
      <c r="F401" s="1509"/>
      <c r="G401" s="1516">
        <f>IF('Field Rutting'!$L$20="",0,'Field Rutting'!$L$20)</f>
        <v>0</v>
      </c>
      <c r="H401" s="1515">
        <f t="shared" si="25"/>
        <v>0</v>
      </c>
      <c r="I401" s="1178"/>
    </row>
    <row r="402" spans="1:9" ht="12.75" customHeight="1">
      <c r="A402" s="1505" t="s">
        <v>2920</v>
      </c>
      <c r="B402" s="1512" t="str">
        <f t="shared" si="27"/>
        <v/>
      </c>
      <c r="C402" s="1513" t="str">
        <f t="shared" si="27"/>
        <v>AMAMAW</v>
      </c>
      <c r="D402" s="1513">
        <f t="shared" si="27"/>
        <v>1</v>
      </c>
      <c r="E402" s="1514">
        <v>185</v>
      </c>
      <c r="F402" s="1509"/>
      <c r="G402" s="1516">
        <f>IF('Field Rutting'!$L$21="",0,'Field Rutting'!$L$21)</f>
        <v>0</v>
      </c>
      <c r="H402" s="1515">
        <f t="shared" si="25"/>
        <v>0</v>
      </c>
      <c r="I402" s="1178"/>
    </row>
    <row r="403" spans="1:9" ht="12.75" customHeight="1">
      <c r="A403" s="1505" t="s">
        <v>2921</v>
      </c>
      <c r="B403" s="1512" t="str">
        <f t="shared" si="27"/>
        <v/>
      </c>
      <c r="C403" s="1513" t="str">
        <f t="shared" si="27"/>
        <v>AMAMAW</v>
      </c>
      <c r="D403" s="1513">
        <f t="shared" si="27"/>
        <v>1</v>
      </c>
      <c r="E403" s="1514">
        <v>186</v>
      </c>
      <c r="F403" s="1509"/>
      <c r="G403" s="1516">
        <f>IF('Field Rutting'!$L$22="",0,'Field Rutting'!$L$22)</f>
        <v>0</v>
      </c>
      <c r="H403" s="1515">
        <f t="shared" si="25"/>
        <v>0</v>
      </c>
      <c r="I403" s="1178"/>
    </row>
    <row r="404" spans="1:9" ht="12.75" customHeight="1">
      <c r="A404" s="1505" t="s">
        <v>2922</v>
      </c>
      <c r="B404" s="1512" t="str">
        <f t="shared" si="27"/>
        <v/>
      </c>
      <c r="C404" s="1513" t="str">
        <f t="shared" si="27"/>
        <v>AMAMAW</v>
      </c>
      <c r="D404" s="1513">
        <f t="shared" si="27"/>
        <v>1</v>
      </c>
      <c r="E404" s="1514">
        <v>187</v>
      </c>
      <c r="F404" s="1509"/>
      <c r="G404" s="1516">
        <f>IF('Field Rutting'!$L$23="",0,'Field Rutting'!$L$23)</f>
        <v>0</v>
      </c>
      <c r="H404" s="1515">
        <f t="shared" si="25"/>
        <v>0</v>
      </c>
      <c r="I404" s="1178"/>
    </row>
    <row r="405" spans="1:9" ht="12.75" customHeight="1">
      <c r="A405" s="1505" t="s">
        <v>2923</v>
      </c>
      <c r="B405" s="1512" t="str">
        <f t="shared" si="27"/>
        <v/>
      </c>
      <c r="C405" s="1513" t="str">
        <f t="shared" si="27"/>
        <v>AMAMAW</v>
      </c>
      <c r="D405" s="1513">
        <f t="shared" si="27"/>
        <v>1</v>
      </c>
      <c r="E405" s="1514">
        <v>188</v>
      </c>
      <c r="F405" s="1509"/>
      <c r="G405" s="1516">
        <f>IF('Field Rutting'!$L$24="",0,'Field Rutting'!$L$24)</f>
        <v>0</v>
      </c>
      <c r="H405" s="1515">
        <f t="shared" si="25"/>
        <v>0</v>
      </c>
      <c r="I405" s="1178"/>
    </row>
    <row r="406" spans="1:9" ht="12.75" customHeight="1">
      <c r="A406" s="1505" t="s">
        <v>2924</v>
      </c>
      <c r="B406" s="1512" t="str">
        <f t="shared" si="27"/>
        <v/>
      </c>
      <c r="C406" s="1513" t="str">
        <f t="shared" si="27"/>
        <v>AMAMAW</v>
      </c>
      <c r="D406" s="1513">
        <f t="shared" si="27"/>
        <v>1</v>
      </c>
      <c r="E406" s="1514">
        <v>189</v>
      </c>
      <c r="F406" s="1509"/>
      <c r="G406" s="1510"/>
      <c r="H406" s="1515">
        <f t="shared" si="25"/>
        <v>0</v>
      </c>
      <c r="I406" s="1178"/>
    </row>
    <row r="407" spans="1:9" ht="12.75" customHeight="1">
      <c r="A407" s="1505" t="s">
        <v>2925</v>
      </c>
      <c r="B407" s="1512" t="str">
        <f t="shared" si="27"/>
        <v/>
      </c>
      <c r="C407" s="1513" t="str">
        <f t="shared" si="27"/>
        <v>AMAMAW</v>
      </c>
      <c r="D407" s="1513">
        <f t="shared" si="27"/>
        <v>1</v>
      </c>
      <c r="E407" s="1514">
        <v>190</v>
      </c>
      <c r="F407" s="1509"/>
      <c r="G407" s="1510"/>
      <c r="H407" s="1515">
        <f t="shared" si="25"/>
        <v>0</v>
      </c>
      <c r="I407" s="1178"/>
    </row>
    <row r="408" spans="1:9" ht="12.75" customHeight="1">
      <c r="A408" s="1505" t="s">
        <v>2926</v>
      </c>
      <c r="B408" s="1512" t="str">
        <f t="shared" si="27"/>
        <v/>
      </c>
      <c r="C408" s="1513" t="str">
        <f t="shared" si="27"/>
        <v>AMAMAW</v>
      </c>
      <c r="D408" s="1513">
        <f t="shared" si="27"/>
        <v>1</v>
      </c>
      <c r="E408" s="1514">
        <v>191</v>
      </c>
      <c r="F408" s="1509"/>
      <c r="G408" s="1510"/>
      <c r="H408" s="1515">
        <f t="shared" si="25"/>
        <v>0</v>
      </c>
      <c r="I408" s="1178"/>
    </row>
    <row r="409" spans="1:9" ht="12.75" customHeight="1">
      <c r="A409" s="1505" t="s">
        <v>2927</v>
      </c>
      <c r="B409" s="1512" t="str">
        <f t="shared" si="27"/>
        <v/>
      </c>
      <c r="C409" s="1513" t="str">
        <f t="shared" si="27"/>
        <v>AMAMAW</v>
      </c>
      <c r="D409" s="1513">
        <f t="shared" si="27"/>
        <v>1</v>
      </c>
      <c r="E409" s="1514">
        <v>192</v>
      </c>
      <c r="F409" s="1509"/>
      <c r="G409" s="1510"/>
      <c r="H409" s="1515">
        <f t="shared" si="25"/>
        <v>0</v>
      </c>
      <c r="I409" s="1178"/>
    </row>
    <row r="410" spans="1:9" ht="12.75" customHeight="1">
      <c r="A410" s="1505" t="s">
        <v>2928</v>
      </c>
      <c r="B410" s="1506" t="str">
        <f t="shared" si="27"/>
        <v/>
      </c>
      <c r="C410" s="1507" t="str">
        <f t="shared" si="27"/>
        <v>AMAMAW</v>
      </c>
      <c r="D410" s="1507">
        <f t="shared" si="27"/>
        <v>1</v>
      </c>
      <c r="E410" s="1508">
        <v>193</v>
      </c>
      <c r="F410" s="1509"/>
      <c r="G410" s="1510"/>
      <c r="H410" s="1510">
        <f t="shared" si="25"/>
        <v>0</v>
      </c>
      <c r="I410" s="1178"/>
    </row>
    <row r="411" spans="1:9" ht="12.75" customHeight="1">
      <c r="A411" s="1505" t="s">
        <v>3271</v>
      </c>
      <c r="B411" s="1512" t="str">
        <f t="shared" ref="B411:D411" si="28">B410</f>
        <v/>
      </c>
      <c r="C411" s="1513" t="str">
        <f t="shared" si="28"/>
        <v>AMAMAW</v>
      </c>
      <c r="D411" s="1513">
        <f t="shared" si="28"/>
        <v>1</v>
      </c>
      <c r="E411" s="1514">
        <v>194</v>
      </c>
      <c r="F411" s="1509"/>
      <c r="G411" s="1515">
        <f ca="1">IF('KYCT Data Sublot # 1'!$A$29="",0,'KYCT Data Sublot # 1'!$A$29)</f>
        <v>0</v>
      </c>
      <c r="H411" s="1515">
        <f t="shared" si="25"/>
        <v>0</v>
      </c>
      <c r="I411" s="1517"/>
    </row>
    <row r="412" spans="1:9" ht="12.75" customHeight="1">
      <c r="A412" s="1505" t="s">
        <v>3272</v>
      </c>
      <c r="B412" s="1512" t="str">
        <f t="shared" ref="B412:D412" si="29">B411</f>
        <v/>
      </c>
      <c r="C412" s="1513" t="str">
        <f t="shared" si="29"/>
        <v>AMAMAW</v>
      </c>
      <c r="D412" s="1513">
        <f t="shared" si="29"/>
        <v>1</v>
      </c>
      <c r="E412" s="1514">
        <v>195</v>
      </c>
      <c r="F412" s="1509"/>
      <c r="G412" s="1515">
        <f>IF('KYCT Data Sublot # 1'!$B$29="",0,'KYCT Data Sublot # 1'!$B$29)</f>
        <v>0</v>
      </c>
      <c r="H412" s="1515">
        <f t="shared" si="25"/>
        <v>0</v>
      </c>
      <c r="I412" s="1517"/>
    </row>
    <row r="413" spans="1:9" ht="12.75" customHeight="1">
      <c r="A413" s="1505" t="s">
        <v>3273</v>
      </c>
      <c r="B413" s="1512" t="str">
        <f t="shared" ref="B413:D413" si="30">B412</f>
        <v/>
      </c>
      <c r="C413" s="1513" t="str">
        <f t="shared" si="30"/>
        <v>AMAMAW</v>
      </c>
      <c r="D413" s="1513">
        <f t="shared" si="30"/>
        <v>1</v>
      </c>
      <c r="E413" s="1514">
        <v>196</v>
      </c>
      <c r="F413" s="1509"/>
      <c r="G413" s="1515">
        <f ca="1">IF('KYCT Data Sublot # 1'!$C$29="",0,'KYCT Data Sublot # 1'!$C$29)</f>
        <v>0</v>
      </c>
      <c r="H413" s="1515">
        <f t="shared" si="25"/>
        <v>0</v>
      </c>
      <c r="I413" s="1517"/>
    </row>
    <row r="414" spans="1:9" ht="12.75" customHeight="1">
      <c r="A414" s="1505" t="s">
        <v>3274</v>
      </c>
      <c r="B414" s="1512" t="str">
        <f t="shared" ref="B414:D414" si="31">B413</f>
        <v/>
      </c>
      <c r="C414" s="1513" t="str">
        <f t="shared" si="31"/>
        <v>AMAMAW</v>
      </c>
      <c r="D414" s="1513">
        <f t="shared" si="31"/>
        <v>1</v>
      </c>
      <c r="E414" s="1514">
        <v>197</v>
      </c>
      <c r="F414" s="1509"/>
      <c r="G414" s="1515">
        <f>IF('KYCT Data Sublot # 1'!$D$29="",0,'KYCT Data Sublot # 1'!$D$29)</f>
        <v>0</v>
      </c>
      <c r="H414" s="1515">
        <f t="shared" si="25"/>
        <v>0</v>
      </c>
      <c r="I414" s="1517"/>
    </row>
    <row r="415" spans="1:9" ht="12.75" customHeight="1">
      <c r="A415" s="1505" t="s">
        <v>3275</v>
      </c>
      <c r="B415" s="1512" t="str">
        <f t="shared" ref="B415:D415" si="32">B414</f>
        <v/>
      </c>
      <c r="C415" s="1513" t="str">
        <f t="shared" si="32"/>
        <v>AMAMAW</v>
      </c>
      <c r="D415" s="1513">
        <f t="shared" si="32"/>
        <v>1</v>
      </c>
      <c r="E415" s="1514">
        <v>198</v>
      </c>
      <c r="F415" s="1509"/>
      <c r="G415" s="1515">
        <f ca="1">IF('KYCT Data Sublot # 1'!$E$29="",0,'KYCT Data Sublot # 1'!$E$29)</f>
        <v>0</v>
      </c>
      <c r="H415" s="1515">
        <f t="shared" si="25"/>
        <v>0</v>
      </c>
      <c r="I415" s="1517"/>
    </row>
    <row r="416" spans="1:9" ht="12.75" customHeight="1">
      <c r="A416" s="1505" t="s">
        <v>3276</v>
      </c>
      <c r="B416" s="1512" t="str">
        <f t="shared" ref="B416:D416" si="33">B415</f>
        <v/>
      </c>
      <c r="C416" s="1513" t="str">
        <f t="shared" si="33"/>
        <v>AMAMAW</v>
      </c>
      <c r="D416" s="1513">
        <f t="shared" si="33"/>
        <v>1</v>
      </c>
      <c r="E416" s="1514">
        <v>199</v>
      </c>
      <c r="F416" s="1509"/>
      <c r="G416" s="1515">
        <f>IF('KYCT Data Sublot # 1'!$F$29="",0,'KYCT Data Sublot # 1'!$F$29)</f>
        <v>0</v>
      </c>
      <c r="H416" s="1515">
        <f t="shared" si="25"/>
        <v>0</v>
      </c>
      <c r="I416" s="1517"/>
    </row>
    <row r="417" spans="1:11" ht="12.75" customHeight="1">
      <c r="A417" s="1505" t="s">
        <v>3277</v>
      </c>
      <c r="B417" s="1512" t="str">
        <f t="shared" ref="B417:D417" si="34">B416</f>
        <v/>
      </c>
      <c r="C417" s="1513" t="str">
        <f t="shared" si="34"/>
        <v>AMAMAW</v>
      </c>
      <c r="D417" s="1513">
        <f t="shared" si="34"/>
        <v>1</v>
      </c>
      <c r="E417" s="1514">
        <v>200</v>
      </c>
      <c r="F417" s="1509"/>
      <c r="G417" s="1515">
        <f ca="1">IF('KYCT Data Sublot # 1'!$G$29="",0,'KYCT Data Sublot # 1'!$G$29)</f>
        <v>0</v>
      </c>
      <c r="H417" s="1515">
        <f t="shared" si="25"/>
        <v>0</v>
      </c>
      <c r="I417" s="1517"/>
    </row>
    <row r="418" spans="1:11" ht="12.75" customHeight="1">
      <c r="A418" s="1505" t="s">
        <v>3278</v>
      </c>
      <c r="B418" s="1512" t="str">
        <f t="shared" ref="B418:D418" si="35">B417</f>
        <v/>
      </c>
      <c r="C418" s="1513" t="str">
        <f t="shared" si="35"/>
        <v>AMAMAW</v>
      </c>
      <c r="D418" s="1513">
        <f t="shared" si="35"/>
        <v>1</v>
      </c>
      <c r="E418" s="1514">
        <v>201</v>
      </c>
      <c r="F418" s="1509"/>
      <c r="G418" s="1515">
        <f>IF('KYCT Data Sublot # 1'!$H$29="",0,'KYCT Data Sublot # 1'!$H$29)</f>
        <v>0</v>
      </c>
      <c r="H418" s="1515">
        <f t="shared" si="25"/>
        <v>0</v>
      </c>
      <c r="I418" s="1517"/>
    </row>
    <row r="419" spans="1:11" ht="12.75" customHeight="1">
      <c r="A419" s="1505" t="s">
        <v>3279</v>
      </c>
      <c r="B419" s="1512" t="str">
        <f t="shared" ref="B419:D419" si="36">B418</f>
        <v/>
      </c>
      <c r="C419" s="1513" t="str">
        <f t="shared" si="36"/>
        <v>AMAMAW</v>
      </c>
      <c r="D419" s="1513">
        <f t="shared" si="36"/>
        <v>1</v>
      </c>
      <c r="E419" s="1514">
        <v>202</v>
      </c>
      <c r="F419" s="1509"/>
      <c r="G419" s="1515">
        <f ca="1">IF('KYCT Data Sublot # 1'!$I$29="",0,'KYCT Data Sublot # 1'!$I$29)</f>
        <v>0</v>
      </c>
      <c r="H419" s="1515">
        <f t="shared" si="25"/>
        <v>0</v>
      </c>
      <c r="I419" s="1517"/>
    </row>
    <row r="420" spans="1:11" ht="12.75" customHeight="1">
      <c r="A420" s="1505" t="s">
        <v>3280</v>
      </c>
      <c r="B420" s="1512" t="str">
        <f t="shared" ref="B420:D420" si="37">B419</f>
        <v/>
      </c>
      <c r="C420" s="1513" t="str">
        <f t="shared" si="37"/>
        <v>AMAMAW</v>
      </c>
      <c r="D420" s="1513">
        <f t="shared" si="37"/>
        <v>1</v>
      </c>
      <c r="E420" s="1514">
        <v>203</v>
      </c>
      <c r="F420" s="1509"/>
      <c r="G420" s="1515">
        <f>IF('KYCT Data Sublot # 1'!$J$29="",0,'KYCT Data Sublot # 1'!$J$29)</f>
        <v>0</v>
      </c>
      <c r="H420" s="1515">
        <f t="shared" si="25"/>
        <v>0</v>
      </c>
      <c r="I420" s="1517"/>
    </row>
    <row r="421" spans="1:11" ht="12.75" customHeight="1">
      <c r="A421" s="1505" t="s">
        <v>3281</v>
      </c>
      <c r="B421" s="1512" t="str">
        <f t="shared" ref="B421:D421" si="38">B420</f>
        <v/>
      </c>
      <c r="C421" s="1513" t="str">
        <f t="shared" si="38"/>
        <v>AMAMAW</v>
      </c>
      <c r="D421" s="1513">
        <f t="shared" si="38"/>
        <v>1</v>
      </c>
      <c r="E421" s="1514">
        <v>204</v>
      </c>
      <c r="F421" s="1509"/>
      <c r="G421" s="1515">
        <f ca="1">IF('KYCT Data Sublot # 1'!$K$29="",0,'KYCT Data Sublot # 1'!$K$29)</f>
        <v>0</v>
      </c>
      <c r="H421" s="1515">
        <f t="shared" si="25"/>
        <v>0</v>
      </c>
      <c r="I421" s="1517"/>
    </row>
    <row r="422" spans="1:11" ht="12.75" customHeight="1">
      <c r="A422" s="1505" t="s">
        <v>3282</v>
      </c>
      <c r="B422" s="1512" t="str">
        <f t="shared" ref="B422:D422" si="39">B421</f>
        <v/>
      </c>
      <c r="C422" s="1513" t="str">
        <f t="shared" si="39"/>
        <v>AMAMAW</v>
      </c>
      <c r="D422" s="1513">
        <f t="shared" si="39"/>
        <v>1</v>
      </c>
      <c r="E422" s="1514">
        <v>205</v>
      </c>
      <c r="F422" s="1509"/>
      <c r="G422" s="1515">
        <f>IF('KYCT Data Sublot # 1'!$L$29="",0,'KYCT Data Sublot # 1'!$L$29)</f>
        <v>0</v>
      </c>
      <c r="H422" s="1515">
        <f t="shared" si="25"/>
        <v>0</v>
      </c>
      <c r="I422" s="1517"/>
    </row>
    <row r="423" spans="1:11" ht="12.75" customHeight="1">
      <c r="A423" s="1505" t="s">
        <v>3283</v>
      </c>
      <c r="B423" s="1512" t="str">
        <f t="shared" ref="B423:D423" si="40">B422</f>
        <v/>
      </c>
      <c r="C423" s="1513" t="str">
        <f t="shared" si="40"/>
        <v>AMAMAW</v>
      </c>
      <c r="D423" s="1513">
        <f t="shared" si="40"/>
        <v>1</v>
      </c>
      <c r="E423" s="1514">
        <v>206</v>
      </c>
      <c r="F423" s="1509"/>
      <c r="G423" s="1515">
        <f ca="1">IF('KYCT Data Sublot # 1'!$M$29="",0,'KYCT Data Sublot # 1'!$M$29)</f>
        <v>0</v>
      </c>
      <c r="H423" s="1515">
        <f t="shared" si="25"/>
        <v>0</v>
      </c>
      <c r="I423" s="1517"/>
    </row>
    <row r="424" spans="1:11" ht="12.75" customHeight="1">
      <c r="A424" s="1505" t="s">
        <v>3284</v>
      </c>
      <c r="B424" s="1512" t="str">
        <f t="shared" ref="B424:D424" si="41">B423</f>
        <v/>
      </c>
      <c r="C424" s="1513" t="str">
        <f t="shared" si="41"/>
        <v>AMAMAW</v>
      </c>
      <c r="D424" s="1513">
        <f t="shared" si="41"/>
        <v>1</v>
      </c>
      <c r="E424" s="1514">
        <v>207</v>
      </c>
      <c r="F424" s="1509"/>
      <c r="G424" s="1515">
        <f>IF('KYCT Data Sublot # 1'!$N$29="",0,'KYCT Data Sublot # 1'!$N$29)</f>
        <v>0</v>
      </c>
      <c r="H424" s="1515">
        <f t="shared" si="25"/>
        <v>0</v>
      </c>
      <c r="I424" s="1517"/>
    </row>
    <row r="425" spans="1:11" ht="12.75" customHeight="1">
      <c r="A425" s="1505" t="s">
        <v>3285</v>
      </c>
      <c r="B425" s="1512" t="str">
        <f t="shared" ref="B425:D425" si="42">B424</f>
        <v/>
      </c>
      <c r="C425" s="1513" t="str">
        <f t="shared" si="42"/>
        <v>AMAMAW</v>
      </c>
      <c r="D425" s="1513">
        <f t="shared" si="42"/>
        <v>1</v>
      </c>
      <c r="E425" s="1514">
        <v>208</v>
      </c>
      <c r="F425" s="1509"/>
      <c r="G425" s="1515">
        <f ca="1">IF('KYCT Data Sublot # 1'!$O$29="",0,'KYCT Data Sublot # 1'!$O$29)</f>
        <v>0</v>
      </c>
      <c r="H425" s="1515">
        <f t="shared" si="25"/>
        <v>0</v>
      </c>
      <c r="I425" s="1517"/>
    </row>
    <row r="426" spans="1:11" ht="12.75" customHeight="1" thickBot="1">
      <c r="A426" s="1505" t="s">
        <v>3286</v>
      </c>
      <c r="B426" s="1506" t="str">
        <f t="shared" ref="B426:D426" si="43">B425</f>
        <v/>
      </c>
      <c r="C426" s="1507" t="str">
        <f t="shared" si="43"/>
        <v>AMAMAW</v>
      </c>
      <c r="D426" s="1507">
        <f t="shared" si="43"/>
        <v>1</v>
      </c>
      <c r="E426" s="1508">
        <v>209</v>
      </c>
      <c r="F426" s="1509"/>
      <c r="G426" s="1515">
        <f>IF('KYCT Data Sublot # 1'!$P$29="",0,'KYCT Data Sublot # 1'!$P$29)</f>
        <v>0</v>
      </c>
      <c r="H426" s="1510">
        <f t="shared" si="25"/>
        <v>0</v>
      </c>
      <c r="I426" s="1518"/>
    </row>
    <row r="427" spans="1:11" ht="13.5" thickBot="1">
      <c r="A427" s="956" t="s">
        <v>1416</v>
      </c>
      <c r="B427" s="1140" t="str">
        <f>B308</f>
        <v/>
      </c>
      <c r="C427" s="823" t="s">
        <v>1553</v>
      </c>
      <c r="D427" s="823">
        <v>1</v>
      </c>
      <c r="E427" s="1039" t="s">
        <v>341</v>
      </c>
      <c r="F427" s="823" t="s">
        <v>1637</v>
      </c>
      <c r="G427" s="981">
        <f>Calculations!P84</f>
        <v>0</v>
      </c>
      <c r="H427" s="989">
        <f>H308</f>
        <v>0</v>
      </c>
      <c r="I427" s="1178"/>
      <c r="K427" s="957" t="s">
        <v>1341</v>
      </c>
    </row>
    <row r="428" spans="1:11">
      <c r="A428" s="956" t="s">
        <v>1417</v>
      </c>
      <c r="B428" s="1190" t="str">
        <f>t_smpl!B10</f>
        <v/>
      </c>
      <c r="C428" s="1000" t="s">
        <v>1553</v>
      </c>
      <c r="D428" s="1000">
        <v>1</v>
      </c>
      <c r="E428" s="1007">
        <v>1</v>
      </c>
      <c r="F428" s="999" t="s">
        <v>1637</v>
      </c>
      <c r="G428" s="1002">
        <v>0</v>
      </c>
      <c r="H428" s="1006">
        <f t="shared" si="17"/>
        <v>0</v>
      </c>
      <c r="I428" s="1191"/>
    </row>
    <row r="429" spans="1:11">
      <c r="A429" s="956" t="s">
        <v>1498</v>
      </c>
      <c r="B429" s="1140" t="str">
        <f t="shared" ref="B429:B435" si="44">B428</f>
        <v/>
      </c>
      <c r="C429" s="823" t="s">
        <v>1553</v>
      </c>
      <c r="D429" s="823">
        <v>1</v>
      </c>
      <c r="E429" s="1001">
        <v>2</v>
      </c>
      <c r="F429" s="824" t="str">
        <f>IF(t_smpl!Z10="COMP","ISPC","OSPC")</f>
        <v>ISPC</v>
      </c>
      <c r="G429" s="1003">
        <v>0</v>
      </c>
      <c r="H429" s="989">
        <f t="shared" si="17"/>
        <v>0</v>
      </c>
      <c r="I429" s="1178"/>
    </row>
    <row r="430" spans="1:11">
      <c r="A430" s="956" t="s">
        <v>536</v>
      </c>
      <c r="B430" s="1140" t="str">
        <f t="shared" si="44"/>
        <v/>
      </c>
      <c r="C430" s="823" t="s">
        <v>1553</v>
      </c>
      <c r="D430" s="823">
        <v>1</v>
      </c>
      <c r="E430" s="1001">
        <v>3</v>
      </c>
      <c r="F430" s="824" t="s">
        <v>1637</v>
      </c>
      <c r="G430" s="1003">
        <v>0</v>
      </c>
      <c r="H430" s="989">
        <f t="shared" si="17"/>
        <v>0</v>
      </c>
      <c r="I430" s="1178"/>
    </row>
    <row r="431" spans="1:11">
      <c r="A431" s="956" t="s">
        <v>537</v>
      </c>
      <c r="B431" s="1140" t="str">
        <f t="shared" si="44"/>
        <v/>
      </c>
      <c r="C431" s="823" t="s">
        <v>1553</v>
      </c>
      <c r="D431" s="823">
        <v>1</v>
      </c>
      <c r="E431" s="1001">
        <v>4</v>
      </c>
      <c r="F431" s="828" t="s">
        <v>1637</v>
      </c>
      <c r="G431" s="1004">
        <v>0</v>
      </c>
      <c r="H431" s="989">
        <f t="shared" si="17"/>
        <v>0</v>
      </c>
      <c r="I431" s="1178"/>
    </row>
    <row r="432" spans="1:11">
      <c r="A432" s="956" t="s">
        <v>538</v>
      </c>
      <c r="B432" s="1140" t="str">
        <f t="shared" si="44"/>
        <v/>
      </c>
      <c r="C432" s="823" t="s">
        <v>1553</v>
      </c>
      <c r="D432" s="823">
        <v>1</v>
      </c>
      <c r="E432" s="1001">
        <v>5</v>
      </c>
      <c r="F432" s="828" t="s">
        <v>1637</v>
      </c>
      <c r="G432" s="1004">
        <v>0</v>
      </c>
      <c r="H432" s="989">
        <f t="shared" si="17"/>
        <v>0</v>
      </c>
      <c r="I432" s="1178"/>
    </row>
    <row r="433" spans="1:11">
      <c r="A433" s="956" t="s">
        <v>539</v>
      </c>
      <c r="B433" s="1140" t="str">
        <f t="shared" si="44"/>
        <v/>
      </c>
      <c r="C433" s="823" t="s">
        <v>1553</v>
      </c>
      <c r="D433" s="823">
        <v>1</v>
      </c>
      <c r="E433" s="1001">
        <v>6</v>
      </c>
      <c r="F433" s="828" t="s">
        <v>1637</v>
      </c>
      <c r="G433" s="1004">
        <v>0</v>
      </c>
      <c r="H433" s="989">
        <f t="shared" si="17"/>
        <v>0</v>
      </c>
      <c r="I433" s="1178"/>
    </row>
    <row r="434" spans="1:11">
      <c r="A434" s="956" t="s">
        <v>540</v>
      </c>
      <c r="B434" s="1140" t="str">
        <f t="shared" si="44"/>
        <v/>
      </c>
      <c r="C434" s="823" t="s">
        <v>1553</v>
      </c>
      <c r="D434" s="823">
        <v>1</v>
      </c>
      <c r="E434" s="1001">
        <v>7</v>
      </c>
      <c r="F434" s="828" t="s">
        <v>1637</v>
      </c>
      <c r="G434" s="1004">
        <v>0</v>
      </c>
      <c r="H434" s="989">
        <f t="shared" si="17"/>
        <v>0</v>
      </c>
      <c r="I434" s="1178"/>
    </row>
    <row r="435" spans="1:11">
      <c r="A435" s="956" t="s">
        <v>541</v>
      </c>
      <c r="B435" s="1140" t="str">
        <f t="shared" si="44"/>
        <v/>
      </c>
      <c r="C435" s="823" t="s">
        <v>1553</v>
      </c>
      <c r="D435" s="823">
        <v>1</v>
      </c>
      <c r="E435" s="1001">
        <v>8</v>
      </c>
      <c r="F435" s="824">
        <f>'Pay Values'!I3</f>
        <v>0</v>
      </c>
      <c r="G435" s="1003">
        <v>0</v>
      </c>
      <c r="H435" s="989">
        <f t="shared" si="17"/>
        <v>0</v>
      </c>
      <c r="I435" s="1178"/>
    </row>
    <row r="436" spans="1:11">
      <c r="A436" s="956" t="s">
        <v>344</v>
      </c>
      <c r="B436" s="1140" t="str">
        <f t="shared" ref="B436:B499" si="45">B435</f>
        <v/>
      </c>
      <c r="C436" s="823" t="s">
        <v>1553</v>
      </c>
      <c r="D436" s="823">
        <v>1</v>
      </c>
      <c r="E436" s="1001">
        <v>9</v>
      </c>
      <c r="F436" s="823" t="s">
        <v>1637</v>
      </c>
      <c r="G436" s="1003">
        <v>0</v>
      </c>
      <c r="H436" s="989">
        <f t="shared" si="17"/>
        <v>0</v>
      </c>
      <c r="I436" s="1178"/>
    </row>
    <row r="437" spans="1:11">
      <c r="A437" s="956" t="s">
        <v>345</v>
      </c>
      <c r="B437" s="1140" t="str">
        <f t="shared" si="45"/>
        <v/>
      </c>
      <c r="C437" s="823" t="s">
        <v>1553</v>
      </c>
      <c r="D437" s="823">
        <v>1</v>
      </c>
      <c r="E437" s="1001">
        <v>10</v>
      </c>
      <c r="F437" s="823" t="s">
        <v>1637</v>
      </c>
      <c r="G437" s="981" t="str">
        <f>Superpave!S9</f>
        <v/>
      </c>
      <c r="H437" s="989">
        <f t="shared" ref="H437:H500" si="46">H436</f>
        <v>0</v>
      </c>
      <c r="I437" s="1178"/>
    </row>
    <row r="438" spans="1:11">
      <c r="A438" s="956" t="s">
        <v>346</v>
      </c>
      <c r="B438" s="1140" t="str">
        <f t="shared" si="45"/>
        <v/>
      </c>
      <c r="C438" s="823" t="s">
        <v>1553</v>
      </c>
      <c r="D438" s="823">
        <v>1</v>
      </c>
      <c r="E438" s="1001">
        <v>11</v>
      </c>
      <c r="F438" s="959" t="str">
        <f>Superpave!N3</f>
        <v/>
      </c>
      <c r="G438" s="1003">
        <v>0</v>
      </c>
      <c r="H438" s="989">
        <f t="shared" si="46"/>
        <v>0</v>
      </c>
      <c r="I438" s="1178"/>
    </row>
    <row r="439" spans="1:11">
      <c r="A439" s="956" t="s">
        <v>347</v>
      </c>
      <c r="B439" s="1140" t="str">
        <f t="shared" si="45"/>
        <v/>
      </c>
      <c r="C439" s="823" t="s">
        <v>1553</v>
      </c>
      <c r="D439" s="823">
        <v>1</v>
      </c>
      <c r="E439" s="1001">
        <v>12</v>
      </c>
      <c r="F439" s="824" t="str">
        <f>Superpave!N4</f>
        <v/>
      </c>
      <c r="G439" s="1003">
        <v>0</v>
      </c>
      <c r="H439" s="989">
        <f t="shared" si="46"/>
        <v>0</v>
      </c>
      <c r="I439" s="1178"/>
    </row>
    <row r="440" spans="1:11">
      <c r="A440" s="956" t="s">
        <v>348</v>
      </c>
      <c r="B440" s="1140" t="str">
        <f t="shared" si="45"/>
        <v/>
      </c>
      <c r="C440" s="823" t="s">
        <v>1553</v>
      </c>
      <c r="D440" s="823">
        <v>1</v>
      </c>
      <c r="E440" s="1001">
        <v>13</v>
      </c>
      <c r="F440" s="824" t="str">
        <f>Superpave!N5</f>
        <v/>
      </c>
      <c r="G440" s="1003">
        <v>0</v>
      </c>
      <c r="H440" s="989">
        <f t="shared" si="46"/>
        <v>0</v>
      </c>
      <c r="I440" s="1178"/>
    </row>
    <row r="441" spans="1:11">
      <c r="A441" s="956" t="s">
        <v>1446</v>
      </c>
      <c r="B441" s="1140" t="str">
        <f t="shared" si="45"/>
        <v/>
      </c>
      <c r="C441" s="823" t="s">
        <v>1553</v>
      </c>
      <c r="D441" s="823">
        <v>1</v>
      </c>
      <c r="E441" s="1001">
        <v>14</v>
      </c>
      <c r="F441" s="824" t="str">
        <f>Superpave!N6</f>
        <v/>
      </c>
      <c r="G441" s="1003">
        <v>0</v>
      </c>
      <c r="H441" s="989">
        <f t="shared" si="46"/>
        <v>0</v>
      </c>
      <c r="I441" s="1178"/>
    </row>
    <row r="442" spans="1:11">
      <c r="A442" s="956" t="s">
        <v>1448</v>
      </c>
      <c r="B442" s="1140" t="str">
        <f t="shared" si="45"/>
        <v/>
      </c>
      <c r="C442" s="823" t="s">
        <v>1553</v>
      </c>
      <c r="D442" s="823">
        <v>1</v>
      </c>
      <c r="E442" s="1001">
        <v>15</v>
      </c>
      <c r="F442" s="824" t="str">
        <f>Superpave!N7</f>
        <v/>
      </c>
      <c r="G442" s="1003">
        <v>0</v>
      </c>
      <c r="H442" s="989">
        <f t="shared" si="46"/>
        <v>0</v>
      </c>
      <c r="I442" s="1178"/>
      <c r="K442" s="885"/>
    </row>
    <row r="443" spans="1:11">
      <c r="A443" s="956" t="s">
        <v>1449</v>
      </c>
      <c r="B443" s="1140" t="str">
        <f t="shared" si="45"/>
        <v/>
      </c>
      <c r="C443" s="823" t="s">
        <v>1553</v>
      </c>
      <c r="D443" s="823">
        <v>1</v>
      </c>
      <c r="E443" s="1001">
        <v>16</v>
      </c>
      <c r="F443" s="824" t="str">
        <f>Superpave!N8</f>
        <v/>
      </c>
      <c r="G443" s="1003">
        <v>0</v>
      </c>
      <c r="H443" s="989">
        <f t="shared" si="46"/>
        <v>0</v>
      </c>
      <c r="I443" s="1178"/>
      <c r="J443" s="885"/>
    </row>
    <row r="444" spans="1:11">
      <c r="A444" s="956" t="s">
        <v>1450</v>
      </c>
      <c r="B444" s="1140" t="str">
        <f t="shared" si="45"/>
        <v/>
      </c>
      <c r="C444" s="823" t="s">
        <v>1553</v>
      </c>
      <c r="D444" s="823">
        <v>1</v>
      </c>
      <c r="E444" s="1001">
        <v>17</v>
      </c>
      <c r="F444" s="824" t="str">
        <f>Superpave!O3</f>
        <v/>
      </c>
      <c r="G444" s="1003">
        <v>0</v>
      </c>
      <c r="H444" s="989">
        <f t="shared" si="46"/>
        <v>0</v>
      </c>
      <c r="I444" s="1178"/>
      <c r="K444" s="885"/>
    </row>
    <row r="445" spans="1:11">
      <c r="A445" s="956" t="s">
        <v>1451</v>
      </c>
      <c r="B445" s="1140" t="str">
        <f t="shared" si="45"/>
        <v/>
      </c>
      <c r="C445" s="823" t="s">
        <v>1553</v>
      </c>
      <c r="D445" s="823">
        <v>1</v>
      </c>
      <c r="E445" s="1001">
        <v>18</v>
      </c>
      <c r="F445" s="824" t="str">
        <f>Superpave!O4</f>
        <v/>
      </c>
      <c r="G445" s="1003">
        <v>0</v>
      </c>
      <c r="H445" s="989">
        <f t="shared" si="46"/>
        <v>0</v>
      </c>
      <c r="I445" s="1178"/>
    </row>
    <row r="446" spans="1:11">
      <c r="A446" s="956" t="s">
        <v>1452</v>
      </c>
      <c r="B446" s="1140" t="str">
        <f t="shared" si="45"/>
        <v/>
      </c>
      <c r="C446" s="823" t="s">
        <v>1553</v>
      </c>
      <c r="D446" s="823">
        <v>1</v>
      </c>
      <c r="E446" s="1001">
        <v>19</v>
      </c>
      <c r="F446" s="824" t="str">
        <f>Superpave!O5</f>
        <v/>
      </c>
      <c r="G446" s="1003">
        <v>0</v>
      </c>
      <c r="H446" s="989">
        <f t="shared" si="46"/>
        <v>0</v>
      </c>
      <c r="I446" s="1178"/>
      <c r="K446" s="885"/>
    </row>
    <row r="447" spans="1:11">
      <c r="A447" s="956" t="s">
        <v>1453</v>
      </c>
      <c r="B447" s="1140" t="str">
        <f t="shared" si="45"/>
        <v/>
      </c>
      <c r="C447" s="823" t="s">
        <v>1553</v>
      </c>
      <c r="D447" s="823">
        <v>1</v>
      </c>
      <c r="E447" s="1001">
        <v>20</v>
      </c>
      <c r="F447" s="824" t="str">
        <f>Superpave!O6</f>
        <v/>
      </c>
      <c r="G447" s="1003">
        <v>0</v>
      </c>
      <c r="H447" s="989">
        <f t="shared" si="46"/>
        <v>0</v>
      </c>
      <c r="I447" s="1178"/>
      <c r="K447" s="885"/>
    </row>
    <row r="448" spans="1:11">
      <c r="A448" s="956" t="s">
        <v>1454</v>
      </c>
      <c r="B448" s="1140" t="str">
        <f t="shared" si="45"/>
        <v/>
      </c>
      <c r="C448" s="823" t="s">
        <v>1553</v>
      </c>
      <c r="D448" s="823">
        <v>1</v>
      </c>
      <c r="E448" s="1001">
        <v>21</v>
      </c>
      <c r="F448" s="824" t="str">
        <f>Superpave!O7</f>
        <v/>
      </c>
      <c r="G448" s="1003">
        <v>0</v>
      </c>
      <c r="H448" s="989">
        <f t="shared" si="46"/>
        <v>0</v>
      </c>
      <c r="I448" s="1178"/>
    </row>
    <row r="449" spans="1:11">
      <c r="A449" s="956" t="s">
        <v>1455</v>
      </c>
      <c r="B449" s="1140" t="str">
        <f t="shared" si="45"/>
        <v/>
      </c>
      <c r="C449" s="823" t="s">
        <v>1553</v>
      </c>
      <c r="D449" s="823">
        <v>1</v>
      </c>
      <c r="E449" s="1001">
        <v>22</v>
      </c>
      <c r="F449" s="824" t="str">
        <f>Superpave!O8</f>
        <v/>
      </c>
      <c r="G449" s="1003">
        <v>0</v>
      </c>
      <c r="H449" s="989">
        <f t="shared" si="46"/>
        <v>0</v>
      </c>
      <c r="I449" s="1178"/>
      <c r="K449" s="958"/>
    </row>
    <row r="450" spans="1:11">
      <c r="A450" s="956" t="s">
        <v>1456</v>
      </c>
      <c r="B450" s="1140" t="str">
        <f t="shared" si="45"/>
        <v/>
      </c>
      <c r="C450" s="823" t="s">
        <v>1553</v>
      </c>
      <c r="D450" s="823">
        <v>1</v>
      </c>
      <c r="E450" s="1001">
        <v>23</v>
      </c>
      <c r="F450" s="823" t="s">
        <v>1637</v>
      </c>
      <c r="G450" s="980">
        <f>Superpave!S3</f>
        <v>0</v>
      </c>
      <c r="H450" s="989">
        <f t="shared" si="46"/>
        <v>0</v>
      </c>
      <c r="I450" s="1178"/>
    </row>
    <row r="451" spans="1:11">
      <c r="A451" s="956" t="s">
        <v>1457</v>
      </c>
      <c r="B451" s="1163" t="str">
        <f t="shared" si="45"/>
        <v/>
      </c>
      <c r="C451" s="875" t="s">
        <v>1553</v>
      </c>
      <c r="D451" s="875">
        <v>1</v>
      </c>
      <c r="E451" s="1001">
        <v>24</v>
      </c>
      <c r="F451" s="823" t="s">
        <v>1637</v>
      </c>
      <c r="G451" s="980">
        <f>Superpave!S4</f>
        <v>0</v>
      </c>
      <c r="H451" s="989">
        <f t="shared" si="46"/>
        <v>0</v>
      </c>
      <c r="I451" s="1192"/>
      <c r="K451" s="885"/>
    </row>
    <row r="452" spans="1:11">
      <c r="A452" s="956" t="s">
        <v>1458</v>
      </c>
      <c r="B452" s="1140" t="str">
        <f t="shared" si="45"/>
        <v/>
      </c>
      <c r="C452" s="823" t="s">
        <v>1553</v>
      </c>
      <c r="D452" s="823">
        <v>1</v>
      </c>
      <c r="E452" s="1001">
        <v>25</v>
      </c>
      <c r="F452" s="823" t="s">
        <v>1637</v>
      </c>
      <c r="G452" s="980">
        <f>Superpave!S5</f>
        <v>0</v>
      </c>
      <c r="H452" s="989">
        <f t="shared" si="46"/>
        <v>0</v>
      </c>
      <c r="I452" s="1178"/>
    </row>
    <row r="453" spans="1:11">
      <c r="A453" s="956" t="s">
        <v>1459</v>
      </c>
      <c r="B453" s="1140" t="str">
        <f t="shared" si="45"/>
        <v/>
      </c>
      <c r="C453" s="823" t="s">
        <v>1553</v>
      </c>
      <c r="D453" s="823">
        <v>1</v>
      </c>
      <c r="E453" s="1001">
        <v>26</v>
      </c>
      <c r="F453" s="823" t="s">
        <v>1637</v>
      </c>
      <c r="G453" s="980">
        <f>Superpave!S6</f>
        <v>0</v>
      </c>
      <c r="H453" s="989">
        <f t="shared" si="46"/>
        <v>0</v>
      </c>
      <c r="I453" s="1178"/>
    </row>
    <row r="454" spans="1:11">
      <c r="A454" s="956" t="s">
        <v>1460</v>
      </c>
      <c r="B454" s="1140" t="str">
        <f t="shared" si="45"/>
        <v/>
      </c>
      <c r="C454" s="823" t="s">
        <v>1553</v>
      </c>
      <c r="D454" s="823">
        <v>1</v>
      </c>
      <c r="E454" s="1001">
        <v>27</v>
      </c>
      <c r="F454" s="823" t="s">
        <v>1637</v>
      </c>
      <c r="G454" s="980">
        <f>Superpave!S7</f>
        <v>0</v>
      </c>
      <c r="H454" s="989">
        <f t="shared" si="46"/>
        <v>0</v>
      </c>
      <c r="I454" s="1178"/>
    </row>
    <row r="455" spans="1:11">
      <c r="A455" s="956" t="s">
        <v>1461</v>
      </c>
      <c r="B455" s="1140" t="str">
        <f t="shared" si="45"/>
        <v/>
      </c>
      <c r="C455" s="823" t="s">
        <v>1553</v>
      </c>
      <c r="D455" s="823">
        <v>1</v>
      </c>
      <c r="E455" s="1001">
        <v>28</v>
      </c>
      <c r="F455" s="823" t="s">
        <v>1637</v>
      </c>
      <c r="G455" s="980">
        <f>Superpave!S8</f>
        <v>0</v>
      </c>
      <c r="H455" s="989">
        <f t="shared" si="46"/>
        <v>0</v>
      </c>
      <c r="I455" s="1178"/>
    </row>
    <row r="456" spans="1:11">
      <c r="A456" s="956" t="s">
        <v>1462</v>
      </c>
      <c r="B456" s="1140" t="str">
        <f t="shared" si="45"/>
        <v/>
      </c>
      <c r="C456" s="823" t="s">
        <v>1553</v>
      </c>
      <c r="D456" s="823">
        <v>1</v>
      </c>
      <c r="E456" s="1001">
        <v>29</v>
      </c>
      <c r="F456" s="823" t="s">
        <v>1637</v>
      </c>
      <c r="G456" s="981">
        <f>Superpave!Q3</f>
        <v>0</v>
      </c>
      <c r="H456" s="989">
        <f t="shared" si="46"/>
        <v>0</v>
      </c>
      <c r="I456" s="1178"/>
    </row>
    <row r="457" spans="1:11">
      <c r="A457" s="956" t="s">
        <v>1463</v>
      </c>
      <c r="B457" s="1140" t="str">
        <f t="shared" si="45"/>
        <v/>
      </c>
      <c r="C457" s="823" t="s">
        <v>1553</v>
      </c>
      <c r="D457" s="823">
        <v>1</v>
      </c>
      <c r="E457" s="1001">
        <v>30</v>
      </c>
      <c r="F457" s="823" t="s">
        <v>1637</v>
      </c>
      <c r="G457" s="981">
        <f>Superpave!Q4</f>
        <v>0</v>
      </c>
      <c r="H457" s="989">
        <f t="shared" si="46"/>
        <v>0</v>
      </c>
      <c r="I457" s="1178"/>
    </row>
    <row r="458" spans="1:11">
      <c r="A458" s="956" t="s">
        <v>1464</v>
      </c>
      <c r="B458" s="1140" t="str">
        <f t="shared" si="45"/>
        <v/>
      </c>
      <c r="C458" s="823" t="s">
        <v>1553</v>
      </c>
      <c r="D458" s="823">
        <v>1</v>
      </c>
      <c r="E458" s="1001">
        <v>31</v>
      </c>
      <c r="F458" s="823" t="s">
        <v>1637</v>
      </c>
      <c r="G458" s="981">
        <f>Superpave!Q5</f>
        <v>0</v>
      </c>
      <c r="H458" s="989">
        <f t="shared" si="46"/>
        <v>0</v>
      </c>
      <c r="I458" s="1178"/>
      <c r="K458" s="885"/>
    </row>
    <row r="459" spans="1:11">
      <c r="A459" s="956" t="s">
        <v>1465</v>
      </c>
      <c r="B459" s="1140" t="str">
        <f t="shared" si="45"/>
        <v/>
      </c>
      <c r="C459" s="823" t="s">
        <v>1553</v>
      </c>
      <c r="D459" s="823">
        <v>1</v>
      </c>
      <c r="E459" s="1001">
        <v>32</v>
      </c>
      <c r="F459" s="823" t="s">
        <v>1637</v>
      </c>
      <c r="G459" s="981">
        <f>Superpave!Q6</f>
        <v>0</v>
      </c>
      <c r="H459" s="989">
        <f t="shared" si="46"/>
        <v>0</v>
      </c>
      <c r="I459" s="1178"/>
      <c r="J459" s="885"/>
    </row>
    <row r="460" spans="1:11">
      <c r="A460" s="956" t="s">
        <v>1466</v>
      </c>
      <c r="B460" s="1140" t="str">
        <f t="shared" si="45"/>
        <v/>
      </c>
      <c r="C460" s="823" t="s">
        <v>1553</v>
      </c>
      <c r="D460" s="823">
        <v>1</v>
      </c>
      <c r="E460" s="1001">
        <v>33</v>
      </c>
      <c r="F460" s="823" t="s">
        <v>1637</v>
      </c>
      <c r="G460" s="981">
        <f>Superpave!Q7</f>
        <v>0</v>
      </c>
      <c r="H460" s="989">
        <f t="shared" si="46"/>
        <v>0</v>
      </c>
      <c r="I460" s="1178"/>
      <c r="K460" s="885"/>
    </row>
    <row r="461" spans="1:11">
      <c r="A461" s="956" t="s">
        <v>1467</v>
      </c>
      <c r="B461" s="1140" t="str">
        <f t="shared" si="45"/>
        <v/>
      </c>
      <c r="C461" s="823" t="s">
        <v>1553</v>
      </c>
      <c r="D461" s="823">
        <v>1</v>
      </c>
      <c r="E461" s="1001">
        <v>34</v>
      </c>
      <c r="F461" s="823" t="s">
        <v>1637</v>
      </c>
      <c r="G461" s="981">
        <f>Superpave!Q8</f>
        <v>0</v>
      </c>
      <c r="H461" s="989">
        <f t="shared" si="46"/>
        <v>0</v>
      </c>
      <c r="I461" s="1178"/>
    </row>
    <row r="462" spans="1:11">
      <c r="A462" s="956" t="s">
        <v>1468</v>
      </c>
      <c r="B462" s="1140" t="str">
        <f t="shared" si="45"/>
        <v/>
      </c>
      <c r="C462" s="823" t="s">
        <v>1553</v>
      </c>
      <c r="D462" s="823">
        <v>1</v>
      </c>
      <c r="E462" s="1001">
        <v>35</v>
      </c>
      <c r="F462" s="823" t="s">
        <v>1637</v>
      </c>
      <c r="G462" s="1003">
        <v>0</v>
      </c>
      <c r="H462" s="989">
        <f t="shared" si="46"/>
        <v>0</v>
      </c>
      <c r="I462" s="1178"/>
    </row>
    <row r="463" spans="1:11">
      <c r="A463" s="956" t="s">
        <v>1469</v>
      </c>
      <c r="B463" s="1140" t="str">
        <f t="shared" si="45"/>
        <v/>
      </c>
      <c r="C463" s="823" t="s">
        <v>1553</v>
      </c>
      <c r="D463" s="823">
        <v>1</v>
      </c>
      <c r="E463" s="1001">
        <v>36</v>
      </c>
      <c r="F463" s="823" t="s">
        <v>1637</v>
      </c>
      <c r="G463" s="982">
        <f>Superpave!I4</f>
        <v>0</v>
      </c>
      <c r="H463" s="989">
        <f t="shared" si="46"/>
        <v>0</v>
      </c>
      <c r="I463" s="1178"/>
      <c r="K463" s="885"/>
    </row>
    <row r="464" spans="1:11">
      <c r="A464" s="956" t="s">
        <v>1470</v>
      </c>
      <c r="B464" s="1140" t="str">
        <f t="shared" si="45"/>
        <v/>
      </c>
      <c r="C464" s="823" t="s">
        <v>1553</v>
      </c>
      <c r="D464" s="823">
        <v>1</v>
      </c>
      <c r="E464" s="1001">
        <v>37</v>
      </c>
      <c r="F464" s="823" t="s">
        <v>1637</v>
      </c>
      <c r="G464" s="983">
        <f>Superpave!J4</f>
        <v>0</v>
      </c>
      <c r="H464" s="989">
        <f t="shared" si="46"/>
        <v>0</v>
      </c>
      <c r="I464" s="1178"/>
    </row>
    <row r="465" spans="1:11">
      <c r="A465" s="956" t="s">
        <v>1471</v>
      </c>
      <c r="B465" s="1140" t="str">
        <f t="shared" si="45"/>
        <v/>
      </c>
      <c r="C465" s="823" t="s">
        <v>1553</v>
      </c>
      <c r="D465" s="823">
        <v>1</v>
      </c>
      <c r="E465" s="1001">
        <v>38</v>
      </c>
      <c r="F465" s="992">
        <f>Superpave!K4</f>
        <v>0</v>
      </c>
      <c r="G465" s="1005">
        <v>0</v>
      </c>
      <c r="H465" s="989">
        <f t="shared" si="46"/>
        <v>0</v>
      </c>
      <c r="I465" s="1178"/>
      <c r="K465" s="958"/>
    </row>
    <row r="466" spans="1:11">
      <c r="A466" s="956" t="s">
        <v>1472</v>
      </c>
      <c r="B466" s="1140" t="str">
        <f t="shared" si="45"/>
        <v/>
      </c>
      <c r="C466" s="823" t="s">
        <v>1553</v>
      </c>
      <c r="D466" s="823">
        <v>1</v>
      </c>
      <c r="E466" s="1001">
        <v>39</v>
      </c>
      <c r="F466" s="823" t="s">
        <v>1637</v>
      </c>
      <c r="G466" s="981">
        <f>Superpave!L4</f>
        <v>0</v>
      </c>
      <c r="H466" s="989">
        <f t="shared" si="46"/>
        <v>0</v>
      </c>
      <c r="I466" s="1178"/>
    </row>
    <row r="467" spans="1:11">
      <c r="A467" s="956" t="s">
        <v>1473</v>
      </c>
      <c r="B467" s="1163" t="str">
        <f t="shared" si="45"/>
        <v/>
      </c>
      <c r="C467" s="875" t="s">
        <v>1553</v>
      </c>
      <c r="D467" s="875">
        <v>1</v>
      </c>
      <c r="E467" s="1001">
        <v>40</v>
      </c>
      <c r="F467" s="823" t="s">
        <v>1637</v>
      </c>
      <c r="G467" s="1003">
        <v>0</v>
      </c>
      <c r="H467" s="989">
        <f t="shared" si="46"/>
        <v>0</v>
      </c>
      <c r="I467" s="1192"/>
      <c r="K467" s="885"/>
    </row>
    <row r="468" spans="1:11">
      <c r="A468" s="956" t="s">
        <v>1474</v>
      </c>
      <c r="B468" s="1140" t="str">
        <f t="shared" si="45"/>
        <v/>
      </c>
      <c r="C468" s="823" t="s">
        <v>1553</v>
      </c>
      <c r="D468" s="823">
        <v>1</v>
      </c>
      <c r="E468" s="1001">
        <v>41</v>
      </c>
      <c r="F468" s="824" t="str">
        <f>Calculations!AU36</f>
        <v/>
      </c>
      <c r="G468" s="1003">
        <v>0</v>
      </c>
      <c r="H468" s="989">
        <f t="shared" si="46"/>
        <v>0</v>
      </c>
      <c r="I468" s="1178"/>
    </row>
    <row r="469" spans="1:11">
      <c r="A469" s="956" t="s">
        <v>1475</v>
      </c>
      <c r="B469" s="1140" t="str">
        <f t="shared" si="45"/>
        <v/>
      </c>
      <c r="C469" s="823" t="s">
        <v>1553</v>
      </c>
      <c r="D469" s="823">
        <v>1</v>
      </c>
      <c r="E469" s="1001">
        <v>42</v>
      </c>
      <c r="F469" s="823" t="s">
        <v>1637</v>
      </c>
      <c r="G469" s="980" t="str">
        <f>Superpave!B20</f>
        <v/>
      </c>
      <c r="H469" s="989">
        <f t="shared" si="46"/>
        <v>0</v>
      </c>
      <c r="I469" s="1178"/>
    </row>
    <row r="470" spans="1:11">
      <c r="A470" s="956" t="s">
        <v>1476</v>
      </c>
      <c r="B470" s="1140" t="str">
        <f t="shared" si="45"/>
        <v/>
      </c>
      <c r="C470" s="823" t="s">
        <v>1553</v>
      </c>
      <c r="D470" s="823">
        <v>1</v>
      </c>
      <c r="E470" s="1001">
        <v>43</v>
      </c>
      <c r="F470" s="823" t="s">
        <v>1637</v>
      </c>
      <c r="G470" s="980" t="str">
        <f>Superpave!H20</f>
        <v/>
      </c>
      <c r="H470" s="989">
        <f t="shared" si="46"/>
        <v>0</v>
      </c>
      <c r="I470" s="1178"/>
    </row>
    <row r="471" spans="1:11">
      <c r="A471" s="956" t="s">
        <v>1477</v>
      </c>
      <c r="B471" s="1140" t="str">
        <f t="shared" si="45"/>
        <v/>
      </c>
      <c r="C471" s="823" t="s">
        <v>1553</v>
      </c>
      <c r="D471" s="823">
        <v>1</v>
      </c>
      <c r="E471" s="1001">
        <v>44</v>
      </c>
      <c r="F471" s="823" t="s">
        <v>1637</v>
      </c>
      <c r="G471" s="984" t="str">
        <f>Superpave!I20</f>
        <v/>
      </c>
      <c r="H471" s="989">
        <f t="shared" si="46"/>
        <v>0</v>
      </c>
      <c r="I471" s="1178"/>
    </row>
    <row r="472" spans="1:11">
      <c r="A472" s="956" t="s">
        <v>1478</v>
      </c>
      <c r="B472" s="1140" t="str">
        <f t="shared" si="45"/>
        <v/>
      </c>
      <c r="C472" s="823" t="s">
        <v>1553</v>
      </c>
      <c r="D472" s="823">
        <v>1</v>
      </c>
      <c r="E472" s="1001">
        <v>45</v>
      </c>
      <c r="F472" s="823" t="s">
        <v>1637</v>
      </c>
      <c r="G472" s="980" t="str">
        <f>Superpave!J20</f>
        <v/>
      </c>
      <c r="H472" s="989">
        <f t="shared" si="46"/>
        <v>0</v>
      </c>
      <c r="I472" s="1178"/>
    </row>
    <row r="473" spans="1:11">
      <c r="A473" s="956" t="s">
        <v>1479</v>
      </c>
      <c r="B473" s="1140" t="str">
        <f t="shared" si="45"/>
        <v/>
      </c>
      <c r="C473" s="823" t="s">
        <v>1553</v>
      </c>
      <c r="D473" s="823">
        <v>1</v>
      </c>
      <c r="E473" s="1001">
        <v>46</v>
      </c>
      <c r="F473" s="823" t="s">
        <v>1637</v>
      </c>
      <c r="G473" s="980" t="str">
        <f>Superpave!L20</f>
        <v/>
      </c>
      <c r="H473" s="989">
        <f t="shared" si="46"/>
        <v>0</v>
      </c>
      <c r="I473" s="1178"/>
    </row>
    <row r="474" spans="1:11">
      <c r="A474" s="956" t="s">
        <v>1480</v>
      </c>
      <c r="B474" s="1140" t="str">
        <f t="shared" si="45"/>
        <v/>
      </c>
      <c r="C474" s="823" t="s">
        <v>1553</v>
      </c>
      <c r="D474" s="823">
        <v>1</v>
      </c>
      <c r="E474" s="1001">
        <v>47</v>
      </c>
      <c r="F474" s="823" t="s">
        <v>1637</v>
      </c>
      <c r="G474" s="980" t="str">
        <f>Superpave!M20</f>
        <v/>
      </c>
      <c r="H474" s="989">
        <f t="shared" si="46"/>
        <v>0</v>
      </c>
      <c r="I474" s="1178"/>
      <c r="K474" s="885"/>
    </row>
    <row r="475" spans="1:11">
      <c r="A475" s="956" t="s">
        <v>1481</v>
      </c>
      <c r="B475" s="1140" t="str">
        <f t="shared" si="45"/>
        <v/>
      </c>
      <c r="C475" s="823" t="s">
        <v>1553</v>
      </c>
      <c r="D475" s="823">
        <v>1</v>
      </c>
      <c r="E475" s="1001">
        <v>48</v>
      </c>
      <c r="F475" s="823" t="s">
        <v>1637</v>
      </c>
      <c r="G475" s="980" t="str">
        <f>Superpave!N20</f>
        <v/>
      </c>
      <c r="H475" s="989">
        <f t="shared" si="46"/>
        <v>0</v>
      </c>
      <c r="I475" s="1178"/>
      <c r="J475" s="885"/>
    </row>
    <row r="476" spans="1:11">
      <c r="A476" s="956" t="s">
        <v>1482</v>
      </c>
      <c r="B476" s="1140" t="str">
        <f t="shared" si="45"/>
        <v/>
      </c>
      <c r="C476" s="823" t="s">
        <v>1553</v>
      </c>
      <c r="D476" s="823">
        <v>1</v>
      </c>
      <c r="E476" s="1001">
        <v>49</v>
      </c>
      <c r="F476" s="980" t="str">
        <f>Superpave!O20</f>
        <v/>
      </c>
      <c r="G476" s="1178"/>
      <c r="H476" s="989">
        <f t="shared" si="46"/>
        <v>0</v>
      </c>
      <c r="I476" s="1178"/>
      <c r="K476" s="885"/>
    </row>
    <row r="477" spans="1:11">
      <c r="A477" s="956" t="s">
        <v>1483</v>
      </c>
      <c r="B477" s="1140" t="str">
        <f t="shared" si="45"/>
        <v/>
      </c>
      <c r="C477" s="823" t="s">
        <v>1553</v>
      </c>
      <c r="D477" s="823">
        <v>1</v>
      </c>
      <c r="E477" s="1001">
        <v>50</v>
      </c>
      <c r="F477" s="823" t="s">
        <v>1637</v>
      </c>
      <c r="G477" s="980">
        <f>Superpave!N43</f>
        <v>0</v>
      </c>
      <c r="H477" s="989">
        <f t="shared" si="46"/>
        <v>0</v>
      </c>
      <c r="I477" s="1178"/>
    </row>
    <row r="478" spans="1:11">
      <c r="A478" s="956" t="s">
        <v>1484</v>
      </c>
      <c r="B478" s="1140" t="str">
        <f t="shared" si="45"/>
        <v/>
      </c>
      <c r="C478" s="823" t="s">
        <v>1553</v>
      </c>
      <c r="D478" s="823">
        <v>1</v>
      </c>
      <c r="E478" s="1001">
        <v>51</v>
      </c>
      <c r="F478" s="823" t="s">
        <v>1637</v>
      </c>
      <c r="G478" s="984" t="str">
        <f>Superpave!N42</f>
        <v/>
      </c>
      <c r="H478" s="989">
        <f t="shared" si="46"/>
        <v>0</v>
      </c>
      <c r="I478" s="1178"/>
      <c r="K478" s="885"/>
    </row>
    <row r="479" spans="1:11">
      <c r="A479" s="956" t="s">
        <v>1485</v>
      </c>
      <c r="B479" s="1140" t="str">
        <f t="shared" si="45"/>
        <v/>
      </c>
      <c r="C479" s="823" t="s">
        <v>1553</v>
      </c>
      <c r="D479" s="823">
        <v>1</v>
      </c>
      <c r="E479" s="1001">
        <v>52</v>
      </c>
      <c r="F479" s="823" t="s">
        <v>1637</v>
      </c>
      <c r="G479" s="1003">
        <v>0</v>
      </c>
      <c r="H479" s="989">
        <f t="shared" si="46"/>
        <v>0</v>
      </c>
      <c r="I479" s="1178"/>
      <c r="K479" s="885"/>
    </row>
    <row r="480" spans="1:11">
      <c r="A480" s="956" t="s">
        <v>1486</v>
      </c>
      <c r="B480" s="1140" t="str">
        <f t="shared" si="45"/>
        <v/>
      </c>
      <c r="C480" s="823" t="s">
        <v>1553</v>
      </c>
      <c r="D480" s="823">
        <v>1</v>
      </c>
      <c r="E480" s="1001">
        <v>53</v>
      </c>
      <c r="F480" s="823" t="s">
        <v>1637</v>
      </c>
      <c r="G480" s="980" t="str">
        <f>Gradation!G10</f>
        <v/>
      </c>
      <c r="H480" s="989">
        <f t="shared" si="46"/>
        <v>0</v>
      </c>
      <c r="I480" s="1178"/>
    </row>
    <row r="481" spans="1:11">
      <c r="A481" s="956" t="s">
        <v>1487</v>
      </c>
      <c r="B481" s="1140" t="str">
        <f t="shared" si="45"/>
        <v/>
      </c>
      <c r="C481" s="823" t="s">
        <v>1553</v>
      </c>
      <c r="D481" s="823">
        <v>1</v>
      </c>
      <c r="E481" s="1001">
        <v>54</v>
      </c>
      <c r="F481" s="823" t="s">
        <v>1637</v>
      </c>
      <c r="G481" s="980" t="str">
        <f>Gradation!G11</f>
        <v/>
      </c>
      <c r="H481" s="989">
        <f t="shared" si="46"/>
        <v>0</v>
      </c>
      <c r="I481" s="1178"/>
      <c r="K481" s="958"/>
    </row>
    <row r="482" spans="1:11">
      <c r="A482" s="956" t="s">
        <v>1488</v>
      </c>
      <c r="B482" s="1140" t="str">
        <f t="shared" si="45"/>
        <v/>
      </c>
      <c r="C482" s="823" t="s">
        <v>1553</v>
      </c>
      <c r="D482" s="823">
        <v>1</v>
      </c>
      <c r="E482" s="1001">
        <v>55</v>
      </c>
      <c r="F482" s="823" t="s">
        <v>1637</v>
      </c>
      <c r="G482" s="980" t="str">
        <f>Gradation!G12</f>
        <v/>
      </c>
      <c r="H482" s="989">
        <f t="shared" si="46"/>
        <v>0</v>
      </c>
      <c r="I482" s="1178"/>
    </row>
    <row r="483" spans="1:11">
      <c r="A483" s="956" t="s">
        <v>1489</v>
      </c>
      <c r="B483" s="1163" t="str">
        <f t="shared" si="45"/>
        <v/>
      </c>
      <c r="C483" s="875" t="s">
        <v>1553</v>
      </c>
      <c r="D483" s="875">
        <v>1</v>
      </c>
      <c r="E483" s="1001">
        <v>56</v>
      </c>
      <c r="F483" s="823" t="s">
        <v>1637</v>
      </c>
      <c r="G483" s="980" t="str">
        <f>Gradation!G13</f>
        <v/>
      </c>
      <c r="H483" s="989">
        <f t="shared" si="46"/>
        <v>0</v>
      </c>
      <c r="I483" s="1192"/>
      <c r="K483" s="885"/>
    </row>
    <row r="484" spans="1:11">
      <c r="A484" s="956" t="s">
        <v>1490</v>
      </c>
      <c r="B484" s="1140" t="str">
        <f t="shared" si="45"/>
        <v/>
      </c>
      <c r="C484" s="823" t="s">
        <v>1553</v>
      </c>
      <c r="D484" s="823">
        <v>1</v>
      </c>
      <c r="E484" s="1001">
        <v>57</v>
      </c>
      <c r="F484" s="823" t="s">
        <v>1637</v>
      </c>
      <c r="G484" s="980" t="str">
        <f>Gradation!G14</f>
        <v/>
      </c>
      <c r="H484" s="989">
        <f t="shared" si="46"/>
        <v>0</v>
      </c>
      <c r="I484" s="1178"/>
    </row>
    <row r="485" spans="1:11">
      <c r="A485" s="956" t="s">
        <v>1491</v>
      </c>
      <c r="B485" s="1140" t="str">
        <f t="shared" si="45"/>
        <v/>
      </c>
      <c r="C485" s="823" t="s">
        <v>1553</v>
      </c>
      <c r="D485" s="823">
        <v>1</v>
      </c>
      <c r="E485" s="1001">
        <v>58</v>
      </c>
      <c r="F485" s="823" t="s">
        <v>1637</v>
      </c>
      <c r="G485" s="980" t="str">
        <f>Gradation!G15</f>
        <v/>
      </c>
      <c r="H485" s="989">
        <f t="shared" si="46"/>
        <v>0</v>
      </c>
      <c r="I485" s="1178"/>
    </row>
    <row r="486" spans="1:11">
      <c r="A486" s="956" t="s">
        <v>1492</v>
      </c>
      <c r="B486" s="1140" t="str">
        <f t="shared" si="45"/>
        <v/>
      </c>
      <c r="C486" s="823" t="s">
        <v>1553</v>
      </c>
      <c r="D486" s="823">
        <v>1</v>
      </c>
      <c r="E486" s="1001">
        <v>59</v>
      </c>
      <c r="F486" s="823" t="s">
        <v>1637</v>
      </c>
      <c r="G486" s="980" t="str">
        <f>Gradation!G16</f>
        <v/>
      </c>
      <c r="H486" s="989">
        <f t="shared" si="46"/>
        <v>0</v>
      </c>
      <c r="I486" s="1178"/>
    </row>
    <row r="487" spans="1:11">
      <c r="A487" s="956" t="s">
        <v>1493</v>
      </c>
      <c r="B487" s="1140" t="str">
        <f t="shared" si="45"/>
        <v/>
      </c>
      <c r="C487" s="823" t="s">
        <v>1553</v>
      </c>
      <c r="D487" s="823">
        <v>1</v>
      </c>
      <c r="E487" s="1001">
        <v>60</v>
      </c>
      <c r="F487" s="823" t="s">
        <v>1637</v>
      </c>
      <c r="G487" s="980" t="str">
        <f>Gradation!G17</f>
        <v/>
      </c>
      <c r="H487" s="989">
        <f t="shared" si="46"/>
        <v>0</v>
      </c>
      <c r="I487" s="1178"/>
    </row>
    <row r="488" spans="1:11">
      <c r="A488" s="956" t="s">
        <v>1494</v>
      </c>
      <c r="B488" s="1140" t="str">
        <f t="shared" si="45"/>
        <v/>
      </c>
      <c r="C488" s="823" t="s">
        <v>1553</v>
      </c>
      <c r="D488" s="823">
        <v>1</v>
      </c>
      <c r="E488" s="1001">
        <v>61</v>
      </c>
      <c r="F488" s="823" t="s">
        <v>1637</v>
      </c>
      <c r="G488" s="980" t="str">
        <f>Gradation!G18</f>
        <v/>
      </c>
      <c r="H488" s="989">
        <f t="shared" si="46"/>
        <v>0</v>
      </c>
      <c r="I488" s="1178"/>
    </row>
    <row r="489" spans="1:11">
      <c r="A489" s="956" t="s">
        <v>1495</v>
      </c>
      <c r="B489" s="1140" t="str">
        <f t="shared" si="45"/>
        <v/>
      </c>
      <c r="C489" s="823" t="s">
        <v>1553</v>
      </c>
      <c r="D489" s="823">
        <v>1</v>
      </c>
      <c r="E489" s="1001">
        <v>62</v>
      </c>
      <c r="F489" s="823" t="s">
        <v>1637</v>
      </c>
      <c r="G489" s="980" t="str">
        <f>Gradation!G19</f>
        <v/>
      </c>
      <c r="H489" s="989">
        <f t="shared" si="46"/>
        <v>0</v>
      </c>
      <c r="I489" s="1178"/>
    </row>
    <row r="490" spans="1:11">
      <c r="A490" s="956" t="s">
        <v>1496</v>
      </c>
      <c r="B490" s="1140" t="str">
        <f t="shared" si="45"/>
        <v/>
      </c>
      <c r="C490" s="823" t="s">
        <v>1553</v>
      </c>
      <c r="D490" s="823">
        <v>1</v>
      </c>
      <c r="E490" s="1001">
        <v>63</v>
      </c>
      <c r="F490" s="823" t="s">
        <v>1637</v>
      </c>
      <c r="G490" s="980" t="str">
        <f>Gradation!G20</f>
        <v/>
      </c>
      <c r="H490" s="989">
        <f t="shared" si="46"/>
        <v>0</v>
      </c>
      <c r="I490" s="1178"/>
      <c r="K490" s="885"/>
    </row>
    <row r="491" spans="1:11">
      <c r="A491" s="956" t="s">
        <v>1497</v>
      </c>
      <c r="B491" s="1140" t="str">
        <f t="shared" si="45"/>
        <v/>
      </c>
      <c r="C491" s="823" t="s">
        <v>1553</v>
      </c>
      <c r="D491" s="823">
        <v>1</v>
      </c>
      <c r="E491" s="1001">
        <v>64</v>
      </c>
      <c r="F491" s="823" t="s">
        <v>1637</v>
      </c>
      <c r="G491" s="980" t="str">
        <f>Gradation!G21</f>
        <v/>
      </c>
      <c r="H491" s="989">
        <f t="shared" si="46"/>
        <v>0</v>
      </c>
      <c r="I491" s="1178"/>
      <c r="J491" s="885"/>
    </row>
    <row r="492" spans="1:11">
      <c r="A492" s="956" t="s">
        <v>542</v>
      </c>
      <c r="B492" s="1140" t="str">
        <f t="shared" si="45"/>
        <v/>
      </c>
      <c r="C492" s="823" t="s">
        <v>1553</v>
      </c>
      <c r="D492" s="823">
        <v>1</v>
      </c>
      <c r="E492" s="1001">
        <v>65</v>
      </c>
      <c r="F492" s="823" t="s">
        <v>1637</v>
      </c>
      <c r="G492" s="980" t="str">
        <f>Gradation!G22</f>
        <v/>
      </c>
      <c r="H492" s="989">
        <f t="shared" si="46"/>
        <v>0</v>
      </c>
      <c r="I492" s="1178"/>
      <c r="K492" s="885"/>
    </row>
    <row r="493" spans="1:11">
      <c r="A493" s="956" t="s">
        <v>543</v>
      </c>
      <c r="B493" s="1140" t="str">
        <f t="shared" si="45"/>
        <v/>
      </c>
      <c r="C493" s="823" t="s">
        <v>1553</v>
      </c>
      <c r="D493" s="823">
        <v>1</v>
      </c>
      <c r="E493" s="1001">
        <v>66</v>
      </c>
      <c r="F493" s="823" t="s">
        <v>1637</v>
      </c>
      <c r="G493" s="980" t="str">
        <f>Gradation!G23</f>
        <v/>
      </c>
      <c r="H493" s="989">
        <f t="shared" si="46"/>
        <v>0</v>
      </c>
      <c r="I493" s="1178"/>
    </row>
    <row r="494" spans="1:11">
      <c r="A494" s="956" t="s">
        <v>1501</v>
      </c>
      <c r="B494" s="1140" t="str">
        <f t="shared" si="45"/>
        <v/>
      </c>
      <c r="C494" s="823" t="s">
        <v>1553</v>
      </c>
      <c r="D494" s="823">
        <v>1</v>
      </c>
      <c r="E494" s="1001">
        <v>67</v>
      </c>
      <c r="F494" s="823" t="s">
        <v>1637</v>
      </c>
      <c r="G494" s="1003">
        <v>0</v>
      </c>
      <c r="H494" s="989">
        <f t="shared" si="46"/>
        <v>0</v>
      </c>
      <c r="I494" s="1178"/>
      <c r="K494" s="885"/>
    </row>
    <row r="495" spans="1:11">
      <c r="A495" s="956" t="s">
        <v>1502</v>
      </c>
      <c r="B495" s="1140" t="str">
        <f t="shared" si="45"/>
        <v/>
      </c>
      <c r="C495" s="823" t="s">
        <v>1553</v>
      </c>
      <c r="D495" s="823">
        <v>1</v>
      </c>
      <c r="E495" s="1001">
        <v>68</v>
      </c>
      <c r="F495" s="824" t="str">
        <f>Cores!A15</f>
        <v>0-2-A</v>
      </c>
      <c r="G495" s="1003">
        <v>0</v>
      </c>
      <c r="H495" s="989">
        <f t="shared" si="46"/>
        <v>0</v>
      </c>
      <c r="I495" s="1178"/>
    </row>
    <row r="496" spans="1:11">
      <c r="A496" s="956" t="s">
        <v>1503</v>
      </c>
      <c r="B496" s="1140" t="str">
        <f t="shared" si="45"/>
        <v/>
      </c>
      <c r="C496" s="823" t="s">
        <v>1553</v>
      </c>
      <c r="D496" s="823">
        <v>1</v>
      </c>
      <c r="E496" s="1001">
        <v>69</v>
      </c>
      <c r="F496" s="824" t="str">
        <f>Cores!A16</f>
        <v>0-2-B</v>
      </c>
      <c r="G496" s="1003">
        <v>0</v>
      </c>
      <c r="H496" s="989">
        <f t="shared" si="46"/>
        <v>0</v>
      </c>
      <c r="I496" s="1178"/>
    </row>
    <row r="497" spans="1:11">
      <c r="A497" s="956" t="s">
        <v>1504</v>
      </c>
      <c r="B497" s="1140" t="str">
        <f t="shared" si="45"/>
        <v/>
      </c>
      <c r="C497" s="823" t="s">
        <v>1553</v>
      </c>
      <c r="D497" s="823">
        <v>1</v>
      </c>
      <c r="E497" s="1001">
        <v>70</v>
      </c>
      <c r="F497" s="824" t="str">
        <f>Cores!A17</f>
        <v>0-2-C</v>
      </c>
      <c r="G497" s="1003">
        <v>0</v>
      </c>
      <c r="H497" s="989">
        <f t="shared" si="46"/>
        <v>0</v>
      </c>
      <c r="I497" s="1178"/>
      <c r="K497" s="958"/>
    </row>
    <row r="498" spans="1:11">
      <c r="A498" s="956" t="s">
        <v>1505</v>
      </c>
      <c r="B498" s="1140" t="str">
        <f t="shared" si="45"/>
        <v/>
      </c>
      <c r="C498" s="823" t="s">
        <v>1553</v>
      </c>
      <c r="D498" s="823">
        <v>1</v>
      </c>
      <c r="E498" s="1001">
        <v>71</v>
      </c>
      <c r="F498" s="824" t="str">
        <f>Cores!A18</f>
        <v>0-2-D</v>
      </c>
      <c r="G498" s="1003">
        <v>0</v>
      </c>
      <c r="H498" s="989">
        <f t="shared" si="46"/>
        <v>0</v>
      </c>
      <c r="I498" s="1178"/>
    </row>
    <row r="499" spans="1:11">
      <c r="A499" s="956" t="s">
        <v>1506</v>
      </c>
      <c r="B499" s="1140" t="str">
        <f t="shared" si="45"/>
        <v/>
      </c>
      <c r="C499" s="823" t="s">
        <v>1553</v>
      </c>
      <c r="D499" s="823">
        <v>1</v>
      </c>
      <c r="E499" s="1001">
        <v>72</v>
      </c>
      <c r="F499" s="824" t="str">
        <f>Cores!A36</f>
        <v>0-2-J1</v>
      </c>
      <c r="G499" s="1003">
        <v>0</v>
      </c>
      <c r="H499" s="989">
        <f t="shared" si="46"/>
        <v>0</v>
      </c>
      <c r="I499" s="1178"/>
    </row>
    <row r="500" spans="1:11">
      <c r="A500" s="956" t="s">
        <v>1507</v>
      </c>
      <c r="B500" s="1140" t="str">
        <f t="shared" ref="B500:B518" si="47">B499</f>
        <v/>
      </c>
      <c r="C500" s="823" t="s">
        <v>1553</v>
      </c>
      <c r="D500" s="823">
        <v>1</v>
      </c>
      <c r="E500" s="1001">
        <v>73</v>
      </c>
      <c r="F500" s="824" t="str">
        <f>Cores!A37</f>
        <v>0-2-J2</v>
      </c>
      <c r="G500" s="1003">
        <v>0</v>
      </c>
      <c r="H500" s="989">
        <f t="shared" si="46"/>
        <v>0</v>
      </c>
      <c r="I500" s="1178"/>
    </row>
    <row r="501" spans="1:11">
      <c r="A501" s="956" t="s">
        <v>1508</v>
      </c>
      <c r="B501" s="1140" t="str">
        <f t="shared" si="47"/>
        <v/>
      </c>
      <c r="C501" s="823" t="s">
        <v>1553</v>
      </c>
      <c r="D501" s="823">
        <v>1</v>
      </c>
      <c r="E501" s="1001">
        <v>74</v>
      </c>
      <c r="F501" s="824">
        <f>Cores!B15</f>
        <v>0</v>
      </c>
      <c r="G501" s="1003">
        <v>0</v>
      </c>
      <c r="H501" s="989">
        <f t="shared" ref="H501:H682" si="48">H500</f>
        <v>0</v>
      </c>
      <c r="I501" s="1178"/>
    </row>
    <row r="502" spans="1:11">
      <c r="A502" s="956" t="s">
        <v>1509</v>
      </c>
      <c r="B502" s="1140" t="str">
        <f t="shared" si="47"/>
        <v/>
      </c>
      <c r="C502" s="823" t="s">
        <v>1553</v>
      </c>
      <c r="D502" s="823">
        <v>1</v>
      </c>
      <c r="E502" s="1001">
        <v>75</v>
      </c>
      <c r="F502" s="824">
        <f>Cores!B16</f>
        <v>0</v>
      </c>
      <c r="G502" s="1003">
        <v>0</v>
      </c>
      <c r="H502" s="989">
        <f t="shared" si="48"/>
        <v>0</v>
      </c>
      <c r="I502" s="1178"/>
    </row>
    <row r="503" spans="1:11">
      <c r="A503" s="956" t="s">
        <v>1510</v>
      </c>
      <c r="B503" s="1140" t="str">
        <f t="shared" si="47"/>
        <v/>
      </c>
      <c r="C503" s="823" t="s">
        <v>1553</v>
      </c>
      <c r="D503" s="823">
        <v>1</v>
      </c>
      <c r="E503" s="1001">
        <v>76</v>
      </c>
      <c r="F503" s="824">
        <f>Cores!B17</f>
        <v>0</v>
      </c>
      <c r="G503" s="1003">
        <v>0</v>
      </c>
      <c r="H503" s="989">
        <f t="shared" si="48"/>
        <v>0</v>
      </c>
      <c r="I503" s="1178"/>
    </row>
    <row r="504" spans="1:11">
      <c r="A504" s="956" t="s">
        <v>1511</v>
      </c>
      <c r="B504" s="1140" t="str">
        <f t="shared" si="47"/>
        <v/>
      </c>
      <c r="C504" s="823" t="s">
        <v>1553</v>
      </c>
      <c r="D504" s="823">
        <v>1</v>
      </c>
      <c r="E504" s="1001">
        <v>77</v>
      </c>
      <c r="F504" s="824">
        <f>Cores!B18</f>
        <v>0</v>
      </c>
      <c r="G504" s="1003">
        <v>0</v>
      </c>
      <c r="H504" s="989">
        <f t="shared" si="48"/>
        <v>0</v>
      </c>
      <c r="I504" s="1178"/>
    </row>
    <row r="505" spans="1:11">
      <c r="A505" s="956" t="s">
        <v>1512</v>
      </c>
      <c r="B505" s="1140" t="str">
        <f t="shared" si="47"/>
        <v/>
      </c>
      <c r="C505" s="823" t="s">
        <v>1553</v>
      </c>
      <c r="D505" s="823">
        <v>1</v>
      </c>
      <c r="E505" s="1001">
        <v>78</v>
      </c>
      <c r="F505" s="824">
        <f>Cores!B36</f>
        <v>0</v>
      </c>
      <c r="G505" s="1003">
        <v>0</v>
      </c>
      <c r="H505" s="989">
        <f t="shared" si="48"/>
        <v>0</v>
      </c>
      <c r="I505" s="1178"/>
      <c r="K505" s="885"/>
    </row>
    <row r="506" spans="1:11">
      <c r="A506" s="956" t="s">
        <v>1513</v>
      </c>
      <c r="B506" s="1140" t="str">
        <f t="shared" si="47"/>
        <v/>
      </c>
      <c r="C506" s="823" t="s">
        <v>1553</v>
      </c>
      <c r="D506" s="823">
        <v>1</v>
      </c>
      <c r="E506" s="1001">
        <v>79</v>
      </c>
      <c r="F506" s="824">
        <f>Cores!B37</f>
        <v>0</v>
      </c>
      <c r="G506" s="1003">
        <v>0</v>
      </c>
      <c r="H506" s="989">
        <f t="shared" si="48"/>
        <v>0</v>
      </c>
      <c r="I506" s="1178"/>
      <c r="J506" s="885"/>
    </row>
    <row r="507" spans="1:11">
      <c r="A507" s="956" t="s">
        <v>1514</v>
      </c>
      <c r="B507" s="1140" t="str">
        <f t="shared" si="47"/>
        <v/>
      </c>
      <c r="C507" s="823" t="s">
        <v>1553</v>
      </c>
      <c r="D507" s="823">
        <v>1</v>
      </c>
      <c r="E507" s="1001">
        <v>80</v>
      </c>
      <c r="F507" s="823" t="s">
        <v>1637</v>
      </c>
      <c r="G507" s="980" t="str">
        <f>Cores!H15</f>
        <v/>
      </c>
      <c r="H507" s="989">
        <f t="shared" si="48"/>
        <v>0</v>
      </c>
      <c r="I507" s="1178"/>
      <c r="K507" s="885"/>
    </row>
    <row r="508" spans="1:11">
      <c r="A508" s="956" t="s">
        <v>1515</v>
      </c>
      <c r="B508" s="1140" t="str">
        <f t="shared" si="47"/>
        <v/>
      </c>
      <c r="C508" s="823" t="s">
        <v>1553</v>
      </c>
      <c r="D508" s="823">
        <v>1</v>
      </c>
      <c r="E508" s="1001">
        <v>81</v>
      </c>
      <c r="F508" s="823" t="s">
        <v>1637</v>
      </c>
      <c r="G508" s="980" t="str">
        <f>Cores!H16</f>
        <v/>
      </c>
      <c r="H508" s="989">
        <f t="shared" si="48"/>
        <v>0</v>
      </c>
      <c r="I508" s="1178"/>
    </row>
    <row r="509" spans="1:11">
      <c r="A509" s="956" t="s">
        <v>1529</v>
      </c>
      <c r="B509" s="1140" t="str">
        <f t="shared" si="47"/>
        <v/>
      </c>
      <c r="C509" s="823" t="s">
        <v>1553</v>
      </c>
      <c r="D509" s="823">
        <v>1</v>
      </c>
      <c r="E509" s="1001">
        <v>82</v>
      </c>
      <c r="F509" s="823" t="s">
        <v>1637</v>
      </c>
      <c r="G509" s="980" t="str">
        <f>Cores!H17</f>
        <v/>
      </c>
      <c r="H509" s="989">
        <f t="shared" si="48"/>
        <v>0</v>
      </c>
      <c r="I509" s="1178"/>
      <c r="K509" s="885"/>
    </row>
    <row r="510" spans="1:11">
      <c r="A510" s="956" t="s">
        <v>1530</v>
      </c>
      <c r="B510" s="1140" t="str">
        <f t="shared" si="47"/>
        <v/>
      </c>
      <c r="C510" s="823" t="s">
        <v>1553</v>
      </c>
      <c r="D510" s="823">
        <v>1</v>
      </c>
      <c r="E510" s="1001">
        <v>83</v>
      </c>
      <c r="F510" s="823" t="s">
        <v>1637</v>
      </c>
      <c r="G510" s="980" t="str">
        <f>Cores!H18</f>
        <v/>
      </c>
      <c r="H510" s="989">
        <f t="shared" si="48"/>
        <v>0</v>
      </c>
      <c r="I510" s="1178"/>
      <c r="K510" s="885"/>
    </row>
    <row r="511" spans="1:11">
      <c r="A511" s="956" t="s">
        <v>1531</v>
      </c>
      <c r="B511" s="1140" t="str">
        <f t="shared" si="47"/>
        <v/>
      </c>
      <c r="C511" s="823" t="s">
        <v>1553</v>
      </c>
      <c r="D511" s="823">
        <v>1</v>
      </c>
      <c r="E511" s="1001">
        <v>84</v>
      </c>
      <c r="F511" s="823" t="s">
        <v>1637</v>
      </c>
      <c r="G511" s="980" t="str">
        <f>Cores!H36</f>
        <v/>
      </c>
      <c r="H511" s="989">
        <f t="shared" si="48"/>
        <v>0</v>
      </c>
      <c r="I511" s="1178"/>
    </row>
    <row r="512" spans="1:11">
      <c r="A512" s="956" t="s">
        <v>1532</v>
      </c>
      <c r="B512" s="1140" t="str">
        <f t="shared" si="47"/>
        <v/>
      </c>
      <c r="C512" s="823" t="s">
        <v>1553</v>
      </c>
      <c r="D512" s="823">
        <v>1</v>
      </c>
      <c r="E512" s="1001">
        <v>85</v>
      </c>
      <c r="F512" s="823" t="s">
        <v>1637</v>
      </c>
      <c r="G512" s="980" t="str">
        <f>Cores!H37</f>
        <v/>
      </c>
      <c r="H512" s="989">
        <f t="shared" si="48"/>
        <v>0</v>
      </c>
      <c r="I512" s="1178"/>
      <c r="K512" s="958"/>
    </row>
    <row r="513" spans="1:11">
      <c r="A513" s="956" t="s">
        <v>1533</v>
      </c>
      <c r="B513" s="1140" t="str">
        <f t="shared" si="47"/>
        <v/>
      </c>
      <c r="C513" s="823" t="s">
        <v>1553</v>
      </c>
      <c r="D513" s="823">
        <v>1</v>
      </c>
      <c r="E513" s="1001">
        <v>86</v>
      </c>
      <c r="F513" s="823" t="s">
        <v>1637</v>
      </c>
      <c r="G513" s="980" t="str">
        <f>Cores!I15</f>
        <v/>
      </c>
      <c r="H513" s="989">
        <f t="shared" si="48"/>
        <v>0</v>
      </c>
      <c r="I513" s="1178"/>
    </row>
    <row r="514" spans="1:11">
      <c r="A514" s="956" t="s">
        <v>1534</v>
      </c>
      <c r="B514" s="1163" t="str">
        <f t="shared" si="47"/>
        <v/>
      </c>
      <c r="C514" s="875" t="s">
        <v>1553</v>
      </c>
      <c r="D514" s="875">
        <v>1</v>
      </c>
      <c r="E514" s="1001">
        <v>87</v>
      </c>
      <c r="F514" s="823" t="s">
        <v>1637</v>
      </c>
      <c r="G514" s="980" t="str">
        <f>Cores!I16</f>
        <v/>
      </c>
      <c r="H514" s="989">
        <f t="shared" si="48"/>
        <v>0</v>
      </c>
      <c r="I514" s="1192"/>
      <c r="K514" s="885"/>
    </row>
    <row r="515" spans="1:11">
      <c r="A515" s="956" t="s">
        <v>1535</v>
      </c>
      <c r="B515" s="1140" t="str">
        <f t="shared" si="47"/>
        <v/>
      </c>
      <c r="C515" s="823" t="s">
        <v>1553</v>
      </c>
      <c r="D515" s="823">
        <v>1</v>
      </c>
      <c r="E515" s="1001">
        <v>88</v>
      </c>
      <c r="F515" s="823" t="s">
        <v>1637</v>
      </c>
      <c r="G515" s="980" t="str">
        <f>Cores!I17</f>
        <v/>
      </c>
      <c r="H515" s="989">
        <f t="shared" si="48"/>
        <v>0</v>
      </c>
      <c r="I515" s="1178"/>
    </row>
    <row r="516" spans="1:11">
      <c r="A516" s="956" t="s">
        <v>1536</v>
      </c>
      <c r="B516" s="1140" t="str">
        <f t="shared" si="47"/>
        <v/>
      </c>
      <c r="C516" s="823" t="s">
        <v>1553</v>
      </c>
      <c r="D516" s="823">
        <v>1</v>
      </c>
      <c r="E516" s="1001">
        <v>89</v>
      </c>
      <c r="F516" s="823" t="s">
        <v>1637</v>
      </c>
      <c r="G516" s="980" t="str">
        <f>Cores!I18</f>
        <v/>
      </c>
      <c r="H516" s="989">
        <f t="shared" si="48"/>
        <v>0</v>
      </c>
      <c r="I516" s="1178"/>
    </row>
    <row r="517" spans="1:11">
      <c r="A517" s="956" t="s">
        <v>1548</v>
      </c>
      <c r="B517" s="1140" t="str">
        <f t="shared" si="47"/>
        <v/>
      </c>
      <c r="C517" s="823" t="s">
        <v>1553</v>
      </c>
      <c r="D517" s="823">
        <v>1</v>
      </c>
      <c r="E517" s="1001">
        <v>90</v>
      </c>
      <c r="F517" s="823" t="s">
        <v>1637</v>
      </c>
      <c r="G517" s="980" t="str">
        <f>Cores!I36</f>
        <v/>
      </c>
      <c r="H517" s="989">
        <f t="shared" si="48"/>
        <v>0</v>
      </c>
      <c r="I517" s="1178"/>
    </row>
    <row r="518" spans="1:11" ht="12.75" customHeight="1">
      <c r="A518" s="956" t="s">
        <v>1549</v>
      </c>
      <c r="B518" s="1140" t="str">
        <f t="shared" si="47"/>
        <v/>
      </c>
      <c r="C518" s="823" t="s">
        <v>1553</v>
      </c>
      <c r="D518" s="823">
        <v>1</v>
      </c>
      <c r="E518" s="1001">
        <v>91</v>
      </c>
      <c r="F518" s="823" t="s">
        <v>1637</v>
      </c>
      <c r="G518" s="980" t="str">
        <f>Cores!I37</f>
        <v/>
      </c>
      <c r="H518" s="989">
        <f t="shared" si="48"/>
        <v>0</v>
      </c>
      <c r="I518" s="1178"/>
    </row>
    <row r="519" spans="1:11" ht="12.75" customHeight="1">
      <c r="A519" s="956" t="s">
        <v>2352</v>
      </c>
      <c r="B519" s="1219" t="str">
        <f>B518</f>
        <v/>
      </c>
      <c r="C519" s="823" t="s">
        <v>1553</v>
      </c>
      <c r="D519" s="823">
        <v>1</v>
      </c>
      <c r="E519" s="1001" t="s">
        <v>2304</v>
      </c>
      <c r="F519" s="1220"/>
      <c r="G519" s="1226">
        <f>Calculations!$D$15</f>
        <v>0</v>
      </c>
      <c r="H519" s="1222">
        <f>H518</f>
        <v>0</v>
      </c>
      <c r="I519" s="1223"/>
    </row>
    <row r="520" spans="1:11" ht="12.75" customHeight="1">
      <c r="A520" s="956" t="s">
        <v>1474</v>
      </c>
      <c r="B520" s="1219" t="str">
        <f t="shared" ref="B520:D557" si="49">B519</f>
        <v/>
      </c>
      <c r="C520" s="823" t="s">
        <v>1553</v>
      </c>
      <c r="D520" s="823">
        <v>1</v>
      </c>
      <c r="E520" s="1001" t="s">
        <v>2305</v>
      </c>
      <c r="F520" s="1225" t="str">
        <f>Calculations!$H$20</f>
        <v/>
      </c>
      <c r="G520" s="1220"/>
      <c r="H520" s="1222">
        <f t="shared" ref="H520:H585" si="50">H519</f>
        <v>0</v>
      </c>
      <c r="I520" s="1223"/>
    </row>
    <row r="521" spans="1:11" ht="12.75" customHeight="1">
      <c r="A521" s="956" t="s">
        <v>2353</v>
      </c>
      <c r="B521" s="1219" t="str">
        <f t="shared" si="49"/>
        <v/>
      </c>
      <c r="C521" s="823" t="s">
        <v>1553</v>
      </c>
      <c r="D521" s="823">
        <v>1</v>
      </c>
      <c r="E521" s="1001" t="s">
        <v>2307</v>
      </c>
      <c r="F521" s="1225" t="str">
        <f>IF(Calculations!$H$12=1,"A",IF(Calculations!$H$12=2,"B"," "))</f>
        <v xml:space="preserve"> </v>
      </c>
      <c r="G521" s="1220"/>
      <c r="H521" s="1222">
        <f t="shared" si="50"/>
        <v>0</v>
      </c>
      <c r="I521" s="1223"/>
    </row>
    <row r="522" spans="1:11" ht="12.75" customHeight="1">
      <c r="A522" s="956" t="s">
        <v>2354</v>
      </c>
      <c r="B522" s="1219" t="str">
        <f t="shared" si="49"/>
        <v/>
      </c>
      <c r="C522" s="823" t="s">
        <v>1553</v>
      </c>
      <c r="D522" s="823">
        <v>1</v>
      </c>
      <c r="E522" s="1001" t="s">
        <v>2308</v>
      </c>
      <c r="F522" s="1220"/>
      <c r="G522" s="1221">
        <f>'Pay Values'!$A$14</f>
        <v>0</v>
      </c>
      <c r="H522" s="1222">
        <f t="shared" si="50"/>
        <v>0</v>
      </c>
      <c r="I522" s="1223"/>
    </row>
    <row r="523" spans="1:11" ht="12.75" customHeight="1">
      <c r="A523" s="956" t="s">
        <v>2355</v>
      </c>
      <c r="B523" s="1219" t="str">
        <f t="shared" si="49"/>
        <v/>
      </c>
      <c r="C523" s="823" t="s">
        <v>1553</v>
      </c>
      <c r="D523" s="823">
        <v>1</v>
      </c>
      <c r="E523" s="1001" t="s">
        <v>2309</v>
      </c>
      <c r="F523" s="1220"/>
      <c r="G523" s="1221" t="str">
        <f>'Pay Values'!$D$14</f>
        <v/>
      </c>
      <c r="H523" s="1222">
        <f t="shared" si="50"/>
        <v>0</v>
      </c>
      <c r="I523" s="1223"/>
    </row>
    <row r="524" spans="1:11" ht="12.75" customHeight="1">
      <c r="A524" s="956" t="s">
        <v>2356</v>
      </c>
      <c r="B524" s="1219" t="str">
        <f t="shared" si="49"/>
        <v/>
      </c>
      <c r="C524" s="823" t="s">
        <v>1553</v>
      </c>
      <c r="D524" s="823">
        <v>1</v>
      </c>
      <c r="E524" s="1001" t="s">
        <v>2310</v>
      </c>
      <c r="F524" s="1220"/>
      <c r="G524" s="1221" t="str">
        <f>'Pay Values'!$E$14</f>
        <v/>
      </c>
      <c r="H524" s="1222">
        <f t="shared" si="50"/>
        <v>0</v>
      </c>
      <c r="I524" s="1223"/>
    </row>
    <row r="525" spans="1:11" ht="12.75" customHeight="1">
      <c r="A525" s="956" t="s">
        <v>2357</v>
      </c>
      <c r="B525" s="1219" t="str">
        <f t="shared" si="49"/>
        <v/>
      </c>
      <c r="C525" s="823" t="s">
        <v>1553</v>
      </c>
      <c r="D525" s="823">
        <v>1</v>
      </c>
      <c r="E525" s="1001" t="s">
        <v>2311</v>
      </c>
      <c r="F525" s="1220"/>
      <c r="G525" s="1221" t="str">
        <f>'Pay Values'!$G$14</f>
        <v/>
      </c>
      <c r="H525" s="1222">
        <f t="shared" si="50"/>
        <v>0</v>
      </c>
      <c r="I525" s="1223"/>
    </row>
    <row r="526" spans="1:11" ht="12.75" customHeight="1">
      <c r="A526" s="956" t="s">
        <v>2358</v>
      </c>
      <c r="B526" s="1219" t="str">
        <f t="shared" si="49"/>
        <v/>
      </c>
      <c r="C526" s="823" t="s">
        <v>1553</v>
      </c>
      <c r="D526" s="823">
        <v>1</v>
      </c>
      <c r="E526" s="1001" t="s">
        <v>2312</v>
      </c>
      <c r="F526" s="1220"/>
      <c r="G526" s="1221">
        <f>'Pay Values'!$H$14</f>
        <v>0</v>
      </c>
      <c r="H526" s="1222">
        <f t="shared" si="50"/>
        <v>0</v>
      </c>
      <c r="I526" s="1223"/>
    </row>
    <row r="527" spans="1:11" ht="12.75" customHeight="1">
      <c r="A527" s="956" t="s">
        <v>2359</v>
      </c>
      <c r="B527" s="1219" t="str">
        <f t="shared" si="49"/>
        <v/>
      </c>
      <c r="C527" s="823" t="s">
        <v>1553</v>
      </c>
      <c r="D527" s="823">
        <v>1</v>
      </c>
      <c r="E527" s="1001" t="s">
        <v>2313</v>
      </c>
      <c r="F527" s="1220"/>
      <c r="G527" s="1221" t="str">
        <f>'Pay Values'!$K$14</f>
        <v/>
      </c>
      <c r="H527" s="1222">
        <f t="shared" si="50"/>
        <v>0</v>
      </c>
      <c r="I527" s="1223"/>
    </row>
    <row r="528" spans="1:11" ht="12.75" customHeight="1">
      <c r="A528" s="956" t="s">
        <v>2360</v>
      </c>
      <c r="B528" s="1219" t="str">
        <f t="shared" si="49"/>
        <v/>
      </c>
      <c r="C528" s="823" t="s">
        <v>1553</v>
      </c>
      <c r="D528" s="823">
        <v>1</v>
      </c>
      <c r="E528" s="1001" t="s">
        <v>2314</v>
      </c>
      <c r="F528" s="1220"/>
      <c r="G528" s="1225" t="str">
        <f>'Pay Values'!$B$21</f>
        <v/>
      </c>
      <c r="H528" s="1222">
        <f t="shared" si="50"/>
        <v>0</v>
      </c>
      <c r="I528" s="1223"/>
    </row>
    <row r="529" spans="1:9" ht="12.75" customHeight="1">
      <c r="A529" s="956" t="s">
        <v>2361</v>
      </c>
      <c r="B529" s="1219" t="str">
        <f t="shared" si="49"/>
        <v/>
      </c>
      <c r="C529" s="823" t="s">
        <v>1553</v>
      </c>
      <c r="D529" s="823">
        <v>1</v>
      </c>
      <c r="E529" s="1001" t="s">
        <v>2315</v>
      </c>
      <c r="F529" s="1220"/>
      <c r="G529" s="1225" t="str">
        <f>'Pay Values'!$B$22</f>
        <v/>
      </c>
      <c r="H529" s="1222">
        <f t="shared" si="50"/>
        <v>0</v>
      </c>
      <c r="I529" s="1223"/>
    </row>
    <row r="530" spans="1:9" ht="12.75" customHeight="1">
      <c r="A530" s="956" t="s">
        <v>2362</v>
      </c>
      <c r="B530" s="1219" t="str">
        <f t="shared" si="49"/>
        <v/>
      </c>
      <c r="C530" s="823" t="s">
        <v>1553</v>
      </c>
      <c r="D530" s="823">
        <v>1</v>
      </c>
      <c r="E530" s="1001" t="s">
        <v>2316</v>
      </c>
      <c r="F530" s="1220"/>
      <c r="G530" s="1225">
        <f>ROUND('Pay Values'!$J$20,2)</f>
        <v>0</v>
      </c>
      <c r="H530" s="1222">
        <f t="shared" si="50"/>
        <v>0</v>
      </c>
      <c r="I530" s="1223"/>
    </row>
    <row r="531" spans="1:9" ht="12.75" customHeight="1">
      <c r="A531" s="956" t="s">
        <v>2363</v>
      </c>
      <c r="B531" s="1219" t="str">
        <f t="shared" si="49"/>
        <v/>
      </c>
      <c r="C531" s="823" t="s">
        <v>1553</v>
      </c>
      <c r="D531" s="823">
        <v>1</v>
      </c>
      <c r="E531" s="1001" t="s">
        <v>2317</v>
      </c>
      <c r="F531" s="1220"/>
      <c r="G531" s="1225" t="str">
        <f>'Pay Values'!$J$21</f>
        <v/>
      </c>
      <c r="H531" s="1222">
        <f t="shared" si="50"/>
        <v>0</v>
      </c>
      <c r="I531" s="1223"/>
    </row>
    <row r="532" spans="1:9" ht="12.75" customHeight="1">
      <c r="A532" s="956" t="s">
        <v>2364</v>
      </c>
      <c r="B532" s="1219" t="str">
        <f t="shared" si="49"/>
        <v/>
      </c>
      <c r="C532" s="823" t="s">
        <v>1553</v>
      </c>
      <c r="D532" s="823">
        <v>1</v>
      </c>
      <c r="E532" s="1001" t="s">
        <v>2318</v>
      </c>
      <c r="F532" s="1220"/>
      <c r="G532" s="1225" t="str">
        <f>'Pay Values'!$J$24</f>
        <v/>
      </c>
      <c r="H532" s="1222">
        <f t="shared" si="50"/>
        <v>0</v>
      </c>
      <c r="I532" s="1223"/>
    </row>
    <row r="533" spans="1:9" ht="12.75" customHeight="1">
      <c r="A533" s="956" t="s">
        <v>2365</v>
      </c>
      <c r="B533" s="1219" t="str">
        <f t="shared" si="49"/>
        <v/>
      </c>
      <c r="C533" s="823" t="s">
        <v>1553</v>
      </c>
      <c r="D533" s="823">
        <v>1</v>
      </c>
      <c r="E533" s="1001" t="s">
        <v>2319</v>
      </c>
      <c r="F533" s="1221" t="str">
        <f>'Pay Values'!$B$38</f>
        <v/>
      </c>
      <c r="G533" s="1220"/>
      <c r="H533" s="1222">
        <f t="shared" si="50"/>
        <v>0</v>
      </c>
      <c r="I533" s="1223"/>
    </row>
    <row r="534" spans="1:9" ht="12.75" customHeight="1">
      <c r="A534" s="956" t="s">
        <v>2366</v>
      </c>
      <c r="B534" s="1219" t="str">
        <f t="shared" si="49"/>
        <v/>
      </c>
      <c r="C534" s="823" t="s">
        <v>1553</v>
      </c>
      <c r="D534" s="823">
        <v>1</v>
      </c>
      <c r="E534" s="1001" t="s">
        <v>2320</v>
      </c>
      <c r="F534" s="1221" t="str">
        <f>'Pay Values'!$C$38</f>
        <v/>
      </c>
      <c r="G534" s="1220"/>
      <c r="H534" s="1222">
        <f t="shared" si="50"/>
        <v>0</v>
      </c>
      <c r="I534" s="1223"/>
    </row>
    <row r="535" spans="1:9" ht="12.75" customHeight="1">
      <c r="A535" s="956" t="s">
        <v>2367</v>
      </c>
      <c r="B535" s="1219" t="str">
        <f t="shared" si="49"/>
        <v/>
      </c>
      <c r="C535" s="823" t="s">
        <v>1553</v>
      </c>
      <c r="D535" s="823">
        <v>1</v>
      </c>
      <c r="E535" s="1001" t="s">
        <v>2321</v>
      </c>
      <c r="F535" s="1220"/>
      <c r="G535" s="1221" t="str">
        <f>'Pay Values'!$E$38</f>
        <v/>
      </c>
      <c r="H535" s="1222">
        <f t="shared" si="50"/>
        <v>0</v>
      </c>
      <c r="I535" s="1223"/>
    </row>
    <row r="536" spans="1:9" ht="12.75" customHeight="1">
      <c r="A536" s="956" t="s">
        <v>2368</v>
      </c>
      <c r="B536" s="1219" t="str">
        <f t="shared" si="49"/>
        <v/>
      </c>
      <c r="C536" s="823" t="s">
        <v>1553</v>
      </c>
      <c r="D536" s="823">
        <v>1</v>
      </c>
      <c r="E536" s="1001" t="s">
        <v>2322</v>
      </c>
      <c r="F536" s="1221">
        <f>'Pay Values'!$C$43</f>
        <v>0</v>
      </c>
      <c r="G536" s="1220"/>
      <c r="H536" s="1222">
        <f t="shared" si="50"/>
        <v>0</v>
      </c>
      <c r="I536" s="1223"/>
    </row>
    <row r="537" spans="1:9" ht="12.75" customHeight="1">
      <c r="A537" s="956" t="s">
        <v>2369</v>
      </c>
      <c r="B537" s="1219" t="str">
        <f t="shared" si="49"/>
        <v/>
      </c>
      <c r="C537" s="823" t="s">
        <v>1553</v>
      </c>
      <c r="D537" s="823">
        <v>1</v>
      </c>
      <c r="E537" s="1001" t="s">
        <v>2323</v>
      </c>
      <c r="F537" s="1221">
        <f>'Pay Values'!$C$44</f>
        <v>0</v>
      </c>
      <c r="G537" s="1220"/>
      <c r="H537" s="1222">
        <f t="shared" si="50"/>
        <v>0</v>
      </c>
      <c r="I537" s="1223"/>
    </row>
    <row r="538" spans="1:9" ht="12.75" customHeight="1">
      <c r="A538" s="956" t="s">
        <v>2370</v>
      </c>
      <c r="B538" s="1219" t="str">
        <f t="shared" si="49"/>
        <v/>
      </c>
      <c r="C538" s="823" t="s">
        <v>1553</v>
      </c>
      <c r="D538" s="823">
        <v>1</v>
      </c>
      <c r="E538" s="1001" t="s">
        <v>2324</v>
      </c>
      <c r="F538" s="1225" t="e">
        <f>VLOOKUP(Calculations!$D$147,Calculations!$A$147:$B$161,2,FALSE)</f>
        <v>#N/A</v>
      </c>
      <c r="G538" s="1220"/>
      <c r="H538" s="1222">
        <f t="shared" si="50"/>
        <v>0</v>
      </c>
      <c r="I538" s="1223"/>
    </row>
    <row r="539" spans="1:9" ht="12.75" customHeight="1">
      <c r="A539" s="956" t="s">
        <v>2371</v>
      </c>
      <c r="B539" s="1219" t="str">
        <f t="shared" si="49"/>
        <v/>
      </c>
      <c r="C539" s="823" t="s">
        <v>1553</v>
      </c>
      <c r="D539" s="823">
        <v>1</v>
      </c>
      <c r="E539" s="1001" t="s">
        <v>2325</v>
      </c>
      <c r="F539" s="1225" t="str">
        <f>'Pay Values'!$B$46</f>
        <v/>
      </c>
      <c r="G539" s="1220"/>
      <c r="H539" s="1222">
        <f t="shared" si="50"/>
        <v>0</v>
      </c>
      <c r="I539" s="1223"/>
    </row>
    <row r="540" spans="1:9" ht="12.75" customHeight="1">
      <c r="A540" s="956" t="s">
        <v>2372</v>
      </c>
      <c r="B540" s="1219" t="str">
        <f t="shared" si="49"/>
        <v/>
      </c>
      <c r="C540" s="823" t="s">
        <v>1553</v>
      </c>
      <c r="D540" s="823">
        <v>1</v>
      </c>
      <c r="E540" s="1001" t="s">
        <v>2326</v>
      </c>
      <c r="F540" s="1225">
        <f>'Pay Values'!$C$46</f>
        <v>0</v>
      </c>
      <c r="G540" s="1220"/>
      <c r="H540" s="1222">
        <f t="shared" si="50"/>
        <v>0</v>
      </c>
      <c r="I540" s="1223"/>
    </row>
    <row r="541" spans="1:9" ht="12.75" customHeight="1">
      <c r="A541" s="956" t="s">
        <v>2373</v>
      </c>
      <c r="B541" s="1219" t="str">
        <f t="shared" si="49"/>
        <v/>
      </c>
      <c r="C541" s="823" t="s">
        <v>1553</v>
      </c>
      <c r="D541" s="823">
        <v>1</v>
      </c>
      <c r="E541" s="1001" t="s">
        <v>2327</v>
      </c>
      <c r="F541" s="1225" t="str">
        <f>IF(Calculations!$O$1=1,"Yes", "No")</f>
        <v>No</v>
      </c>
      <c r="G541" s="1220"/>
      <c r="H541" s="1222">
        <f t="shared" si="50"/>
        <v>0</v>
      </c>
      <c r="I541" s="1223"/>
    </row>
    <row r="542" spans="1:9" ht="12.75" customHeight="1">
      <c r="A542" s="956" t="s">
        <v>2374</v>
      </c>
      <c r="B542" s="1219" t="str">
        <f t="shared" si="49"/>
        <v/>
      </c>
      <c r="C542" s="823" t="s">
        <v>1553</v>
      </c>
      <c r="D542" s="823">
        <v>1</v>
      </c>
      <c r="E542" s="1001" t="s">
        <v>2328</v>
      </c>
      <c r="F542" s="1225" t="str">
        <f>IF(Calculations!$O$2=1,"Yes", "No")</f>
        <v>No</v>
      </c>
      <c r="G542" s="1220"/>
      <c r="H542" s="1222">
        <f t="shared" si="50"/>
        <v>0</v>
      </c>
      <c r="I542" s="1223"/>
    </row>
    <row r="543" spans="1:9" ht="12.75" customHeight="1">
      <c r="A543" s="956" t="s">
        <v>2547</v>
      </c>
      <c r="B543" s="1219" t="str">
        <f t="shared" si="49"/>
        <v/>
      </c>
      <c r="C543" s="823" t="s">
        <v>1553</v>
      </c>
      <c r="D543" s="823">
        <v>1</v>
      </c>
      <c r="E543" s="1001" t="s">
        <v>2519</v>
      </c>
      <c r="F543" s="1001"/>
      <c r="G543" s="980">
        <f>Gradation!$N$10</f>
        <v>0</v>
      </c>
      <c r="H543" s="1222">
        <f t="shared" si="50"/>
        <v>0</v>
      </c>
      <c r="I543" s="1223"/>
    </row>
    <row r="544" spans="1:9" ht="12.75" customHeight="1">
      <c r="A544" s="956" t="s">
        <v>2548</v>
      </c>
      <c r="B544" s="1219" t="str">
        <f t="shared" si="49"/>
        <v/>
      </c>
      <c r="C544" s="823" t="s">
        <v>1553</v>
      </c>
      <c r="D544" s="823">
        <v>1</v>
      </c>
      <c r="E544" s="1001" t="s">
        <v>2520</v>
      </c>
      <c r="F544" s="1001"/>
      <c r="G544" s="980">
        <f>Gradation!$N$11</f>
        <v>0</v>
      </c>
      <c r="H544" s="1222">
        <f t="shared" si="50"/>
        <v>0</v>
      </c>
      <c r="I544" s="1223"/>
    </row>
    <row r="545" spans="1:9" ht="12.75" customHeight="1">
      <c r="A545" s="956" t="s">
        <v>2549</v>
      </c>
      <c r="B545" s="1219" t="str">
        <f t="shared" si="49"/>
        <v/>
      </c>
      <c r="C545" s="823" t="s">
        <v>1553</v>
      </c>
      <c r="D545" s="823">
        <v>1</v>
      </c>
      <c r="E545" s="1001" t="s">
        <v>2521</v>
      </c>
      <c r="F545" s="1001"/>
      <c r="G545" s="980">
        <f>Gradation!$N$12</f>
        <v>0</v>
      </c>
      <c r="H545" s="1222">
        <f t="shared" si="50"/>
        <v>0</v>
      </c>
      <c r="I545" s="1223"/>
    </row>
    <row r="546" spans="1:9" ht="12.75" customHeight="1">
      <c r="A546" s="956" t="s">
        <v>2550</v>
      </c>
      <c r="B546" s="1219" t="str">
        <f t="shared" si="49"/>
        <v/>
      </c>
      <c r="C546" s="823" t="s">
        <v>1553</v>
      </c>
      <c r="D546" s="823">
        <v>1</v>
      </c>
      <c r="E546" s="1001" t="s">
        <v>2522</v>
      </c>
      <c r="F546" s="1001"/>
      <c r="G546" s="980">
        <f>Gradation!$N$13</f>
        <v>0</v>
      </c>
      <c r="H546" s="1222">
        <f t="shared" si="50"/>
        <v>0</v>
      </c>
      <c r="I546" s="1223"/>
    </row>
    <row r="547" spans="1:9" ht="12.75" customHeight="1">
      <c r="A547" s="956" t="s">
        <v>2551</v>
      </c>
      <c r="B547" s="1219" t="str">
        <f t="shared" si="49"/>
        <v/>
      </c>
      <c r="C547" s="823" t="s">
        <v>1553</v>
      </c>
      <c r="D547" s="823">
        <v>1</v>
      </c>
      <c r="E547" s="1001" t="s">
        <v>2523</v>
      </c>
      <c r="F547" s="1001"/>
      <c r="G547" s="980">
        <f>Gradation!$N$14</f>
        <v>0</v>
      </c>
      <c r="H547" s="1222">
        <f t="shared" si="50"/>
        <v>0</v>
      </c>
      <c r="I547" s="1223"/>
    </row>
    <row r="548" spans="1:9" ht="12.75" customHeight="1">
      <c r="A548" s="956" t="s">
        <v>2552</v>
      </c>
      <c r="B548" s="1219" t="str">
        <f t="shared" si="49"/>
        <v/>
      </c>
      <c r="C548" s="823" t="s">
        <v>1553</v>
      </c>
      <c r="D548" s="823">
        <v>1</v>
      </c>
      <c r="E548" s="1001" t="s">
        <v>2524</v>
      </c>
      <c r="F548" s="1001"/>
      <c r="G548" s="980">
        <f>Gradation!$N$15</f>
        <v>0</v>
      </c>
      <c r="H548" s="1222">
        <f t="shared" si="50"/>
        <v>0</v>
      </c>
      <c r="I548" s="1223"/>
    </row>
    <row r="549" spans="1:9" ht="12.75" customHeight="1">
      <c r="A549" s="956" t="s">
        <v>2553</v>
      </c>
      <c r="B549" s="1219" t="str">
        <f t="shared" si="49"/>
        <v/>
      </c>
      <c r="C549" s="823" t="s">
        <v>1553</v>
      </c>
      <c r="D549" s="823">
        <v>1</v>
      </c>
      <c r="E549" s="1001" t="s">
        <v>2525</v>
      </c>
      <c r="F549" s="1001"/>
      <c r="G549" s="980">
        <f>Gradation!$N$16</f>
        <v>0</v>
      </c>
      <c r="H549" s="1222">
        <f t="shared" si="50"/>
        <v>0</v>
      </c>
      <c r="I549" s="1223"/>
    </row>
    <row r="550" spans="1:9" ht="12.75" customHeight="1">
      <c r="A550" s="956" t="s">
        <v>2554</v>
      </c>
      <c r="B550" s="1219" t="str">
        <f t="shared" si="49"/>
        <v/>
      </c>
      <c r="C550" s="823" t="s">
        <v>1553</v>
      </c>
      <c r="D550" s="823">
        <v>1</v>
      </c>
      <c r="E550" s="1001" t="s">
        <v>2526</v>
      </c>
      <c r="F550" s="1001"/>
      <c r="G550" s="980">
        <f>Gradation!$N$17</f>
        <v>0</v>
      </c>
      <c r="H550" s="1222">
        <f t="shared" si="50"/>
        <v>0</v>
      </c>
      <c r="I550" s="1223"/>
    </row>
    <row r="551" spans="1:9" ht="12.75" customHeight="1">
      <c r="A551" s="956" t="s">
        <v>2555</v>
      </c>
      <c r="B551" s="1219" t="str">
        <f t="shared" si="49"/>
        <v/>
      </c>
      <c r="C551" s="823" t="s">
        <v>1553</v>
      </c>
      <c r="D551" s="823">
        <v>1</v>
      </c>
      <c r="E551" s="1001" t="s">
        <v>2527</v>
      </c>
      <c r="F551" s="1001"/>
      <c r="G551" s="980">
        <f>Gradation!$N$18</f>
        <v>0</v>
      </c>
      <c r="H551" s="1222">
        <f t="shared" si="50"/>
        <v>0</v>
      </c>
      <c r="I551" s="1223"/>
    </row>
    <row r="552" spans="1:9" ht="12.75" customHeight="1">
      <c r="A552" s="956" t="s">
        <v>2556</v>
      </c>
      <c r="B552" s="1219" t="str">
        <f t="shared" si="49"/>
        <v/>
      </c>
      <c r="C552" s="823" t="s">
        <v>1553</v>
      </c>
      <c r="D552" s="823">
        <v>1</v>
      </c>
      <c r="E552" s="1001" t="s">
        <v>2528</v>
      </c>
      <c r="F552" s="1001"/>
      <c r="G552" s="980">
        <f>Gradation!$N$19</f>
        <v>0</v>
      </c>
      <c r="H552" s="1222">
        <f t="shared" si="50"/>
        <v>0</v>
      </c>
      <c r="I552" s="1223"/>
    </row>
    <row r="553" spans="1:9" ht="12.75" customHeight="1">
      <c r="A553" s="956" t="s">
        <v>2557</v>
      </c>
      <c r="B553" s="1219" t="str">
        <f t="shared" si="49"/>
        <v/>
      </c>
      <c r="C553" s="823" t="s">
        <v>1553</v>
      </c>
      <c r="D553" s="823">
        <v>1</v>
      </c>
      <c r="E553" s="1001" t="s">
        <v>2529</v>
      </c>
      <c r="F553" s="1001"/>
      <c r="G553" s="980">
        <f>Gradation!$N$20</f>
        <v>0</v>
      </c>
      <c r="H553" s="1222">
        <f t="shared" si="50"/>
        <v>0</v>
      </c>
      <c r="I553" s="1223"/>
    </row>
    <row r="554" spans="1:9" ht="12.75" customHeight="1">
      <c r="A554" s="956" t="s">
        <v>2558</v>
      </c>
      <c r="B554" s="1219" t="str">
        <f t="shared" si="49"/>
        <v/>
      </c>
      <c r="C554" s="823" t="s">
        <v>1553</v>
      </c>
      <c r="D554" s="823">
        <v>1</v>
      </c>
      <c r="E554" s="1001" t="s">
        <v>2530</v>
      </c>
      <c r="F554" s="1001"/>
      <c r="G554" s="980">
        <f>Gradation!$N$21</f>
        <v>0</v>
      </c>
      <c r="H554" s="1222">
        <f t="shared" si="50"/>
        <v>0</v>
      </c>
      <c r="I554" s="1223"/>
    </row>
    <row r="555" spans="1:9" ht="12.75" customHeight="1">
      <c r="A555" s="956" t="s">
        <v>2559</v>
      </c>
      <c r="B555" s="1219" t="str">
        <f t="shared" si="49"/>
        <v/>
      </c>
      <c r="C555" s="823" t="s">
        <v>1553</v>
      </c>
      <c r="D555" s="823">
        <v>1</v>
      </c>
      <c r="E555" s="1001" t="s">
        <v>2531</v>
      </c>
      <c r="F555" s="1001"/>
      <c r="G555" s="980">
        <f>Gradation!$N$22</f>
        <v>0</v>
      </c>
      <c r="H555" s="1222">
        <f t="shared" si="50"/>
        <v>0</v>
      </c>
      <c r="I555" s="1223"/>
    </row>
    <row r="556" spans="1:9" ht="12.75" customHeight="1">
      <c r="A556" s="956" t="s">
        <v>2560</v>
      </c>
      <c r="B556" s="1219" t="str">
        <f t="shared" si="49"/>
        <v/>
      </c>
      <c r="C556" s="823" t="s">
        <v>1553</v>
      </c>
      <c r="D556" s="823">
        <v>1</v>
      </c>
      <c r="E556" s="1001" t="s">
        <v>2532</v>
      </c>
      <c r="F556" s="1001"/>
      <c r="G556" s="980">
        <f>Gradation!$N$23</f>
        <v>0</v>
      </c>
      <c r="H556" s="1222">
        <f t="shared" si="50"/>
        <v>0</v>
      </c>
      <c r="I556" s="1223"/>
    </row>
    <row r="557" spans="1:9" ht="12.75" customHeight="1">
      <c r="A557" s="1505" t="s">
        <v>2929</v>
      </c>
      <c r="B557" s="1506" t="str">
        <f t="shared" si="49"/>
        <v/>
      </c>
      <c r="C557" s="1507" t="str">
        <f t="shared" si="49"/>
        <v>AMAMAW</v>
      </c>
      <c r="D557" s="1507">
        <f t="shared" si="49"/>
        <v>1</v>
      </c>
      <c r="E557" s="1508">
        <v>130</v>
      </c>
      <c r="F557" s="1509"/>
      <c r="G557" s="1516">
        <f>IF('Performance Specimens'!$H$41="",0,'Performance Specimens'!$H$41)</f>
        <v>0</v>
      </c>
      <c r="H557" s="1510">
        <f t="shared" si="50"/>
        <v>0</v>
      </c>
      <c r="I557" s="1178"/>
    </row>
    <row r="558" spans="1:9" ht="12.75" customHeight="1">
      <c r="A558" s="1505" t="s">
        <v>2930</v>
      </c>
      <c r="B558" s="1506" t="str">
        <f t="shared" ref="B558:D575" si="51">B557</f>
        <v/>
      </c>
      <c r="C558" s="1507" t="str">
        <f t="shared" si="51"/>
        <v>AMAMAW</v>
      </c>
      <c r="D558" s="1507">
        <f t="shared" si="51"/>
        <v>1</v>
      </c>
      <c r="E558" s="1508">
        <v>131</v>
      </c>
      <c r="F558" s="1509"/>
      <c r="G558" s="1516">
        <f>IF('Performance Specimens'!$O$41="",0,'Performance Specimens'!$O$41)</f>
        <v>0</v>
      </c>
      <c r="H558" s="1510">
        <f t="shared" si="50"/>
        <v>0</v>
      </c>
      <c r="I558" s="1178"/>
    </row>
    <row r="559" spans="1:9" ht="12.75" customHeight="1">
      <c r="A559" s="1505" t="s">
        <v>3243</v>
      </c>
      <c r="B559" s="1506" t="str">
        <f t="shared" ref="B559:D559" si="52">B558</f>
        <v/>
      </c>
      <c r="C559" s="1507" t="str">
        <f t="shared" si="52"/>
        <v>AMAMAW</v>
      </c>
      <c r="D559" s="1507">
        <f t="shared" si="52"/>
        <v>1</v>
      </c>
      <c r="E559" s="1508">
        <v>132</v>
      </c>
      <c r="F559" s="1509"/>
      <c r="G559" s="1516">
        <f>IF('Performance Specimens'!$H$57="",0,'Performance Specimens'!$H$57)</f>
        <v>0</v>
      </c>
      <c r="H559" s="1510">
        <f t="shared" si="50"/>
        <v>0</v>
      </c>
      <c r="I559" s="1178"/>
    </row>
    <row r="560" spans="1:9" ht="12.75" customHeight="1">
      <c r="A560" s="1505" t="s">
        <v>3244</v>
      </c>
      <c r="B560" s="1506" t="str">
        <f t="shared" ref="B560:D560" si="53">B559</f>
        <v/>
      </c>
      <c r="C560" s="1507" t="str">
        <f t="shared" si="53"/>
        <v>AMAMAW</v>
      </c>
      <c r="D560" s="1507">
        <f t="shared" si="53"/>
        <v>1</v>
      </c>
      <c r="E560" s="1508">
        <v>133</v>
      </c>
      <c r="F560" s="1509"/>
      <c r="G560" s="1516">
        <f>IF('Performance Specimens'!$O$57="",0,'Performance Specimens'!$O$57)</f>
        <v>0</v>
      </c>
      <c r="H560" s="1510">
        <f t="shared" si="50"/>
        <v>0</v>
      </c>
      <c r="I560" s="1178"/>
    </row>
    <row r="561" spans="1:9" ht="12.75" customHeight="1">
      <c r="A561" s="1505" t="s">
        <v>2931</v>
      </c>
      <c r="B561" s="1506" t="str">
        <f>B558</f>
        <v/>
      </c>
      <c r="C561" s="1507" t="str">
        <f>C558</f>
        <v>AMAMAW</v>
      </c>
      <c r="D561" s="1507">
        <f>D558</f>
        <v>1</v>
      </c>
      <c r="E561" s="1508">
        <v>134</v>
      </c>
      <c r="F561" s="1511">
        <f>Calculations!$AR$1</f>
        <v>0</v>
      </c>
      <c r="G561" s="1509"/>
      <c r="H561" s="1510">
        <f>H558</f>
        <v>0</v>
      </c>
      <c r="I561" s="1178"/>
    </row>
    <row r="562" spans="1:9" ht="12.75" customHeight="1">
      <c r="A562" s="1505" t="s">
        <v>2932</v>
      </c>
      <c r="B562" s="1506" t="str">
        <f t="shared" si="51"/>
        <v/>
      </c>
      <c r="C562" s="1507" t="str">
        <f t="shared" si="51"/>
        <v>AMAMAW</v>
      </c>
      <c r="D562" s="1507">
        <f t="shared" si="51"/>
        <v>1</v>
      </c>
      <c r="E562" s="1508">
        <v>135</v>
      </c>
      <c r="F562" s="1509"/>
      <c r="G562" s="1510">
        <f ca="1">IF('KYCT Data Sublot # 2'!$B$14="",0,'KYCT Data Sublot # 2'!$B$14)</f>
        <v>0</v>
      </c>
      <c r="H562" s="1510">
        <f t="shared" si="50"/>
        <v>0</v>
      </c>
      <c r="I562" s="1178"/>
    </row>
    <row r="563" spans="1:9" ht="12.75" customHeight="1">
      <c r="A563" s="1505" t="s">
        <v>2933</v>
      </c>
      <c r="B563" s="1506" t="str">
        <f t="shared" si="51"/>
        <v/>
      </c>
      <c r="C563" s="1507" t="str">
        <f t="shared" si="51"/>
        <v>AMAMAW</v>
      </c>
      <c r="D563" s="1507">
        <f t="shared" si="51"/>
        <v>1</v>
      </c>
      <c r="E563" s="1508">
        <v>136</v>
      </c>
      <c r="F563" s="1509"/>
      <c r="G563" s="1510">
        <f ca="1">IF('KYCT Data Sublot # 2'!$B$18="",0,'KYCT Data Sublot # 2'!$B$18)</f>
        <v>0</v>
      </c>
      <c r="H563" s="1510">
        <f t="shared" si="50"/>
        <v>0</v>
      </c>
      <c r="I563" s="1178"/>
    </row>
    <row r="564" spans="1:9" ht="12.75" customHeight="1">
      <c r="A564" s="1505" t="s">
        <v>2934</v>
      </c>
      <c r="B564" s="1506" t="str">
        <f t="shared" si="51"/>
        <v/>
      </c>
      <c r="C564" s="1507" t="str">
        <f t="shared" si="51"/>
        <v>AMAMAW</v>
      </c>
      <c r="D564" s="1507">
        <f t="shared" si="51"/>
        <v>1</v>
      </c>
      <c r="E564" s="1508">
        <v>137</v>
      </c>
      <c r="F564" s="1509"/>
      <c r="G564" s="1510">
        <f ca="1">IF('KYCT Data Sublot # 2'!$B$19="",0,'KYCT Data Sublot # 2'!$B$19)</f>
        <v>0</v>
      </c>
      <c r="H564" s="1510">
        <f t="shared" si="50"/>
        <v>0</v>
      </c>
      <c r="I564" s="1178"/>
    </row>
    <row r="565" spans="1:9" ht="12.75" customHeight="1">
      <c r="A565" s="1505" t="s">
        <v>2935</v>
      </c>
      <c r="B565" s="1506" t="str">
        <f t="shared" si="51"/>
        <v/>
      </c>
      <c r="C565" s="1507" t="str">
        <f t="shared" si="51"/>
        <v>AMAMAW</v>
      </c>
      <c r="D565" s="1507">
        <f t="shared" si="51"/>
        <v>1</v>
      </c>
      <c r="E565" s="1508">
        <v>138</v>
      </c>
      <c r="F565" s="1509"/>
      <c r="G565" s="1510">
        <f ca="1">IF('KYCT Data Sublot # 2'!$B$20="",0,'KYCT Data Sublot # 2'!$B$20)</f>
        <v>0</v>
      </c>
      <c r="H565" s="1510">
        <f t="shared" si="50"/>
        <v>0</v>
      </c>
      <c r="I565" s="1178"/>
    </row>
    <row r="566" spans="1:9" ht="12.75" customHeight="1">
      <c r="A566" s="1505" t="s">
        <v>2936</v>
      </c>
      <c r="B566" s="1506" t="str">
        <f t="shared" si="51"/>
        <v/>
      </c>
      <c r="C566" s="1507" t="str">
        <f t="shared" si="51"/>
        <v>AMAMAW</v>
      </c>
      <c r="D566" s="1507">
        <f t="shared" si="51"/>
        <v>1</v>
      </c>
      <c r="E566" s="1508">
        <v>139</v>
      </c>
      <c r="F566" s="1509"/>
      <c r="G566" s="1510">
        <f ca="1">IF('KYCT Data Sublot # 2'!$B$21="",0,'KYCT Data Sublot # 2'!$B$21)</f>
        <v>0</v>
      </c>
      <c r="H566" s="1510">
        <f t="shared" si="50"/>
        <v>0</v>
      </c>
      <c r="I566" s="1178"/>
    </row>
    <row r="567" spans="1:9" ht="12.75" customHeight="1">
      <c r="A567" s="1505" t="s">
        <v>2937</v>
      </c>
      <c r="B567" s="1506" t="str">
        <f t="shared" si="51"/>
        <v/>
      </c>
      <c r="C567" s="1507" t="str">
        <f t="shared" si="51"/>
        <v>AMAMAW</v>
      </c>
      <c r="D567" s="1507">
        <f t="shared" si="51"/>
        <v>1</v>
      </c>
      <c r="E567" s="1508">
        <v>140</v>
      </c>
      <c r="F567" s="1509"/>
      <c r="G567" s="1510">
        <f ca="1">IF('KYCT Data Sublot # 2'!$D$14="",0,'KYCT Data Sublot # 2'!$D$14)</f>
        <v>0</v>
      </c>
      <c r="H567" s="1510">
        <f t="shared" si="50"/>
        <v>0</v>
      </c>
      <c r="I567" s="1178"/>
    </row>
    <row r="568" spans="1:9" ht="12.75" customHeight="1">
      <c r="A568" s="1505" t="s">
        <v>2938</v>
      </c>
      <c r="B568" s="1506" t="str">
        <f t="shared" si="51"/>
        <v/>
      </c>
      <c r="C568" s="1507" t="str">
        <f t="shared" si="51"/>
        <v>AMAMAW</v>
      </c>
      <c r="D568" s="1507">
        <f t="shared" si="51"/>
        <v>1</v>
      </c>
      <c r="E568" s="1508">
        <v>141</v>
      </c>
      <c r="F568" s="1509"/>
      <c r="G568" s="1510">
        <f ca="1">IF('KYCT Data Sublot # 2'!$D$18="",0,'KYCT Data Sublot # 2'!$D$18)</f>
        <v>0</v>
      </c>
      <c r="H568" s="1510">
        <f t="shared" si="50"/>
        <v>0</v>
      </c>
      <c r="I568" s="1178"/>
    </row>
    <row r="569" spans="1:9" ht="12.75" customHeight="1">
      <c r="A569" s="1505" t="s">
        <v>2939</v>
      </c>
      <c r="B569" s="1506" t="str">
        <f t="shared" si="51"/>
        <v/>
      </c>
      <c r="C569" s="1507" t="str">
        <f t="shared" si="51"/>
        <v>AMAMAW</v>
      </c>
      <c r="D569" s="1507">
        <f t="shared" si="51"/>
        <v>1</v>
      </c>
      <c r="E569" s="1508">
        <v>142</v>
      </c>
      <c r="F569" s="1509"/>
      <c r="G569" s="1510">
        <f ca="1">IF('KYCT Data Sublot # 2'!$D$19="",0,'KYCT Data Sublot # 2'!$D$19)</f>
        <v>0</v>
      </c>
      <c r="H569" s="1510">
        <f t="shared" si="50"/>
        <v>0</v>
      </c>
      <c r="I569" s="1178"/>
    </row>
    <row r="570" spans="1:9" ht="12.75" customHeight="1">
      <c r="A570" s="1505" t="s">
        <v>2940</v>
      </c>
      <c r="B570" s="1506" t="str">
        <f t="shared" si="51"/>
        <v/>
      </c>
      <c r="C570" s="1507" t="str">
        <f t="shared" si="51"/>
        <v>AMAMAW</v>
      </c>
      <c r="D570" s="1507">
        <f t="shared" si="51"/>
        <v>1</v>
      </c>
      <c r="E570" s="1508">
        <v>143</v>
      </c>
      <c r="F570" s="1509"/>
      <c r="G570" s="1510">
        <f ca="1">IF('KYCT Data Sublot # 2'!$D$20="",0,'KYCT Data Sublot # 2'!$D$20)</f>
        <v>0</v>
      </c>
      <c r="H570" s="1510">
        <f t="shared" si="50"/>
        <v>0</v>
      </c>
      <c r="I570" s="1178"/>
    </row>
    <row r="571" spans="1:9" ht="12.75" customHeight="1">
      <c r="A571" s="1505" t="s">
        <v>2941</v>
      </c>
      <c r="B571" s="1506" t="str">
        <f t="shared" si="51"/>
        <v/>
      </c>
      <c r="C571" s="1507" t="str">
        <f t="shared" si="51"/>
        <v>AMAMAW</v>
      </c>
      <c r="D571" s="1507">
        <f t="shared" si="51"/>
        <v>1</v>
      </c>
      <c r="E571" s="1508">
        <v>144</v>
      </c>
      <c r="F571" s="1509"/>
      <c r="G571" s="1510">
        <f ca="1">IF('KYCT Data Sublot # 2'!$D$21="",0,'KYCT Data Sublot # 2'!$D$21)</f>
        <v>0</v>
      </c>
      <c r="H571" s="1510">
        <f t="shared" si="50"/>
        <v>0</v>
      </c>
      <c r="I571" s="1178"/>
    </row>
    <row r="572" spans="1:9" ht="12.75" customHeight="1">
      <c r="A572" s="1505" t="s">
        <v>2942</v>
      </c>
      <c r="B572" s="1506" t="str">
        <f t="shared" si="51"/>
        <v/>
      </c>
      <c r="C572" s="1507" t="str">
        <f t="shared" si="51"/>
        <v>AMAMAW</v>
      </c>
      <c r="D572" s="1507">
        <f t="shared" si="51"/>
        <v>1</v>
      </c>
      <c r="E572" s="1508">
        <v>145</v>
      </c>
      <c r="F572" s="1509"/>
      <c r="G572" s="1510">
        <f ca="1">IF('KYCT Data Sublot # 2'!$F$14="",0,'KYCT Data Sublot # 2'!$F$14)</f>
        <v>0</v>
      </c>
      <c r="H572" s="1510">
        <f t="shared" si="50"/>
        <v>0</v>
      </c>
      <c r="I572" s="1178"/>
    </row>
    <row r="573" spans="1:9" ht="12.75" customHeight="1">
      <c r="A573" s="1505" t="s">
        <v>2943</v>
      </c>
      <c r="B573" s="1506" t="str">
        <f t="shared" si="51"/>
        <v/>
      </c>
      <c r="C573" s="1507" t="str">
        <f t="shared" si="51"/>
        <v>AMAMAW</v>
      </c>
      <c r="D573" s="1507">
        <f t="shared" si="51"/>
        <v>1</v>
      </c>
      <c r="E573" s="1508">
        <v>146</v>
      </c>
      <c r="F573" s="1509"/>
      <c r="G573" s="1510">
        <f ca="1">IF('KYCT Data Sublot # 2'!$F$18="",0,'KYCT Data Sublot # 2'!$F$18)</f>
        <v>0</v>
      </c>
      <c r="H573" s="1510">
        <f t="shared" si="50"/>
        <v>0</v>
      </c>
      <c r="I573" s="1178"/>
    </row>
    <row r="574" spans="1:9" ht="12.75" customHeight="1">
      <c r="A574" s="1505" t="s">
        <v>2944</v>
      </c>
      <c r="B574" s="1506" t="str">
        <f t="shared" si="51"/>
        <v/>
      </c>
      <c r="C574" s="1507" t="str">
        <f t="shared" si="51"/>
        <v>AMAMAW</v>
      </c>
      <c r="D574" s="1507">
        <f t="shared" si="51"/>
        <v>1</v>
      </c>
      <c r="E574" s="1508">
        <v>147</v>
      </c>
      <c r="F574" s="1509"/>
      <c r="G574" s="1510">
        <f ca="1">IF('KYCT Data Sublot # 2'!$F$19="",0,'KYCT Data Sublot # 2'!$F$19)</f>
        <v>0</v>
      </c>
      <c r="H574" s="1510">
        <f t="shared" si="50"/>
        <v>0</v>
      </c>
      <c r="I574" s="1178"/>
    </row>
    <row r="575" spans="1:9" ht="12.75" customHeight="1">
      <c r="A575" s="1505" t="s">
        <v>2945</v>
      </c>
      <c r="B575" s="1506" t="str">
        <f t="shared" si="51"/>
        <v/>
      </c>
      <c r="C575" s="1507" t="str">
        <f t="shared" si="51"/>
        <v>AMAMAW</v>
      </c>
      <c r="D575" s="1507">
        <f t="shared" si="51"/>
        <v>1</v>
      </c>
      <c r="E575" s="1508">
        <v>148</v>
      </c>
      <c r="F575" s="1509"/>
      <c r="G575" s="1510">
        <f ca="1">IF('KYCT Data Sublot # 2'!$F$20="",0,'KYCT Data Sublot # 2'!$F$20)</f>
        <v>0</v>
      </c>
      <c r="H575" s="1510">
        <f t="shared" si="50"/>
        <v>0</v>
      </c>
      <c r="I575" s="1178"/>
    </row>
    <row r="576" spans="1:9" ht="12.75" customHeight="1">
      <c r="A576" s="1505" t="s">
        <v>2946</v>
      </c>
      <c r="B576" s="1506" t="str">
        <f t="shared" ref="B576:D591" si="54">B575</f>
        <v/>
      </c>
      <c r="C576" s="1507" t="str">
        <f t="shared" si="54"/>
        <v>AMAMAW</v>
      </c>
      <c r="D576" s="1507">
        <f t="shared" si="54"/>
        <v>1</v>
      </c>
      <c r="E576" s="1508">
        <v>149</v>
      </c>
      <c r="F576" s="1509"/>
      <c r="G576" s="1510">
        <f ca="1">IF('KYCT Data Sublot # 2'!$F$21="",0,'KYCT Data Sublot # 2'!$F$21)</f>
        <v>0</v>
      </c>
      <c r="H576" s="1510">
        <f t="shared" si="50"/>
        <v>0</v>
      </c>
      <c r="I576" s="1178"/>
    </row>
    <row r="577" spans="1:9" ht="12.75" customHeight="1">
      <c r="A577" s="1505" t="s">
        <v>2947</v>
      </c>
      <c r="B577" s="1506" t="str">
        <f t="shared" si="54"/>
        <v/>
      </c>
      <c r="C577" s="1507" t="str">
        <f t="shared" si="54"/>
        <v>AMAMAW</v>
      </c>
      <c r="D577" s="1507">
        <f t="shared" si="54"/>
        <v>1</v>
      </c>
      <c r="E577" s="1508">
        <v>150</v>
      </c>
      <c r="F577" s="1509"/>
      <c r="G577" s="1510">
        <f ca="1">IF('KYCT Data Sublot # 2'!$H$14="",0,'KYCT Data Sublot # 2'!$H$14)</f>
        <v>0</v>
      </c>
      <c r="H577" s="1510">
        <f t="shared" si="50"/>
        <v>0</v>
      </c>
      <c r="I577" s="1178"/>
    </row>
    <row r="578" spans="1:9" ht="12.75" customHeight="1">
      <c r="A578" s="1505" t="s">
        <v>2948</v>
      </c>
      <c r="B578" s="1506" t="str">
        <f t="shared" si="54"/>
        <v/>
      </c>
      <c r="C578" s="1507" t="str">
        <f t="shared" si="54"/>
        <v>AMAMAW</v>
      </c>
      <c r="D578" s="1507">
        <f t="shared" si="54"/>
        <v>1</v>
      </c>
      <c r="E578" s="1508">
        <v>151</v>
      </c>
      <c r="F578" s="1509"/>
      <c r="G578" s="1510">
        <f ca="1">IF('KYCT Data Sublot # 2'!$H$18="",0,'KYCT Data Sublot # 2'!$H$18)</f>
        <v>0</v>
      </c>
      <c r="H578" s="1510">
        <f t="shared" si="50"/>
        <v>0</v>
      </c>
      <c r="I578" s="1178"/>
    </row>
    <row r="579" spans="1:9" ht="12.75" customHeight="1">
      <c r="A579" s="1505" t="s">
        <v>2949</v>
      </c>
      <c r="B579" s="1506" t="str">
        <f t="shared" si="54"/>
        <v/>
      </c>
      <c r="C579" s="1507" t="str">
        <f t="shared" si="54"/>
        <v>AMAMAW</v>
      </c>
      <c r="D579" s="1507">
        <f t="shared" si="54"/>
        <v>1</v>
      </c>
      <c r="E579" s="1508">
        <v>152</v>
      </c>
      <c r="F579" s="1509"/>
      <c r="G579" s="1510">
        <f ca="1">IF('KYCT Data Sublot # 2'!$H$19="",0,'KYCT Data Sublot # 2'!$H$19)</f>
        <v>0</v>
      </c>
      <c r="H579" s="1510">
        <f t="shared" si="50"/>
        <v>0</v>
      </c>
      <c r="I579" s="1178"/>
    </row>
    <row r="580" spans="1:9" ht="12.75" customHeight="1">
      <c r="A580" s="1505" t="s">
        <v>2950</v>
      </c>
      <c r="B580" s="1506" t="str">
        <f t="shared" si="54"/>
        <v/>
      </c>
      <c r="C580" s="1507" t="str">
        <f t="shared" si="54"/>
        <v>AMAMAW</v>
      </c>
      <c r="D580" s="1507">
        <f t="shared" si="54"/>
        <v>1</v>
      </c>
      <c r="E580" s="1508">
        <v>153</v>
      </c>
      <c r="F580" s="1509"/>
      <c r="G580" s="1510">
        <f ca="1">IF('KYCT Data Sublot # 2'!$H$20="",0,'KYCT Data Sublot # 2'!$H$20)</f>
        <v>0</v>
      </c>
      <c r="H580" s="1510">
        <f t="shared" si="50"/>
        <v>0</v>
      </c>
      <c r="I580" s="1178"/>
    </row>
    <row r="581" spans="1:9" ht="12.75" customHeight="1">
      <c r="A581" s="1505" t="s">
        <v>2951</v>
      </c>
      <c r="B581" s="1506" t="str">
        <f t="shared" si="54"/>
        <v/>
      </c>
      <c r="C581" s="1507" t="str">
        <f t="shared" si="54"/>
        <v>AMAMAW</v>
      </c>
      <c r="D581" s="1507">
        <f t="shared" si="54"/>
        <v>1</v>
      </c>
      <c r="E581" s="1508">
        <v>154</v>
      </c>
      <c r="F581" s="1509"/>
      <c r="G581" s="1510">
        <f ca="1">IF('KYCT Data Sublot # 2'!$H$21="",0,'KYCT Data Sublot # 2'!$H$21)</f>
        <v>0</v>
      </c>
      <c r="H581" s="1510">
        <f t="shared" si="50"/>
        <v>0</v>
      </c>
      <c r="I581" s="1178"/>
    </row>
    <row r="582" spans="1:9" ht="12.75" customHeight="1">
      <c r="A582" s="1505" t="s">
        <v>2952</v>
      </c>
      <c r="B582" s="1506" t="str">
        <f t="shared" si="54"/>
        <v/>
      </c>
      <c r="C582" s="1507" t="str">
        <f t="shared" si="54"/>
        <v>AMAMAW</v>
      </c>
      <c r="D582" s="1507">
        <f t="shared" si="54"/>
        <v>1</v>
      </c>
      <c r="E582" s="1508">
        <v>155</v>
      </c>
      <c r="F582" s="1509"/>
      <c r="G582" s="1510">
        <f ca="1">IF('KYCT Data Sublot # 2'!$J$14="",0,'KYCT Data Sublot # 2'!$J$14)</f>
        <v>0</v>
      </c>
      <c r="H582" s="1510">
        <f t="shared" si="50"/>
        <v>0</v>
      </c>
      <c r="I582" s="1178"/>
    </row>
    <row r="583" spans="1:9" ht="12.75" customHeight="1">
      <c r="A583" s="1505" t="s">
        <v>2953</v>
      </c>
      <c r="B583" s="1506" t="str">
        <f t="shared" si="54"/>
        <v/>
      </c>
      <c r="C583" s="1507" t="str">
        <f t="shared" si="54"/>
        <v>AMAMAW</v>
      </c>
      <c r="D583" s="1507">
        <f t="shared" si="54"/>
        <v>1</v>
      </c>
      <c r="E583" s="1508">
        <v>156</v>
      </c>
      <c r="F583" s="1509"/>
      <c r="G583" s="1510">
        <f ca="1">IF('KYCT Data Sublot # 2'!$J$18="",0,'KYCT Data Sublot # 2'!$J$18)</f>
        <v>0</v>
      </c>
      <c r="H583" s="1510">
        <f t="shared" si="50"/>
        <v>0</v>
      </c>
      <c r="I583" s="1178"/>
    </row>
    <row r="584" spans="1:9" ht="12.75" customHeight="1">
      <c r="A584" s="1505" t="s">
        <v>2954</v>
      </c>
      <c r="B584" s="1506" t="str">
        <f t="shared" si="54"/>
        <v/>
      </c>
      <c r="C584" s="1507" t="str">
        <f t="shared" si="54"/>
        <v>AMAMAW</v>
      </c>
      <c r="D584" s="1507">
        <f t="shared" si="54"/>
        <v>1</v>
      </c>
      <c r="E584" s="1508">
        <v>157</v>
      </c>
      <c r="F584" s="1509"/>
      <c r="G584" s="1510">
        <f ca="1">IF('KYCT Data Sublot # 2'!$J$19="",0,'KYCT Data Sublot # 2'!$J$19)</f>
        <v>0</v>
      </c>
      <c r="H584" s="1510">
        <f t="shared" si="50"/>
        <v>0</v>
      </c>
      <c r="I584" s="1178"/>
    </row>
    <row r="585" spans="1:9" ht="12.75" customHeight="1">
      <c r="A585" s="1505" t="s">
        <v>2955</v>
      </c>
      <c r="B585" s="1506" t="str">
        <f t="shared" si="54"/>
        <v/>
      </c>
      <c r="C585" s="1507" t="str">
        <f t="shared" si="54"/>
        <v>AMAMAW</v>
      </c>
      <c r="D585" s="1507">
        <f t="shared" si="54"/>
        <v>1</v>
      </c>
      <c r="E585" s="1508">
        <v>158</v>
      </c>
      <c r="F585" s="1509"/>
      <c r="G585" s="1510">
        <f ca="1">IF('KYCT Data Sublot # 2'!$J$20="",0,'KYCT Data Sublot # 2'!$J$20)</f>
        <v>0</v>
      </c>
      <c r="H585" s="1510">
        <f t="shared" si="50"/>
        <v>0</v>
      </c>
      <c r="I585" s="1178"/>
    </row>
    <row r="586" spans="1:9" ht="12.75" customHeight="1">
      <c r="A586" s="1505" t="s">
        <v>2956</v>
      </c>
      <c r="B586" s="1506" t="str">
        <f t="shared" si="54"/>
        <v/>
      </c>
      <c r="C586" s="1507" t="str">
        <f t="shared" si="54"/>
        <v>AMAMAW</v>
      </c>
      <c r="D586" s="1507">
        <f t="shared" si="54"/>
        <v>1</v>
      </c>
      <c r="E586" s="1508">
        <v>159</v>
      </c>
      <c r="F586" s="1509"/>
      <c r="G586" s="1510">
        <f ca="1">IF('KYCT Data Sublot # 2'!$J$21="",0,'KYCT Data Sublot # 2'!$J$21)</f>
        <v>0</v>
      </c>
      <c r="H586" s="1510">
        <f t="shared" ref="H586:H636" si="55">H585</f>
        <v>0</v>
      </c>
      <c r="I586" s="1178"/>
    </row>
    <row r="587" spans="1:9" ht="12.75" customHeight="1">
      <c r="A587" s="1505" t="s">
        <v>2957</v>
      </c>
      <c r="B587" s="1512" t="str">
        <f t="shared" si="54"/>
        <v/>
      </c>
      <c r="C587" s="1513" t="str">
        <f t="shared" si="54"/>
        <v>AMAMAW</v>
      </c>
      <c r="D587" s="1513">
        <f t="shared" si="54"/>
        <v>1</v>
      </c>
      <c r="E587" s="1514">
        <v>160</v>
      </c>
      <c r="F587" s="1509"/>
      <c r="G587" s="1510">
        <f ca="1">IF('KYCT Data Sublot # 2'!$L$14="",0,'KYCT Data Sublot # 2'!$L$14)</f>
        <v>0</v>
      </c>
      <c r="H587" s="1515">
        <f t="shared" si="55"/>
        <v>0</v>
      </c>
      <c r="I587" s="1178"/>
    </row>
    <row r="588" spans="1:9" ht="12.75" customHeight="1">
      <c r="A588" s="1505" t="s">
        <v>2958</v>
      </c>
      <c r="B588" s="1512" t="str">
        <f t="shared" si="54"/>
        <v/>
      </c>
      <c r="C588" s="1513" t="str">
        <f t="shared" si="54"/>
        <v>AMAMAW</v>
      </c>
      <c r="D588" s="1513">
        <f t="shared" si="54"/>
        <v>1</v>
      </c>
      <c r="E588" s="1514">
        <v>161</v>
      </c>
      <c r="F588" s="1509"/>
      <c r="G588" s="1510">
        <f ca="1">IF('KYCT Data Sublot # 2'!$L$18="",0,'KYCT Data Sublot # 2'!$L$18)</f>
        <v>0</v>
      </c>
      <c r="H588" s="1515">
        <f t="shared" si="55"/>
        <v>0</v>
      </c>
      <c r="I588" s="1178"/>
    </row>
    <row r="589" spans="1:9" ht="12.75" customHeight="1">
      <c r="A589" s="1505" t="s">
        <v>2959</v>
      </c>
      <c r="B589" s="1512" t="str">
        <f t="shared" si="54"/>
        <v/>
      </c>
      <c r="C589" s="1513" t="str">
        <f t="shared" si="54"/>
        <v>AMAMAW</v>
      </c>
      <c r="D589" s="1513">
        <f t="shared" si="54"/>
        <v>1</v>
      </c>
      <c r="E589" s="1514">
        <v>162</v>
      </c>
      <c r="F589" s="1509"/>
      <c r="G589" s="1510">
        <f ca="1">IF('KYCT Data Sublot # 2'!$L$19="",0,'KYCT Data Sublot # 2'!$L$19)</f>
        <v>0</v>
      </c>
      <c r="H589" s="1515">
        <f t="shared" si="55"/>
        <v>0</v>
      </c>
      <c r="I589" s="1178"/>
    </row>
    <row r="590" spans="1:9" ht="12.75" customHeight="1">
      <c r="A590" s="1505" t="s">
        <v>2960</v>
      </c>
      <c r="B590" s="1512" t="str">
        <f t="shared" si="54"/>
        <v/>
      </c>
      <c r="C590" s="1513" t="str">
        <f t="shared" si="54"/>
        <v>AMAMAW</v>
      </c>
      <c r="D590" s="1513">
        <f t="shared" si="54"/>
        <v>1</v>
      </c>
      <c r="E590" s="1514">
        <v>163</v>
      </c>
      <c r="F590" s="1509"/>
      <c r="G590" s="1510">
        <f ca="1">IF('KYCT Data Sublot # 2'!$L$20="",0,'KYCT Data Sublot # 2'!$L$20)</f>
        <v>0</v>
      </c>
      <c r="H590" s="1515">
        <f t="shared" si="55"/>
        <v>0</v>
      </c>
      <c r="I590" s="1178"/>
    </row>
    <row r="591" spans="1:9" ht="12.75" customHeight="1">
      <c r="A591" s="1505" t="s">
        <v>2961</v>
      </c>
      <c r="B591" s="1506" t="str">
        <f t="shared" si="54"/>
        <v/>
      </c>
      <c r="C591" s="1507" t="str">
        <f t="shared" si="54"/>
        <v>AMAMAW</v>
      </c>
      <c r="D591" s="1507">
        <f t="shared" si="54"/>
        <v>1</v>
      </c>
      <c r="E591" s="1508">
        <v>164</v>
      </c>
      <c r="F591" s="1509"/>
      <c r="G591" s="1510">
        <f ca="1">IF('KYCT Data Sublot # 2'!$L$21="",0,'KYCT Data Sublot # 2'!$L$21)</f>
        <v>0</v>
      </c>
      <c r="H591" s="1510">
        <f t="shared" si="55"/>
        <v>0</v>
      </c>
      <c r="I591" s="1178"/>
    </row>
    <row r="592" spans="1:9" ht="12.75" customHeight="1">
      <c r="A592" s="1505" t="s">
        <v>2962</v>
      </c>
      <c r="B592" s="1512" t="str">
        <f t="shared" ref="B592:D607" si="56">B591</f>
        <v/>
      </c>
      <c r="C592" s="1513" t="str">
        <f t="shared" si="56"/>
        <v>AMAMAW</v>
      </c>
      <c r="D592" s="1513">
        <f t="shared" si="56"/>
        <v>1</v>
      </c>
      <c r="E592" s="1514">
        <v>165</v>
      </c>
      <c r="F592" s="1509"/>
      <c r="G592" s="1510">
        <f ca="1">IF('KYCT Data Sublot # 2'!$N$14="",0,'KYCT Data Sublot # 2'!$N$14)</f>
        <v>0</v>
      </c>
      <c r="H592" s="1515">
        <f t="shared" si="55"/>
        <v>0</v>
      </c>
      <c r="I592" s="1178"/>
    </row>
    <row r="593" spans="1:9" ht="12.75" customHeight="1">
      <c r="A593" s="1505" t="s">
        <v>2963</v>
      </c>
      <c r="B593" s="1512" t="str">
        <f t="shared" si="56"/>
        <v/>
      </c>
      <c r="C593" s="1513" t="str">
        <f t="shared" si="56"/>
        <v>AMAMAW</v>
      </c>
      <c r="D593" s="1513">
        <f t="shared" si="56"/>
        <v>1</v>
      </c>
      <c r="E593" s="1514">
        <v>166</v>
      </c>
      <c r="F593" s="1509"/>
      <c r="G593" s="1510">
        <f ca="1">IF('KYCT Data Sublot # 2'!$N$18="",0,'KYCT Data Sublot # 2'!$N$18)</f>
        <v>0</v>
      </c>
      <c r="H593" s="1515">
        <f t="shared" si="55"/>
        <v>0</v>
      </c>
      <c r="I593" s="1178"/>
    </row>
    <row r="594" spans="1:9" ht="12.75" customHeight="1">
      <c r="A594" s="1505" t="s">
        <v>2964</v>
      </c>
      <c r="B594" s="1512" t="str">
        <f t="shared" si="56"/>
        <v/>
      </c>
      <c r="C594" s="1513" t="str">
        <f t="shared" si="56"/>
        <v>AMAMAW</v>
      </c>
      <c r="D594" s="1513">
        <f t="shared" si="56"/>
        <v>1</v>
      </c>
      <c r="E594" s="1514">
        <v>167</v>
      </c>
      <c r="F594" s="1509"/>
      <c r="G594" s="1510">
        <f ca="1">IF('KYCT Data Sublot # 2'!$N$19="",0,'KYCT Data Sublot # 2'!$N$19)</f>
        <v>0</v>
      </c>
      <c r="H594" s="1515">
        <f t="shared" si="55"/>
        <v>0</v>
      </c>
      <c r="I594" s="1178"/>
    </row>
    <row r="595" spans="1:9" ht="12.75" customHeight="1">
      <c r="A595" s="1505" t="s">
        <v>2965</v>
      </c>
      <c r="B595" s="1512" t="str">
        <f t="shared" si="56"/>
        <v/>
      </c>
      <c r="C595" s="1513" t="str">
        <f t="shared" si="56"/>
        <v>AMAMAW</v>
      </c>
      <c r="D595" s="1513">
        <f t="shared" si="56"/>
        <v>1</v>
      </c>
      <c r="E595" s="1514">
        <v>168</v>
      </c>
      <c r="F595" s="1509"/>
      <c r="G595" s="1510">
        <f ca="1">IF('KYCT Data Sublot # 2'!$N$20="",0,'KYCT Data Sublot # 2'!$N$20)</f>
        <v>0</v>
      </c>
      <c r="H595" s="1515">
        <f t="shared" si="55"/>
        <v>0</v>
      </c>
      <c r="I595" s="1178"/>
    </row>
    <row r="596" spans="1:9" ht="12.75" customHeight="1">
      <c r="A596" s="1505" t="s">
        <v>2966</v>
      </c>
      <c r="B596" s="1506" t="str">
        <f t="shared" si="56"/>
        <v/>
      </c>
      <c r="C596" s="1507" t="str">
        <f t="shared" si="56"/>
        <v>AMAMAW</v>
      </c>
      <c r="D596" s="1507">
        <f t="shared" si="56"/>
        <v>1</v>
      </c>
      <c r="E596" s="1508">
        <v>169</v>
      </c>
      <c r="F596" s="1509"/>
      <c r="G596" s="1510">
        <f ca="1">IF('KYCT Data Sublot # 2'!$N$21="",0,'KYCT Data Sublot # 2'!$N$21)</f>
        <v>0</v>
      </c>
      <c r="H596" s="1510">
        <f t="shared" si="55"/>
        <v>0</v>
      </c>
      <c r="I596" s="1178"/>
    </row>
    <row r="597" spans="1:9" ht="12.75" customHeight="1">
      <c r="A597" s="1505" t="s">
        <v>2967</v>
      </c>
      <c r="B597" s="1512" t="str">
        <f t="shared" si="56"/>
        <v/>
      </c>
      <c r="C597" s="1513" t="str">
        <f t="shared" si="56"/>
        <v>AMAMAW</v>
      </c>
      <c r="D597" s="1513">
        <f t="shared" si="56"/>
        <v>1</v>
      </c>
      <c r="E597" s="1514">
        <v>170</v>
      </c>
      <c r="F597" s="1509"/>
      <c r="G597" s="1510">
        <f ca="1">IF('KYCT Data Sublot # 2'!$P$14="",0,'KYCT Data Sublot # 2'!$P$14)</f>
        <v>0</v>
      </c>
      <c r="H597" s="1515">
        <f t="shared" si="55"/>
        <v>0</v>
      </c>
      <c r="I597" s="1178"/>
    </row>
    <row r="598" spans="1:9" ht="12.75" customHeight="1">
      <c r="A598" s="1505" t="s">
        <v>2968</v>
      </c>
      <c r="B598" s="1512" t="str">
        <f t="shared" si="56"/>
        <v/>
      </c>
      <c r="C598" s="1513" t="str">
        <f t="shared" si="56"/>
        <v>AMAMAW</v>
      </c>
      <c r="D598" s="1513">
        <f t="shared" si="56"/>
        <v>1</v>
      </c>
      <c r="E598" s="1514">
        <v>171</v>
      </c>
      <c r="F598" s="1509"/>
      <c r="G598" s="1510">
        <f ca="1">IF('KYCT Data Sublot # 2'!$P$18="",0,'KYCT Data Sublot # 2'!$P$18)</f>
        <v>0</v>
      </c>
      <c r="H598" s="1515">
        <f t="shared" si="55"/>
        <v>0</v>
      </c>
      <c r="I598" s="1178"/>
    </row>
    <row r="599" spans="1:9" ht="12.75" customHeight="1">
      <c r="A599" s="1505" t="s">
        <v>2969</v>
      </c>
      <c r="B599" s="1512" t="str">
        <f t="shared" si="56"/>
        <v/>
      </c>
      <c r="C599" s="1513" t="str">
        <f t="shared" si="56"/>
        <v>AMAMAW</v>
      </c>
      <c r="D599" s="1513">
        <f t="shared" si="56"/>
        <v>1</v>
      </c>
      <c r="E599" s="1514">
        <v>172</v>
      </c>
      <c r="F599" s="1509"/>
      <c r="G599" s="1510">
        <f ca="1">IF('KYCT Data Sublot # 2'!$P$19="",0,'KYCT Data Sublot # 2'!$P$19)</f>
        <v>0</v>
      </c>
      <c r="H599" s="1515">
        <f t="shared" si="55"/>
        <v>0</v>
      </c>
      <c r="I599" s="1178"/>
    </row>
    <row r="600" spans="1:9" ht="12.75" customHeight="1">
      <c r="A600" s="1505" t="s">
        <v>2970</v>
      </c>
      <c r="B600" s="1512" t="str">
        <f t="shared" si="56"/>
        <v/>
      </c>
      <c r="C600" s="1513" t="str">
        <f t="shared" si="56"/>
        <v>AMAMAW</v>
      </c>
      <c r="D600" s="1513">
        <f t="shared" si="56"/>
        <v>1</v>
      </c>
      <c r="E600" s="1514">
        <v>173</v>
      </c>
      <c r="F600" s="1509"/>
      <c r="G600" s="1510">
        <f ca="1">IF('KYCT Data Sublot # 2'!$P$20="",0,'KYCT Data Sublot # 2'!$P$20)</f>
        <v>0</v>
      </c>
      <c r="H600" s="1515">
        <f t="shared" si="55"/>
        <v>0</v>
      </c>
      <c r="I600" s="1178"/>
    </row>
    <row r="601" spans="1:9" ht="12.75" customHeight="1">
      <c r="A601" s="1505" t="s">
        <v>2971</v>
      </c>
      <c r="B601" s="1512" t="str">
        <f t="shared" si="56"/>
        <v/>
      </c>
      <c r="C601" s="1513" t="str">
        <f t="shared" si="56"/>
        <v>AMAMAW</v>
      </c>
      <c r="D601" s="1513">
        <f t="shared" si="56"/>
        <v>1</v>
      </c>
      <c r="E601" s="1514">
        <v>174</v>
      </c>
      <c r="F601" s="1509"/>
      <c r="G601" s="1510">
        <f ca="1">IF('KYCT Data Sublot # 2'!$P$21="",0,'KYCT Data Sublot # 2'!$P$21)</f>
        <v>0</v>
      </c>
      <c r="H601" s="1510">
        <f t="shared" si="55"/>
        <v>0</v>
      </c>
      <c r="I601" s="1178"/>
    </row>
    <row r="602" spans="1:9" ht="12.75" customHeight="1">
      <c r="A602" s="1505" t="s">
        <v>2972</v>
      </c>
      <c r="B602" s="1512" t="str">
        <f t="shared" si="56"/>
        <v/>
      </c>
      <c r="C602" s="1513" t="str">
        <f t="shared" si="56"/>
        <v>AMAMAW</v>
      </c>
      <c r="D602" s="1513">
        <f t="shared" si="56"/>
        <v>1</v>
      </c>
      <c r="E602" s="1514">
        <v>175</v>
      </c>
      <c r="F602" s="1510">
        <f>Calculations!$AR$1</f>
        <v>0</v>
      </c>
      <c r="G602" s="1509"/>
      <c r="H602" s="1515">
        <f t="shared" si="55"/>
        <v>0</v>
      </c>
      <c r="I602" s="1178"/>
    </row>
    <row r="603" spans="1:9" ht="12.75" customHeight="1">
      <c r="A603" s="1505" t="s">
        <v>2973</v>
      </c>
      <c r="B603" s="1512" t="str">
        <f t="shared" si="56"/>
        <v/>
      </c>
      <c r="C603" s="1513" t="str">
        <f t="shared" si="56"/>
        <v>AMAMAW</v>
      </c>
      <c r="D603" s="1513">
        <f t="shared" si="56"/>
        <v>1</v>
      </c>
      <c r="E603" s="1514">
        <v>176</v>
      </c>
      <c r="F603" s="1509"/>
      <c r="G603" s="1516">
        <f>IF('Field Rutting'!$D$19="",0,'Field Rutting'!$D$19)</f>
        <v>0</v>
      </c>
      <c r="H603" s="1515">
        <f t="shared" si="55"/>
        <v>0</v>
      </c>
      <c r="I603" s="1178"/>
    </row>
    <row r="604" spans="1:9" ht="12.75" customHeight="1">
      <c r="A604" s="1505" t="s">
        <v>2974</v>
      </c>
      <c r="B604" s="1512" t="str">
        <f t="shared" si="56"/>
        <v/>
      </c>
      <c r="C604" s="1513" t="str">
        <f t="shared" si="56"/>
        <v>AMAMAW</v>
      </c>
      <c r="D604" s="1513">
        <f t="shared" si="56"/>
        <v>1</v>
      </c>
      <c r="E604" s="1514">
        <v>177</v>
      </c>
      <c r="F604" s="1509"/>
      <c r="G604" s="1516">
        <f>IF('Field Rutting'!$D$19="",0,'Field Rutting'!$D$19)</f>
        <v>0</v>
      </c>
      <c r="H604" s="1515">
        <f t="shared" si="55"/>
        <v>0</v>
      </c>
      <c r="I604" s="1178"/>
    </row>
    <row r="605" spans="1:9" ht="12.75" customHeight="1">
      <c r="A605" s="1505" t="s">
        <v>2975</v>
      </c>
      <c r="B605" s="1512" t="str">
        <f t="shared" si="56"/>
        <v/>
      </c>
      <c r="C605" s="1513" t="str">
        <f t="shared" si="56"/>
        <v>AMAMAW</v>
      </c>
      <c r="D605" s="1513">
        <f t="shared" si="56"/>
        <v>1</v>
      </c>
      <c r="E605" s="1514">
        <v>178</v>
      </c>
      <c r="F605" s="1509"/>
      <c r="G605" s="1516">
        <f>IF('Field Rutting'!$D$20="",0,'Field Rutting'!$D$20)</f>
        <v>0</v>
      </c>
      <c r="H605" s="1515">
        <f t="shared" si="55"/>
        <v>0</v>
      </c>
      <c r="I605" s="1178"/>
    </row>
    <row r="606" spans="1:9" ht="12.75" customHeight="1">
      <c r="A606" s="1505" t="s">
        <v>2976</v>
      </c>
      <c r="B606" s="1512" t="str">
        <f t="shared" si="56"/>
        <v/>
      </c>
      <c r="C606" s="1513" t="str">
        <f t="shared" si="56"/>
        <v>AMAMAW</v>
      </c>
      <c r="D606" s="1513">
        <f t="shared" si="56"/>
        <v>1</v>
      </c>
      <c r="E606" s="1514">
        <v>179</v>
      </c>
      <c r="F606" s="1509"/>
      <c r="G606" s="1516">
        <f>IF('Field Rutting'!$D$21="",0,'Field Rutting'!$D$21)</f>
        <v>0</v>
      </c>
      <c r="H606" s="1515">
        <f t="shared" si="55"/>
        <v>0</v>
      </c>
      <c r="I606" s="1178"/>
    </row>
    <row r="607" spans="1:9" ht="12.75" customHeight="1">
      <c r="A607" s="1505" t="s">
        <v>2977</v>
      </c>
      <c r="B607" s="1512" t="str">
        <f t="shared" si="56"/>
        <v/>
      </c>
      <c r="C607" s="1513" t="str">
        <f t="shared" si="56"/>
        <v>AMAMAW</v>
      </c>
      <c r="D607" s="1513">
        <f t="shared" si="56"/>
        <v>1</v>
      </c>
      <c r="E607" s="1514">
        <v>180</v>
      </c>
      <c r="F607" s="1509"/>
      <c r="G607" s="1516">
        <f>IF('Field Rutting'!$D$22="",0,'Field Rutting'!$D$22)</f>
        <v>0</v>
      </c>
      <c r="H607" s="1515">
        <f t="shared" si="55"/>
        <v>0</v>
      </c>
      <c r="I607" s="1178"/>
    </row>
    <row r="608" spans="1:9" ht="12.75" customHeight="1">
      <c r="A608" s="1505" t="s">
        <v>2978</v>
      </c>
      <c r="B608" s="1512" t="str">
        <f t="shared" ref="B608:D620" si="57">B607</f>
        <v/>
      </c>
      <c r="C608" s="1513" t="str">
        <f t="shared" si="57"/>
        <v>AMAMAW</v>
      </c>
      <c r="D608" s="1513">
        <f t="shared" si="57"/>
        <v>1</v>
      </c>
      <c r="E608" s="1514">
        <v>181</v>
      </c>
      <c r="F608" s="1509"/>
      <c r="G608" s="1516">
        <f>IF('Field Rutting'!$D$23="",0,'Field Rutting'!$D$23)</f>
        <v>0</v>
      </c>
      <c r="H608" s="1515">
        <f t="shared" si="55"/>
        <v>0</v>
      </c>
      <c r="I608" s="1178"/>
    </row>
    <row r="609" spans="1:9" ht="12.75" customHeight="1">
      <c r="A609" s="1505" t="s">
        <v>2979</v>
      </c>
      <c r="B609" s="1512" t="str">
        <f t="shared" si="57"/>
        <v/>
      </c>
      <c r="C609" s="1513" t="str">
        <f t="shared" si="57"/>
        <v>AMAMAW</v>
      </c>
      <c r="D609" s="1513">
        <f t="shared" si="57"/>
        <v>1</v>
      </c>
      <c r="E609" s="1514">
        <v>182</v>
      </c>
      <c r="F609" s="1509"/>
      <c r="G609" s="1516">
        <f>IF('Field Rutting'!$D$24="",0,'Field Rutting'!$D$24)</f>
        <v>0</v>
      </c>
      <c r="H609" s="1515">
        <f t="shared" si="55"/>
        <v>0</v>
      </c>
      <c r="I609" s="1178"/>
    </row>
    <row r="610" spans="1:9" ht="12.75" customHeight="1">
      <c r="A610" s="1505" t="s">
        <v>2980</v>
      </c>
      <c r="B610" s="1512" t="str">
        <f t="shared" si="57"/>
        <v/>
      </c>
      <c r="C610" s="1513" t="str">
        <f t="shared" si="57"/>
        <v>AMAMAW</v>
      </c>
      <c r="D610" s="1513">
        <f t="shared" si="57"/>
        <v>1</v>
      </c>
      <c r="E610" s="1514">
        <v>183</v>
      </c>
      <c r="F610" s="1509"/>
      <c r="G610" s="1516">
        <f>IF('Field Rutting'!$L$19="",0,'Field Rutting'!$L$19)</f>
        <v>0</v>
      </c>
      <c r="H610" s="1515">
        <f t="shared" si="55"/>
        <v>0</v>
      </c>
      <c r="I610" s="1178"/>
    </row>
    <row r="611" spans="1:9" ht="12.75" customHeight="1">
      <c r="A611" s="1505" t="s">
        <v>2981</v>
      </c>
      <c r="B611" s="1512" t="str">
        <f t="shared" si="57"/>
        <v/>
      </c>
      <c r="C611" s="1513" t="str">
        <f t="shared" si="57"/>
        <v>AMAMAW</v>
      </c>
      <c r="D611" s="1513">
        <f t="shared" si="57"/>
        <v>1</v>
      </c>
      <c r="E611" s="1514">
        <v>184</v>
      </c>
      <c r="F611" s="1509"/>
      <c r="G611" s="1516">
        <f>IF('Field Rutting'!$L$20="",0,'Field Rutting'!$L$20)</f>
        <v>0</v>
      </c>
      <c r="H611" s="1515">
        <f t="shared" si="55"/>
        <v>0</v>
      </c>
      <c r="I611" s="1178"/>
    </row>
    <row r="612" spans="1:9" ht="12.75" customHeight="1">
      <c r="A612" s="1505" t="s">
        <v>2982</v>
      </c>
      <c r="B612" s="1512" t="str">
        <f t="shared" si="57"/>
        <v/>
      </c>
      <c r="C612" s="1513" t="str">
        <f t="shared" si="57"/>
        <v>AMAMAW</v>
      </c>
      <c r="D612" s="1513">
        <f t="shared" si="57"/>
        <v>1</v>
      </c>
      <c r="E612" s="1514">
        <v>185</v>
      </c>
      <c r="F612" s="1509"/>
      <c r="G612" s="1516">
        <f>IF('Field Rutting'!$L$21="",0,'Field Rutting'!$L$21)</f>
        <v>0</v>
      </c>
      <c r="H612" s="1515">
        <f t="shared" si="55"/>
        <v>0</v>
      </c>
      <c r="I612" s="1178"/>
    </row>
    <row r="613" spans="1:9" ht="12.75" customHeight="1">
      <c r="A613" s="1505" t="s">
        <v>2983</v>
      </c>
      <c r="B613" s="1512" t="str">
        <f t="shared" si="57"/>
        <v/>
      </c>
      <c r="C613" s="1513" t="str">
        <f t="shared" si="57"/>
        <v>AMAMAW</v>
      </c>
      <c r="D613" s="1513">
        <f t="shared" si="57"/>
        <v>1</v>
      </c>
      <c r="E613" s="1514">
        <v>186</v>
      </c>
      <c r="F613" s="1509"/>
      <c r="G613" s="1516">
        <f>IF('Field Rutting'!$L$22="",0,'Field Rutting'!$L$22)</f>
        <v>0</v>
      </c>
      <c r="H613" s="1515">
        <f t="shared" si="55"/>
        <v>0</v>
      </c>
      <c r="I613" s="1178"/>
    </row>
    <row r="614" spans="1:9" ht="12.75" customHeight="1">
      <c r="A614" s="1505" t="s">
        <v>2984</v>
      </c>
      <c r="B614" s="1512" t="str">
        <f t="shared" si="57"/>
        <v/>
      </c>
      <c r="C614" s="1513" t="str">
        <f t="shared" si="57"/>
        <v>AMAMAW</v>
      </c>
      <c r="D614" s="1513">
        <f t="shared" si="57"/>
        <v>1</v>
      </c>
      <c r="E614" s="1514">
        <v>187</v>
      </c>
      <c r="F614" s="1509"/>
      <c r="G614" s="1516">
        <f>IF('Field Rutting'!$L$23="",0,'Field Rutting'!$L$23)</f>
        <v>0</v>
      </c>
      <c r="H614" s="1515">
        <f t="shared" si="55"/>
        <v>0</v>
      </c>
      <c r="I614" s="1178"/>
    </row>
    <row r="615" spans="1:9" ht="12.75" customHeight="1">
      <c r="A615" s="1505" t="s">
        <v>2985</v>
      </c>
      <c r="B615" s="1512" t="str">
        <f t="shared" si="57"/>
        <v/>
      </c>
      <c r="C615" s="1513" t="str">
        <f t="shared" si="57"/>
        <v>AMAMAW</v>
      </c>
      <c r="D615" s="1513">
        <f t="shared" si="57"/>
        <v>1</v>
      </c>
      <c r="E615" s="1514">
        <v>188</v>
      </c>
      <c r="F615" s="1509"/>
      <c r="G615" s="1516">
        <f>IF('Field Rutting'!$L$24="",0,'Field Rutting'!$L$24)</f>
        <v>0</v>
      </c>
      <c r="H615" s="1515">
        <f t="shared" si="55"/>
        <v>0</v>
      </c>
      <c r="I615" s="1178"/>
    </row>
    <row r="616" spans="1:9" ht="12.75" customHeight="1">
      <c r="A616" s="1505" t="s">
        <v>2986</v>
      </c>
      <c r="B616" s="1512" t="str">
        <f t="shared" si="57"/>
        <v/>
      </c>
      <c r="C616" s="1513" t="str">
        <f t="shared" si="57"/>
        <v>AMAMAW</v>
      </c>
      <c r="D616" s="1513">
        <f t="shared" si="57"/>
        <v>1</v>
      </c>
      <c r="E616" s="1514">
        <v>189</v>
      </c>
      <c r="F616" s="1509"/>
      <c r="G616" s="1510"/>
      <c r="H616" s="1515">
        <f t="shared" si="55"/>
        <v>0</v>
      </c>
      <c r="I616" s="1178"/>
    </row>
    <row r="617" spans="1:9" ht="12.75" customHeight="1">
      <c r="A617" s="1505" t="s">
        <v>2987</v>
      </c>
      <c r="B617" s="1512" t="str">
        <f t="shared" si="57"/>
        <v/>
      </c>
      <c r="C617" s="1513" t="str">
        <f t="shared" si="57"/>
        <v>AMAMAW</v>
      </c>
      <c r="D617" s="1513">
        <f t="shared" si="57"/>
        <v>1</v>
      </c>
      <c r="E617" s="1514">
        <v>190</v>
      </c>
      <c r="F617" s="1509"/>
      <c r="G617" s="1510"/>
      <c r="H617" s="1515">
        <f t="shared" si="55"/>
        <v>0</v>
      </c>
      <c r="I617" s="1178"/>
    </row>
    <row r="618" spans="1:9" ht="12.75" customHeight="1">
      <c r="A618" s="1505" t="s">
        <v>2988</v>
      </c>
      <c r="B618" s="1512" t="str">
        <f t="shared" si="57"/>
        <v/>
      </c>
      <c r="C618" s="1513" t="str">
        <f t="shared" si="57"/>
        <v>AMAMAW</v>
      </c>
      <c r="D618" s="1513">
        <f t="shared" si="57"/>
        <v>1</v>
      </c>
      <c r="E618" s="1514">
        <v>191</v>
      </c>
      <c r="F618" s="1509"/>
      <c r="G618" s="1510"/>
      <c r="H618" s="1515">
        <f t="shared" si="55"/>
        <v>0</v>
      </c>
      <c r="I618" s="1178"/>
    </row>
    <row r="619" spans="1:9" ht="12.75" customHeight="1">
      <c r="A619" s="1505" t="s">
        <v>2989</v>
      </c>
      <c r="B619" s="1512" t="str">
        <f t="shared" si="57"/>
        <v/>
      </c>
      <c r="C619" s="1513" t="str">
        <f t="shared" si="57"/>
        <v>AMAMAW</v>
      </c>
      <c r="D619" s="1513">
        <f t="shared" si="57"/>
        <v>1</v>
      </c>
      <c r="E619" s="1514">
        <v>192</v>
      </c>
      <c r="F619" s="1509"/>
      <c r="G619" s="1510"/>
      <c r="H619" s="1515">
        <f t="shared" si="55"/>
        <v>0</v>
      </c>
      <c r="I619" s="1178"/>
    </row>
    <row r="620" spans="1:9" ht="12.75" customHeight="1">
      <c r="A620" s="1505" t="s">
        <v>2990</v>
      </c>
      <c r="B620" s="1506" t="str">
        <f t="shared" si="57"/>
        <v/>
      </c>
      <c r="C620" s="1507" t="str">
        <f t="shared" si="57"/>
        <v>AMAMAW</v>
      </c>
      <c r="D620" s="1507">
        <f t="shared" si="57"/>
        <v>1</v>
      </c>
      <c r="E620" s="1508">
        <v>193</v>
      </c>
      <c r="F620" s="1509"/>
      <c r="G620" s="1510"/>
      <c r="H620" s="1510">
        <f t="shared" si="55"/>
        <v>0</v>
      </c>
      <c r="I620" s="1178"/>
    </row>
    <row r="621" spans="1:9" ht="12.75" customHeight="1">
      <c r="A621" s="1505" t="s">
        <v>3287</v>
      </c>
      <c r="B621" s="1512" t="str">
        <f t="shared" ref="B621:D621" si="58">B620</f>
        <v/>
      </c>
      <c r="C621" s="1513" t="str">
        <f t="shared" si="58"/>
        <v>AMAMAW</v>
      </c>
      <c r="D621" s="1513">
        <f t="shared" si="58"/>
        <v>1</v>
      </c>
      <c r="E621" s="1514">
        <v>194</v>
      </c>
      <c r="F621" s="1509"/>
      <c r="G621" s="1515">
        <f ca="1">IF('KYCT Data Sublot # 2'!$A$29="",0,'KYCT Data Sublot # 2'!$A$29)</f>
        <v>0</v>
      </c>
      <c r="H621" s="1515">
        <f t="shared" si="55"/>
        <v>0</v>
      </c>
      <c r="I621" s="1517"/>
    </row>
    <row r="622" spans="1:9" ht="12.75" customHeight="1">
      <c r="A622" s="1505" t="s">
        <v>3288</v>
      </c>
      <c r="B622" s="1512" t="str">
        <f t="shared" ref="B622:D622" si="59">B621</f>
        <v/>
      </c>
      <c r="C622" s="1513" t="str">
        <f t="shared" si="59"/>
        <v>AMAMAW</v>
      </c>
      <c r="D622" s="1513">
        <f t="shared" si="59"/>
        <v>1</v>
      </c>
      <c r="E622" s="1514">
        <v>195</v>
      </c>
      <c r="F622" s="1509"/>
      <c r="G622" s="1515">
        <f>IF('KYCT Data Sublot # 2'!$B$29="",0,'KYCT Data Sublot # 2'!$B$29)</f>
        <v>0</v>
      </c>
      <c r="H622" s="1515">
        <f t="shared" si="55"/>
        <v>0</v>
      </c>
      <c r="I622" s="1517"/>
    </row>
    <row r="623" spans="1:9" ht="12.75" customHeight="1">
      <c r="A623" s="1505" t="s">
        <v>3289</v>
      </c>
      <c r="B623" s="1512" t="str">
        <f t="shared" ref="B623:D623" si="60">B622</f>
        <v/>
      </c>
      <c r="C623" s="1513" t="str">
        <f t="shared" si="60"/>
        <v>AMAMAW</v>
      </c>
      <c r="D623" s="1513">
        <f t="shared" si="60"/>
        <v>1</v>
      </c>
      <c r="E623" s="1514">
        <v>196</v>
      </c>
      <c r="F623" s="1509"/>
      <c r="G623" s="1515">
        <f ca="1">IF('KYCT Data Sublot # 2'!$C$29="",0,'KYCT Data Sublot # 2'!$C$29)</f>
        <v>0</v>
      </c>
      <c r="H623" s="1515">
        <f t="shared" si="55"/>
        <v>0</v>
      </c>
      <c r="I623" s="1517"/>
    </row>
    <row r="624" spans="1:9" ht="12.75" customHeight="1">
      <c r="A624" s="1505" t="s">
        <v>3290</v>
      </c>
      <c r="B624" s="1512" t="str">
        <f t="shared" ref="B624:D624" si="61">B623</f>
        <v/>
      </c>
      <c r="C624" s="1513" t="str">
        <f t="shared" si="61"/>
        <v>AMAMAW</v>
      </c>
      <c r="D624" s="1513">
        <f t="shared" si="61"/>
        <v>1</v>
      </c>
      <c r="E624" s="1514">
        <v>197</v>
      </c>
      <c r="F624" s="1509"/>
      <c r="G624" s="1515">
        <f>IF('KYCT Data Sublot # 2'!$D$29="",0,'KYCT Data Sublot # 2'!$D$29)</f>
        <v>0</v>
      </c>
      <c r="H624" s="1515">
        <f t="shared" si="55"/>
        <v>0</v>
      </c>
      <c r="I624" s="1517"/>
    </row>
    <row r="625" spans="1:11" ht="12.75" customHeight="1">
      <c r="A625" s="1505" t="s">
        <v>3291</v>
      </c>
      <c r="B625" s="1512" t="str">
        <f t="shared" ref="B625:D625" si="62">B624</f>
        <v/>
      </c>
      <c r="C625" s="1513" t="str">
        <f t="shared" si="62"/>
        <v>AMAMAW</v>
      </c>
      <c r="D625" s="1513">
        <f t="shared" si="62"/>
        <v>1</v>
      </c>
      <c r="E625" s="1514">
        <v>198</v>
      </c>
      <c r="F625" s="1509"/>
      <c r="G625" s="1515">
        <f ca="1">IF('KYCT Data Sublot # 2'!$E$29="",0,'KYCT Data Sublot # 2'!$E$29)</f>
        <v>0</v>
      </c>
      <c r="H625" s="1515">
        <f t="shared" si="55"/>
        <v>0</v>
      </c>
      <c r="I625" s="1517"/>
    </row>
    <row r="626" spans="1:11" ht="12.75" customHeight="1">
      <c r="A626" s="1505" t="s">
        <v>3292</v>
      </c>
      <c r="B626" s="1512" t="str">
        <f t="shared" ref="B626:D626" si="63">B625</f>
        <v/>
      </c>
      <c r="C626" s="1513" t="str">
        <f t="shared" si="63"/>
        <v>AMAMAW</v>
      </c>
      <c r="D626" s="1513">
        <f t="shared" si="63"/>
        <v>1</v>
      </c>
      <c r="E626" s="1514">
        <v>199</v>
      </c>
      <c r="F626" s="1509"/>
      <c r="G626" s="1515">
        <f>IF('KYCT Data Sublot # 2'!$F$29="",0,'KYCT Data Sublot # 2'!$F$29)</f>
        <v>0</v>
      </c>
      <c r="H626" s="1515">
        <f t="shared" si="55"/>
        <v>0</v>
      </c>
      <c r="I626" s="1517"/>
    </row>
    <row r="627" spans="1:11" ht="12.75" customHeight="1">
      <c r="A627" s="1505" t="s">
        <v>3293</v>
      </c>
      <c r="B627" s="1512" t="str">
        <f t="shared" ref="B627:D627" si="64">B626</f>
        <v/>
      </c>
      <c r="C627" s="1513" t="str">
        <f t="shared" si="64"/>
        <v>AMAMAW</v>
      </c>
      <c r="D627" s="1513">
        <f t="shared" si="64"/>
        <v>1</v>
      </c>
      <c r="E627" s="1514">
        <v>200</v>
      </c>
      <c r="F627" s="1509"/>
      <c r="G627" s="1515">
        <f ca="1">IF('KYCT Data Sublot # 2'!$G$29="",0,'KYCT Data Sublot # 2'!$G$29)</f>
        <v>0</v>
      </c>
      <c r="H627" s="1515">
        <f t="shared" si="55"/>
        <v>0</v>
      </c>
      <c r="I627" s="1517"/>
    </row>
    <row r="628" spans="1:11" ht="12.75" customHeight="1">
      <c r="A628" s="1505" t="s">
        <v>3294</v>
      </c>
      <c r="B628" s="1512" t="str">
        <f t="shared" ref="B628:D628" si="65">B627</f>
        <v/>
      </c>
      <c r="C628" s="1513" t="str">
        <f t="shared" si="65"/>
        <v>AMAMAW</v>
      </c>
      <c r="D628" s="1513">
        <f t="shared" si="65"/>
        <v>1</v>
      </c>
      <c r="E628" s="1514">
        <v>201</v>
      </c>
      <c r="F628" s="1509"/>
      <c r="G628" s="1515">
        <f>IF('KYCT Data Sublot # 2'!$H$29="",0,'KYCT Data Sublot # 2'!$H$29)</f>
        <v>0</v>
      </c>
      <c r="H628" s="1515">
        <f t="shared" si="55"/>
        <v>0</v>
      </c>
      <c r="I628" s="1517"/>
    </row>
    <row r="629" spans="1:11" ht="12.75" customHeight="1">
      <c r="A629" s="1505" t="s">
        <v>3295</v>
      </c>
      <c r="B629" s="1512" t="str">
        <f t="shared" ref="B629:D629" si="66">B628</f>
        <v/>
      </c>
      <c r="C629" s="1513" t="str">
        <f t="shared" si="66"/>
        <v>AMAMAW</v>
      </c>
      <c r="D629" s="1513">
        <f t="shared" si="66"/>
        <v>1</v>
      </c>
      <c r="E629" s="1514">
        <v>202</v>
      </c>
      <c r="F629" s="1509"/>
      <c r="G629" s="1515">
        <f ca="1">IF('KYCT Data Sublot # 2'!$I$29="",0,'KYCT Data Sublot # 2'!$I$29)</f>
        <v>0</v>
      </c>
      <c r="H629" s="1515">
        <f t="shared" si="55"/>
        <v>0</v>
      </c>
      <c r="I629" s="1517"/>
    </row>
    <row r="630" spans="1:11" ht="12.75" customHeight="1">
      <c r="A630" s="1505" t="s">
        <v>3296</v>
      </c>
      <c r="B630" s="1512" t="str">
        <f t="shared" ref="B630:D630" si="67">B629</f>
        <v/>
      </c>
      <c r="C630" s="1513" t="str">
        <f t="shared" si="67"/>
        <v>AMAMAW</v>
      </c>
      <c r="D630" s="1513">
        <f t="shared" si="67"/>
        <v>1</v>
      </c>
      <c r="E630" s="1514">
        <v>203</v>
      </c>
      <c r="F630" s="1509"/>
      <c r="G630" s="1515">
        <f>IF('KYCT Data Sublot # 2'!$J$29="",0,'KYCT Data Sublot # 2'!$J$29)</f>
        <v>0</v>
      </c>
      <c r="H630" s="1515">
        <f t="shared" si="55"/>
        <v>0</v>
      </c>
      <c r="I630" s="1517"/>
    </row>
    <row r="631" spans="1:11" ht="12.75" customHeight="1">
      <c r="A631" s="1505" t="s">
        <v>3297</v>
      </c>
      <c r="B631" s="1512" t="str">
        <f t="shared" ref="B631:D631" si="68">B630</f>
        <v/>
      </c>
      <c r="C631" s="1513" t="str">
        <f t="shared" si="68"/>
        <v>AMAMAW</v>
      </c>
      <c r="D631" s="1513">
        <f t="shared" si="68"/>
        <v>1</v>
      </c>
      <c r="E631" s="1514">
        <v>204</v>
      </c>
      <c r="F631" s="1509"/>
      <c r="G631" s="1515">
        <f ca="1">IF('KYCT Data Sublot # 2'!$K$29="",0,'KYCT Data Sublot # 2'!$K$29)</f>
        <v>0</v>
      </c>
      <c r="H631" s="1515">
        <f t="shared" si="55"/>
        <v>0</v>
      </c>
      <c r="I631" s="1517"/>
    </row>
    <row r="632" spans="1:11" ht="12.75" customHeight="1">
      <c r="A632" s="1505" t="s">
        <v>3298</v>
      </c>
      <c r="B632" s="1512" t="str">
        <f t="shared" ref="B632:D632" si="69">B631</f>
        <v/>
      </c>
      <c r="C632" s="1513" t="str">
        <f t="shared" si="69"/>
        <v>AMAMAW</v>
      </c>
      <c r="D632" s="1513">
        <f t="shared" si="69"/>
        <v>1</v>
      </c>
      <c r="E632" s="1514">
        <v>205</v>
      </c>
      <c r="F632" s="1509"/>
      <c r="G632" s="1515">
        <f>IF('KYCT Data Sublot # 2'!$L$29="",0,'KYCT Data Sublot # 2'!$L$29)</f>
        <v>0</v>
      </c>
      <c r="H632" s="1515">
        <f t="shared" si="55"/>
        <v>0</v>
      </c>
      <c r="I632" s="1517"/>
    </row>
    <row r="633" spans="1:11" ht="12.75" customHeight="1">
      <c r="A633" s="1505" t="s">
        <v>3299</v>
      </c>
      <c r="B633" s="1512" t="str">
        <f t="shared" ref="B633:D633" si="70">B632</f>
        <v/>
      </c>
      <c r="C633" s="1513" t="str">
        <f t="shared" si="70"/>
        <v>AMAMAW</v>
      </c>
      <c r="D633" s="1513">
        <f t="shared" si="70"/>
        <v>1</v>
      </c>
      <c r="E633" s="1514">
        <v>206</v>
      </c>
      <c r="F633" s="1509"/>
      <c r="G633" s="1515">
        <f ca="1">IF('KYCT Data Sublot # 2'!$M$29="",0,'KYCT Data Sublot # 2'!$M$29)</f>
        <v>0</v>
      </c>
      <c r="H633" s="1515">
        <f t="shared" si="55"/>
        <v>0</v>
      </c>
      <c r="I633" s="1517"/>
    </row>
    <row r="634" spans="1:11" ht="12.75" customHeight="1">
      <c r="A634" s="1505" t="s">
        <v>3300</v>
      </c>
      <c r="B634" s="1512" t="str">
        <f t="shared" ref="B634:D634" si="71">B633</f>
        <v/>
      </c>
      <c r="C634" s="1513" t="str">
        <f t="shared" si="71"/>
        <v>AMAMAW</v>
      </c>
      <c r="D634" s="1513">
        <f t="shared" si="71"/>
        <v>1</v>
      </c>
      <c r="E634" s="1514">
        <v>207</v>
      </c>
      <c r="F634" s="1509"/>
      <c r="G634" s="1515">
        <f>IF('KYCT Data Sublot # 2'!$N$29="",0,'KYCT Data Sublot # 2'!$N$29)</f>
        <v>0</v>
      </c>
      <c r="H634" s="1515">
        <f t="shared" si="55"/>
        <v>0</v>
      </c>
      <c r="I634" s="1517"/>
    </row>
    <row r="635" spans="1:11" ht="12.75" customHeight="1">
      <c r="A635" s="1505" t="s">
        <v>3301</v>
      </c>
      <c r="B635" s="1512" t="str">
        <f t="shared" ref="B635:D635" si="72">B634</f>
        <v/>
      </c>
      <c r="C635" s="1513" t="str">
        <f t="shared" si="72"/>
        <v>AMAMAW</v>
      </c>
      <c r="D635" s="1513">
        <f t="shared" si="72"/>
        <v>1</v>
      </c>
      <c r="E635" s="1514">
        <v>208</v>
      </c>
      <c r="F635" s="1509"/>
      <c r="G635" s="1515">
        <f ca="1">IF('KYCT Data Sublot # 2'!$O$29="",0,'KYCT Data Sublot # 2'!$O$29)</f>
        <v>0</v>
      </c>
      <c r="H635" s="1515">
        <f t="shared" si="55"/>
        <v>0</v>
      </c>
      <c r="I635" s="1517"/>
    </row>
    <row r="636" spans="1:11" ht="12.75" customHeight="1" thickBot="1">
      <c r="A636" s="1505" t="s">
        <v>3302</v>
      </c>
      <c r="B636" s="1506" t="str">
        <f t="shared" ref="B636:D636" si="73">B635</f>
        <v/>
      </c>
      <c r="C636" s="1507" t="str">
        <f t="shared" si="73"/>
        <v>AMAMAW</v>
      </c>
      <c r="D636" s="1507">
        <f t="shared" si="73"/>
        <v>1</v>
      </c>
      <c r="E636" s="1508">
        <v>209</v>
      </c>
      <c r="F636" s="1509"/>
      <c r="G636" s="1515">
        <f>IF('KYCT Data Sublot # 2'!$P$29="",0,'KYCT Data Sublot # 2'!$P$29)</f>
        <v>0</v>
      </c>
      <c r="H636" s="1510">
        <f t="shared" si="55"/>
        <v>0</v>
      </c>
      <c r="I636" s="1518"/>
    </row>
    <row r="637" spans="1:11" ht="13.5" thickBot="1">
      <c r="A637" s="956" t="s">
        <v>628</v>
      </c>
      <c r="B637" s="1140" t="str">
        <f>B518</f>
        <v/>
      </c>
      <c r="C637" s="823" t="s">
        <v>1553</v>
      </c>
      <c r="D637" s="823">
        <v>1</v>
      </c>
      <c r="E637" s="1039" t="s">
        <v>341</v>
      </c>
      <c r="F637" s="823" t="s">
        <v>1637</v>
      </c>
      <c r="G637" s="981">
        <f>Calculations!P278</f>
        <v>0</v>
      </c>
      <c r="H637" s="989">
        <f>H518</f>
        <v>0</v>
      </c>
      <c r="I637" s="1178"/>
      <c r="K637" s="957" t="s">
        <v>1341</v>
      </c>
    </row>
    <row r="638" spans="1:11">
      <c r="A638" s="956" t="s">
        <v>629</v>
      </c>
      <c r="B638" s="1190" t="str">
        <f>t_smpl!B11</f>
        <v/>
      </c>
      <c r="C638" s="1000" t="s">
        <v>1553</v>
      </c>
      <c r="D638" s="1000">
        <v>1</v>
      </c>
      <c r="E638" s="1007">
        <v>1</v>
      </c>
      <c r="F638" s="999" t="s">
        <v>1637</v>
      </c>
      <c r="G638" s="1002">
        <v>0</v>
      </c>
      <c r="H638" s="1006">
        <f t="shared" si="48"/>
        <v>0</v>
      </c>
      <c r="I638" s="1191"/>
    </row>
    <row r="639" spans="1:11">
      <c r="A639" s="956" t="s">
        <v>1499</v>
      </c>
      <c r="B639" s="1140" t="str">
        <f t="shared" ref="B639:B645" si="74">B638</f>
        <v/>
      </c>
      <c r="C639" s="823" t="s">
        <v>1553</v>
      </c>
      <c r="D639" s="823">
        <v>1</v>
      </c>
      <c r="E639" s="1001">
        <v>2</v>
      </c>
      <c r="F639" s="824" t="str">
        <f>IF(t_smpl!Z11="COMP","ISPC","OSPC")</f>
        <v>ISPC</v>
      </c>
      <c r="G639" s="1003">
        <v>0</v>
      </c>
      <c r="H639" s="989">
        <f t="shared" si="48"/>
        <v>0</v>
      </c>
      <c r="I639" s="1178"/>
    </row>
    <row r="640" spans="1:11">
      <c r="A640" s="956" t="s">
        <v>630</v>
      </c>
      <c r="B640" s="1140" t="str">
        <f t="shared" si="74"/>
        <v/>
      </c>
      <c r="C640" s="823" t="s">
        <v>1553</v>
      </c>
      <c r="D640" s="823">
        <v>1</v>
      </c>
      <c r="E640" s="1001">
        <v>3</v>
      </c>
      <c r="F640" s="824" t="s">
        <v>1637</v>
      </c>
      <c r="G640" s="1003">
        <v>0</v>
      </c>
      <c r="H640" s="989">
        <f t="shared" si="48"/>
        <v>0</v>
      </c>
      <c r="I640" s="1178"/>
    </row>
    <row r="641" spans="1:11">
      <c r="A641" s="956" t="s">
        <v>631</v>
      </c>
      <c r="B641" s="1140" t="str">
        <f t="shared" si="74"/>
        <v/>
      </c>
      <c r="C641" s="823" t="s">
        <v>1553</v>
      </c>
      <c r="D641" s="823">
        <v>1</v>
      </c>
      <c r="E641" s="1001">
        <v>4</v>
      </c>
      <c r="F641" s="828" t="s">
        <v>1637</v>
      </c>
      <c r="G641" s="1004">
        <v>0</v>
      </c>
      <c r="H641" s="989">
        <f t="shared" si="48"/>
        <v>0</v>
      </c>
      <c r="I641" s="1178"/>
    </row>
    <row r="642" spans="1:11">
      <c r="A642" s="956" t="s">
        <v>632</v>
      </c>
      <c r="B642" s="1140" t="str">
        <f t="shared" si="74"/>
        <v/>
      </c>
      <c r="C642" s="823" t="s">
        <v>1553</v>
      </c>
      <c r="D642" s="823">
        <v>1</v>
      </c>
      <c r="E642" s="1001">
        <v>5</v>
      </c>
      <c r="F642" s="828" t="s">
        <v>1637</v>
      </c>
      <c r="G642" s="1004">
        <v>0</v>
      </c>
      <c r="H642" s="989">
        <f t="shared" si="48"/>
        <v>0</v>
      </c>
      <c r="I642" s="1178"/>
    </row>
    <row r="643" spans="1:11">
      <c r="A643" s="956" t="s">
        <v>633</v>
      </c>
      <c r="B643" s="1140" t="str">
        <f t="shared" si="74"/>
        <v/>
      </c>
      <c r="C643" s="823" t="s">
        <v>1553</v>
      </c>
      <c r="D643" s="823">
        <v>1</v>
      </c>
      <c r="E643" s="1001">
        <v>6</v>
      </c>
      <c r="F643" s="828" t="s">
        <v>1637</v>
      </c>
      <c r="G643" s="1004">
        <v>0</v>
      </c>
      <c r="H643" s="989">
        <f t="shared" si="48"/>
        <v>0</v>
      </c>
      <c r="I643" s="1178"/>
    </row>
    <row r="644" spans="1:11">
      <c r="A644" s="956" t="s">
        <v>634</v>
      </c>
      <c r="B644" s="1140" t="str">
        <f t="shared" si="74"/>
        <v/>
      </c>
      <c r="C644" s="823" t="s">
        <v>1553</v>
      </c>
      <c r="D644" s="823">
        <v>1</v>
      </c>
      <c r="E644" s="1001">
        <v>7</v>
      </c>
      <c r="F644" s="828" t="s">
        <v>1637</v>
      </c>
      <c r="G644" s="1004">
        <v>0</v>
      </c>
      <c r="H644" s="989">
        <f t="shared" si="48"/>
        <v>0</v>
      </c>
      <c r="I644" s="1178"/>
    </row>
    <row r="645" spans="1:11">
      <c r="A645" s="956" t="s">
        <v>635</v>
      </c>
      <c r="B645" s="1140" t="str">
        <f t="shared" si="74"/>
        <v/>
      </c>
      <c r="C645" s="823" t="s">
        <v>1553</v>
      </c>
      <c r="D645" s="823">
        <v>1</v>
      </c>
      <c r="E645" s="1001">
        <v>8</v>
      </c>
      <c r="F645" s="824">
        <f>'Pay Values'!I3</f>
        <v>0</v>
      </c>
      <c r="G645" s="1003">
        <v>0</v>
      </c>
      <c r="H645" s="989">
        <f t="shared" si="48"/>
        <v>0</v>
      </c>
      <c r="I645" s="1178"/>
    </row>
    <row r="646" spans="1:11">
      <c r="A646" s="956" t="s">
        <v>636</v>
      </c>
      <c r="B646" s="1140" t="str">
        <f t="shared" ref="B646:B709" si="75">B645</f>
        <v/>
      </c>
      <c r="C646" s="823" t="s">
        <v>1553</v>
      </c>
      <c r="D646" s="823">
        <v>1</v>
      </c>
      <c r="E646" s="1001">
        <v>9</v>
      </c>
      <c r="F646" s="823" t="s">
        <v>1637</v>
      </c>
      <c r="G646" s="1003">
        <v>0</v>
      </c>
      <c r="H646" s="989">
        <f t="shared" si="48"/>
        <v>0</v>
      </c>
      <c r="I646" s="1178"/>
    </row>
    <row r="647" spans="1:11">
      <c r="A647" s="956" t="s">
        <v>637</v>
      </c>
      <c r="B647" s="1140" t="str">
        <f t="shared" si="75"/>
        <v/>
      </c>
      <c r="C647" s="823" t="s">
        <v>1553</v>
      </c>
      <c r="D647" s="823">
        <v>1</v>
      </c>
      <c r="E647" s="1001">
        <v>10</v>
      </c>
      <c r="F647" s="823" t="s">
        <v>1637</v>
      </c>
      <c r="G647" s="981" t="str">
        <f>Superpave!T9</f>
        <v/>
      </c>
      <c r="H647" s="989">
        <f t="shared" si="48"/>
        <v>0</v>
      </c>
      <c r="I647" s="1178"/>
    </row>
    <row r="648" spans="1:11">
      <c r="A648" s="956" t="s">
        <v>638</v>
      </c>
      <c r="B648" s="1140" t="str">
        <f t="shared" si="75"/>
        <v/>
      </c>
      <c r="C648" s="823" t="s">
        <v>1553</v>
      </c>
      <c r="D648" s="823">
        <v>1</v>
      </c>
      <c r="E648" s="1001">
        <v>11</v>
      </c>
      <c r="F648" s="959" t="str">
        <f>Superpave!N3</f>
        <v/>
      </c>
      <c r="G648" s="1003">
        <v>0</v>
      </c>
      <c r="H648" s="989">
        <f t="shared" si="48"/>
        <v>0</v>
      </c>
      <c r="I648" s="1178"/>
    </row>
    <row r="649" spans="1:11">
      <c r="A649" s="956" t="s">
        <v>639</v>
      </c>
      <c r="B649" s="1140" t="str">
        <f t="shared" si="75"/>
        <v/>
      </c>
      <c r="C649" s="823" t="s">
        <v>1553</v>
      </c>
      <c r="D649" s="823">
        <v>1</v>
      </c>
      <c r="E649" s="1001">
        <v>12</v>
      </c>
      <c r="F649" s="824" t="str">
        <f>Superpave!N4</f>
        <v/>
      </c>
      <c r="G649" s="1003">
        <v>0</v>
      </c>
      <c r="H649" s="989">
        <f t="shared" si="48"/>
        <v>0</v>
      </c>
      <c r="I649" s="1178"/>
    </row>
    <row r="650" spans="1:11">
      <c r="A650" s="956" t="s">
        <v>640</v>
      </c>
      <c r="B650" s="1140" t="str">
        <f t="shared" si="75"/>
        <v/>
      </c>
      <c r="C650" s="823" t="s">
        <v>1553</v>
      </c>
      <c r="D650" s="823">
        <v>1</v>
      </c>
      <c r="E650" s="1001">
        <v>13</v>
      </c>
      <c r="F650" s="824" t="str">
        <f>Superpave!N5</f>
        <v/>
      </c>
      <c r="G650" s="1003">
        <v>0</v>
      </c>
      <c r="H650" s="989">
        <f t="shared" si="48"/>
        <v>0</v>
      </c>
      <c r="I650" s="1178"/>
    </row>
    <row r="651" spans="1:11">
      <c r="A651" s="956" t="s">
        <v>641</v>
      </c>
      <c r="B651" s="1140" t="str">
        <f t="shared" si="75"/>
        <v/>
      </c>
      <c r="C651" s="823" t="s">
        <v>1553</v>
      </c>
      <c r="D651" s="823">
        <v>1</v>
      </c>
      <c r="E651" s="1001">
        <v>14</v>
      </c>
      <c r="F651" s="824" t="str">
        <f>Superpave!N6</f>
        <v/>
      </c>
      <c r="G651" s="1003">
        <v>0</v>
      </c>
      <c r="H651" s="989">
        <f t="shared" si="48"/>
        <v>0</v>
      </c>
      <c r="I651" s="1178"/>
    </row>
    <row r="652" spans="1:11">
      <c r="A652" s="956" t="s">
        <v>642</v>
      </c>
      <c r="B652" s="1140" t="str">
        <f t="shared" si="75"/>
        <v/>
      </c>
      <c r="C652" s="823" t="s">
        <v>1553</v>
      </c>
      <c r="D652" s="823">
        <v>1</v>
      </c>
      <c r="E652" s="1001">
        <v>15</v>
      </c>
      <c r="F652" s="824" t="str">
        <f>Superpave!N7</f>
        <v/>
      </c>
      <c r="G652" s="1003">
        <v>0</v>
      </c>
      <c r="H652" s="989">
        <f t="shared" si="48"/>
        <v>0</v>
      </c>
      <c r="I652" s="1178"/>
      <c r="K652" s="885"/>
    </row>
    <row r="653" spans="1:11">
      <c r="A653" s="956" t="s">
        <v>643</v>
      </c>
      <c r="B653" s="1140" t="str">
        <f t="shared" si="75"/>
        <v/>
      </c>
      <c r="C653" s="823" t="s">
        <v>1553</v>
      </c>
      <c r="D653" s="823">
        <v>1</v>
      </c>
      <c r="E653" s="1001">
        <v>16</v>
      </c>
      <c r="F653" s="824" t="str">
        <f>Superpave!N8</f>
        <v/>
      </c>
      <c r="G653" s="1003">
        <v>0</v>
      </c>
      <c r="H653" s="989">
        <f t="shared" si="48"/>
        <v>0</v>
      </c>
      <c r="I653" s="1178"/>
      <c r="J653" s="885"/>
    </row>
    <row r="654" spans="1:11">
      <c r="A654" s="956" t="s">
        <v>644</v>
      </c>
      <c r="B654" s="1140" t="str">
        <f t="shared" si="75"/>
        <v/>
      </c>
      <c r="C654" s="823" t="s">
        <v>1553</v>
      </c>
      <c r="D654" s="823">
        <v>1</v>
      </c>
      <c r="E654" s="1001">
        <v>17</v>
      </c>
      <c r="F654" s="824" t="str">
        <f>Superpave!O3</f>
        <v/>
      </c>
      <c r="G654" s="1003">
        <v>0</v>
      </c>
      <c r="H654" s="989">
        <f t="shared" si="48"/>
        <v>0</v>
      </c>
      <c r="I654" s="1178"/>
      <c r="K654" s="885"/>
    </row>
    <row r="655" spans="1:11">
      <c r="A655" s="956" t="s">
        <v>645</v>
      </c>
      <c r="B655" s="1140" t="str">
        <f t="shared" si="75"/>
        <v/>
      </c>
      <c r="C655" s="823" t="s">
        <v>1553</v>
      </c>
      <c r="D655" s="823">
        <v>1</v>
      </c>
      <c r="E655" s="1001">
        <v>18</v>
      </c>
      <c r="F655" s="824" t="str">
        <f>Superpave!O4</f>
        <v/>
      </c>
      <c r="G655" s="1003">
        <v>0</v>
      </c>
      <c r="H655" s="989">
        <f t="shared" si="48"/>
        <v>0</v>
      </c>
      <c r="I655" s="1178"/>
    </row>
    <row r="656" spans="1:11">
      <c r="A656" s="956" t="s">
        <v>646</v>
      </c>
      <c r="B656" s="1140" t="str">
        <f t="shared" si="75"/>
        <v/>
      </c>
      <c r="C656" s="823" t="s">
        <v>1553</v>
      </c>
      <c r="D656" s="823">
        <v>1</v>
      </c>
      <c r="E656" s="1001">
        <v>19</v>
      </c>
      <c r="F656" s="824" t="str">
        <f>Superpave!O5</f>
        <v/>
      </c>
      <c r="G656" s="1003">
        <v>0</v>
      </c>
      <c r="H656" s="989">
        <f t="shared" si="48"/>
        <v>0</v>
      </c>
      <c r="I656" s="1178"/>
      <c r="K656" s="885"/>
    </row>
    <row r="657" spans="1:11">
      <c r="A657" s="956" t="s">
        <v>647</v>
      </c>
      <c r="B657" s="1140" t="str">
        <f t="shared" si="75"/>
        <v/>
      </c>
      <c r="C657" s="823" t="s">
        <v>1553</v>
      </c>
      <c r="D657" s="823">
        <v>1</v>
      </c>
      <c r="E657" s="1001">
        <v>20</v>
      </c>
      <c r="F657" s="824" t="str">
        <f>Superpave!O6</f>
        <v/>
      </c>
      <c r="G657" s="1003">
        <v>0</v>
      </c>
      <c r="H657" s="989">
        <f t="shared" si="48"/>
        <v>0</v>
      </c>
      <c r="I657" s="1178"/>
      <c r="K657" s="885"/>
    </row>
    <row r="658" spans="1:11">
      <c r="A658" s="956" t="s">
        <v>648</v>
      </c>
      <c r="B658" s="1140" t="str">
        <f t="shared" si="75"/>
        <v/>
      </c>
      <c r="C658" s="823" t="s">
        <v>1553</v>
      </c>
      <c r="D658" s="823">
        <v>1</v>
      </c>
      <c r="E658" s="1001">
        <v>21</v>
      </c>
      <c r="F658" s="824" t="str">
        <f>Superpave!O7</f>
        <v/>
      </c>
      <c r="G658" s="1003">
        <v>0</v>
      </c>
      <c r="H658" s="989">
        <f t="shared" si="48"/>
        <v>0</v>
      </c>
      <c r="I658" s="1178"/>
    </row>
    <row r="659" spans="1:11">
      <c r="A659" s="956" t="s">
        <v>649</v>
      </c>
      <c r="B659" s="1140" t="str">
        <f t="shared" si="75"/>
        <v/>
      </c>
      <c r="C659" s="823" t="s">
        <v>1553</v>
      </c>
      <c r="D659" s="823">
        <v>1</v>
      </c>
      <c r="E659" s="1001">
        <v>22</v>
      </c>
      <c r="F659" s="824" t="str">
        <f>Superpave!O8</f>
        <v/>
      </c>
      <c r="G659" s="1003">
        <v>0</v>
      </c>
      <c r="H659" s="989">
        <f t="shared" si="48"/>
        <v>0</v>
      </c>
      <c r="I659" s="1178"/>
      <c r="K659" s="958"/>
    </row>
    <row r="660" spans="1:11">
      <c r="A660" s="956" t="s">
        <v>650</v>
      </c>
      <c r="B660" s="1140" t="str">
        <f t="shared" si="75"/>
        <v/>
      </c>
      <c r="C660" s="823" t="s">
        <v>1553</v>
      </c>
      <c r="D660" s="823">
        <v>1</v>
      </c>
      <c r="E660" s="1001">
        <v>23</v>
      </c>
      <c r="F660" s="823" t="s">
        <v>1637</v>
      </c>
      <c r="G660" s="980">
        <f>Superpave!T3</f>
        <v>0</v>
      </c>
      <c r="H660" s="989">
        <f t="shared" si="48"/>
        <v>0</v>
      </c>
      <c r="I660" s="1178"/>
    </row>
    <row r="661" spans="1:11">
      <c r="A661" s="956" t="s">
        <v>651</v>
      </c>
      <c r="B661" s="1163" t="str">
        <f t="shared" si="75"/>
        <v/>
      </c>
      <c r="C661" s="875" t="s">
        <v>1553</v>
      </c>
      <c r="D661" s="875">
        <v>1</v>
      </c>
      <c r="E661" s="1001">
        <v>24</v>
      </c>
      <c r="F661" s="823" t="s">
        <v>1637</v>
      </c>
      <c r="G661" s="980">
        <f>Superpave!T4</f>
        <v>0</v>
      </c>
      <c r="H661" s="989">
        <f t="shared" si="48"/>
        <v>0</v>
      </c>
      <c r="I661" s="1192"/>
      <c r="K661" s="885"/>
    </row>
    <row r="662" spans="1:11">
      <c r="A662" s="956" t="s">
        <v>652</v>
      </c>
      <c r="B662" s="1140" t="str">
        <f t="shared" si="75"/>
        <v/>
      </c>
      <c r="C662" s="823" t="s">
        <v>1553</v>
      </c>
      <c r="D662" s="823">
        <v>1</v>
      </c>
      <c r="E662" s="1001">
        <v>25</v>
      </c>
      <c r="F662" s="823" t="s">
        <v>1637</v>
      </c>
      <c r="G662" s="980">
        <f>Superpave!T5</f>
        <v>0</v>
      </c>
      <c r="H662" s="989">
        <f t="shared" si="48"/>
        <v>0</v>
      </c>
      <c r="I662" s="1178"/>
    </row>
    <row r="663" spans="1:11">
      <c r="A663" s="956" t="s">
        <v>653</v>
      </c>
      <c r="B663" s="1140" t="str">
        <f t="shared" si="75"/>
        <v/>
      </c>
      <c r="C663" s="823" t="s">
        <v>1553</v>
      </c>
      <c r="D663" s="823">
        <v>1</v>
      </c>
      <c r="E663" s="1001">
        <v>26</v>
      </c>
      <c r="F663" s="823" t="s">
        <v>1637</v>
      </c>
      <c r="G663" s="980">
        <f>Superpave!T6</f>
        <v>0</v>
      </c>
      <c r="H663" s="989">
        <f t="shared" si="48"/>
        <v>0</v>
      </c>
      <c r="I663" s="1178"/>
    </row>
    <row r="664" spans="1:11">
      <c r="A664" s="956" t="s">
        <v>654</v>
      </c>
      <c r="B664" s="1140" t="str">
        <f t="shared" si="75"/>
        <v/>
      </c>
      <c r="C664" s="823" t="s">
        <v>1553</v>
      </c>
      <c r="D664" s="823">
        <v>1</v>
      </c>
      <c r="E664" s="1001">
        <v>27</v>
      </c>
      <c r="F664" s="823" t="s">
        <v>1637</v>
      </c>
      <c r="G664" s="980">
        <f>Superpave!T7</f>
        <v>0</v>
      </c>
      <c r="H664" s="989">
        <f t="shared" si="48"/>
        <v>0</v>
      </c>
      <c r="I664" s="1178"/>
    </row>
    <row r="665" spans="1:11">
      <c r="A665" s="956" t="s">
        <v>655</v>
      </c>
      <c r="B665" s="1140" t="str">
        <f t="shared" si="75"/>
        <v/>
      </c>
      <c r="C665" s="823" t="s">
        <v>1553</v>
      </c>
      <c r="D665" s="823">
        <v>1</v>
      </c>
      <c r="E665" s="1001">
        <v>28</v>
      </c>
      <c r="F665" s="823" t="s">
        <v>1637</v>
      </c>
      <c r="G665" s="980">
        <f>Superpave!T8</f>
        <v>0</v>
      </c>
      <c r="H665" s="989">
        <f t="shared" si="48"/>
        <v>0</v>
      </c>
      <c r="I665" s="1178"/>
    </row>
    <row r="666" spans="1:11">
      <c r="A666" s="956" t="s">
        <v>656</v>
      </c>
      <c r="B666" s="1140" t="str">
        <f t="shared" si="75"/>
        <v/>
      </c>
      <c r="C666" s="823" t="s">
        <v>1553</v>
      </c>
      <c r="D666" s="823">
        <v>1</v>
      </c>
      <c r="E666" s="1001">
        <v>29</v>
      </c>
      <c r="F666" s="823" t="s">
        <v>1637</v>
      </c>
      <c r="G666" s="981">
        <f>Superpave!Q3</f>
        <v>0</v>
      </c>
      <c r="H666" s="989">
        <f t="shared" si="48"/>
        <v>0</v>
      </c>
      <c r="I666" s="1178"/>
    </row>
    <row r="667" spans="1:11">
      <c r="A667" s="956" t="s">
        <v>657</v>
      </c>
      <c r="B667" s="1140" t="str">
        <f t="shared" si="75"/>
        <v/>
      </c>
      <c r="C667" s="823" t="s">
        <v>1553</v>
      </c>
      <c r="D667" s="823">
        <v>1</v>
      </c>
      <c r="E667" s="1001">
        <v>30</v>
      </c>
      <c r="F667" s="823" t="s">
        <v>1637</v>
      </c>
      <c r="G667" s="981">
        <f>Superpave!Q4</f>
        <v>0</v>
      </c>
      <c r="H667" s="989">
        <f t="shared" si="48"/>
        <v>0</v>
      </c>
      <c r="I667" s="1178"/>
    </row>
    <row r="668" spans="1:11">
      <c r="A668" s="956" t="s">
        <v>658</v>
      </c>
      <c r="B668" s="1140" t="str">
        <f t="shared" si="75"/>
        <v/>
      </c>
      <c r="C668" s="823" t="s">
        <v>1553</v>
      </c>
      <c r="D668" s="823">
        <v>1</v>
      </c>
      <c r="E668" s="1001">
        <v>31</v>
      </c>
      <c r="F668" s="823" t="s">
        <v>1637</v>
      </c>
      <c r="G668" s="981">
        <f>Superpave!Q5</f>
        <v>0</v>
      </c>
      <c r="H668" s="989">
        <f t="shared" si="48"/>
        <v>0</v>
      </c>
      <c r="I668" s="1178"/>
      <c r="K668" s="885"/>
    </row>
    <row r="669" spans="1:11">
      <c r="A669" s="956" t="s">
        <v>659</v>
      </c>
      <c r="B669" s="1140" t="str">
        <f t="shared" si="75"/>
        <v/>
      </c>
      <c r="C669" s="823" t="s">
        <v>1553</v>
      </c>
      <c r="D669" s="823">
        <v>1</v>
      </c>
      <c r="E669" s="1001">
        <v>32</v>
      </c>
      <c r="F669" s="823" t="s">
        <v>1637</v>
      </c>
      <c r="G669" s="981">
        <f>Superpave!Q6</f>
        <v>0</v>
      </c>
      <c r="H669" s="989">
        <f t="shared" si="48"/>
        <v>0</v>
      </c>
      <c r="I669" s="1178"/>
      <c r="J669" s="885"/>
    </row>
    <row r="670" spans="1:11">
      <c r="A670" s="956" t="s">
        <v>660</v>
      </c>
      <c r="B670" s="1140" t="str">
        <f t="shared" si="75"/>
        <v/>
      </c>
      <c r="C670" s="823" t="s">
        <v>1553</v>
      </c>
      <c r="D670" s="823">
        <v>1</v>
      </c>
      <c r="E670" s="1001">
        <v>33</v>
      </c>
      <c r="F670" s="823" t="s">
        <v>1637</v>
      </c>
      <c r="G670" s="981">
        <f>Superpave!Q7</f>
        <v>0</v>
      </c>
      <c r="H670" s="989">
        <f t="shared" si="48"/>
        <v>0</v>
      </c>
      <c r="I670" s="1178"/>
      <c r="K670" s="885"/>
    </row>
    <row r="671" spans="1:11">
      <c r="A671" s="956" t="s">
        <v>661</v>
      </c>
      <c r="B671" s="1140" t="str">
        <f t="shared" si="75"/>
        <v/>
      </c>
      <c r="C671" s="823" t="s">
        <v>1553</v>
      </c>
      <c r="D671" s="823">
        <v>1</v>
      </c>
      <c r="E671" s="1001">
        <v>34</v>
      </c>
      <c r="F671" s="823" t="s">
        <v>1637</v>
      </c>
      <c r="G671" s="981">
        <f>Superpave!Q8</f>
        <v>0</v>
      </c>
      <c r="H671" s="989">
        <f t="shared" si="48"/>
        <v>0</v>
      </c>
      <c r="I671" s="1178"/>
    </row>
    <row r="672" spans="1:11">
      <c r="A672" s="956" t="s">
        <v>662</v>
      </c>
      <c r="B672" s="1140" t="str">
        <f t="shared" si="75"/>
        <v/>
      </c>
      <c r="C672" s="823" t="s">
        <v>1553</v>
      </c>
      <c r="D672" s="823">
        <v>1</v>
      </c>
      <c r="E672" s="1001">
        <v>35</v>
      </c>
      <c r="F672" s="823" t="s">
        <v>1637</v>
      </c>
      <c r="G672" s="1003">
        <v>0</v>
      </c>
      <c r="H672" s="989">
        <f t="shared" si="48"/>
        <v>0</v>
      </c>
      <c r="I672" s="1178"/>
    </row>
    <row r="673" spans="1:11">
      <c r="A673" s="956" t="s">
        <v>663</v>
      </c>
      <c r="B673" s="1140" t="str">
        <f t="shared" si="75"/>
        <v/>
      </c>
      <c r="C673" s="823" t="s">
        <v>1553</v>
      </c>
      <c r="D673" s="823">
        <v>1</v>
      </c>
      <c r="E673" s="1001">
        <v>36</v>
      </c>
      <c r="F673" s="823" t="s">
        <v>1637</v>
      </c>
      <c r="G673" s="982">
        <f>Superpave!I5</f>
        <v>0</v>
      </c>
      <c r="H673" s="989">
        <f t="shared" si="48"/>
        <v>0</v>
      </c>
      <c r="I673" s="1178"/>
    </row>
    <row r="674" spans="1:11">
      <c r="A674" s="956" t="s">
        <v>664</v>
      </c>
      <c r="B674" s="1140" t="str">
        <f t="shared" si="75"/>
        <v/>
      </c>
      <c r="C674" s="823" t="s">
        <v>1553</v>
      </c>
      <c r="D674" s="823">
        <v>1</v>
      </c>
      <c r="E674" s="1001">
        <v>37</v>
      </c>
      <c r="F674" s="823" t="s">
        <v>1637</v>
      </c>
      <c r="G674" s="983">
        <f>Superpave!J5</f>
        <v>0</v>
      </c>
      <c r="H674" s="989">
        <f t="shared" si="48"/>
        <v>0</v>
      </c>
      <c r="I674" s="1178"/>
    </row>
    <row r="675" spans="1:11">
      <c r="A675" s="956" t="s">
        <v>665</v>
      </c>
      <c r="B675" s="1140" t="str">
        <f t="shared" si="75"/>
        <v/>
      </c>
      <c r="C675" s="823" t="s">
        <v>1553</v>
      </c>
      <c r="D675" s="823">
        <v>1</v>
      </c>
      <c r="E675" s="1001">
        <v>38</v>
      </c>
      <c r="F675" s="992">
        <f>Superpave!K5</f>
        <v>0</v>
      </c>
      <c r="G675" s="1005">
        <v>0</v>
      </c>
      <c r="H675" s="989">
        <f t="shared" si="48"/>
        <v>0</v>
      </c>
      <c r="I675" s="1178"/>
      <c r="K675" s="958"/>
    </row>
    <row r="676" spans="1:11">
      <c r="A676" s="956" t="s">
        <v>666</v>
      </c>
      <c r="B676" s="1140" t="str">
        <f t="shared" si="75"/>
        <v/>
      </c>
      <c r="C676" s="823" t="s">
        <v>1553</v>
      </c>
      <c r="D676" s="823">
        <v>1</v>
      </c>
      <c r="E676" s="1001">
        <v>39</v>
      </c>
      <c r="F676" s="823" t="s">
        <v>1637</v>
      </c>
      <c r="G676" s="981">
        <f>Superpave!L5</f>
        <v>0</v>
      </c>
      <c r="H676" s="989">
        <f t="shared" si="48"/>
        <v>0</v>
      </c>
      <c r="I676" s="1178"/>
    </row>
    <row r="677" spans="1:11">
      <c r="A677" s="956" t="s">
        <v>667</v>
      </c>
      <c r="B677" s="1163" t="str">
        <f t="shared" si="75"/>
        <v/>
      </c>
      <c r="C677" s="875" t="s">
        <v>1553</v>
      </c>
      <c r="D677" s="875">
        <v>1</v>
      </c>
      <c r="E677" s="1001">
        <v>40</v>
      </c>
      <c r="F677" s="823" t="s">
        <v>1637</v>
      </c>
      <c r="G677" s="1003">
        <v>0</v>
      </c>
      <c r="H677" s="989">
        <f t="shared" si="48"/>
        <v>0</v>
      </c>
      <c r="I677" s="1192"/>
      <c r="K677" s="885"/>
    </row>
    <row r="678" spans="1:11">
      <c r="A678" s="956" t="s">
        <v>668</v>
      </c>
      <c r="B678" s="1140" t="str">
        <f t="shared" si="75"/>
        <v/>
      </c>
      <c r="C678" s="823" t="s">
        <v>1553</v>
      </c>
      <c r="D678" s="823">
        <v>1</v>
      </c>
      <c r="E678" s="1001">
        <v>41</v>
      </c>
      <c r="F678" s="824" t="str">
        <f>Calculations!AU37</f>
        <v/>
      </c>
      <c r="G678" s="1003">
        <v>0</v>
      </c>
      <c r="H678" s="989">
        <f t="shared" si="48"/>
        <v>0</v>
      </c>
      <c r="I678" s="1178"/>
    </row>
    <row r="679" spans="1:11">
      <c r="A679" s="956" t="s">
        <v>669</v>
      </c>
      <c r="B679" s="1140" t="str">
        <f t="shared" si="75"/>
        <v/>
      </c>
      <c r="C679" s="823" t="s">
        <v>1553</v>
      </c>
      <c r="D679" s="823">
        <v>1</v>
      </c>
      <c r="E679" s="1001">
        <v>42</v>
      </c>
      <c r="F679" s="823" t="s">
        <v>1637</v>
      </c>
      <c r="G679" s="980" t="str">
        <f>Superpave!B26</f>
        <v/>
      </c>
      <c r="H679" s="989">
        <f t="shared" si="48"/>
        <v>0</v>
      </c>
      <c r="I679" s="1178"/>
    </row>
    <row r="680" spans="1:11">
      <c r="A680" s="956" t="s">
        <v>670</v>
      </c>
      <c r="B680" s="1140" t="str">
        <f t="shared" si="75"/>
        <v/>
      </c>
      <c r="C680" s="823" t="s">
        <v>1553</v>
      </c>
      <c r="D680" s="823">
        <v>1</v>
      </c>
      <c r="E680" s="1001">
        <v>43</v>
      </c>
      <c r="F680" s="823" t="s">
        <v>1637</v>
      </c>
      <c r="G680" s="980" t="str">
        <f>Superpave!H26</f>
        <v/>
      </c>
      <c r="H680" s="989">
        <f t="shared" si="48"/>
        <v>0</v>
      </c>
      <c r="I680" s="1178"/>
    </row>
    <row r="681" spans="1:11">
      <c r="A681" s="956" t="s">
        <v>671</v>
      </c>
      <c r="B681" s="1140" t="str">
        <f t="shared" si="75"/>
        <v/>
      </c>
      <c r="C681" s="823" t="s">
        <v>1553</v>
      </c>
      <c r="D681" s="823">
        <v>1</v>
      </c>
      <c r="E681" s="1001">
        <v>44</v>
      </c>
      <c r="F681" s="823" t="s">
        <v>1637</v>
      </c>
      <c r="G681" s="984" t="str">
        <f>Superpave!I26</f>
        <v/>
      </c>
      <c r="H681" s="989">
        <f t="shared" si="48"/>
        <v>0</v>
      </c>
      <c r="I681" s="1178"/>
    </row>
    <row r="682" spans="1:11">
      <c r="A682" s="956" t="s">
        <v>672</v>
      </c>
      <c r="B682" s="1140" t="str">
        <f t="shared" si="75"/>
        <v/>
      </c>
      <c r="C682" s="823" t="s">
        <v>1553</v>
      </c>
      <c r="D682" s="823">
        <v>1</v>
      </c>
      <c r="E682" s="1001">
        <v>45</v>
      </c>
      <c r="F682" s="823" t="s">
        <v>1637</v>
      </c>
      <c r="G682" s="980" t="str">
        <f>Superpave!J26</f>
        <v/>
      </c>
      <c r="H682" s="989">
        <f t="shared" si="48"/>
        <v>0</v>
      </c>
      <c r="I682" s="1178"/>
    </row>
    <row r="683" spans="1:11">
      <c r="A683" s="956" t="s">
        <v>673</v>
      </c>
      <c r="B683" s="1140" t="str">
        <f t="shared" si="75"/>
        <v/>
      </c>
      <c r="C683" s="823" t="s">
        <v>1553</v>
      </c>
      <c r="D683" s="823">
        <v>1</v>
      </c>
      <c r="E683" s="1001">
        <v>46</v>
      </c>
      <c r="F683" s="823" t="s">
        <v>1637</v>
      </c>
      <c r="G683" s="980" t="str">
        <f>Superpave!L26</f>
        <v/>
      </c>
      <c r="H683" s="989">
        <f t="shared" ref="H683:H864" si="76">H682</f>
        <v>0</v>
      </c>
      <c r="I683" s="1178"/>
    </row>
    <row r="684" spans="1:11">
      <c r="A684" s="956" t="s">
        <v>674</v>
      </c>
      <c r="B684" s="1140" t="str">
        <f t="shared" si="75"/>
        <v/>
      </c>
      <c r="C684" s="823" t="s">
        <v>1553</v>
      </c>
      <c r="D684" s="823">
        <v>1</v>
      </c>
      <c r="E684" s="1001">
        <v>47</v>
      </c>
      <c r="F684" s="823" t="s">
        <v>1637</v>
      </c>
      <c r="G684" s="980" t="str">
        <f>Superpave!M26</f>
        <v/>
      </c>
      <c r="H684" s="989">
        <f t="shared" si="76"/>
        <v>0</v>
      </c>
      <c r="I684" s="1178"/>
      <c r="K684" s="885"/>
    </row>
    <row r="685" spans="1:11">
      <c r="A685" s="956" t="s">
        <v>675</v>
      </c>
      <c r="B685" s="1140" t="str">
        <f t="shared" si="75"/>
        <v/>
      </c>
      <c r="C685" s="823" t="s">
        <v>1553</v>
      </c>
      <c r="D685" s="823">
        <v>1</v>
      </c>
      <c r="E685" s="1001">
        <v>48</v>
      </c>
      <c r="F685" s="823" t="s">
        <v>1637</v>
      </c>
      <c r="G685" s="980" t="str">
        <f>Superpave!N26</f>
        <v/>
      </c>
      <c r="H685" s="989">
        <f t="shared" si="76"/>
        <v>0</v>
      </c>
      <c r="I685" s="1178"/>
      <c r="J685" s="885"/>
    </row>
    <row r="686" spans="1:11">
      <c r="A686" s="956" t="s">
        <v>676</v>
      </c>
      <c r="B686" s="1140" t="str">
        <f t="shared" si="75"/>
        <v/>
      </c>
      <c r="C686" s="823" t="s">
        <v>1553</v>
      </c>
      <c r="D686" s="823">
        <v>1</v>
      </c>
      <c r="E686" s="1001">
        <v>49</v>
      </c>
      <c r="F686" s="980" t="str">
        <f>Superpave!O26</f>
        <v/>
      </c>
      <c r="G686" s="1178"/>
      <c r="H686" s="989">
        <f t="shared" si="76"/>
        <v>0</v>
      </c>
      <c r="I686" s="1178"/>
      <c r="K686" s="885"/>
    </row>
    <row r="687" spans="1:11">
      <c r="A687" s="956" t="s">
        <v>677</v>
      </c>
      <c r="B687" s="1140" t="str">
        <f t="shared" si="75"/>
        <v/>
      </c>
      <c r="C687" s="823" t="s">
        <v>1553</v>
      </c>
      <c r="D687" s="823">
        <v>1</v>
      </c>
      <c r="E687" s="1001">
        <v>50</v>
      </c>
      <c r="F687" s="823" t="s">
        <v>1637</v>
      </c>
      <c r="G687" s="980">
        <f>Superpave!N43</f>
        <v>0</v>
      </c>
      <c r="H687" s="989">
        <f t="shared" si="76"/>
        <v>0</v>
      </c>
      <c r="I687" s="1178"/>
    </row>
    <row r="688" spans="1:11">
      <c r="A688" s="956" t="s">
        <v>678</v>
      </c>
      <c r="B688" s="1140" t="str">
        <f t="shared" si="75"/>
        <v/>
      </c>
      <c r="C688" s="823" t="s">
        <v>1553</v>
      </c>
      <c r="D688" s="823">
        <v>1</v>
      </c>
      <c r="E688" s="1001">
        <v>51</v>
      </c>
      <c r="F688" s="823" t="s">
        <v>1637</v>
      </c>
      <c r="G688" s="984" t="str">
        <f>Superpave!N42</f>
        <v/>
      </c>
      <c r="H688" s="989">
        <f t="shared" si="76"/>
        <v>0</v>
      </c>
      <c r="I688" s="1178"/>
      <c r="K688" s="885"/>
    </row>
    <row r="689" spans="1:11">
      <c r="A689" s="956" t="s">
        <v>679</v>
      </c>
      <c r="B689" s="1140" t="str">
        <f t="shared" si="75"/>
        <v/>
      </c>
      <c r="C689" s="823" t="s">
        <v>1553</v>
      </c>
      <c r="D689" s="823">
        <v>1</v>
      </c>
      <c r="E689" s="1001">
        <v>52</v>
      </c>
      <c r="F689" s="823" t="s">
        <v>1637</v>
      </c>
      <c r="G689" s="1003">
        <v>0</v>
      </c>
      <c r="H689" s="989">
        <f t="shared" si="76"/>
        <v>0</v>
      </c>
      <c r="I689" s="1178"/>
      <c r="K689" s="885"/>
    </row>
    <row r="690" spans="1:11">
      <c r="A690" s="956" t="s">
        <v>680</v>
      </c>
      <c r="B690" s="1140" t="str">
        <f t="shared" si="75"/>
        <v/>
      </c>
      <c r="C690" s="823" t="s">
        <v>1553</v>
      </c>
      <c r="D690" s="823">
        <v>1</v>
      </c>
      <c r="E690" s="1001">
        <v>53</v>
      </c>
      <c r="F690" s="823" t="s">
        <v>1637</v>
      </c>
      <c r="G690" s="980" t="str">
        <f>Gradation!J10</f>
        <v/>
      </c>
      <c r="H690" s="989">
        <f t="shared" si="76"/>
        <v>0</v>
      </c>
      <c r="I690" s="1178"/>
    </row>
    <row r="691" spans="1:11">
      <c r="A691" s="956" t="s">
        <v>681</v>
      </c>
      <c r="B691" s="1140" t="str">
        <f t="shared" si="75"/>
        <v/>
      </c>
      <c r="C691" s="823" t="s">
        <v>1553</v>
      </c>
      <c r="D691" s="823">
        <v>1</v>
      </c>
      <c r="E691" s="1001">
        <v>54</v>
      </c>
      <c r="F691" s="823" t="s">
        <v>1637</v>
      </c>
      <c r="G691" s="980" t="str">
        <f>Gradation!J11</f>
        <v/>
      </c>
      <c r="H691" s="989">
        <f t="shared" si="76"/>
        <v>0</v>
      </c>
      <c r="I691" s="1178"/>
      <c r="K691" s="958"/>
    </row>
    <row r="692" spans="1:11">
      <c r="A692" s="956" t="s">
        <v>682</v>
      </c>
      <c r="B692" s="1140" t="str">
        <f t="shared" si="75"/>
        <v/>
      </c>
      <c r="C692" s="823" t="s">
        <v>1553</v>
      </c>
      <c r="D692" s="823">
        <v>1</v>
      </c>
      <c r="E692" s="1001">
        <v>55</v>
      </c>
      <c r="F692" s="823" t="s">
        <v>1637</v>
      </c>
      <c r="G692" s="980" t="str">
        <f>Gradation!J12</f>
        <v/>
      </c>
      <c r="H692" s="989">
        <f t="shared" si="76"/>
        <v>0</v>
      </c>
      <c r="I692" s="1178"/>
    </row>
    <row r="693" spans="1:11">
      <c r="A693" s="956" t="s">
        <v>683</v>
      </c>
      <c r="B693" s="1163" t="str">
        <f t="shared" si="75"/>
        <v/>
      </c>
      <c r="C693" s="875" t="s">
        <v>1553</v>
      </c>
      <c r="D693" s="875">
        <v>1</v>
      </c>
      <c r="E693" s="1001">
        <v>56</v>
      </c>
      <c r="F693" s="823" t="s">
        <v>1637</v>
      </c>
      <c r="G693" s="980" t="str">
        <f>Gradation!J13</f>
        <v/>
      </c>
      <c r="H693" s="989">
        <f t="shared" si="76"/>
        <v>0</v>
      </c>
      <c r="I693" s="1192"/>
      <c r="K693" s="885"/>
    </row>
    <row r="694" spans="1:11">
      <c r="A694" s="956" t="s">
        <v>684</v>
      </c>
      <c r="B694" s="1140" t="str">
        <f t="shared" si="75"/>
        <v/>
      </c>
      <c r="C694" s="823" t="s">
        <v>1553</v>
      </c>
      <c r="D694" s="823">
        <v>1</v>
      </c>
      <c r="E694" s="1001">
        <v>57</v>
      </c>
      <c r="F694" s="823" t="s">
        <v>1637</v>
      </c>
      <c r="G694" s="980" t="str">
        <f>Gradation!J14</f>
        <v/>
      </c>
      <c r="H694" s="989">
        <f t="shared" si="76"/>
        <v>0</v>
      </c>
      <c r="I694" s="1178"/>
    </row>
    <row r="695" spans="1:11">
      <c r="A695" s="956" t="s">
        <v>685</v>
      </c>
      <c r="B695" s="1140" t="str">
        <f t="shared" si="75"/>
        <v/>
      </c>
      <c r="C695" s="823" t="s">
        <v>1553</v>
      </c>
      <c r="D695" s="823">
        <v>1</v>
      </c>
      <c r="E695" s="1001">
        <v>58</v>
      </c>
      <c r="F695" s="823" t="s">
        <v>1637</v>
      </c>
      <c r="G695" s="980" t="str">
        <f>Gradation!J15</f>
        <v/>
      </c>
      <c r="H695" s="989">
        <f t="shared" si="76"/>
        <v>0</v>
      </c>
      <c r="I695" s="1178"/>
    </row>
    <row r="696" spans="1:11">
      <c r="A696" s="956" t="s">
        <v>686</v>
      </c>
      <c r="B696" s="1140" t="str">
        <f t="shared" si="75"/>
        <v/>
      </c>
      <c r="C696" s="823" t="s">
        <v>1553</v>
      </c>
      <c r="D696" s="823">
        <v>1</v>
      </c>
      <c r="E696" s="1001">
        <v>59</v>
      </c>
      <c r="F696" s="823" t="s">
        <v>1637</v>
      </c>
      <c r="G696" s="980" t="str">
        <f>Gradation!J16</f>
        <v/>
      </c>
      <c r="H696" s="989">
        <f t="shared" si="76"/>
        <v>0</v>
      </c>
      <c r="I696" s="1178"/>
    </row>
    <row r="697" spans="1:11">
      <c r="A697" s="956" t="s">
        <v>687</v>
      </c>
      <c r="B697" s="1140" t="str">
        <f t="shared" si="75"/>
        <v/>
      </c>
      <c r="C697" s="823" t="s">
        <v>1553</v>
      </c>
      <c r="D697" s="823">
        <v>1</v>
      </c>
      <c r="E697" s="1001">
        <v>60</v>
      </c>
      <c r="F697" s="823" t="s">
        <v>1637</v>
      </c>
      <c r="G697" s="980" t="str">
        <f>Gradation!J17</f>
        <v/>
      </c>
      <c r="H697" s="989">
        <f t="shared" si="76"/>
        <v>0</v>
      </c>
      <c r="I697" s="1178"/>
    </row>
    <row r="698" spans="1:11">
      <c r="A698" s="956" t="s">
        <v>688</v>
      </c>
      <c r="B698" s="1140" t="str">
        <f t="shared" si="75"/>
        <v/>
      </c>
      <c r="C698" s="823" t="s">
        <v>1553</v>
      </c>
      <c r="D698" s="823">
        <v>1</v>
      </c>
      <c r="E698" s="1001">
        <v>61</v>
      </c>
      <c r="F698" s="823" t="s">
        <v>1637</v>
      </c>
      <c r="G698" s="980" t="str">
        <f>Gradation!J18</f>
        <v/>
      </c>
      <c r="H698" s="989">
        <f t="shared" si="76"/>
        <v>0</v>
      </c>
      <c r="I698" s="1178"/>
    </row>
    <row r="699" spans="1:11">
      <c r="A699" s="956" t="s">
        <v>689</v>
      </c>
      <c r="B699" s="1140" t="str">
        <f t="shared" si="75"/>
        <v/>
      </c>
      <c r="C699" s="823" t="s">
        <v>1553</v>
      </c>
      <c r="D699" s="823">
        <v>1</v>
      </c>
      <c r="E699" s="1001">
        <v>62</v>
      </c>
      <c r="F699" s="823" t="s">
        <v>1637</v>
      </c>
      <c r="G699" s="980" t="str">
        <f>Gradation!J19</f>
        <v/>
      </c>
      <c r="H699" s="989">
        <f t="shared" si="76"/>
        <v>0</v>
      </c>
      <c r="I699" s="1178"/>
    </row>
    <row r="700" spans="1:11">
      <c r="A700" s="956" t="s">
        <v>690</v>
      </c>
      <c r="B700" s="1140" t="str">
        <f t="shared" si="75"/>
        <v/>
      </c>
      <c r="C700" s="823" t="s">
        <v>1553</v>
      </c>
      <c r="D700" s="823">
        <v>1</v>
      </c>
      <c r="E700" s="1001">
        <v>63</v>
      </c>
      <c r="F700" s="823" t="s">
        <v>1637</v>
      </c>
      <c r="G700" s="980" t="str">
        <f>Gradation!J20</f>
        <v/>
      </c>
      <c r="H700" s="989">
        <f t="shared" si="76"/>
        <v>0</v>
      </c>
      <c r="I700" s="1178"/>
      <c r="K700" s="885"/>
    </row>
    <row r="701" spans="1:11">
      <c r="A701" s="956" t="s">
        <v>691</v>
      </c>
      <c r="B701" s="1140" t="str">
        <f t="shared" si="75"/>
        <v/>
      </c>
      <c r="C701" s="823" t="s">
        <v>1553</v>
      </c>
      <c r="D701" s="823">
        <v>1</v>
      </c>
      <c r="E701" s="1001">
        <v>64</v>
      </c>
      <c r="F701" s="823" t="s">
        <v>1637</v>
      </c>
      <c r="G701" s="980" t="str">
        <f>Gradation!J21</f>
        <v/>
      </c>
      <c r="H701" s="989">
        <f t="shared" si="76"/>
        <v>0</v>
      </c>
      <c r="I701" s="1178"/>
      <c r="J701" s="885"/>
    </row>
    <row r="702" spans="1:11">
      <c r="A702" s="956" t="s">
        <v>692</v>
      </c>
      <c r="B702" s="1140" t="str">
        <f t="shared" si="75"/>
        <v/>
      </c>
      <c r="C702" s="823" t="s">
        <v>1553</v>
      </c>
      <c r="D702" s="823">
        <v>1</v>
      </c>
      <c r="E702" s="1001">
        <v>65</v>
      </c>
      <c r="F702" s="823" t="s">
        <v>1637</v>
      </c>
      <c r="G702" s="980" t="str">
        <f>Gradation!J22</f>
        <v/>
      </c>
      <c r="H702" s="989">
        <f t="shared" si="76"/>
        <v>0</v>
      </c>
      <c r="I702" s="1178"/>
      <c r="K702" s="885"/>
    </row>
    <row r="703" spans="1:11">
      <c r="A703" s="956" t="s">
        <v>693</v>
      </c>
      <c r="B703" s="1140" t="str">
        <f t="shared" si="75"/>
        <v/>
      </c>
      <c r="C703" s="823" t="s">
        <v>1553</v>
      </c>
      <c r="D703" s="823">
        <v>1</v>
      </c>
      <c r="E703" s="1001">
        <v>66</v>
      </c>
      <c r="F703" s="823" t="s">
        <v>1637</v>
      </c>
      <c r="G703" s="980" t="str">
        <f>Gradation!J23</f>
        <v/>
      </c>
      <c r="H703" s="989">
        <f t="shared" si="76"/>
        <v>0</v>
      </c>
      <c r="I703" s="1178"/>
    </row>
    <row r="704" spans="1:11">
      <c r="A704" s="956" t="s">
        <v>694</v>
      </c>
      <c r="B704" s="1140" t="str">
        <f t="shared" si="75"/>
        <v/>
      </c>
      <c r="C704" s="823" t="s">
        <v>1553</v>
      </c>
      <c r="D704" s="823">
        <v>1</v>
      </c>
      <c r="E704" s="1001">
        <v>67</v>
      </c>
      <c r="F704" s="823" t="s">
        <v>1637</v>
      </c>
      <c r="G704" s="1003">
        <v>0</v>
      </c>
      <c r="H704" s="989">
        <f t="shared" si="76"/>
        <v>0</v>
      </c>
      <c r="I704" s="1178"/>
      <c r="K704" s="885"/>
    </row>
    <row r="705" spans="1:11">
      <c r="A705" s="956" t="s">
        <v>695</v>
      </c>
      <c r="B705" s="1140" t="str">
        <f t="shared" si="75"/>
        <v/>
      </c>
      <c r="C705" s="823" t="s">
        <v>1553</v>
      </c>
      <c r="D705" s="823">
        <v>1</v>
      </c>
      <c r="E705" s="1001">
        <v>68</v>
      </c>
      <c r="F705" s="824" t="str">
        <f>Cores!A20</f>
        <v>0-3-A</v>
      </c>
      <c r="G705" s="1003">
        <v>0</v>
      </c>
      <c r="H705" s="989">
        <f t="shared" si="76"/>
        <v>0</v>
      </c>
      <c r="I705" s="1178"/>
    </row>
    <row r="706" spans="1:11">
      <c r="A706" s="956" t="s">
        <v>696</v>
      </c>
      <c r="B706" s="1140" t="str">
        <f t="shared" si="75"/>
        <v/>
      </c>
      <c r="C706" s="823" t="s">
        <v>1553</v>
      </c>
      <c r="D706" s="823">
        <v>1</v>
      </c>
      <c r="E706" s="1001">
        <v>69</v>
      </c>
      <c r="F706" s="824" t="str">
        <f>Cores!A21</f>
        <v>0-3-B</v>
      </c>
      <c r="G706" s="1003">
        <v>0</v>
      </c>
      <c r="H706" s="989">
        <f t="shared" si="76"/>
        <v>0</v>
      </c>
      <c r="I706" s="1178"/>
    </row>
    <row r="707" spans="1:11">
      <c r="A707" s="956" t="s">
        <v>697</v>
      </c>
      <c r="B707" s="1140" t="str">
        <f t="shared" si="75"/>
        <v/>
      </c>
      <c r="C707" s="823" t="s">
        <v>1553</v>
      </c>
      <c r="D707" s="823">
        <v>1</v>
      </c>
      <c r="E707" s="1001">
        <v>70</v>
      </c>
      <c r="F707" s="824" t="str">
        <f>Cores!A22</f>
        <v>0-3-C</v>
      </c>
      <c r="G707" s="1003">
        <v>0</v>
      </c>
      <c r="H707" s="989">
        <f t="shared" si="76"/>
        <v>0</v>
      </c>
      <c r="I707" s="1178"/>
      <c r="K707" s="958"/>
    </row>
    <row r="708" spans="1:11">
      <c r="A708" s="956" t="s">
        <v>698</v>
      </c>
      <c r="B708" s="1140" t="str">
        <f t="shared" si="75"/>
        <v/>
      </c>
      <c r="C708" s="823" t="s">
        <v>1553</v>
      </c>
      <c r="D708" s="823">
        <v>1</v>
      </c>
      <c r="E708" s="1001">
        <v>71</v>
      </c>
      <c r="F708" s="824" t="str">
        <f>Cores!A23</f>
        <v>0-3-D</v>
      </c>
      <c r="G708" s="1003">
        <v>0</v>
      </c>
      <c r="H708" s="989">
        <f t="shared" si="76"/>
        <v>0</v>
      </c>
      <c r="I708" s="1178"/>
    </row>
    <row r="709" spans="1:11">
      <c r="A709" s="956" t="s">
        <v>699</v>
      </c>
      <c r="B709" s="1140" t="str">
        <f t="shared" si="75"/>
        <v/>
      </c>
      <c r="C709" s="823" t="s">
        <v>1553</v>
      </c>
      <c r="D709" s="823">
        <v>1</v>
      </c>
      <c r="E709" s="1001">
        <v>72</v>
      </c>
      <c r="F709" s="824" t="str">
        <f>Cores!A39</f>
        <v>0-3-J1</v>
      </c>
      <c r="G709" s="1003">
        <v>0</v>
      </c>
      <c r="H709" s="989">
        <f t="shared" si="76"/>
        <v>0</v>
      </c>
      <c r="I709" s="1178"/>
    </row>
    <row r="710" spans="1:11">
      <c r="A710" s="956" t="s">
        <v>700</v>
      </c>
      <c r="B710" s="1140" t="str">
        <f t="shared" ref="B710:B728" si="77">B709</f>
        <v/>
      </c>
      <c r="C710" s="823" t="s">
        <v>1553</v>
      </c>
      <c r="D710" s="823">
        <v>1</v>
      </c>
      <c r="E710" s="1001">
        <v>73</v>
      </c>
      <c r="F710" s="824" t="str">
        <f>Cores!A40</f>
        <v>0-3-J2</v>
      </c>
      <c r="G710" s="1003">
        <v>0</v>
      </c>
      <c r="H710" s="989">
        <f t="shared" si="76"/>
        <v>0</v>
      </c>
      <c r="I710" s="1178"/>
    </row>
    <row r="711" spans="1:11">
      <c r="A711" s="956" t="s">
        <v>701</v>
      </c>
      <c r="B711" s="1140" t="str">
        <f t="shared" si="77"/>
        <v/>
      </c>
      <c r="C711" s="823" t="s">
        <v>1553</v>
      </c>
      <c r="D711" s="823">
        <v>1</v>
      </c>
      <c r="E711" s="1001">
        <v>74</v>
      </c>
      <c r="F711" s="824">
        <f>Cores!B20</f>
        <v>0</v>
      </c>
      <c r="G711" s="1003">
        <v>0</v>
      </c>
      <c r="H711" s="989">
        <f t="shared" si="76"/>
        <v>0</v>
      </c>
      <c r="I711" s="1178"/>
    </row>
    <row r="712" spans="1:11">
      <c r="A712" s="956" t="s">
        <v>702</v>
      </c>
      <c r="B712" s="1140" t="str">
        <f t="shared" si="77"/>
        <v/>
      </c>
      <c r="C712" s="823" t="s">
        <v>1553</v>
      </c>
      <c r="D712" s="823">
        <v>1</v>
      </c>
      <c r="E712" s="1001">
        <v>75</v>
      </c>
      <c r="F712" s="824">
        <f>Cores!B21</f>
        <v>0</v>
      </c>
      <c r="G712" s="1003">
        <v>0</v>
      </c>
      <c r="H712" s="989">
        <f t="shared" si="76"/>
        <v>0</v>
      </c>
      <c r="I712" s="1178"/>
    </row>
    <row r="713" spans="1:11">
      <c r="A713" s="956" t="s">
        <v>703</v>
      </c>
      <c r="B713" s="1140" t="str">
        <f t="shared" si="77"/>
        <v/>
      </c>
      <c r="C713" s="823" t="s">
        <v>1553</v>
      </c>
      <c r="D713" s="823">
        <v>1</v>
      </c>
      <c r="E713" s="1001">
        <v>76</v>
      </c>
      <c r="F713" s="824">
        <f>Cores!B22</f>
        <v>0</v>
      </c>
      <c r="G713" s="1003">
        <v>0</v>
      </c>
      <c r="H713" s="989">
        <f t="shared" si="76"/>
        <v>0</v>
      </c>
      <c r="I713" s="1178"/>
    </row>
    <row r="714" spans="1:11">
      <c r="A714" s="956" t="s">
        <v>704</v>
      </c>
      <c r="B714" s="1140" t="str">
        <f t="shared" si="77"/>
        <v/>
      </c>
      <c r="C714" s="823" t="s">
        <v>1553</v>
      </c>
      <c r="D714" s="823">
        <v>1</v>
      </c>
      <c r="E714" s="1001">
        <v>77</v>
      </c>
      <c r="F714" s="824">
        <f>Cores!B23</f>
        <v>0</v>
      </c>
      <c r="G714" s="1003">
        <v>0</v>
      </c>
      <c r="H714" s="989">
        <f t="shared" si="76"/>
        <v>0</v>
      </c>
      <c r="I714" s="1178"/>
    </row>
    <row r="715" spans="1:11">
      <c r="A715" s="956" t="s">
        <v>705</v>
      </c>
      <c r="B715" s="1140" t="str">
        <f t="shared" si="77"/>
        <v/>
      </c>
      <c r="C715" s="823" t="s">
        <v>1553</v>
      </c>
      <c r="D715" s="823">
        <v>1</v>
      </c>
      <c r="E715" s="1001">
        <v>78</v>
      </c>
      <c r="F715" s="824">
        <f>Cores!B39</f>
        <v>0</v>
      </c>
      <c r="G715" s="1003">
        <v>0</v>
      </c>
      <c r="H715" s="989">
        <f t="shared" si="76"/>
        <v>0</v>
      </c>
      <c r="I715" s="1178"/>
      <c r="K715" s="885"/>
    </row>
    <row r="716" spans="1:11">
      <c r="A716" s="956" t="s">
        <v>353</v>
      </c>
      <c r="B716" s="1140" t="str">
        <f t="shared" si="77"/>
        <v/>
      </c>
      <c r="C716" s="823" t="s">
        <v>1553</v>
      </c>
      <c r="D716" s="823">
        <v>1</v>
      </c>
      <c r="E716" s="1001">
        <v>79</v>
      </c>
      <c r="F716" s="824">
        <f>Cores!B40</f>
        <v>0</v>
      </c>
      <c r="G716" s="1003">
        <v>0</v>
      </c>
      <c r="H716" s="989">
        <f t="shared" si="76"/>
        <v>0</v>
      </c>
      <c r="I716" s="1178"/>
      <c r="J716" s="885"/>
    </row>
    <row r="717" spans="1:11">
      <c r="A717" s="956" t="s">
        <v>354</v>
      </c>
      <c r="B717" s="1140" t="str">
        <f t="shared" si="77"/>
        <v/>
      </c>
      <c r="C717" s="823" t="s">
        <v>1553</v>
      </c>
      <c r="D717" s="823">
        <v>1</v>
      </c>
      <c r="E717" s="1001">
        <v>80</v>
      </c>
      <c r="F717" s="823" t="s">
        <v>1637</v>
      </c>
      <c r="G717" s="980" t="str">
        <f>Cores!H20</f>
        <v/>
      </c>
      <c r="H717" s="989">
        <f t="shared" si="76"/>
        <v>0</v>
      </c>
      <c r="I717" s="1178"/>
      <c r="K717" s="885"/>
    </row>
    <row r="718" spans="1:11">
      <c r="A718" s="956" t="s">
        <v>355</v>
      </c>
      <c r="B718" s="1140" t="str">
        <f t="shared" si="77"/>
        <v/>
      </c>
      <c r="C718" s="823" t="s">
        <v>1553</v>
      </c>
      <c r="D718" s="823">
        <v>1</v>
      </c>
      <c r="E718" s="1001">
        <v>81</v>
      </c>
      <c r="F718" s="823" t="s">
        <v>1637</v>
      </c>
      <c r="G718" s="980" t="str">
        <f>Cores!H21</f>
        <v/>
      </c>
      <c r="H718" s="989">
        <f t="shared" si="76"/>
        <v>0</v>
      </c>
      <c r="I718" s="1178"/>
    </row>
    <row r="719" spans="1:11">
      <c r="A719" s="956" t="s">
        <v>356</v>
      </c>
      <c r="B719" s="1140" t="str">
        <f t="shared" si="77"/>
        <v/>
      </c>
      <c r="C719" s="823" t="s">
        <v>1553</v>
      </c>
      <c r="D719" s="823">
        <v>1</v>
      </c>
      <c r="E719" s="1001">
        <v>82</v>
      </c>
      <c r="F719" s="823" t="s">
        <v>1637</v>
      </c>
      <c r="G719" s="980" t="str">
        <f>Cores!H22</f>
        <v/>
      </c>
      <c r="H719" s="989">
        <f t="shared" si="76"/>
        <v>0</v>
      </c>
      <c r="I719" s="1178"/>
      <c r="K719" s="885"/>
    </row>
    <row r="720" spans="1:11">
      <c r="A720" s="956" t="s">
        <v>357</v>
      </c>
      <c r="B720" s="1140" t="str">
        <f t="shared" si="77"/>
        <v/>
      </c>
      <c r="C720" s="823" t="s">
        <v>1553</v>
      </c>
      <c r="D720" s="823">
        <v>1</v>
      </c>
      <c r="E720" s="1001">
        <v>83</v>
      </c>
      <c r="F720" s="823" t="s">
        <v>1637</v>
      </c>
      <c r="G720" s="980" t="str">
        <f>Cores!H23</f>
        <v/>
      </c>
      <c r="H720" s="989">
        <f t="shared" si="76"/>
        <v>0</v>
      </c>
      <c r="I720" s="1178"/>
      <c r="K720" s="885"/>
    </row>
    <row r="721" spans="1:11">
      <c r="A721" s="956" t="s">
        <v>358</v>
      </c>
      <c r="B721" s="1140" t="str">
        <f t="shared" si="77"/>
        <v/>
      </c>
      <c r="C721" s="823" t="s">
        <v>1553</v>
      </c>
      <c r="D721" s="823">
        <v>1</v>
      </c>
      <c r="E721" s="1001">
        <v>84</v>
      </c>
      <c r="F721" s="823" t="s">
        <v>1637</v>
      </c>
      <c r="G721" s="980" t="str">
        <f>Cores!H39</f>
        <v/>
      </c>
      <c r="H721" s="989">
        <f t="shared" si="76"/>
        <v>0</v>
      </c>
      <c r="I721" s="1178"/>
    </row>
    <row r="722" spans="1:11">
      <c r="A722" s="956" t="s">
        <v>359</v>
      </c>
      <c r="B722" s="1140" t="str">
        <f t="shared" si="77"/>
        <v/>
      </c>
      <c r="C722" s="823" t="s">
        <v>1553</v>
      </c>
      <c r="D722" s="823">
        <v>1</v>
      </c>
      <c r="E722" s="1001">
        <v>85</v>
      </c>
      <c r="F722" s="823" t="s">
        <v>1637</v>
      </c>
      <c r="G722" s="980" t="str">
        <f>Cores!H40</f>
        <v/>
      </c>
      <c r="H722" s="989">
        <f t="shared" si="76"/>
        <v>0</v>
      </c>
      <c r="I722" s="1178"/>
      <c r="K722" s="958"/>
    </row>
    <row r="723" spans="1:11">
      <c r="A723" s="956" t="s">
        <v>360</v>
      </c>
      <c r="B723" s="1140" t="str">
        <f t="shared" si="77"/>
        <v/>
      </c>
      <c r="C723" s="823" t="s">
        <v>1553</v>
      </c>
      <c r="D723" s="823">
        <v>1</v>
      </c>
      <c r="E723" s="1001">
        <v>86</v>
      </c>
      <c r="F723" s="823" t="s">
        <v>1637</v>
      </c>
      <c r="G723" s="980" t="str">
        <f>Cores!I20</f>
        <v/>
      </c>
      <c r="H723" s="989">
        <f t="shared" si="76"/>
        <v>0</v>
      </c>
      <c r="I723" s="1178"/>
    </row>
    <row r="724" spans="1:11">
      <c r="A724" s="956" t="s">
        <v>361</v>
      </c>
      <c r="B724" s="1163" t="str">
        <f t="shared" si="77"/>
        <v/>
      </c>
      <c r="C724" s="875" t="s">
        <v>1553</v>
      </c>
      <c r="D724" s="875">
        <v>1</v>
      </c>
      <c r="E724" s="1001">
        <v>87</v>
      </c>
      <c r="F724" s="823" t="s">
        <v>1637</v>
      </c>
      <c r="G724" s="980" t="str">
        <f>Cores!I21</f>
        <v/>
      </c>
      <c r="H724" s="989">
        <f t="shared" si="76"/>
        <v>0</v>
      </c>
      <c r="I724" s="1192"/>
      <c r="K724" s="885"/>
    </row>
    <row r="725" spans="1:11">
      <c r="A725" s="956" t="s">
        <v>362</v>
      </c>
      <c r="B725" s="1140" t="str">
        <f t="shared" si="77"/>
        <v/>
      </c>
      <c r="C725" s="823" t="s">
        <v>1553</v>
      </c>
      <c r="D725" s="823">
        <v>1</v>
      </c>
      <c r="E725" s="1001">
        <v>88</v>
      </c>
      <c r="F725" s="823" t="s">
        <v>1637</v>
      </c>
      <c r="G725" s="980" t="str">
        <f>Cores!I22</f>
        <v/>
      </c>
      <c r="H725" s="989">
        <f t="shared" si="76"/>
        <v>0</v>
      </c>
      <c r="I725" s="1178"/>
    </row>
    <row r="726" spans="1:11">
      <c r="A726" s="956" t="s">
        <v>363</v>
      </c>
      <c r="B726" s="1140" t="str">
        <f t="shared" si="77"/>
        <v/>
      </c>
      <c r="C726" s="823" t="s">
        <v>1553</v>
      </c>
      <c r="D726" s="823">
        <v>1</v>
      </c>
      <c r="E726" s="1001">
        <v>89</v>
      </c>
      <c r="F726" s="823" t="s">
        <v>1637</v>
      </c>
      <c r="G726" s="980" t="str">
        <f>Cores!I23</f>
        <v/>
      </c>
      <c r="H726" s="989">
        <f t="shared" si="76"/>
        <v>0</v>
      </c>
      <c r="I726" s="1178"/>
    </row>
    <row r="727" spans="1:11">
      <c r="A727" s="956" t="s">
        <v>364</v>
      </c>
      <c r="B727" s="1140" t="str">
        <f t="shared" si="77"/>
        <v/>
      </c>
      <c r="C727" s="823" t="s">
        <v>1553</v>
      </c>
      <c r="D727" s="823">
        <v>1</v>
      </c>
      <c r="E727" s="1001">
        <v>90</v>
      </c>
      <c r="F727" s="823" t="s">
        <v>1637</v>
      </c>
      <c r="G727" s="980" t="str">
        <f>Cores!I39</f>
        <v/>
      </c>
      <c r="H727" s="989">
        <f t="shared" si="76"/>
        <v>0</v>
      </c>
      <c r="I727" s="1178"/>
    </row>
    <row r="728" spans="1:11" ht="12.75" customHeight="1">
      <c r="A728" s="956" t="s">
        <v>365</v>
      </c>
      <c r="B728" s="1140" t="str">
        <f t="shared" si="77"/>
        <v/>
      </c>
      <c r="C728" s="823" t="s">
        <v>1553</v>
      </c>
      <c r="D728" s="823">
        <v>1</v>
      </c>
      <c r="E728" s="1001">
        <v>91</v>
      </c>
      <c r="F728" s="823" t="s">
        <v>1637</v>
      </c>
      <c r="G728" s="980" t="str">
        <f>Cores!I40</f>
        <v/>
      </c>
      <c r="H728" s="989">
        <f t="shared" si="76"/>
        <v>0</v>
      </c>
      <c r="I728" s="1178"/>
    </row>
    <row r="729" spans="1:11" ht="12.75" customHeight="1">
      <c r="A729" s="956" t="s">
        <v>2375</v>
      </c>
      <c r="B729" s="1219" t="str">
        <f>B728</f>
        <v/>
      </c>
      <c r="C729" s="823" t="s">
        <v>1553</v>
      </c>
      <c r="D729" s="823">
        <v>1</v>
      </c>
      <c r="E729" s="1001" t="s">
        <v>2304</v>
      </c>
      <c r="F729" s="1220"/>
      <c r="G729" s="1226">
        <f>Calculations!$D$15</f>
        <v>0</v>
      </c>
      <c r="H729" s="1222">
        <f>H728</f>
        <v>0</v>
      </c>
      <c r="I729" s="1223"/>
    </row>
    <row r="730" spans="1:11" ht="12.75" customHeight="1">
      <c r="A730" s="956" t="s">
        <v>668</v>
      </c>
      <c r="B730" s="1219" t="str">
        <f t="shared" ref="B730:D767" si="78">B729</f>
        <v/>
      </c>
      <c r="C730" s="823" t="s">
        <v>1553</v>
      </c>
      <c r="D730" s="823">
        <v>1</v>
      </c>
      <c r="E730" s="1001" t="s">
        <v>2305</v>
      </c>
      <c r="F730" s="1225" t="str">
        <f>Calculations!$H$20</f>
        <v/>
      </c>
      <c r="G730" s="1220"/>
      <c r="H730" s="1222">
        <f t="shared" ref="H730:H795" si="79">H729</f>
        <v>0</v>
      </c>
      <c r="I730" s="1223"/>
    </row>
    <row r="731" spans="1:11" ht="12.75" customHeight="1">
      <c r="A731" s="956" t="s">
        <v>2376</v>
      </c>
      <c r="B731" s="1219" t="str">
        <f t="shared" si="78"/>
        <v/>
      </c>
      <c r="C731" s="823" t="s">
        <v>1553</v>
      </c>
      <c r="D731" s="823">
        <v>1</v>
      </c>
      <c r="E731" s="1001" t="s">
        <v>2307</v>
      </c>
      <c r="F731" s="1225" t="str">
        <f>IF(Calculations!$H$12=1,"A",IF(Calculations!$H$12=2,"B"," "))</f>
        <v xml:space="preserve"> </v>
      </c>
      <c r="G731" s="1220"/>
      <c r="H731" s="1222">
        <f t="shared" si="79"/>
        <v>0</v>
      </c>
      <c r="I731" s="1223"/>
    </row>
    <row r="732" spans="1:11" ht="12.75" customHeight="1">
      <c r="A732" s="956" t="s">
        <v>2377</v>
      </c>
      <c r="B732" s="1219" t="str">
        <f t="shared" si="78"/>
        <v/>
      </c>
      <c r="C732" s="823" t="s">
        <v>1553</v>
      </c>
      <c r="D732" s="823">
        <v>1</v>
      </c>
      <c r="E732" s="1001" t="s">
        <v>2308</v>
      </c>
      <c r="F732" s="1220"/>
      <c r="G732" s="1221">
        <f>'Pay Values'!$A$15</f>
        <v>0</v>
      </c>
      <c r="H732" s="1222">
        <f t="shared" si="79"/>
        <v>0</v>
      </c>
      <c r="I732" s="1223"/>
    </row>
    <row r="733" spans="1:11" ht="12.75" customHeight="1">
      <c r="A733" s="956" t="s">
        <v>2378</v>
      </c>
      <c r="B733" s="1219" t="str">
        <f t="shared" si="78"/>
        <v/>
      </c>
      <c r="C733" s="823" t="s">
        <v>1553</v>
      </c>
      <c r="D733" s="823">
        <v>1</v>
      </c>
      <c r="E733" s="1001" t="s">
        <v>2309</v>
      </c>
      <c r="F733" s="1220"/>
      <c r="G733" s="1221" t="str">
        <f>'Pay Values'!$D$15</f>
        <v/>
      </c>
      <c r="H733" s="1222">
        <f t="shared" si="79"/>
        <v>0</v>
      </c>
      <c r="I733" s="1223"/>
    </row>
    <row r="734" spans="1:11" ht="12.75" customHeight="1">
      <c r="A734" s="956" t="s">
        <v>2379</v>
      </c>
      <c r="B734" s="1219" t="str">
        <f t="shared" si="78"/>
        <v/>
      </c>
      <c r="C734" s="823" t="s">
        <v>1553</v>
      </c>
      <c r="D734" s="823">
        <v>1</v>
      </c>
      <c r="E734" s="1001" t="s">
        <v>2310</v>
      </c>
      <c r="F734" s="1220"/>
      <c r="G734" s="1221" t="str">
        <f>'Pay Values'!$E$15</f>
        <v/>
      </c>
      <c r="H734" s="1222">
        <f t="shared" si="79"/>
        <v>0</v>
      </c>
      <c r="I734" s="1223"/>
    </row>
    <row r="735" spans="1:11" ht="12.75" customHeight="1">
      <c r="A735" s="956" t="s">
        <v>2380</v>
      </c>
      <c r="B735" s="1219" t="str">
        <f t="shared" si="78"/>
        <v/>
      </c>
      <c r="C735" s="823" t="s">
        <v>1553</v>
      </c>
      <c r="D735" s="823">
        <v>1</v>
      </c>
      <c r="E735" s="1001" t="s">
        <v>2311</v>
      </c>
      <c r="F735" s="1220"/>
      <c r="G735" s="1221" t="str">
        <f>'Pay Values'!$G$15</f>
        <v/>
      </c>
      <c r="H735" s="1222">
        <f t="shared" si="79"/>
        <v>0</v>
      </c>
      <c r="I735" s="1223"/>
    </row>
    <row r="736" spans="1:11" ht="12.75" customHeight="1">
      <c r="A736" s="956" t="s">
        <v>2381</v>
      </c>
      <c r="B736" s="1219" t="str">
        <f t="shared" si="78"/>
        <v/>
      </c>
      <c r="C736" s="823" t="s">
        <v>1553</v>
      </c>
      <c r="D736" s="823">
        <v>1</v>
      </c>
      <c r="E736" s="1001" t="s">
        <v>2312</v>
      </c>
      <c r="F736" s="1220"/>
      <c r="G736" s="1221">
        <f>'Pay Values'!$H$15</f>
        <v>0</v>
      </c>
      <c r="H736" s="1222">
        <f t="shared" si="79"/>
        <v>0</v>
      </c>
      <c r="I736" s="1223"/>
    </row>
    <row r="737" spans="1:9" ht="12.75" customHeight="1">
      <c r="A737" s="956" t="s">
        <v>2382</v>
      </c>
      <c r="B737" s="1219" t="str">
        <f t="shared" si="78"/>
        <v/>
      </c>
      <c r="C737" s="823" t="s">
        <v>1553</v>
      </c>
      <c r="D737" s="823">
        <v>1</v>
      </c>
      <c r="E737" s="1001" t="s">
        <v>2313</v>
      </c>
      <c r="F737" s="1220"/>
      <c r="G737" s="1221" t="str">
        <f>'Pay Values'!$K$15</f>
        <v/>
      </c>
      <c r="H737" s="1222">
        <f t="shared" si="79"/>
        <v>0</v>
      </c>
      <c r="I737" s="1223"/>
    </row>
    <row r="738" spans="1:9" ht="12.75" customHeight="1">
      <c r="A738" s="956" t="s">
        <v>2383</v>
      </c>
      <c r="B738" s="1219" t="str">
        <f t="shared" si="78"/>
        <v/>
      </c>
      <c r="C738" s="823" t="s">
        <v>1553</v>
      </c>
      <c r="D738" s="823">
        <v>1</v>
      </c>
      <c r="E738" s="1001" t="s">
        <v>2314</v>
      </c>
      <c r="F738" s="1220"/>
      <c r="G738" s="1225" t="str">
        <f>'Pay Values'!$B$21</f>
        <v/>
      </c>
      <c r="H738" s="1222">
        <f t="shared" si="79"/>
        <v>0</v>
      </c>
      <c r="I738" s="1223"/>
    </row>
    <row r="739" spans="1:9" ht="12.75" customHeight="1">
      <c r="A739" s="956" t="s">
        <v>2384</v>
      </c>
      <c r="B739" s="1219" t="str">
        <f t="shared" si="78"/>
        <v/>
      </c>
      <c r="C739" s="823" t="s">
        <v>1553</v>
      </c>
      <c r="D739" s="823">
        <v>1</v>
      </c>
      <c r="E739" s="1001" t="s">
        <v>2315</v>
      </c>
      <c r="F739" s="1220"/>
      <c r="G739" s="1225" t="str">
        <f>'Pay Values'!$B$22</f>
        <v/>
      </c>
      <c r="H739" s="1222">
        <f t="shared" si="79"/>
        <v>0</v>
      </c>
      <c r="I739" s="1223"/>
    </row>
    <row r="740" spans="1:9" ht="12.75" customHeight="1">
      <c r="A740" s="956" t="s">
        <v>2385</v>
      </c>
      <c r="B740" s="1219" t="str">
        <f t="shared" si="78"/>
        <v/>
      </c>
      <c r="C740" s="823" t="s">
        <v>1553</v>
      </c>
      <c r="D740" s="823">
        <v>1</v>
      </c>
      <c r="E740" s="1001" t="s">
        <v>2316</v>
      </c>
      <c r="F740" s="1220"/>
      <c r="G740" s="1225">
        <f>ROUND('Pay Values'!$J$20,2)</f>
        <v>0</v>
      </c>
      <c r="H740" s="1222">
        <f t="shared" si="79"/>
        <v>0</v>
      </c>
      <c r="I740" s="1223"/>
    </row>
    <row r="741" spans="1:9" ht="12.75" customHeight="1">
      <c r="A741" s="956" t="s">
        <v>2386</v>
      </c>
      <c r="B741" s="1219" t="str">
        <f t="shared" si="78"/>
        <v/>
      </c>
      <c r="C741" s="823" t="s">
        <v>1553</v>
      </c>
      <c r="D741" s="823">
        <v>1</v>
      </c>
      <c r="E741" s="1001" t="s">
        <v>2317</v>
      </c>
      <c r="F741" s="1220"/>
      <c r="G741" s="1225" t="str">
        <f>'Pay Values'!$J$21</f>
        <v/>
      </c>
      <c r="H741" s="1222">
        <f t="shared" si="79"/>
        <v>0</v>
      </c>
      <c r="I741" s="1223"/>
    </row>
    <row r="742" spans="1:9" ht="12.75" customHeight="1">
      <c r="A742" s="956" t="s">
        <v>2387</v>
      </c>
      <c r="B742" s="1219" t="str">
        <f t="shared" si="78"/>
        <v/>
      </c>
      <c r="C742" s="823" t="s">
        <v>1553</v>
      </c>
      <c r="D742" s="823">
        <v>1</v>
      </c>
      <c r="E742" s="1001" t="s">
        <v>2318</v>
      </c>
      <c r="F742" s="1220"/>
      <c r="G742" s="1225" t="str">
        <f>'Pay Values'!$J$24</f>
        <v/>
      </c>
      <c r="H742" s="1222">
        <f t="shared" si="79"/>
        <v>0</v>
      </c>
      <c r="I742" s="1223"/>
    </row>
    <row r="743" spans="1:9" ht="12.75" customHeight="1">
      <c r="A743" s="956" t="s">
        <v>2388</v>
      </c>
      <c r="B743" s="1219" t="str">
        <f t="shared" si="78"/>
        <v/>
      </c>
      <c r="C743" s="823" t="s">
        <v>1553</v>
      </c>
      <c r="D743" s="823">
        <v>1</v>
      </c>
      <c r="E743" s="1001" t="s">
        <v>2319</v>
      </c>
      <c r="F743" s="1221" t="str">
        <f>'Pay Values'!$B$39</f>
        <v/>
      </c>
      <c r="G743" s="1220"/>
      <c r="H743" s="1222">
        <f t="shared" si="79"/>
        <v>0</v>
      </c>
      <c r="I743" s="1223"/>
    </row>
    <row r="744" spans="1:9" ht="12.75" customHeight="1">
      <c r="A744" s="956" t="s">
        <v>2389</v>
      </c>
      <c r="B744" s="1219" t="str">
        <f t="shared" si="78"/>
        <v/>
      </c>
      <c r="C744" s="823" t="s">
        <v>1553</v>
      </c>
      <c r="D744" s="823">
        <v>1</v>
      </c>
      <c r="E744" s="1001" t="s">
        <v>2320</v>
      </c>
      <c r="F744" s="1221" t="str">
        <f>'Pay Values'!$C$39</f>
        <v/>
      </c>
      <c r="G744" s="1220"/>
      <c r="H744" s="1222">
        <f t="shared" si="79"/>
        <v>0</v>
      </c>
      <c r="I744" s="1223"/>
    </row>
    <row r="745" spans="1:9" ht="12.75" customHeight="1">
      <c r="A745" s="956" t="s">
        <v>2390</v>
      </c>
      <c r="B745" s="1219" t="str">
        <f t="shared" si="78"/>
        <v/>
      </c>
      <c r="C745" s="823" t="s">
        <v>1553</v>
      </c>
      <c r="D745" s="823">
        <v>1</v>
      </c>
      <c r="E745" s="1001" t="s">
        <v>2321</v>
      </c>
      <c r="F745" s="1220"/>
      <c r="G745" s="1221" t="str">
        <f>'Pay Values'!$E$39</f>
        <v/>
      </c>
      <c r="H745" s="1222">
        <f t="shared" si="79"/>
        <v>0</v>
      </c>
      <c r="I745" s="1223"/>
    </row>
    <row r="746" spans="1:9" ht="12.75" customHeight="1">
      <c r="A746" s="956" t="s">
        <v>2391</v>
      </c>
      <c r="B746" s="1219" t="str">
        <f t="shared" si="78"/>
        <v/>
      </c>
      <c r="C746" s="823" t="s">
        <v>1553</v>
      </c>
      <c r="D746" s="823">
        <v>1</v>
      </c>
      <c r="E746" s="1001" t="s">
        <v>2322</v>
      </c>
      <c r="F746" s="1221">
        <f>'Pay Values'!$D$43</f>
        <v>0</v>
      </c>
      <c r="G746" s="1220"/>
      <c r="H746" s="1222">
        <f t="shared" si="79"/>
        <v>0</v>
      </c>
      <c r="I746" s="1223"/>
    </row>
    <row r="747" spans="1:9" ht="12.75" customHeight="1">
      <c r="A747" s="956" t="s">
        <v>2392</v>
      </c>
      <c r="B747" s="1219" t="str">
        <f t="shared" si="78"/>
        <v/>
      </c>
      <c r="C747" s="823" t="s">
        <v>1553</v>
      </c>
      <c r="D747" s="823">
        <v>1</v>
      </c>
      <c r="E747" s="1001" t="s">
        <v>2323</v>
      </c>
      <c r="F747" s="1221">
        <f>'Pay Values'!$D$44</f>
        <v>0</v>
      </c>
      <c r="G747" s="1220"/>
      <c r="H747" s="1222">
        <f t="shared" si="79"/>
        <v>0</v>
      </c>
      <c r="I747" s="1223"/>
    </row>
    <row r="748" spans="1:9" ht="12.75" customHeight="1">
      <c r="A748" s="956" t="s">
        <v>2393</v>
      </c>
      <c r="B748" s="1219" t="str">
        <f t="shared" si="78"/>
        <v/>
      </c>
      <c r="C748" s="823" t="s">
        <v>1553</v>
      </c>
      <c r="D748" s="823">
        <v>1</v>
      </c>
      <c r="E748" s="1001" t="s">
        <v>2324</v>
      </c>
      <c r="F748" s="1225" t="e">
        <f>VLOOKUP(Calculations!$D$147,Calculations!$A$147:$B$161,2,FALSE)</f>
        <v>#N/A</v>
      </c>
      <c r="G748" s="1220"/>
      <c r="H748" s="1222">
        <f t="shared" si="79"/>
        <v>0</v>
      </c>
      <c r="I748" s="1223"/>
    </row>
    <row r="749" spans="1:9" ht="12.75" customHeight="1">
      <c r="A749" s="956" t="s">
        <v>2394</v>
      </c>
      <c r="B749" s="1219" t="str">
        <f t="shared" si="78"/>
        <v/>
      </c>
      <c r="C749" s="823" t="s">
        <v>1553</v>
      </c>
      <c r="D749" s="823">
        <v>1</v>
      </c>
      <c r="E749" s="1001" t="s">
        <v>2325</v>
      </c>
      <c r="F749" s="1225" t="str">
        <f>'Pay Values'!$B$46</f>
        <v/>
      </c>
      <c r="G749" s="1220"/>
      <c r="H749" s="1222">
        <f t="shared" si="79"/>
        <v>0</v>
      </c>
      <c r="I749" s="1223"/>
    </row>
    <row r="750" spans="1:9" ht="12.75" customHeight="1">
      <c r="A750" s="956" t="s">
        <v>2395</v>
      </c>
      <c r="B750" s="1219" t="str">
        <f t="shared" si="78"/>
        <v/>
      </c>
      <c r="C750" s="823" t="s">
        <v>1553</v>
      </c>
      <c r="D750" s="823">
        <v>1</v>
      </c>
      <c r="E750" s="1001" t="s">
        <v>2326</v>
      </c>
      <c r="F750" s="1225">
        <f>'Pay Values'!$C$46</f>
        <v>0</v>
      </c>
      <c r="G750" s="1220"/>
      <c r="H750" s="1222">
        <f t="shared" si="79"/>
        <v>0</v>
      </c>
      <c r="I750" s="1223"/>
    </row>
    <row r="751" spans="1:9" ht="12.75" customHeight="1">
      <c r="A751" s="956" t="s">
        <v>2396</v>
      </c>
      <c r="B751" s="1219" t="str">
        <f t="shared" si="78"/>
        <v/>
      </c>
      <c r="C751" s="823" t="s">
        <v>1553</v>
      </c>
      <c r="D751" s="823">
        <v>1</v>
      </c>
      <c r="E751" s="1001" t="s">
        <v>2327</v>
      </c>
      <c r="F751" s="1225" t="str">
        <f>IF(Calculations!$O$1=1,"Yes", "No")</f>
        <v>No</v>
      </c>
      <c r="G751" s="1220"/>
      <c r="H751" s="1222">
        <f t="shared" si="79"/>
        <v>0</v>
      </c>
      <c r="I751" s="1223"/>
    </row>
    <row r="752" spans="1:9" ht="12.75" customHeight="1">
      <c r="A752" s="956" t="s">
        <v>2397</v>
      </c>
      <c r="B752" s="1219" t="str">
        <f t="shared" si="78"/>
        <v/>
      </c>
      <c r="C752" s="823" t="s">
        <v>1553</v>
      </c>
      <c r="D752" s="823">
        <v>1</v>
      </c>
      <c r="E752" s="1001" t="s">
        <v>2328</v>
      </c>
      <c r="F752" s="1225" t="str">
        <f>IF(Calculations!$O$2=1,"Yes", "No")</f>
        <v>No</v>
      </c>
      <c r="G752" s="1220"/>
      <c r="H752" s="1222">
        <f t="shared" si="79"/>
        <v>0</v>
      </c>
      <c r="I752" s="1223"/>
    </row>
    <row r="753" spans="1:9" ht="12.75" customHeight="1">
      <c r="A753" s="956" t="s">
        <v>2561</v>
      </c>
      <c r="B753" s="1219" t="str">
        <f t="shared" si="78"/>
        <v/>
      </c>
      <c r="C753" s="823" t="s">
        <v>1553</v>
      </c>
      <c r="D753" s="823">
        <v>1</v>
      </c>
      <c r="E753" s="1001" t="s">
        <v>2519</v>
      </c>
      <c r="F753" s="1001"/>
      <c r="G753" s="980">
        <f>Gradation!$N$10</f>
        <v>0</v>
      </c>
      <c r="H753" s="1222">
        <f t="shared" si="79"/>
        <v>0</v>
      </c>
      <c r="I753" s="1223"/>
    </row>
    <row r="754" spans="1:9" ht="12.75" customHeight="1">
      <c r="A754" s="956" t="s">
        <v>2562</v>
      </c>
      <c r="B754" s="1219" t="str">
        <f t="shared" si="78"/>
        <v/>
      </c>
      <c r="C754" s="823" t="s">
        <v>1553</v>
      </c>
      <c r="D754" s="823">
        <v>1</v>
      </c>
      <c r="E754" s="1001" t="s">
        <v>2520</v>
      </c>
      <c r="F754" s="1001"/>
      <c r="G754" s="980">
        <f>Gradation!$N$11</f>
        <v>0</v>
      </c>
      <c r="H754" s="1222">
        <f t="shared" si="79"/>
        <v>0</v>
      </c>
      <c r="I754" s="1223"/>
    </row>
    <row r="755" spans="1:9" ht="12.75" customHeight="1">
      <c r="A755" s="956" t="s">
        <v>2563</v>
      </c>
      <c r="B755" s="1219" t="str">
        <f t="shared" si="78"/>
        <v/>
      </c>
      <c r="C755" s="823" t="s">
        <v>1553</v>
      </c>
      <c r="D755" s="823">
        <v>1</v>
      </c>
      <c r="E755" s="1001" t="s">
        <v>2521</v>
      </c>
      <c r="F755" s="1001"/>
      <c r="G755" s="980">
        <f>Gradation!$N$12</f>
        <v>0</v>
      </c>
      <c r="H755" s="1222">
        <f t="shared" si="79"/>
        <v>0</v>
      </c>
      <c r="I755" s="1223"/>
    </row>
    <row r="756" spans="1:9" ht="12.75" customHeight="1">
      <c r="A756" s="956" t="s">
        <v>2564</v>
      </c>
      <c r="B756" s="1219" t="str">
        <f t="shared" si="78"/>
        <v/>
      </c>
      <c r="C756" s="823" t="s">
        <v>1553</v>
      </c>
      <c r="D756" s="823">
        <v>1</v>
      </c>
      <c r="E756" s="1001" t="s">
        <v>2522</v>
      </c>
      <c r="F756" s="1001"/>
      <c r="G756" s="980">
        <f>Gradation!$N$13</f>
        <v>0</v>
      </c>
      <c r="H756" s="1222">
        <f t="shared" si="79"/>
        <v>0</v>
      </c>
      <c r="I756" s="1223"/>
    </row>
    <row r="757" spans="1:9" ht="12.75" customHeight="1">
      <c r="A757" s="956" t="s">
        <v>2565</v>
      </c>
      <c r="B757" s="1219" t="str">
        <f t="shared" si="78"/>
        <v/>
      </c>
      <c r="C757" s="823" t="s">
        <v>1553</v>
      </c>
      <c r="D757" s="823">
        <v>1</v>
      </c>
      <c r="E757" s="1001" t="s">
        <v>2523</v>
      </c>
      <c r="F757" s="1001"/>
      <c r="G757" s="980">
        <f>Gradation!$N$14</f>
        <v>0</v>
      </c>
      <c r="H757" s="1222">
        <f t="shared" si="79"/>
        <v>0</v>
      </c>
      <c r="I757" s="1223"/>
    </row>
    <row r="758" spans="1:9" ht="12.75" customHeight="1">
      <c r="A758" s="956" t="s">
        <v>2566</v>
      </c>
      <c r="B758" s="1219" t="str">
        <f t="shared" si="78"/>
        <v/>
      </c>
      <c r="C758" s="823" t="s">
        <v>1553</v>
      </c>
      <c r="D758" s="823">
        <v>1</v>
      </c>
      <c r="E758" s="1001" t="s">
        <v>2524</v>
      </c>
      <c r="F758" s="1001"/>
      <c r="G758" s="980">
        <f>Gradation!$N$15</f>
        <v>0</v>
      </c>
      <c r="H758" s="1222">
        <f t="shared" si="79"/>
        <v>0</v>
      </c>
      <c r="I758" s="1223"/>
    </row>
    <row r="759" spans="1:9" ht="12.75" customHeight="1">
      <c r="A759" s="956" t="s">
        <v>2567</v>
      </c>
      <c r="B759" s="1219" t="str">
        <f t="shared" si="78"/>
        <v/>
      </c>
      <c r="C759" s="823" t="s">
        <v>1553</v>
      </c>
      <c r="D759" s="823">
        <v>1</v>
      </c>
      <c r="E759" s="1001" t="s">
        <v>2525</v>
      </c>
      <c r="F759" s="1001"/>
      <c r="G759" s="980">
        <f>Gradation!$N$16</f>
        <v>0</v>
      </c>
      <c r="H759" s="1222">
        <f t="shared" si="79"/>
        <v>0</v>
      </c>
      <c r="I759" s="1223"/>
    </row>
    <row r="760" spans="1:9" ht="12.75" customHeight="1">
      <c r="A760" s="956" t="s">
        <v>2568</v>
      </c>
      <c r="B760" s="1219" t="str">
        <f t="shared" si="78"/>
        <v/>
      </c>
      <c r="C760" s="823" t="s">
        <v>1553</v>
      </c>
      <c r="D760" s="823">
        <v>1</v>
      </c>
      <c r="E760" s="1001" t="s">
        <v>2526</v>
      </c>
      <c r="F760" s="1001"/>
      <c r="G760" s="980">
        <f>Gradation!$N$17</f>
        <v>0</v>
      </c>
      <c r="H760" s="1222">
        <f t="shared" si="79"/>
        <v>0</v>
      </c>
      <c r="I760" s="1223"/>
    </row>
    <row r="761" spans="1:9" ht="12.75" customHeight="1">
      <c r="A761" s="956" t="s">
        <v>2569</v>
      </c>
      <c r="B761" s="1219" t="str">
        <f t="shared" si="78"/>
        <v/>
      </c>
      <c r="C761" s="823" t="s">
        <v>1553</v>
      </c>
      <c r="D761" s="823">
        <v>1</v>
      </c>
      <c r="E761" s="1001" t="s">
        <v>2527</v>
      </c>
      <c r="F761" s="1001"/>
      <c r="G761" s="980">
        <f>Gradation!$N$18</f>
        <v>0</v>
      </c>
      <c r="H761" s="1222">
        <f t="shared" si="79"/>
        <v>0</v>
      </c>
      <c r="I761" s="1223"/>
    </row>
    <row r="762" spans="1:9" ht="12.75" customHeight="1">
      <c r="A762" s="956" t="s">
        <v>2570</v>
      </c>
      <c r="B762" s="1219" t="str">
        <f t="shared" si="78"/>
        <v/>
      </c>
      <c r="C762" s="823" t="s">
        <v>1553</v>
      </c>
      <c r="D762" s="823">
        <v>1</v>
      </c>
      <c r="E762" s="1001" t="s">
        <v>2528</v>
      </c>
      <c r="F762" s="1001"/>
      <c r="G762" s="980">
        <f>Gradation!$N$19</f>
        <v>0</v>
      </c>
      <c r="H762" s="1222">
        <f t="shared" si="79"/>
        <v>0</v>
      </c>
      <c r="I762" s="1223"/>
    </row>
    <row r="763" spans="1:9" ht="12.75" customHeight="1">
      <c r="A763" s="956" t="s">
        <v>2571</v>
      </c>
      <c r="B763" s="1219" t="str">
        <f t="shared" si="78"/>
        <v/>
      </c>
      <c r="C763" s="823" t="s">
        <v>1553</v>
      </c>
      <c r="D763" s="823">
        <v>1</v>
      </c>
      <c r="E763" s="1001" t="s">
        <v>2529</v>
      </c>
      <c r="F763" s="1001"/>
      <c r="G763" s="980">
        <f>Gradation!$N$20</f>
        <v>0</v>
      </c>
      <c r="H763" s="1222">
        <f t="shared" si="79"/>
        <v>0</v>
      </c>
      <c r="I763" s="1223"/>
    </row>
    <row r="764" spans="1:9" ht="12.75" customHeight="1">
      <c r="A764" s="956" t="s">
        <v>2572</v>
      </c>
      <c r="B764" s="1219" t="str">
        <f t="shared" si="78"/>
        <v/>
      </c>
      <c r="C764" s="823" t="s">
        <v>1553</v>
      </c>
      <c r="D764" s="823">
        <v>1</v>
      </c>
      <c r="E764" s="1001" t="s">
        <v>2530</v>
      </c>
      <c r="F764" s="1001"/>
      <c r="G764" s="980">
        <f>Gradation!$N$21</f>
        <v>0</v>
      </c>
      <c r="H764" s="1222">
        <f t="shared" si="79"/>
        <v>0</v>
      </c>
      <c r="I764" s="1223"/>
    </row>
    <row r="765" spans="1:9" ht="12.75" customHeight="1">
      <c r="A765" s="956" t="s">
        <v>2573</v>
      </c>
      <c r="B765" s="1219" t="str">
        <f t="shared" si="78"/>
        <v/>
      </c>
      <c r="C765" s="823" t="s">
        <v>1553</v>
      </c>
      <c r="D765" s="823">
        <v>1</v>
      </c>
      <c r="E765" s="1001" t="s">
        <v>2531</v>
      </c>
      <c r="F765" s="1001"/>
      <c r="G765" s="980">
        <f>Gradation!$N$22</f>
        <v>0</v>
      </c>
      <c r="H765" s="1222">
        <f t="shared" si="79"/>
        <v>0</v>
      </c>
      <c r="I765" s="1223"/>
    </row>
    <row r="766" spans="1:9" ht="12.75" customHeight="1">
      <c r="A766" s="956" t="s">
        <v>2574</v>
      </c>
      <c r="B766" s="1219" t="str">
        <f t="shared" si="78"/>
        <v/>
      </c>
      <c r="C766" s="823" t="s">
        <v>1553</v>
      </c>
      <c r="D766" s="823">
        <v>1</v>
      </c>
      <c r="E766" s="1001" t="s">
        <v>2532</v>
      </c>
      <c r="F766" s="1001"/>
      <c r="G766" s="980">
        <f>Gradation!$N$23</f>
        <v>0</v>
      </c>
      <c r="H766" s="1222">
        <f t="shared" si="79"/>
        <v>0</v>
      </c>
      <c r="I766" s="1223"/>
    </row>
    <row r="767" spans="1:9" ht="12.75" customHeight="1">
      <c r="A767" s="1505" t="s">
        <v>2991</v>
      </c>
      <c r="B767" s="1506" t="str">
        <f t="shared" si="78"/>
        <v/>
      </c>
      <c r="C767" s="1507" t="str">
        <f t="shared" si="78"/>
        <v>AMAMAW</v>
      </c>
      <c r="D767" s="1507">
        <f t="shared" si="78"/>
        <v>1</v>
      </c>
      <c r="E767" s="1508">
        <v>130</v>
      </c>
      <c r="F767" s="1509"/>
      <c r="G767" s="1516">
        <f>IF('Performance Specimens'!$H$41="",0,'Performance Specimens'!$H$41)</f>
        <v>0</v>
      </c>
      <c r="H767" s="1510">
        <f t="shared" si="79"/>
        <v>0</v>
      </c>
      <c r="I767" s="1178"/>
    </row>
    <row r="768" spans="1:9" ht="12.75" customHeight="1">
      <c r="A768" s="1505" t="s">
        <v>2992</v>
      </c>
      <c r="B768" s="1506" t="str">
        <f t="shared" ref="B768:D785" si="80">B767</f>
        <v/>
      </c>
      <c r="C768" s="1507" t="str">
        <f t="shared" si="80"/>
        <v>AMAMAW</v>
      </c>
      <c r="D768" s="1507">
        <f t="shared" si="80"/>
        <v>1</v>
      </c>
      <c r="E768" s="1508">
        <v>131</v>
      </c>
      <c r="F768" s="1509"/>
      <c r="G768" s="1516">
        <f>IF('Performance Specimens'!$O$41="",0,'Performance Specimens'!$O$41)</f>
        <v>0</v>
      </c>
      <c r="H768" s="1510">
        <f t="shared" si="79"/>
        <v>0</v>
      </c>
      <c r="I768" s="1178"/>
    </row>
    <row r="769" spans="1:9" ht="12.75" customHeight="1">
      <c r="A769" s="1505" t="s">
        <v>3245</v>
      </c>
      <c r="B769" s="1506" t="str">
        <f t="shared" ref="B769:D769" si="81">B768</f>
        <v/>
      </c>
      <c r="C769" s="1507" t="str">
        <f t="shared" si="81"/>
        <v>AMAMAW</v>
      </c>
      <c r="D769" s="1507">
        <f t="shared" si="81"/>
        <v>1</v>
      </c>
      <c r="E769" s="1508">
        <v>132</v>
      </c>
      <c r="F769" s="1509"/>
      <c r="G769" s="1516">
        <f>IF('Performance Specimens'!$H$57="",0,'Performance Specimens'!$H$57)</f>
        <v>0</v>
      </c>
      <c r="H769" s="1510">
        <f t="shared" si="79"/>
        <v>0</v>
      </c>
      <c r="I769" s="1178"/>
    </row>
    <row r="770" spans="1:9" ht="12.75" customHeight="1">
      <c r="A770" s="1505" t="s">
        <v>3246</v>
      </c>
      <c r="B770" s="1506" t="str">
        <f t="shared" ref="B770:D770" si="82">B769</f>
        <v/>
      </c>
      <c r="C770" s="1507" t="str">
        <f t="shared" si="82"/>
        <v>AMAMAW</v>
      </c>
      <c r="D770" s="1507">
        <f t="shared" si="82"/>
        <v>1</v>
      </c>
      <c r="E770" s="1508">
        <v>133</v>
      </c>
      <c r="F770" s="1509"/>
      <c r="G770" s="1516">
        <f>IF('Performance Specimens'!$O$57="",0,'Performance Specimens'!$O$57)</f>
        <v>0</v>
      </c>
      <c r="H770" s="1510">
        <f t="shared" si="79"/>
        <v>0</v>
      </c>
      <c r="I770" s="1178"/>
    </row>
    <row r="771" spans="1:9" ht="12.75" customHeight="1">
      <c r="A771" s="1505" t="s">
        <v>2993</v>
      </c>
      <c r="B771" s="1506" t="str">
        <f>B768</f>
        <v/>
      </c>
      <c r="C771" s="1507" t="str">
        <f>C768</f>
        <v>AMAMAW</v>
      </c>
      <c r="D771" s="1507">
        <f>D768</f>
        <v>1</v>
      </c>
      <c r="E771" s="1508">
        <v>134</v>
      </c>
      <c r="F771" s="1511">
        <f>Calculations!$AR$1</f>
        <v>0</v>
      </c>
      <c r="G771" s="1509"/>
      <c r="H771" s="1510">
        <f>H768</f>
        <v>0</v>
      </c>
      <c r="I771" s="1178"/>
    </row>
    <row r="772" spans="1:9" ht="12.75" customHeight="1">
      <c r="A772" s="1505" t="s">
        <v>2994</v>
      </c>
      <c r="B772" s="1506" t="str">
        <f t="shared" si="80"/>
        <v/>
      </c>
      <c r="C772" s="1507" t="str">
        <f t="shared" si="80"/>
        <v>AMAMAW</v>
      </c>
      <c r="D772" s="1507">
        <f t="shared" si="80"/>
        <v>1</v>
      </c>
      <c r="E772" s="1508">
        <v>135</v>
      </c>
      <c r="F772" s="1509"/>
      <c r="G772" s="1510">
        <f ca="1">IF('KYCT Data Sublot # 3'!$B$14="",0,'KYCT Data Sublot # 3'!$B$14)</f>
        <v>0</v>
      </c>
      <c r="H772" s="1510">
        <f t="shared" si="79"/>
        <v>0</v>
      </c>
      <c r="I772" s="1178"/>
    </row>
    <row r="773" spans="1:9" ht="12.75" customHeight="1">
      <c r="A773" s="1505" t="s">
        <v>2995</v>
      </c>
      <c r="B773" s="1506" t="str">
        <f t="shared" si="80"/>
        <v/>
      </c>
      <c r="C773" s="1507" t="str">
        <f t="shared" si="80"/>
        <v>AMAMAW</v>
      </c>
      <c r="D773" s="1507">
        <f t="shared" si="80"/>
        <v>1</v>
      </c>
      <c r="E773" s="1508">
        <v>136</v>
      </c>
      <c r="F773" s="1509"/>
      <c r="G773" s="1510">
        <f ca="1">IF('KYCT Data Sublot # 3'!$B$18="",0,'KYCT Data Sublot # 3'!$B$18)</f>
        <v>0</v>
      </c>
      <c r="H773" s="1510">
        <f t="shared" si="79"/>
        <v>0</v>
      </c>
      <c r="I773" s="1178"/>
    </row>
    <row r="774" spans="1:9" ht="12.75" customHeight="1">
      <c r="A774" s="1505" t="s">
        <v>2996</v>
      </c>
      <c r="B774" s="1506" t="str">
        <f t="shared" si="80"/>
        <v/>
      </c>
      <c r="C774" s="1507" t="str">
        <f t="shared" si="80"/>
        <v>AMAMAW</v>
      </c>
      <c r="D774" s="1507">
        <f t="shared" si="80"/>
        <v>1</v>
      </c>
      <c r="E774" s="1508">
        <v>137</v>
      </c>
      <c r="F774" s="1509"/>
      <c r="G774" s="1510">
        <f ca="1">IF('KYCT Data Sublot # 3'!$B$19="",0,'KYCT Data Sublot # 3'!$B$19)</f>
        <v>0</v>
      </c>
      <c r="H774" s="1510">
        <f t="shared" si="79"/>
        <v>0</v>
      </c>
      <c r="I774" s="1178"/>
    </row>
    <row r="775" spans="1:9" ht="12.75" customHeight="1">
      <c r="A775" s="1505" t="s">
        <v>2997</v>
      </c>
      <c r="B775" s="1506" t="str">
        <f t="shared" si="80"/>
        <v/>
      </c>
      <c r="C775" s="1507" t="str">
        <f t="shared" si="80"/>
        <v>AMAMAW</v>
      </c>
      <c r="D775" s="1507">
        <f t="shared" si="80"/>
        <v>1</v>
      </c>
      <c r="E775" s="1508">
        <v>138</v>
      </c>
      <c r="F775" s="1509"/>
      <c r="G775" s="1510">
        <f ca="1">IF('KYCT Data Sublot # 3'!$B$20="",0,'KYCT Data Sublot # 3'!$B$20)</f>
        <v>0</v>
      </c>
      <c r="H775" s="1510">
        <f t="shared" si="79"/>
        <v>0</v>
      </c>
      <c r="I775" s="1178"/>
    </row>
    <row r="776" spans="1:9" ht="12.75" customHeight="1">
      <c r="A776" s="1505" t="s">
        <v>2998</v>
      </c>
      <c r="B776" s="1506" t="str">
        <f t="shared" si="80"/>
        <v/>
      </c>
      <c r="C776" s="1507" t="str">
        <f t="shared" si="80"/>
        <v>AMAMAW</v>
      </c>
      <c r="D776" s="1507">
        <f t="shared" si="80"/>
        <v>1</v>
      </c>
      <c r="E776" s="1508">
        <v>139</v>
      </c>
      <c r="F776" s="1509"/>
      <c r="G776" s="1510">
        <f ca="1">IF('KYCT Data Sublot # 3'!$B$21="",0,'KYCT Data Sublot # 3'!$B$21)</f>
        <v>0</v>
      </c>
      <c r="H776" s="1510">
        <f t="shared" si="79"/>
        <v>0</v>
      </c>
      <c r="I776" s="1178"/>
    </row>
    <row r="777" spans="1:9" ht="12.75" customHeight="1">
      <c r="A777" s="1505" t="s">
        <v>2999</v>
      </c>
      <c r="B777" s="1506" t="str">
        <f t="shared" si="80"/>
        <v/>
      </c>
      <c r="C777" s="1507" t="str">
        <f t="shared" si="80"/>
        <v>AMAMAW</v>
      </c>
      <c r="D777" s="1507">
        <f t="shared" si="80"/>
        <v>1</v>
      </c>
      <c r="E777" s="1508">
        <v>140</v>
      </c>
      <c r="F777" s="1509"/>
      <c r="G777" s="1510">
        <f ca="1">IF('KYCT Data Sublot # 3'!$D$14="",0,'KYCT Data Sublot # 3'!$D$14)</f>
        <v>0</v>
      </c>
      <c r="H777" s="1510">
        <f t="shared" si="79"/>
        <v>0</v>
      </c>
      <c r="I777" s="1178"/>
    </row>
    <row r="778" spans="1:9" ht="12.75" customHeight="1">
      <c r="A778" s="1505" t="s">
        <v>3000</v>
      </c>
      <c r="B778" s="1506" t="str">
        <f t="shared" si="80"/>
        <v/>
      </c>
      <c r="C778" s="1507" t="str">
        <f t="shared" si="80"/>
        <v>AMAMAW</v>
      </c>
      <c r="D778" s="1507">
        <f t="shared" si="80"/>
        <v>1</v>
      </c>
      <c r="E778" s="1508">
        <v>141</v>
      </c>
      <c r="F778" s="1509"/>
      <c r="G778" s="1510">
        <f ca="1">IF('KYCT Data Sublot # 3'!$D$18="",0,'KYCT Data Sublot # 3'!$D$18)</f>
        <v>0</v>
      </c>
      <c r="H778" s="1510">
        <f t="shared" si="79"/>
        <v>0</v>
      </c>
      <c r="I778" s="1178"/>
    </row>
    <row r="779" spans="1:9" ht="12.75" customHeight="1">
      <c r="A779" s="1505" t="s">
        <v>3001</v>
      </c>
      <c r="B779" s="1506" t="str">
        <f t="shared" si="80"/>
        <v/>
      </c>
      <c r="C779" s="1507" t="str">
        <f t="shared" si="80"/>
        <v>AMAMAW</v>
      </c>
      <c r="D779" s="1507">
        <f t="shared" si="80"/>
        <v>1</v>
      </c>
      <c r="E779" s="1508">
        <v>142</v>
      </c>
      <c r="F779" s="1509"/>
      <c r="G779" s="1510">
        <f ca="1">IF('KYCT Data Sublot # 3'!$D$19="",0,'KYCT Data Sublot # 3'!$D$19)</f>
        <v>0</v>
      </c>
      <c r="H779" s="1510">
        <f t="shared" si="79"/>
        <v>0</v>
      </c>
      <c r="I779" s="1178"/>
    </row>
    <row r="780" spans="1:9" ht="12.75" customHeight="1">
      <c r="A780" s="1505" t="s">
        <v>3002</v>
      </c>
      <c r="B780" s="1506" t="str">
        <f t="shared" si="80"/>
        <v/>
      </c>
      <c r="C780" s="1507" t="str">
        <f t="shared" si="80"/>
        <v>AMAMAW</v>
      </c>
      <c r="D780" s="1507">
        <f t="shared" si="80"/>
        <v>1</v>
      </c>
      <c r="E780" s="1508">
        <v>143</v>
      </c>
      <c r="F780" s="1509"/>
      <c r="G780" s="1510">
        <f ca="1">IF('KYCT Data Sublot # 3'!$D$20="",0,'KYCT Data Sublot # 3'!$D$20)</f>
        <v>0</v>
      </c>
      <c r="H780" s="1510">
        <f t="shared" si="79"/>
        <v>0</v>
      </c>
      <c r="I780" s="1178"/>
    </row>
    <row r="781" spans="1:9" ht="12.75" customHeight="1">
      <c r="A781" s="1505" t="s">
        <v>3003</v>
      </c>
      <c r="B781" s="1506" t="str">
        <f t="shared" si="80"/>
        <v/>
      </c>
      <c r="C781" s="1507" t="str">
        <f t="shared" si="80"/>
        <v>AMAMAW</v>
      </c>
      <c r="D781" s="1507">
        <f t="shared" si="80"/>
        <v>1</v>
      </c>
      <c r="E781" s="1508">
        <v>144</v>
      </c>
      <c r="F781" s="1509"/>
      <c r="G781" s="1510">
        <f ca="1">IF('KYCT Data Sublot # 3'!$D$21="",0,'KYCT Data Sublot # 3'!$D$21)</f>
        <v>0</v>
      </c>
      <c r="H781" s="1510">
        <f t="shared" si="79"/>
        <v>0</v>
      </c>
      <c r="I781" s="1178"/>
    </row>
    <row r="782" spans="1:9" ht="12.75" customHeight="1">
      <c r="A782" s="1505" t="s">
        <v>3004</v>
      </c>
      <c r="B782" s="1506" t="str">
        <f t="shared" si="80"/>
        <v/>
      </c>
      <c r="C782" s="1507" t="str">
        <f t="shared" si="80"/>
        <v>AMAMAW</v>
      </c>
      <c r="D782" s="1507">
        <f t="shared" si="80"/>
        <v>1</v>
      </c>
      <c r="E782" s="1508">
        <v>145</v>
      </c>
      <c r="F782" s="1509"/>
      <c r="G782" s="1510">
        <f ca="1">IF('KYCT Data Sublot # 3'!$F$14="",0,'KYCT Data Sublot # 3'!$F$14)</f>
        <v>0</v>
      </c>
      <c r="H782" s="1510">
        <f t="shared" si="79"/>
        <v>0</v>
      </c>
      <c r="I782" s="1178"/>
    </row>
    <row r="783" spans="1:9" ht="12.75" customHeight="1">
      <c r="A783" s="1505" t="s">
        <v>3005</v>
      </c>
      <c r="B783" s="1506" t="str">
        <f t="shared" si="80"/>
        <v/>
      </c>
      <c r="C783" s="1507" t="str">
        <f t="shared" si="80"/>
        <v>AMAMAW</v>
      </c>
      <c r="D783" s="1507">
        <f t="shared" si="80"/>
        <v>1</v>
      </c>
      <c r="E783" s="1508">
        <v>146</v>
      </c>
      <c r="F783" s="1509"/>
      <c r="G783" s="1510">
        <f ca="1">IF('KYCT Data Sublot # 3'!$F$18="",0,'KYCT Data Sublot # 3'!$F$18)</f>
        <v>0</v>
      </c>
      <c r="H783" s="1510">
        <f t="shared" si="79"/>
        <v>0</v>
      </c>
      <c r="I783" s="1178"/>
    </row>
    <row r="784" spans="1:9" ht="12.75" customHeight="1">
      <c r="A784" s="1505" t="s">
        <v>3006</v>
      </c>
      <c r="B784" s="1506" t="str">
        <f t="shared" si="80"/>
        <v/>
      </c>
      <c r="C784" s="1507" t="str">
        <f t="shared" si="80"/>
        <v>AMAMAW</v>
      </c>
      <c r="D784" s="1507">
        <f t="shared" si="80"/>
        <v>1</v>
      </c>
      <c r="E784" s="1508">
        <v>147</v>
      </c>
      <c r="F784" s="1509"/>
      <c r="G784" s="1510">
        <f ca="1">IF('KYCT Data Sublot # 3'!$F$19="",0,'KYCT Data Sublot # 3'!$F$19)</f>
        <v>0</v>
      </c>
      <c r="H784" s="1510">
        <f t="shared" si="79"/>
        <v>0</v>
      </c>
      <c r="I784" s="1178"/>
    </row>
    <row r="785" spans="1:9" ht="12.75" customHeight="1">
      <c r="A785" s="1505" t="s">
        <v>3007</v>
      </c>
      <c r="B785" s="1506" t="str">
        <f t="shared" si="80"/>
        <v/>
      </c>
      <c r="C785" s="1507" t="str">
        <f t="shared" si="80"/>
        <v>AMAMAW</v>
      </c>
      <c r="D785" s="1507">
        <f t="shared" si="80"/>
        <v>1</v>
      </c>
      <c r="E785" s="1508">
        <v>148</v>
      </c>
      <c r="F785" s="1509"/>
      <c r="G785" s="1510">
        <f ca="1">IF('KYCT Data Sublot # 3'!$F$20="",0,'KYCT Data Sublot # 3'!$F$20)</f>
        <v>0</v>
      </c>
      <c r="H785" s="1510">
        <f t="shared" si="79"/>
        <v>0</v>
      </c>
      <c r="I785" s="1178"/>
    </row>
    <row r="786" spans="1:9" ht="12.75" customHeight="1">
      <c r="A786" s="1505" t="s">
        <v>3008</v>
      </c>
      <c r="B786" s="1506" t="str">
        <f t="shared" ref="B786:D801" si="83">B785</f>
        <v/>
      </c>
      <c r="C786" s="1507" t="str">
        <f t="shared" si="83"/>
        <v>AMAMAW</v>
      </c>
      <c r="D786" s="1507">
        <f t="shared" si="83"/>
        <v>1</v>
      </c>
      <c r="E786" s="1508">
        <v>149</v>
      </c>
      <c r="F786" s="1509"/>
      <c r="G786" s="1510">
        <f ca="1">IF('KYCT Data Sublot # 3'!$F$21="",0,'KYCT Data Sublot # 3'!$F$21)</f>
        <v>0</v>
      </c>
      <c r="H786" s="1510">
        <f t="shared" si="79"/>
        <v>0</v>
      </c>
      <c r="I786" s="1178"/>
    </row>
    <row r="787" spans="1:9" ht="12.75" customHeight="1">
      <c r="A787" s="1505" t="s">
        <v>3009</v>
      </c>
      <c r="B787" s="1506" t="str">
        <f t="shared" si="83"/>
        <v/>
      </c>
      <c r="C787" s="1507" t="str">
        <f t="shared" si="83"/>
        <v>AMAMAW</v>
      </c>
      <c r="D787" s="1507">
        <f t="shared" si="83"/>
        <v>1</v>
      </c>
      <c r="E787" s="1508">
        <v>150</v>
      </c>
      <c r="F787" s="1509"/>
      <c r="G787" s="1510">
        <f ca="1">IF('KYCT Data Sublot # 3'!$H$14="",0,'KYCT Data Sublot # 3'!$H$14)</f>
        <v>0</v>
      </c>
      <c r="H787" s="1510">
        <f t="shared" si="79"/>
        <v>0</v>
      </c>
      <c r="I787" s="1178"/>
    </row>
    <row r="788" spans="1:9" ht="12.75" customHeight="1">
      <c r="A788" s="1505" t="s">
        <v>3010</v>
      </c>
      <c r="B788" s="1506" t="str">
        <f t="shared" si="83"/>
        <v/>
      </c>
      <c r="C788" s="1507" t="str">
        <f t="shared" si="83"/>
        <v>AMAMAW</v>
      </c>
      <c r="D788" s="1507">
        <f t="shared" si="83"/>
        <v>1</v>
      </c>
      <c r="E788" s="1508">
        <v>151</v>
      </c>
      <c r="F788" s="1509"/>
      <c r="G788" s="1510">
        <f ca="1">IF('KYCT Data Sublot # 3'!$H$18="",0,'KYCT Data Sublot # 3'!$H$18)</f>
        <v>0</v>
      </c>
      <c r="H788" s="1510">
        <f t="shared" si="79"/>
        <v>0</v>
      </c>
      <c r="I788" s="1178"/>
    </row>
    <row r="789" spans="1:9" ht="12.75" customHeight="1">
      <c r="A789" s="1505" t="s">
        <v>3011</v>
      </c>
      <c r="B789" s="1506" t="str">
        <f t="shared" si="83"/>
        <v/>
      </c>
      <c r="C789" s="1507" t="str">
        <f t="shared" si="83"/>
        <v>AMAMAW</v>
      </c>
      <c r="D789" s="1507">
        <f t="shared" si="83"/>
        <v>1</v>
      </c>
      <c r="E789" s="1508">
        <v>152</v>
      </c>
      <c r="F789" s="1509"/>
      <c r="G789" s="1510">
        <f ca="1">IF('KYCT Data Sublot # 3'!$H$19="",0,'KYCT Data Sublot # 3'!$H$19)</f>
        <v>0</v>
      </c>
      <c r="H789" s="1510">
        <f t="shared" si="79"/>
        <v>0</v>
      </c>
      <c r="I789" s="1178"/>
    </row>
    <row r="790" spans="1:9" ht="12.75" customHeight="1">
      <c r="A790" s="1505" t="s">
        <v>3012</v>
      </c>
      <c r="B790" s="1506" t="str">
        <f t="shared" si="83"/>
        <v/>
      </c>
      <c r="C790" s="1507" t="str">
        <f t="shared" si="83"/>
        <v>AMAMAW</v>
      </c>
      <c r="D790" s="1507">
        <f t="shared" si="83"/>
        <v>1</v>
      </c>
      <c r="E790" s="1508">
        <v>153</v>
      </c>
      <c r="F790" s="1509"/>
      <c r="G790" s="1510">
        <f ca="1">IF('KYCT Data Sublot # 3'!$H$20="",0,'KYCT Data Sublot # 3'!$H$20)</f>
        <v>0</v>
      </c>
      <c r="H790" s="1510">
        <f t="shared" si="79"/>
        <v>0</v>
      </c>
      <c r="I790" s="1178"/>
    </row>
    <row r="791" spans="1:9" ht="12.75" customHeight="1">
      <c r="A791" s="1505" t="s">
        <v>3013</v>
      </c>
      <c r="B791" s="1506" t="str">
        <f t="shared" si="83"/>
        <v/>
      </c>
      <c r="C791" s="1507" t="str">
        <f t="shared" si="83"/>
        <v>AMAMAW</v>
      </c>
      <c r="D791" s="1507">
        <f t="shared" si="83"/>
        <v>1</v>
      </c>
      <c r="E791" s="1508">
        <v>154</v>
      </c>
      <c r="F791" s="1509"/>
      <c r="G791" s="1510">
        <f ca="1">IF('KYCT Data Sublot # 3'!$H$21="",0,'KYCT Data Sublot # 3'!$H$21)</f>
        <v>0</v>
      </c>
      <c r="H791" s="1510">
        <f t="shared" si="79"/>
        <v>0</v>
      </c>
      <c r="I791" s="1178"/>
    </row>
    <row r="792" spans="1:9" ht="12.75" customHeight="1">
      <c r="A792" s="1505" t="s">
        <v>3014</v>
      </c>
      <c r="B792" s="1506" t="str">
        <f t="shared" si="83"/>
        <v/>
      </c>
      <c r="C792" s="1507" t="str">
        <f t="shared" si="83"/>
        <v>AMAMAW</v>
      </c>
      <c r="D792" s="1507">
        <f t="shared" si="83"/>
        <v>1</v>
      </c>
      <c r="E792" s="1508">
        <v>155</v>
      </c>
      <c r="F792" s="1509"/>
      <c r="G792" s="1510">
        <f ca="1">IF('KYCT Data Sublot # 3'!$J$14="",0,'KYCT Data Sublot # 3'!$J$14)</f>
        <v>0</v>
      </c>
      <c r="H792" s="1510">
        <f t="shared" si="79"/>
        <v>0</v>
      </c>
      <c r="I792" s="1178"/>
    </row>
    <row r="793" spans="1:9" ht="12.75" customHeight="1">
      <c r="A793" s="1505" t="s">
        <v>3015</v>
      </c>
      <c r="B793" s="1506" t="str">
        <f t="shared" si="83"/>
        <v/>
      </c>
      <c r="C793" s="1507" t="str">
        <f t="shared" si="83"/>
        <v>AMAMAW</v>
      </c>
      <c r="D793" s="1507">
        <f t="shared" si="83"/>
        <v>1</v>
      </c>
      <c r="E793" s="1508">
        <v>156</v>
      </c>
      <c r="F793" s="1509"/>
      <c r="G793" s="1510">
        <f ca="1">IF('KYCT Data Sublot # 3'!$J$18="",0,'KYCT Data Sublot # 3'!$J$18)</f>
        <v>0</v>
      </c>
      <c r="H793" s="1510">
        <f t="shared" si="79"/>
        <v>0</v>
      </c>
      <c r="I793" s="1178"/>
    </row>
    <row r="794" spans="1:9" ht="12.75" customHeight="1">
      <c r="A794" s="1505" t="s">
        <v>3016</v>
      </c>
      <c r="B794" s="1506" t="str">
        <f t="shared" si="83"/>
        <v/>
      </c>
      <c r="C794" s="1507" t="str">
        <f t="shared" si="83"/>
        <v>AMAMAW</v>
      </c>
      <c r="D794" s="1507">
        <f t="shared" si="83"/>
        <v>1</v>
      </c>
      <c r="E794" s="1508">
        <v>157</v>
      </c>
      <c r="F794" s="1509"/>
      <c r="G794" s="1510">
        <f ca="1">IF('KYCT Data Sublot # 3'!$J$19="",0,'KYCT Data Sublot # 3'!$J$19)</f>
        <v>0</v>
      </c>
      <c r="H794" s="1510">
        <f t="shared" si="79"/>
        <v>0</v>
      </c>
      <c r="I794" s="1178"/>
    </row>
    <row r="795" spans="1:9" ht="12.75" customHeight="1">
      <c r="A795" s="1505" t="s">
        <v>3017</v>
      </c>
      <c r="B795" s="1506" t="str">
        <f t="shared" si="83"/>
        <v/>
      </c>
      <c r="C795" s="1507" t="str">
        <f t="shared" si="83"/>
        <v>AMAMAW</v>
      </c>
      <c r="D795" s="1507">
        <f t="shared" si="83"/>
        <v>1</v>
      </c>
      <c r="E795" s="1508">
        <v>158</v>
      </c>
      <c r="F795" s="1509"/>
      <c r="G795" s="1510">
        <f ca="1">IF('KYCT Data Sublot # 3'!$J$20="",0,'KYCT Data Sublot # 3'!$J$20)</f>
        <v>0</v>
      </c>
      <c r="H795" s="1510">
        <f t="shared" si="79"/>
        <v>0</v>
      </c>
      <c r="I795" s="1178"/>
    </row>
    <row r="796" spans="1:9" ht="12.75" customHeight="1">
      <c r="A796" s="1505" t="s">
        <v>3018</v>
      </c>
      <c r="B796" s="1506" t="str">
        <f t="shared" si="83"/>
        <v/>
      </c>
      <c r="C796" s="1507" t="str">
        <f t="shared" si="83"/>
        <v>AMAMAW</v>
      </c>
      <c r="D796" s="1507">
        <f t="shared" si="83"/>
        <v>1</v>
      </c>
      <c r="E796" s="1508">
        <v>159</v>
      </c>
      <c r="F796" s="1509"/>
      <c r="G796" s="1510">
        <f ca="1">IF('KYCT Data Sublot # 3'!$J$21="",0,'KYCT Data Sublot # 3'!$J$21)</f>
        <v>0</v>
      </c>
      <c r="H796" s="1510">
        <f t="shared" ref="H796:H846" si="84">H795</f>
        <v>0</v>
      </c>
      <c r="I796" s="1178"/>
    </row>
    <row r="797" spans="1:9" ht="12.75" customHeight="1">
      <c r="A797" s="1505" t="s">
        <v>3019</v>
      </c>
      <c r="B797" s="1512" t="str">
        <f t="shared" si="83"/>
        <v/>
      </c>
      <c r="C797" s="1513" t="str">
        <f t="shared" si="83"/>
        <v>AMAMAW</v>
      </c>
      <c r="D797" s="1513">
        <f t="shared" si="83"/>
        <v>1</v>
      </c>
      <c r="E797" s="1514">
        <v>160</v>
      </c>
      <c r="F797" s="1509"/>
      <c r="G797" s="1510">
        <f ca="1">IF('KYCT Data Sublot # 3'!$L$14="",0,'KYCT Data Sublot # 3'!$L$14)</f>
        <v>0</v>
      </c>
      <c r="H797" s="1515">
        <f t="shared" si="84"/>
        <v>0</v>
      </c>
      <c r="I797" s="1178"/>
    </row>
    <row r="798" spans="1:9" ht="12.75" customHeight="1">
      <c r="A798" s="1505" t="s">
        <v>3020</v>
      </c>
      <c r="B798" s="1512" t="str">
        <f t="shared" si="83"/>
        <v/>
      </c>
      <c r="C798" s="1513" t="str">
        <f t="shared" si="83"/>
        <v>AMAMAW</v>
      </c>
      <c r="D798" s="1513">
        <f t="shared" si="83"/>
        <v>1</v>
      </c>
      <c r="E798" s="1514">
        <v>161</v>
      </c>
      <c r="F798" s="1509"/>
      <c r="G798" s="1510">
        <f ca="1">IF('KYCT Data Sublot # 3'!$L$18="",0,'KYCT Data Sublot # 3'!$L$18)</f>
        <v>0</v>
      </c>
      <c r="H798" s="1515">
        <f t="shared" si="84"/>
        <v>0</v>
      </c>
      <c r="I798" s="1178"/>
    </row>
    <row r="799" spans="1:9" ht="12.75" customHeight="1">
      <c r="A799" s="1505" t="s">
        <v>3021</v>
      </c>
      <c r="B799" s="1512" t="str">
        <f t="shared" si="83"/>
        <v/>
      </c>
      <c r="C799" s="1513" t="str">
        <f t="shared" si="83"/>
        <v>AMAMAW</v>
      </c>
      <c r="D799" s="1513">
        <f t="shared" si="83"/>
        <v>1</v>
      </c>
      <c r="E799" s="1514">
        <v>162</v>
      </c>
      <c r="F799" s="1509"/>
      <c r="G799" s="1510">
        <f ca="1">IF('KYCT Data Sublot # 3'!$L$19="",0,'KYCT Data Sublot # 3'!$L$19)</f>
        <v>0</v>
      </c>
      <c r="H799" s="1515">
        <f t="shared" si="84"/>
        <v>0</v>
      </c>
      <c r="I799" s="1178"/>
    </row>
    <row r="800" spans="1:9" ht="12.75" customHeight="1">
      <c r="A800" s="1505" t="s">
        <v>3022</v>
      </c>
      <c r="B800" s="1512" t="str">
        <f t="shared" si="83"/>
        <v/>
      </c>
      <c r="C800" s="1513" t="str">
        <f t="shared" si="83"/>
        <v>AMAMAW</v>
      </c>
      <c r="D800" s="1513">
        <f t="shared" si="83"/>
        <v>1</v>
      </c>
      <c r="E800" s="1514">
        <v>163</v>
      </c>
      <c r="F800" s="1509"/>
      <c r="G800" s="1510">
        <f ca="1">IF('KYCT Data Sublot # 3'!$L$20="",0,'KYCT Data Sublot # 3'!$L$20)</f>
        <v>0</v>
      </c>
      <c r="H800" s="1515">
        <f t="shared" si="84"/>
        <v>0</v>
      </c>
      <c r="I800" s="1178"/>
    </row>
    <row r="801" spans="1:9" ht="12.75" customHeight="1">
      <c r="A801" s="1505" t="s">
        <v>3023</v>
      </c>
      <c r="B801" s="1506" t="str">
        <f t="shared" si="83"/>
        <v/>
      </c>
      <c r="C801" s="1507" t="str">
        <f t="shared" si="83"/>
        <v>AMAMAW</v>
      </c>
      <c r="D801" s="1507">
        <f t="shared" si="83"/>
        <v>1</v>
      </c>
      <c r="E801" s="1508">
        <v>164</v>
      </c>
      <c r="F801" s="1509"/>
      <c r="G801" s="1510">
        <f ca="1">IF('KYCT Data Sublot # 3'!$L$21="",0,'KYCT Data Sublot # 3'!$L$21)</f>
        <v>0</v>
      </c>
      <c r="H801" s="1510">
        <f t="shared" si="84"/>
        <v>0</v>
      </c>
      <c r="I801" s="1178"/>
    </row>
    <row r="802" spans="1:9" ht="12.75" customHeight="1">
      <c r="A802" s="1505" t="s">
        <v>3024</v>
      </c>
      <c r="B802" s="1512" t="str">
        <f t="shared" ref="B802:D817" si="85">B801</f>
        <v/>
      </c>
      <c r="C802" s="1513" t="str">
        <f t="shared" si="85"/>
        <v>AMAMAW</v>
      </c>
      <c r="D802" s="1513">
        <f t="shared" si="85"/>
        <v>1</v>
      </c>
      <c r="E802" s="1514">
        <v>165</v>
      </c>
      <c r="F802" s="1509"/>
      <c r="G802" s="1510">
        <f ca="1">IF('KYCT Data Sublot # 3'!$N$14="",0,'KYCT Data Sublot # 3'!$N$14)</f>
        <v>0</v>
      </c>
      <c r="H802" s="1515">
        <f t="shared" si="84"/>
        <v>0</v>
      </c>
      <c r="I802" s="1178"/>
    </row>
    <row r="803" spans="1:9" ht="12.75" customHeight="1">
      <c r="A803" s="1505" t="s">
        <v>3025</v>
      </c>
      <c r="B803" s="1512" t="str">
        <f t="shared" si="85"/>
        <v/>
      </c>
      <c r="C803" s="1513" t="str">
        <f t="shared" si="85"/>
        <v>AMAMAW</v>
      </c>
      <c r="D803" s="1513">
        <f t="shared" si="85"/>
        <v>1</v>
      </c>
      <c r="E803" s="1514">
        <v>166</v>
      </c>
      <c r="F803" s="1509"/>
      <c r="G803" s="1510">
        <f ca="1">IF('KYCT Data Sublot # 3'!$N$18="",0,'KYCT Data Sublot # 3'!$N$18)</f>
        <v>0</v>
      </c>
      <c r="H803" s="1515">
        <f t="shared" si="84"/>
        <v>0</v>
      </c>
      <c r="I803" s="1178"/>
    </row>
    <row r="804" spans="1:9" ht="12.75" customHeight="1">
      <c r="A804" s="1505" t="s">
        <v>3026</v>
      </c>
      <c r="B804" s="1512" t="str">
        <f t="shared" si="85"/>
        <v/>
      </c>
      <c r="C804" s="1513" t="str">
        <f t="shared" si="85"/>
        <v>AMAMAW</v>
      </c>
      <c r="D804" s="1513">
        <f t="shared" si="85"/>
        <v>1</v>
      </c>
      <c r="E804" s="1514">
        <v>167</v>
      </c>
      <c r="F804" s="1509"/>
      <c r="G804" s="1510">
        <f ca="1">IF('KYCT Data Sublot # 3'!$N$19="",0,'KYCT Data Sublot # 3'!$N$19)</f>
        <v>0</v>
      </c>
      <c r="H804" s="1515">
        <f t="shared" si="84"/>
        <v>0</v>
      </c>
      <c r="I804" s="1178"/>
    </row>
    <row r="805" spans="1:9" ht="12.75" customHeight="1">
      <c r="A805" s="1505" t="s">
        <v>3027</v>
      </c>
      <c r="B805" s="1512" t="str">
        <f t="shared" si="85"/>
        <v/>
      </c>
      <c r="C805" s="1513" t="str">
        <f t="shared" si="85"/>
        <v>AMAMAW</v>
      </c>
      <c r="D805" s="1513">
        <f t="shared" si="85"/>
        <v>1</v>
      </c>
      <c r="E805" s="1514">
        <v>168</v>
      </c>
      <c r="F805" s="1509"/>
      <c r="G805" s="1510">
        <f ca="1">IF('KYCT Data Sublot # 3'!$N$20="",0,'KYCT Data Sublot # 3'!$N$20)</f>
        <v>0</v>
      </c>
      <c r="H805" s="1515">
        <f t="shared" si="84"/>
        <v>0</v>
      </c>
      <c r="I805" s="1178"/>
    </row>
    <row r="806" spans="1:9" ht="12.75" customHeight="1">
      <c r="A806" s="1505" t="s">
        <v>3028</v>
      </c>
      <c r="B806" s="1506" t="str">
        <f t="shared" si="85"/>
        <v/>
      </c>
      <c r="C806" s="1507" t="str">
        <f t="shared" si="85"/>
        <v>AMAMAW</v>
      </c>
      <c r="D806" s="1507">
        <f t="shared" si="85"/>
        <v>1</v>
      </c>
      <c r="E806" s="1508">
        <v>169</v>
      </c>
      <c r="F806" s="1509"/>
      <c r="G806" s="1510">
        <f ca="1">IF('KYCT Data Sublot # 3'!$N$21="",0,'KYCT Data Sublot # 3'!$N$21)</f>
        <v>0</v>
      </c>
      <c r="H806" s="1510">
        <f t="shared" si="84"/>
        <v>0</v>
      </c>
      <c r="I806" s="1178"/>
    </row>
    <row r="807" spans="1:9" ht="12.75" customHeight="1">
      <c r="A807" s="1505" t="s">
        <v>3029</v>
      </c>
      <c r="B807" s="1512" t="str">
        <f t="shared" si="85"/>
        <v/>
      </c>
      <c r="C807" s="1513" t="str">
        <f t="shared" si="85"/>
        <v>AMAMAW</v>
      </c>
      <c r="D807" s="1513">
        <f t="shared" si="85"/>
        <v>1</v>
      </c>
      <c r="E807" s="1514">
        <v>170</v>
      </c>
      <c r="F807" s="1509"/>
      <c r="G807" s="1510">
        <f ca="1">IF('KYCT Data Sublot # 3'!$P$14="",0,'KYCT Data Sublot # 3'!$P$14)</f>
        <v>0</v>
      </c>
      <c r="H807" s="1515">
        <f t="shared" si="84"/>
        <v>0</v>
      </c>
      <c r="I807" s="1178"/>
    </row>
    <row r="808" spans="1:9" ht="12.75" customHeight="1">
      <c r="A808" s="1505" t="s">
        <v>3030</v>
      </c>
      <c r="B808" s="1512" t="str">
        <f t="shared" si="85"/>
        <v/>
      </c>
      <c r="C808" s="1513" t="str">
        <f t="shared" si="85"/>
        <v>AMAMAW</v>
      </c>
      <c r="D808" s="1513">
        <f t="shared" si="85"/>
        <v>1</v>
      </c>
      <c r="E808" s="1514">
        <v>171</v>
      </c>
      <c r="F808" s="1509"/>
      <c r="G808" s="1510">
        <f ca="1">IF('KYCT Data Sublot # 3'!$P$18="",0,'KYCT Data Sublot # 3'!$P$18)</f>
        <v>0</v>
      </c>
      <c r="H808" s="1515">
        <f t="shared" si="84"/>
        <v>0</v>
      </c>
      <c r="I808" s="1178"/>
    </row>
    <row r="809" spans="1:9" ht="12.75" customHeight="1">
      <c r="A809" s="1505" t="s">
        <v>3031</v>
      </c>
      <c r="B809" s="1512" t="str">
        <f t="shared" si="85"/>
        <v/>
      </c>
      <c r="C809" s="1513" t="str">
        <f t="shared" si="85"/>
        <v>AMAMAW</v>
      </c>
      <c r="D809" s="1513">
        <f t="shared" si="85"/>
        <v>1</v>
      </c>
      <c r="E809" s="1514">
        <v>172</v>
      </c>
      <c r="F809" s="1509"/>
      <c r="G809" s="1510">
        <f ca="1">IF('KYCT Data Sublot # 3'!$P$19="",0,'KYCT Data Sublot # 3'!$P$19)</f>
        <v>0</v>
      </c>
      <c r="H809" s="1515">
        <f t="shared" si="84"/>
        <v>0</v>
      </c>
      <c r="I809" s="1178"/>
    </row>
    <row r="810" spans="1:9" ht="12.75" customHeight="1">
      <c r="A810" s="1505" t="s">
        <v>3032</v>
      </c>
      <c r="B810" s="1512" t="str">
        <f t="shared" si="85"/>
        <v/>
      </c>
      <c r="C810" s="1513" t="str">
        <f t="shared" si="85"/>
        <v>AMAMAW</v>
      </c>
      <c r="D810" s="1513">
        <f t="shared" si="85"/>
        <v>1</v>
      </c>
      <c r="E810" s="1514">
        <v>173</v>
      </c>
      <c r="F810" s="1509"/>
      <c r="G810" s="1510">
        <f ca="1">IF('KYCT Data Sublot # 3'!$P$20="",0,'KYCT Data Sublot # 3'!$P$20)</f>
        <v>0</v>
      </c>
      <c r="H810" s="1515">
        <f t="shared" si="84"/>
        <v>0</v>
      </c>
      <c r="I810" s="1178"/>
    </row>
    <row r="811" spans="1:9" ht="12.75" customHeight="1">
      <c r="A811" s="1505" t="s">
        <v>3033</v>
      </c>
      <c r="B811" s="1512" t="str">
        <f t="shared" si="85"/>
        <v/>
      </c>
      <c r="C811" s="1513" t="str">
        <f t="shared" si="85"/>
        <v>AMAMAW</v>
      </c>
      <c r="D811" s="1513">
        <f t="shared" si="85"/>
        <v>1</v>
      </c>
      <c r="E811" s="1514">
        <v>174</v>
      </c>
      <c r="F811" s="1509"/>
      <c r="G811" s="1510">
        <f ca="1">IF('KYCT Data Sublot # 3'!$P$21="",0,'KYCT Data Sublot # 3'!$P$21)</f>
        <v>0</v>
      </c>
      <c r="H811" s="1510">
        <f t="shared" si="84"/>
        <v>0</v>
      </c>
      <c r="I811" s="1178"/>
    </row>
    <row r="812" spans="1:9" ht="12.75" customHeight="1">
      <c r="A812" s="1505" t="s">
        <v>3034</v>
      </c>
      <c r="B812" s="1512" t="str">
        <f t="shared" si="85"/>
        <v/>
      </c>
      <c r="C812" s="1513" t="str">
        <f t="shared" si="85"/>
        <v>AMAMAW</v>
      </c>
      <c r="D812" s="1513">
        <f t="shared" si="85"/>
        <v>1</v>
      </c>
      <c r="E812" s="1514">
        <v>175</v>
      </c>
      <c r="F812" s="1510">
        <f>Calculations!$AR$1</f>
        <v>0</v>
      </c>
      <c r="G812" s="1509"/>
      <c r="H812" s="1515">
        <f t="shared" si="84"/>
        <v>0</v>
      </c>
      <c r="I812" s="1178"/>
    </row>
    <row r="813" spans="1:9" ht="12.75" customHeight="1">
      <c r="A813" s="1505" t="s">
        <v>3035</v>
      </c>
      <c r="B813" s="1512" t="str">
        <f t="shared" si="85"/>
        <v/>
      </c>
      <c r="C813" s="1513" t="str">
        <f t="shared" si="85"/>
        <v>AMAMAW</v>
      </c>
      <c r="D813" s="1513">
        <f t="shared" si="85"/>
        <v>1</v>
      </c>
      <c r="E813" s="1514">
        <v>176</v>
      </c>
      <c r="F813" s="1509"/>
      <c r="G813" s="1516">
        <f>IF('Field Rutting'!$D$19="",0,'Field Rutting'!$D$19)</f>
        <v>0</v>
      </c>
      <c r="H813" s="1515">
        <f t="shared" si="84"/>
        <v>0</v>
      </c>
      <c r="I813" s="1178"/>
    </row>
    <row r="814" spans="1:9" ht="12.75" customHeight="1">
      <c r="A814" s="1505" t="s">
        <v>3036</v>
      </c>
      <c r="B814" s="1512" t="str">
        <f t="shared" si="85"/>
        <v/>
      </c>
      <c r="C814" s="1513" t="str">
        <f t="shared" si="85"/>
        <v>AMAMAW</v>
      </c>
      <c r="D814" s="1513">
        <f t="shared" si="85"/>
        <v>1</v>
      </c>
      <c r="E814" s="1514">
        <v>177</v>
      </c>
      <c r="F814" s="1509"/>
      <c r="G814" s="1516">
        <f>IF('Field Rutting'!$D$19="",0,'Field Rutting'!$D$19)</f>
        <v>0</v>
      </c>
      <c r="H814" s="1515">
        <f t="shared" si="84"/>
        <v>0</v>
      </c>
      <c r="I814" s="1178"/>
    </row>
    <row r="815" spans="1:9" ht="12.75" customHeight="1">
      <c r="A815" s="1505" t="s">
        <v>3037</v>
      </c>
      <c r="B815" s="1512" t="str">
        <f t="shared" si="85"/>
        <v/>
      </c>
      <c r="C815" s="1513" t="str">
        <f t="shared" si="85"/>
        <v>AMAMAW</v>
      </c>
      <c r="D815" s="1513">
        <f t="shared" si="85"/>
        <v>1</v>
      </c>
      <c r="E815" s="1514">
        <v>178</v>
      </c>
      <c r="F815" s="1509"/>
      <c r="G815" s="1516">
        <f>IF('Field Rutting'!$D$20="",0,'Field Rutting'!$D$20)</f>
        <v>0</v>
      </c>
      <c r="H815" s="1515">
        <f t="shared" si="84"/>
        <v>0</v>
      </c>
      <c r="I815" s="1178"/>
    </row>
    <row r="816" spans="1:9" ht="12.75" customHeight="1">
      <c r="A816" s="1505" t="s">
        <v>3038</v>
      </c>
      <c r="B816" s="1512" t="str">
        <f t="shared" si="85"/>
        <v/>
      </c>
      <c r="C816" s="1513" t="str">
        <f t="shared" si="85"/>
        <v>AMAMAW</v>
      </c>
      <c r="D816" s="1513">
        <f t="shared" si="85"/>
        <v>1</v>
      </c>
      <c r="E816" s="1514">
        <v>179</v>
      </c>
      <c r="F816" s="1509"/>
      <c r="G816" s="1516">
        <f>IF('Field Rutting'!$D$21="",0,'Field Rutting'!$D$21)</f>
        <v>0</v>
      </c>
      <c r="H816" s="1515">
        <f t="shared" si="84"/>
        <v>0</v>
      </c>
      <c r="I816" s="1178"/>
    </row>
    <row r="817" spans="1:9" ht="12.75" customHeight="1">
      <c r="A817" s="1505" t="s">
        <v>3039</v>
      </c>
      <c r="B817" s="1512" t="str">
        <f t="shared" si="85"/>
        <v/>
      </c>
      <c r="C817" s="1513" t="str">
        <f t="shared" si="85"/>
        <v>AMAMAW</v>
      </c>
      <c r="D817" s="1513">
        <f t="shared" si="85"/>
        <v>1</v>
      </c>
      <c r="E817" s="1514">
        <v>180</v>
      </c>
      <c r="F817" s="1509"/>
      <c r="G817" s="1516">
        <f>IF('Field Rutting'!$D$22="",0,'Field Rutting'!$D$22)</f>
        <v>0</v>
      </c>
      <c r="H817" s="1515">
        <f t="shared" si="84"/>
        <v>0</v>
      </c>
      <c r="I817" s="1178"/>
    </row>
    <row r="818" spans="1:9" ht="12.75" customHeight="1">
      <c r="A818" s="1505" t="s">
        <v>3040</v>
      </c>
      <c r="B818" s="1512" t="str">
        <f t="shared" ref="B818:D830" si="86">B817</f>
        <v/>
      </c>
      <c r="C818" s="1513" t="str">
        <f t="shared" si="86"/>
        <v>AMAMAW</v>
      </c>
      <c r="D818" s="1513">
        <f t="shared" si="86"/>
        <v>1</v>
      </c>
      <c r="E818" s="1514">
        <v>181</v>
      </c>
      <c r="F818" s="1509"/>
      <c r="G818" s="1516">
        <f>IF('Field Rutting'!$D$23="",0,'Field Rutting'!$D$23)</f>
        <v>0</v>
      </c>
      <c r="H818" s="1515">
        <f t="shared" si="84"/>
        <v>0</v>
      </c>
      <c r="I818" s="1178"/>
    </row>
    <row r="819" spans="1:9" ht="12.75" customHeight="1">
      <c r="A819" s="1505" t="s">
        <v>3041</v>
      </c>
      <c r="B819" s="1512" t="str">
        <f t="shared" si="86"/>
        <v/>
      </c>
      <c r="C819" s="1513" t="str">
        <f t="shared" si="86"/>
        <v>AMAMAW</v>
      </c>
      <c r="D819" s="1513">
        <f t="shared" si="86"/>
        <v>1</v>
      </c>
      <c r="E819" s="1514">
        <v>182</v>
      </c>
      <c r="F819" s="1509"/>
      <c r="G819" s="1516">
        <f>IF('Field Rutting'!$D$24="",0,'Field Rutting'!$D$24)</f>
        <v>0</v>
      </c>
      <c r="H819" s="1515">
        <f t="shared" si="84"/>
        <v>0</v>
      </c>
      <c r="I819" s="1178"/>
    </row>
    <row r="820" spans="1:9" ht="12.75" customHeight="1">
      <c r="A820" s="1505" t="s">
        <v>3042</v>
      </c>
      <c r="B820" s="1512" t="str">
        <f t="shared" si="86"/>
        <v/>
      </c>
      <c r="C820" s="1513" t="str">
        <f t="shared" si="86"/>
        <v>AMAMAW</v>
      </c>
      <c r="D820" s="1513">
        <f t="shared" si="86"/>
        <v>1</v>
      </c>
      <c r="E820" s="1514">
        <v>183</v>
      </c>
      <c r="F820" s="1509"/>
      <c r="G820" s="1516">
        <f>IF('Field Rutting'!$L$19="",0,'Field Rutting'!$L$19)</f>
        <v>0</v>
      </c>
      <c r="H820" s="1515">
        <f t="shared" si="84"/>
        <v>0</v>
      </c>
      <c r="I820" s="1178"/>
    </row>
    <row r="821" spans="1:9" ht="12.75" customHeight="1">
      <c r="A821" s="1505" t="s">
        <v>3043</v>
      </c>
      <c r="B821" s="1512" t="str">
        <f t="shared" si="86"/>
        <v/>
      </c>
      <c r="C821" s="1513" t="str">
        <f t="shared" si="86"/>
        <v>AMAMAW</v>
      </c>
      <c r="D821" s="1513">
        <f t="shared" si="86"/>
        <v>1</v>
      </c>
      <c r="E821" s="1514">
        <v>184</v>
      </c>
      <c r="F821" s="1509"/>
      <c r="G821" s="1516">
        <f>IF('Field Rutting'!$L$20="",0,'Field Rutting'!$L$20)</f>
        <v>0</v>
      </c>
      <c r="H821" s="1515">
        <f t="shared" si="84"/>
        <v>0</v>
      </c>
      <c r="I821" s="1178"/>
    </row>
    <row r="822" spans="1:9" ht="12.75" customHeight="1">
      <c r="A822" s="1505" t="s">
        <v>3044</v>
      </c>
      <c r="B822" s="1512" t="str">
        <f t="shared" si="86"/>
        <v/>
      </c>
      <c r="C822" s="1513" t="str">
        <f t="shared" si="86"/>
        <v>AMAMAW</v>
      </c>
      <c r="D822" s="1513">
        <f t="shared" si="86"/>
        <v>1</v>
      </c>
      <c r="E822" s="1514">
        <v>185</v>
      </c>
      <c r="F822" s="1509"/>
      <c r="G822" s="1516">
        <f>IF('Field Rutting'!$L$21="",0,'Field Rutting'!$L$21)</f>
        <v>0</v>
      </c>
      <c r="H822" s="1515">
        <f t="shared" si="84"/>
        <v>0</v>
      </c>
      <c r="I822" s="1178"/>
    </row>
    <row r="823" spans="1:9" ht="12.75" customHeight="1">
      <c r="A823" s="1505" t="s">
        <v>3045</v>
      </c>
      <c r="B823" s="1512" t="str">
        <f t="shared" si="86"/>
        <v/>
      </c>
      <c r="C823" s="1513" t="str">
        <f t="shared" si="86"/>
        <v>AMAMAW</v>
      </c>
      <c r="D823" s="1513">
        <f t="shared" si="86"/>
        <v>1</v>
      </c>
      <c r="E823" s="1514">
        <v>186</v>
      </c>
      <c r="F823" s="1509"/>
      <c r="G823" s="1516">
        <f>IF('Field Rutting'!$L$22="",0,'Field Rutting'!$L$22)</f>
        <v>0</v>
      </c>
      <c r="H823" s="1515">
        <f t="shared" si="84"/>
        <v>0</v>
      </c>
      <c r="I823" s="1178"/>
    </row>
    <row r="824" spans="1:9" ht="12.75" customHeight="1">
      <c r="A824" s="1505" t="s">
        <v>3046</v>
      </c>
      <c r="B824" s="1512" t="str">
        <f t="shared" si="86"/>
        <v/>
      </c>
      <c r="C824" s="1513" t="str">
        <f t="shared" si="86"/>
        <v>AMAMAW</v>
      </c>
      <c r="D824" s="1513">
        <f t="shared" si="86"/>
        <v>1</v>
      </c>
      <c r="E824" s="1514">
        <v>187</v>
      </c>
      <c r="F824" s="1509"/>
      <c r="G824" s="1516">
        <f>IF('Field Rutting'!$L$23="",0,'Field Rutting'!$L$23)</f>
        <v>0</v>
      </c>
      <c r="H824" s="1515">
        <f t="shared" si="84"/>
        <v>0</v>
      </c>
      <c r="I824" s="1178"/>
    </row>
    <row r="825" spans="1:9" ht="12.75" customHeight="1">
      <c r="A825" s="1505" t="s">
        <v>3047</v>
      </c>
      <c r="B825" s="1512" t="str">
        <f t="shared" si="86"/>
        <v/>
      </c>
      <c r="C825" s="1513" t="str">
        <f t="shared" si="86"/>
        <v>AMAMAW</v>
      </c>
      <c r="D825" s="1513">
        <f t="shared" si="86"/>
        <v>1</v>
      </c>
      <c r="E825" s="1514">
        <v>188</v>
      </c>
      <c r="F825" s="1509"/>
      <c r="G825" s="1516">
        <f>IF('Field Rutting'!$L$24="",0,'Field Rutting'!$L$24)</f>
        <v>0</v>
      </c>
      <c r="H825" s="1515">
        <f t="shared" si="84"/>
        <v>0</v>
      </c>
      <c r="I825" s="1178"/>
    </row>
    <row r="826" spans="1:9" ht="12.75" customHeight="1">
      <c r="A826" s="1505" t="s">
        <v>3048</v>
      </c>
      <c r="B826" s="1512" t="str">
        <f t="shared" si="86"/>
        <v/>
      </c>
      <c r="C826" s="1513" t="str">
        <f t="shared" si="86"/>
        <v>AMAMAW</v>
      </c>
      <c r="D826" s="1513">
        <f t="shared" si="86"/>
        <v>1</v>
      </c>
      <c r="E826" s="1514">
        <v>189</v>
      </c>
      <c r="F826" s="1509"/>
      <c r="G826" s="1510"/>
      <c r="H826" s="1515">
        <f t="shared" si="84"/>
        <v>0</v>
      </c>
      <c r="I826" s="1178"/>
    </row>
    <row r="827" spans="1:9" ht="12.75" customHeight="1">
      <c r="A827" s="1505" t="s">
        <v>3049</v>
      </c>
      <c r="B827" s="1512" t="str">
        <f t="shared" si="86"/>
        <v/>
      </c>
      <c r="C827" s="1513" t="str">
        <f t="shared" si="86"/>
        <v>AMAMAW</v>
      </c>
      <c r="D827" s="1513">
        <f t="shared" si="86"/>
        <v>1</v>
      </c>
      <c r="E827" s="1514">
        <v>190</v>
      </c>
      <c r="F827" s="1509"/>
      <c r="G827" s="1510"/>
      <c r="H827" s="1515">
        <f t="shared" si="84"/>
        <v>0</v>
      </c>
      <c r="I827" s="1178"/>
    </row>
    <row r="828" spans="1:9" ht="12.75" customHeight="1">
      <c r="A828" s="1505" t="s">
        <v>3050</v>
      </c>
      <c r="B828" s="1512" t="str">
        <f t="shared" si="86"/>
        <v/>
      </c>
      <c r="C828" s="1513" t="str">
        <f t="shared" si="86"/>
        <v>AMAMAW</v>
      </c>
      <c r="D828" s="1513">
        <f t="shared" si="86"/>
        <v>1</v>
      </c>
      <c r="E828" s="1514">
        <v>191</v>
      </c>
      <c r="F828" s="1509"/>
      <c r="G828" s="1510"/>
      <c r="H828" s="1515">
        <f t="shared" si="84"/>
        <v>0</v>
      </c>
      <c r="I828" s="1178"/>
    </row>
    <row r="829" spans="1:9" ht="12.75" customHeight="1">
      <c r="A829" s="1505" t="s">
        <v>3051</v>
      </c>
      <c r="B829" s="1512" t="str">
        <f t="shared" si="86"/>
        <v/>
      </c>
      <c r="C829" s="1513" t="str">
        <f t="shared" si="86"/>
        <v>AMAMAW</v>
      </c>
      <c r="D829" s="1513">
        <f t="shared" si="86"/>
        <v>1</v>
      </c>
      <c r="E829" s="1514">
        <v>192</v>
      </c>
      <c r="F829" s="1509"/>
      <c r="G829" s="1510"/>
      <c r="H829" s="1515">
        <f t="shared" si="84"/>
        <v>0</v>
      </c>
      <c r="I829" s="1178"/>
    </row>
    <row r="830" spans="1:9" ht="12.75" customHeight="1">
      <c r="A830" s="1505" t="s">
        <v>3052</v>
      </c>
      <c r="B830" s="1506" t="str">
        <f t="shared" si="86"/>
        <v/>
      </c>
      <c r="C830" s="1507" t="str">
        <f t="shared" si="86"/>
        <v>AMAMAW</v>
      </c>
      <c r="D830" s="1507">
        <f t="shared" si="86"/>
        <v>1</v>
      </c>
      <c r="E830" s="1508">
        <v>193</v>
      </c>
      <c r="F830" s="1509"/>
      <c r="G830" s="1510"/>
      <c r="H830" s="1510">
        <f t="shared" si="84"/>
        <v>0</v>
      </c>
      <c r="I830" s="1178"/>
    </row>
    <row r="831" spans="1:9" ht="12.75" customHeight="1">
      <c r="A831" s="1505" t="s">
        <v>3303</v>
      </c>
      <c r="B831" s="1512" t="str">
        <f t="shared" ref="B831:D831" si="87">B830</f>
        <v/>
      </c>
      <c r="C831" s="1513" t="str">
        <f t="shared" si="87"/>
        <v>AMAMAW</v>
      </c>
      <c r="D831" s="1513">
        <f t="shared" si="87"/>
        <v>1</v>
      </c>
      <c r="E831" s="1514">
        <v>194</v>
      </c>
      <c r="F831" s="1509"/>
      <c r="G831" s="1515">
        <f ca="1">IF('KYCT Data Sublot # 3'!$A$29="",0,'KYCT Data Sublot # 3'!$A$29)</f>
        <v>0</v>
      </c>
      <c r="H831" s="1515">
        <f t="shared" si="84"/>
        <v>0</v>
      </c>
      <c r="I831" s="1517"/>
    </row>
    <row r="832" spans="1:9" ht="12.75" customHeight="1">
      <c r="A832" s="1505" t="s">
        <v>3304</v>
      </c>
      <c r="B832" s="1512" t="str">
        <f t="shared" ref="B832:D832" si="88">B831</f>
        <v/>
      </c>
      <c r="C832" s="1513" t="str">
        <f t="shared" si="88"/>
        <v>AMAMAW</v>
      </c>
      <c r="D832" s="1513">
        <f t="shared" si="88"/>
        <v>1</v>
      </c>
      <c r="E832" s="1514">
        <v>195</v>
      </c>
      <c r="F832" s="1509"/>
      <c r="G832" s="1515">
        <f>IF('KYCT Data Sublot # 3'!$B$29="",0,'KYCT Data Sublot # 3'!$B$29)</f>
        <v>0</v>
      </c>
      <c r="H832" s="1515">
        <f t="shared" si="84"/>
        <v>0</v>
      </c>
      <c r="I832" s="1517"/>
    </row>
    <row r="833" spans="1:11" ht="12.75" customHeight="1">
      <c r="A833" s="1505" t="s">
        <v>3305</v>
      </c>
      <c r="B833" s="1512" t="str">
        <f t="shared" ref="B833:D833" si="89">B832</f>
        <v/>
      </c>
      <c r="C833" s="1513" t="str">
        <f t="shared" si="89"/>
        <v>AMAMAW</v>
      </c>
      <c r="D833" s="1513">
        <f t="shared" si="89"/>
        <v>1</v>
      </c>
      <c r="E833" s="1514">
        <v>196</v>
      </c>
      <c r="F833" s="1509"/>
      <c r="G833" s="1515">
        <f ca="1">IF('KYCT Data Sublot # 3'!$C$29="",0,'KYCT Data Sublot # 3'!$C$29)</f>
        <v>0</v>
      </c>
      <c r="H833" s="1515">
        <f t="shared" si="84"/>
        <v>0</v>
      </c>
      <c r="I833" s="1517"/>
    </row>
    <row r="834" spans="1:11" ht="12.75" customHeight="1">
      <c r="A834" s="1505" t="s">
        <v>3306</v>
      </c>
      <c r="B834" s="1512" t="str">
        <f t="shared" ref="B834:D834" si="90">B833</f>
        <v/>
      </c>
      <c r="C834" s="1513" t="str">
        <f t="shared" si="90"/>
        <v>AMAMAW</v>
      </c>
      <c r="D834" s="1513">
        <f t="shared" si="90"/>
        <v>1</v>
      </c>
      <c r="E834" s="1514">
        <v>197</v>
      </c>
      <c r="F834" s="1509"/>
      <c r="G834" s="1515">
        <f>IF('KYCT Data Sublot # 3'!$D$29="",0,'KYCT Data Sublot # 3'!$D$29)</f>
        <v>0</v>
      </c>
      <c r="H834" s="1515">
        <f t="shared" si="84"/>
        <v>0</v>
      </c>
      <c r="I834" s="1517"/>
    </row>
    <row r="835" spans="1:11" ht="12.75" customHeight="1">
      <c r="A835" s="1505" t="s">
        <v>3307</v>
      </c>
      <c r="B835" s="1512" t="str">
        <f t="shared" ref="B835:D835" si="91">B834</f>
        <v/>
      </c>
      <c r="C835" s="1513" t="str">
        <f t="shared" si="91"/>
        <v>AMAMAW</v>
      </c>
      <c r="D835" s="1513">
        <f t="shared" si="91"/>
        <v>1</v>
      </c>
      <c r="E835" s="1514">
        <v>198</v>
      </c>
      <c r="F835" s="1509"/>
      <c r="G835" s="1515">
        <f ca="1">IF('KYCT Data Sublot # 3'!$E$29="",0,'KYCT Data Sublot # 3'!$E$29)</f>
        <v>0</v>
      </c>
      <c r="H835" s="1515">
        <f t="shared" si="84"/>
        <v>0</v>
      </c>
      <c r="I835" s="1517"/>
    </row>
    <row r="836" spans="1:11" ht="12.75" customHeight="1">
      <c r="A836" s="1505" t="s">
        <v>3308</v>
      </c>
      <c r="B836" s="1512" t="str">
        <f t="shared" ref="B836:D836" si="92">B835</f>
        <v/>
      </c>
      <c r="C836" s="1513" t="str">
        <f t="shared" si="92"/>
        <v>AMAMAW</v>
      </c>
      <c r="D836" s="1513">
        <f t="shared" si="92"/>
        <v>1</v>
      </c>
      <c r="E836" s="1514">
        <v>199</v>
      </c>
      <c r="F836" s="1509"/>
      <c r="G836" s="1515">
        <f>IF('KYCT Data Sublot # 3'!$F$29="",0,'KYCT Data Sublot # 3'!$F$29)</f>
        <v>0</v>
      </c>
      <c r="H836" s="1515">
        <f t="shared" si="84"/>
        <v>0</v>
      </c>
      <c r="I836" s="1517"/>
    </row>
    <row r="837" spans="1:11" ht="12.75" customHeight="1">
      <c r="A837" s="1505" t="s">
        <v>3309</v>
      </c>
      <c r="B837" s="1512" t="str">
        <f t="shared" ref="B837:D837" si="93">B836</f>
        <v/>
      </c>
      <c r="C837" s="1513" t="str">
        <f t="shared" si="93"/>
        <v>AMAMAW</v>
      </c>
      <c r="D837" s="1513">
        <f t="shared" si="93"/>
        <v>1</v>
      </c>
      <c r="E837" s="1514">
        <v>200</v>
      </c>
      <c r="F837" s="1509"/>
      <c r="G837" s="1515">
        <f ca="1">IF('KYCT Data Sublot # 3'!$G$29="",0,'KYCT Data Sublot # 3'!$G$29)</f>
        <v>0</v>
      </c>
      <c r="H837" s="1515">
        <f t="shared" si="84"/>
        <v>0</v>
      </c>
      <c r="I837" s="1517"/>
    </row>
    <row r="838" spans="1:11" ht="12.75" customHeight="1">
      <c r="A838" s="1505" t="s">
        <v>3310</v>
      </c>
      <c r="B838" s="1512" t="str">
        <f t="shared" ref="B838:D838" si="94">B837</f>
        <v/>
      </c>
      <c r="C838" s="1513" t="str">
        <f t="shared" si="94"/>
        <v>AMAMAW</v>
      </c>
      <c r="D838" s="1513">
        <f t="shared" si="94"/>
        <v>1</v>
      </c>
      <c r="E838" s="1514">
        <v>201</v>
      </c>
      <c r="F838" s="1509"/>
      <c r="G838" s="1515">
        <f>IF('KYCT Data Sublot # 3'!$H$29="",0,'KYCT Data Sublot # 3'!$H$29)</f>
        <v>0</v>
      </c>
      <c r="H838" s="1515">
        <f t="shared" si="84"/>
        <v>0</v>
      </c>
      <c r="I838" s="1517"/>
    </row>
    <row r="839" spans="1:11" ht="12.75" customHeight="1">
      <c r="A839" s="1505" t="s">
        <v>3311</v>
      </c>
      <c r="B839" s="1512" t="str">
        <f t="shared" ref="B839:D839" si="95">B838</f>
        <v/>
      </c>
      <c r="C839" s="1513" t="str">
        <f t="shared" si="95"/>
        <v>AMAMAW</v>
      </c>
      <c r="D839" s="1513">
        <f t="shared" si="95"/>
        <v>1</v>
      </c>
      <c r="E839" s="1514">
        <v>202</v>
      </c>
      <c r="F839" s="1509"/>
      <c r="G839" s="1515">
        <f ca="1">IF('KYCT Data Sublot # 3'!$I$29="",0,'KYCT Data Sublot # 3'!$I$29)</f>
        <v>0</v>
      </c>
      <c r="H839" s="1515">
        <f t="shared" si="84"/>
        <v>0</v>
      </c>
      <c r="I839" s="1517"/>
    </row>
    <row r="840" spans="1:11" ht="12.75" customHeight="1">
      <c r="A840" s="1505" t="s">
        <v>3312</v>
      </c>
      <c r="B840" s="1512" t="str">
        <f t="shared" ref="B840:D840" si="96">B839</f>
        <v/>
      </c>
      <c r="C840" s="1513" t="str">
        <f t="shared" si="96"/>
        <v>AMAMAW</v>
      </c>
      <c r="D840" s="1513">
        <f t="shared" si="96"/>
        <v>1</v>
      </c>
      <c r="E840" s="1514">
        <v>203</v>
      </c>
      <c r="F840" s="1509"/>
      <c r="G840" s="1515">
        <f>IF('KYCT Data Sublot # 3'!$J$29="",0,'KYCT Data Sublot # 3'!$J$29)</f>
        <v>0</v>
      </c>
      <c r="H840" s="1515">
        <f t="shared" si="84"/>
        <v>0</v>
      </c>
      <c r="I840" s="1517"/>
    </row>
    <row r="841" spans="1:11" ht="12.75" customHeight="1">
      <c r="A841" s="1505" t="s">
        <v>3313</v>
      </c>
      <c r="B841" s="1512" t="str">
        <f t="shared" ref="B841:D841" si="97">B840</f>
        <v/>
      </c>
      <c r="C841" s="1513" t="str">
        <f t="shared" si="97"/>
        <v>AMAMAW</v>
      </c>
      <c r="D841" s="1513">
        <f t="shared" si="97"/>
        <v>1</v>
      </c>
      <c r="E841" s="1514">
        <v>204</v>
      </c>
      <c r="F841" s="1509"/>
      <c r="G841" s="1515">
        <f ca="1">IF('KYCT Data Sublot # 3'!$K$29="",0,'KYCT Data Sublot # 3'!$K$29)</f>
        <v>0</v>
      </c>
      <c r="H841" s="1515">
        <f t="shared" si="84"/>
        <v>0</v>
      </c>
      <c r="I841" s="1517"/>
    </row>
    <row r="842" spans="1:11" ht="12.75" customHeight="1">
      <c r="A842" s="1505" t="s">
        <v>3314</v>
      </c>
      <c r="B842" s="1512" t="str">
        <f t="shared" ref="B842:D842" si="98">B841</f>
        <v/>
      </c>
      <c r="C842" s="1513" t="str">
        <f t="shared" si="98"/>
        <v>AMAMAW</v>
      </c>
      <c r="D842" s="1513">
        <f t="shared" si="98"/>
        <v>1</v>
      </c>
      <c r="E842" s="1514">
        <v>205</v>
      </c>
      <c r="F842" s="1509"/>
      <c r="G842" s="1515">
        <f>IF('KYCT Data Sublot # 3'!$L$29="",0,'KYCT Data Sublot # 3'!$L$29)</f>
        <v>0</v>
      </c>
      <c r="H842" s="1515">
        <f t="shared" si="84"/>
        <v>0</v>
      </c>
      <c r="I842" s="1517"/>
    </row>
    <row r="843" spans="1:11" ht="12.75" customHeight="1">
      <c r="A843" s="1505" t="s">
        <v>3315</v>
      </c>
      <c r="B843" s="1512" t="str">
        <f t="shared" ref="B843:D843" si="99">B842</f>
        <v/>
      </c>
      <c r="C843" s="1513" t="str">
        <f t="shared" si="99"/>
        <v>AMAMAW</v>
      </c>
      <c r="D843" s="1513">
        <f t="shared" si="99"/>
        <v>1</v>
      </c>
      <c r="E843" s="1514">
        <v>206</v>
      </c>
      <c r="F843" s="1509"/>
      <c r="G843" s="1515">
        <f ca="1">IF('KYCT Data Sublot # 3'!$M$29="",0,'KYCT Data Sublot # 3'!$M$29)</f>
        <v>0</v>
      </c>
      <c r="H843" s="1515">
        <f t="shared" si="84"/>
        <v>0</v>
      </c>
      <c r="I843" s="1517"/>
    </row>
    <row r="844" spans="1:11" ht="12.75" customHeight="1">
      <c r="A844" s="1505" t="s">
        <v>3316</v>
      </c>
      <c r="B844" s="1512" t="str">
        <f t="shared" ref="B844:D844" si="100">B843</f>
        <v/>
      </c>
      <c r="C844" s="1513" t="str">
        <f t="shared" si="100"/>
        <v>AMAMAW</v>
      </c>
      <c r="D844" s="1513">
        <f t="shared" si="100"/>
        <v>1</v>
      </c>
      <c r="E844" s="1514">
        <v>207</v>
      </c>
      <c r="F844" s="1509"/>
      <c r="G844" s="1515">
        <f>IF('KYCT Data Sublot # 3'!$N$29="",0,'KYCT Data Sublot # 3'!$N$29)</f>
        <v>0</v>
      </c>
      <c r="H844" s="1515">
        <f t="shared" si="84"/>
        <v>0</v>
      </c>
      <c r="I844" s="1517"/>
    </row>
    <row r="845" spans="1:11" ht="12.75" customHeight="1">
      <c r="A845" s="1505" t="s">
        <v>3317</v>
      </c>
      <c r="B845" s="1512" t="str">
        <f t="shared" ref="B845:D845" si="101">B844</f>
        <v/>
      </c>
      <c r="C845" s="1513" t="str">
        <f t="shared" si="101"/>
        <v>AMAMAW</v>
      </c>
      <c r="D845" s="1513">
        <f t="shared" si="101"/>
        <v>1</v>
      </c>
      <c r="E845" s="1514">
        <v>208</v>
      </c>
      <c r="F845" s="1509"/>
      <c r="G845" s="1515">
        <f ca="1">IF('KYCT Data Sublot # 3'!$O$29="",0,'KYCT Data Sublot # 3'!$O$29)</f>
        <v>0</v>
      </c>
      <c r="H845" s="1515">
        <f t="shared" si="84"/>
        <v>0</v>
      </c>
      <c r="I845" s="1517"/>
    </row>
    <row r="846" spans="1:11" ht="12.75" customHeight="1" thickBot="1">
      <c r="A846" s="1505" t="s">
        <v>3318</v>
      </c>
      <c r="B846" s="1506" t="str">
        <f t="shared" ref="B846:D846" si="102">B845</f>
        <v/>
      </c>
      <c r="C846" s="1507" t="str">
        <f t="shared" si="102"/>
        <v>AMAMAW</v>
      </c>
      <c r="D846" s="1507">
        <f t="shared" si="102"/>
        <v>1</v>
      </c>
      <c r="E846" s="1508">
        <v>209</v>
      </c>
      <c r="F846" s="1509"/>
      <c r="G846" s="1515">
        <f>IF('KYCT Data Sublot # 3'!$P$29="",0,'KYCT Data Sublot # 3'!$P$29)</f>
        <v>0</v>
      </c>
      <c r="H846" s="1510">
        <f t="shared" si="84"/>
        <v>0</v>
      </c>
      <c r="I846" s="1518"/>
    </row>
    <row r="847" spans="1:11" ht="13.5" thickBot="1">
      <c r="A847" s="956" t="s">
        <v>366</v>
      </c>
      <c r="B847" s="1140" t="str">
        <f>B728</f>
        <v/>
      </c>
      <c r="C847" s="823" t="s">
        <v>1553</v>
      </c>
      <c r="D847" s="823">
        <v>1</v>
      </c>
      <c r="E847" s="1039" t="s">
        <v>341</v>
      </c>
      <c r="F847" s="823" t="s">
        <v>1637</v>
      </c>
      <c r="G847" s="1003">
        <v>0</v>
      </c>
      <c r="H847" s="989">
        <f>H728</f>
        <v>0</v>
      </c>
      <c r="I847" s="1178"/>
      <c r="K847" s="957" t="s">
        <v>1341</v>
      </c>
    </row>
    <row r="848" spans="1:11">
      <c r="A848" s="956" t="s">
        <v>367</v>
      </c>
      <c r="B848" s="1190" t="str">
        <f>t_smpl!B12</f>
        <v/>
      </c>
      <c r="C848" s="1000" t="s">
        <v>1553</v>
      </c>
      <c r="D848" s="1000">
        <v>1</v>
      </c>
      <c r="E848" s="1007">
        <v>1</v>
      </c>
      <c r="F848" s="999" t="s">
        <v>1637</v>
      </c>
      <c r="G848" s="1002">
        <v>0</v>
      </c>
      <c r="H848" s="1006">
        <f t="shared" si="76"/>
        <v>0</v>
      </c>
      <c r="I848" s="1191"/>
    </row>
    <row r="849" spans="1:11">
      <c r="A849" s="956" t="s">
        <v>1500</v>
      </c>
      <c r="B849" s="1140" t="str">
        <f t="shared" ref="B849:B855" si="103">B848</f>
        <v/>
      </c>
      <c r="C849" s="823" t="s">
        <v>1553</v>
      </c>
      <c r="D849" s="823">
        <v>1</v>
      </c>
      <c r="E849" s="1001">
        <v>2</v>
      </c>
      <c r="F849" s="824" t="str">
        <f>IF(t_smpl!Z12="COMP","ISPC","OSPC")</f>
        <v>ISPC</v>
      </c>
      <c r="G849" s="1003">
        <v>0</v>
      </c>
      <c r="H849" s="989">
        <f t="shared" si="76"/>
        <v>0</v>
      </c>
      <c r="I849" s="1178"/>
    </row>
    <row r="850" spans="1:11">
      <c r="A850" s="956" t="s">
        <v>368</v>
      </c>
      <c r="B850" s="1140" t="str">
        <f t="shared" si="103"/>
        <v/>
      </c>
      <c r="C850" s="823" t="s">
        <v>1553</v>
      </c>
      <c r="D850" s="823">
        <v>1</v>
      </c>
      <c r="E850" s="1001">
        <v>3</v>
      </c>
      <c r="F850" s="824" t="s">
        <v>1637</v>
      </c>
      <c r="G850" s="1003">
        <v>0</v>
      </c>
      <c r="H850" s="989">
        <f t="shared" si="76"/>
        <v>0</v>
      </c>
      <c r="I850" s="1178"/>
    </row>
    <row r="851" spans="1:11">
      <c r="A851" s="956" t="s">
        <v>369</v>
      </c>
      <c r="B851" s="1140" t="str">
        <f t="shared" si="103"/>
        <v/>
      </c>
      <c r="C851" s="823" t="s">
        <v>1553</v>
      </c>
      <c r="D851" s="823">
        <v>1</v>
      </c>
      <c r="E851" s="1001">
        <v>4</v>
      </c>
      <c r="F851" s="828" t="s">
        <v>1637</v>
      </c>
      <c r="G851" s="1004">
        <v>0</v>
      </c>
      <c r="H851" s="989">
        <f t="shared" si="76"/>
        <v>0</v>
      </c>
      <c r="I851" s="1178"/>
    </row>
    <row r="852" spans="1:11">
      <c r="A852" s="956" t="s">
        <v>370</v>
      </c>
      <c r="B852" s="1140" t="str">
        <f t="shared" si="103"/>
        <v/>
      </c>
      <c r="C852" s="823" t="s">
        <v>1553</v>
      </c>
      <c r="D852" s="823">
        <v>1</v>
      </c>
      <c r="E852" s="1001">
        <v>5</v>
      </c>
      <c r="F852" s="828" t="s">
        <v>1637</v>
      </c>
      <c r="G852" s="1004">
        <v>0</v>
      </c>
      <c r="H852" s="989">
        <f t="shared" si="76"/>
        <v>0</v>
      </c>
      <c r="I852" s="1178"/>
    </row>
    <row r="853" spans="1:11">
      <c r="A853" s="956" t="s">
        <v>371</v>
      </c>
      <c r="B853" s="1140" t="str">
        <f t="shared" si="103"/>
        <v/>
      </c>
      <c r="C853" s="823" t="s">
        <v>1553</v>
      </c>
      <c r="D853" s="823">
        <v>1</v>
      </c>
      <c r="E853" s="1001">
        <v>6</v>
      </c>
      <c r="F853" s="828" t="s">
        <v>1637</v>
      </c>
      <c r="G853" s="1004">
        <v>0</v>
      </c>
      <c r="H853" s="989">
        <f t="shared" si="76"/>
        <v>0</v>
      </c>
      <c r="I853" s="1178"/>
    </row>
    <row r="854" spans="1:11">
      <c r="A854" s="956" t="s">
        <v>372</v>
      </c>
      <c r="B854" s="1140" t="str">
        <f t="shared" si="103"/>
        <v/>
      </c>
      <c r="C854" s="823" t="s">
        <v>1553</v>
      </c>
      <c r="D854" s="823">
        <v>1</v>
      </c>
      <c r="E854" s="1001">
        <v>7</v>
      </c>
      <c r="F854" s="828" t="s">
        <v>1637</v>
      </c>
      <c r="G854" s="1004">
        <v>0</v>
      </c>
      <c r="H854" s="989">
        <f t="shared" si="76"/>
        <v>0</v>
      </c>
      <c r="I854" s="1178"/>
    </row>
    <row r="855" spans="1:11">
      <c r="A855" s="956" t="s">
        <v>373</v>
      </c>
      <c r="B855" s="1140" t="str">
        <f t="shared" si="103"/>
        <v/>
      </c>
      <c r="C855" s="823" t="s">
        <v>1553</v>
      </c>
      <c r="D855" s="823">
        <v>1</v>
      </c>
      <c r="E855" s="1001">
        <v>8</v>
      </c>
      <c r="F855" s="824">
        <f>'Pay Values'!I3</f>
        <v>0</v>
      </c>
      <c r="G855" s="1003">
        <v>0</v>
      </c>
      <c r="H855" s="989">
        <f t="shared" si="76"/>
        <v>0</v>
      </c>
      <c r="I855" s="1178"/>
    </row>
    <row r="856" spans="1:11">
      <c r="A856" s="956" t="s">
        <v>374</v>
      </c>
      <c r="B856" s="1140" t="str">
        <f t="shared" ref="B856:B919" si="104">B855</f>
        <v/>
      </c>
      <c r="C856" s="823" t="s">
        <v>1553</v>
      </c>
      <c r="D856" s="823">
        <v>1</v>
      </c>
      <c r="E856" s="1001">
        <v>9</v>
      </c>
      <c r="F856" s="823" t="s">
        <v>1637</v>
      </c>
      <c r="G856" s="1003">
        <v>0</v>
      </c>
      <c r="H856" s="989">
        <f t="shared" si="76"/>
        <v>0</v>
      </c>
      <c r="I856" s="1178"/>
    </row>
    <row r="857" spans="1:11">
      <c r="A857" s="956" t="s">
        <v>375</v>
      </c>
      <c r="B857" s="1140" t="str">
        <f t="shared" si="104"/>
        <v/>
      </c>
      <c r="C857" s="823" t="s">
        <v>1553</v>
      </c>
      <c r="D857" s="823">
        <v>1</v>
      </c>
      <c r="E857" s="1001">
        <v>10</v>
      </c>
      <c r="F857" s="823" t="s">
        <v>1637</v>
      </c>
      <c r="G857" s="981" t="str">
        <f>Superpave!U9</f>
        <v/>
      </c>
      <c r="H857" s="989">
        <f t="shared" si="76"/>
        <v>0</v>
      </c>
      <c r="I857" s="1178"/>
    </row>
    <row r="858" spans="1:11">
      <c r="A858" s="956" t="s">
        <v>376</v>
      </c>
      <c r="B858" s="1140" t="str">
        <f t="shared" si="104"/>
        <v/>
      </c>
      <c r="C858" s="823" t="s">
        <v>1553</v>
      </c>
      <c r="D858" s="823">
        <v>1</v>
      </c>
      <c r="E858" s="1001">
        <v>11</v>
      </c>
      <c r="F858" s="959" t="str">
        <f>Superpave!N3</f>
        <v/>
      </c>
      <c r="G858" s="1003">
        <v>0</v>
      </c>
      <c r="H858" s="989">
        <f t="shared" si="76"/>
        <v>0</v>
      </c>
      <c r="I858" s="1178"/>
    </row>
    <row r="859" spans="1:11">
      <c r="A859" s="956" t="s">
        <v>377</v>
      </c>
      <c r="B859" s="1140" t="str">
        <f t="shared" si="104"/>
        <v/>
      </c>
      <c r="C859" s="823" t="s">
        <v>1553</v>
      </c>
      <c r="D859" s="823">
        <v>1</v>
      </c>
      <c r="E859" s="1001">
        <v>12</v>
      </c>
      <c r="F859" s="824" t="str">
        <f>Superpave!N4</f>
        <v/>
      </c>
      <c r="G859" s="1003">
        <v>0</v>
      </c>
      <c r="H859" s="989">
        <f t="shared" si="76"/>
        <v>0</v>
      </c>
      <c r="I859" s="1178"/>
    </row>
    <row r="860" spans="1:11">
      <c r="A860" s="956" t="s">
        <v>378</v>
      </c>
      <c r="B860" s="1140" t="str">
        <f t="shared" si="104"/>
        <v/>
      </c>
      <c r="C860" s="823" t="s">
        <v>1553</v>
      </c>
      <c r="D860" s="823">
        <v>1</v>
      </c>
      <c r="E860" s="1001">
        <v>13</v>
      </c>
      <c r="F860" s="824" t="str">
        <f>Superpave!N5</f>
        <v/>
      </c>
      <c r="G860" s="1003">
        <v>0</v>
      </c>
      <c r="H860" s="989">
        <f t="shared" si="76"/>
        <v>0</v>
      </c>
      <c r="I860" s="1178"/>
    </row>
    <row r="861" spans="1:11">
      <c r="A861" s="956" t="s">
        <v>379</v>
      </c>
      <c r="B861" s="1140" t="str">
        <f t="shared" si="104"/>
        <v/>
      </c>
      <c r="C861" s="823" t="s">
        <v>1553</v>
      </c>
      <c r="D861" s="823">
        <v>1</v>
      </c>
      <c r="E861" s="1001">
        <v>14</v>
      </c>
      <c r="F861" s="824" t="str">
        <f>Superpave!N6</f>
        <v/>
      </c>
      <c r="G861" s="1003">
        <v>0</v>
      </c>
      <c r="H861" s="989">
        <f t="shared" si="76"/>
        <v>0</v>
      </c>
      <c r="I861" s="1178"/>
    </row>
    <row r="862" spans="1:11">
      <c r="A862" s="956" t="s">
        <v>380</v>
      </c>
      <c r="B862" s="1140" t="str">
        <f t="shared" si="104"/>
        <v/>
      </c>
      <c r="C862" s="823" t="s">
        <v>1553</v>
      </c>
      <c r="D862" s="823">
        <v>1</v>
      </c>
      <c r="E862" s="1001">
        <v>15</v>
      </c>
      <c r="F862" s="824" t="str">
        <f>Superpave!N7</f>
        <v/>
      </c>
      <c r="G862" s="1003">
        <v>0</v>
      </c>
      <c r="H862" s="989">
        <f t="shared" si="76"/>
        <v>0</v>
      </c>
      <c r="I862" s="1178"/>
      <c r="K862" s="885"/>
    </row>
    <row r="863" spans="1:11">
      <c r="A863" s="956" t="s">
        <v>381</v>
      </c>
      <c r="B863" s="1140" t="str">
        <f t="shared" si="104"/>
        <v/>
      </c>
      <c r="C863" s="823" t="s">
        <v>1553</v>
      </c>
      <c r="D863" s="823">
        <v>1</v>
      </c>
      <c r="E863" s="1001">
        <v>16</v>
      </c>
      <c r="F863" s="824" t="str">
        <f>Superpave!N8</f>
        <v/>
      </c>
      <c r="G863" s="1003">
        <v>0</v>
      </c>
      <c r="H863" s="989">
        <f t="shared" si="76"/>
        <v>0</v>
      </c>
      <c r="I863" s="1178"/>
      <c r="J863" s="885"/>
    </row>
    <row r="864" spans="1:11">
      <c r="A864" s="956" t="s">
        <v>382</v>
      </c>
      <c r="B864" s="1140" t="str">
        <f t="shared" si="104"/>
        <v/>
      </c>
      <c r="C864" s="823" t="s">
        <v>1553</v>
      </c>
      <c r="D864" s="823">
        <v>1</v>
      </c>
      <c r="E864" s="1001">
        <v>17</v>
      </c>
      <c r="F864" s="824" t="str">
        <f>Superpave!O3</f>
        <v/>
      </c>
      <c r="G864" s="1003">
        <v>0</v>
      </c>
      <c r="H864" s="989">
        <f t="shared" si="76"/>
        <v>0</v>
      </c>
      <c r="I864" s="1178"/>
      <c r="K864" s="885"/>
    </row>
    <row r="865" spans="1:11">
      <c r="A865" s="956" t="s">
        <v>383</v>
      </c>
      <c r="B865" s="1140" t="str">
        <f t="shared" si="104"/>
        <v/>
      </c>
      <c r="C865" s="823" t="s">
        <v>1553</v>
      </c>
      <c r="D865" s="823">
        <v>1</v>
      </c>
      <c r="E865" s="1001">
        <v>18</v>
      </c>
      <c r="F865" s="824" t="str">
        <f>Superpave!O4</f>
        <v/>
      </c>
      <c r="G865" s="1003">
        <v>0</v>
      </c>
      <c r="H865" s="989">
        <f t="shared" ref="H865:H928" si="105">H864</f>
        <v>0</v>
      </c>
      <c r="I865" s="1178"/>
    </row>
    <row r="866" spans="1:11">
      <c r="A866" s="956" t="s">
        <v>384</v>
      </c>
      <c r="B866" s="1140" t="str">
        <f t="shared" si="104"/>
        <v/>
      </c>
      <c r="C866" s="823" t="s">
        <v>1553</v>
      </c>
      <c r="D866" s="823">
        <v>1</v>
      </c>
      <c r="E866" s="1001">
        <v>19</v>
      </c>
      <c r="F866" s="824" t="str">
        <f>Superpave!O5</f>
        <v/>
      </c>
      <c r="G866" s="1003">
        <v>0</v>
      </c>
      <c r="H866" s="989">
        <f t="shared" si="105"/>
        <v>0</v>
      </c>
      <c r="I866" s="1178"/>
      <c r="K866" s="885"/>
    </row>
    <row r="867" spans="1:11">
      <c r="A867" s="956" t="s">
        <v>385</v>
      </c>
      <c r="B867" s="1140" t="str">
        <f t="shared" si="104"/>
        <v/>
      </c>
      <c r="C867" s="823" t="s">
        <v>1553</v>
      </c>
      <c r="D867" s="823">
        <v>1</v>
      </c>
      <c r="E867" s="1001">
        <v>20</v>
      </c>
      <c r="F867" s="824" t="str">
        <f>Superpave!O6</f>
        <v/>
      </c>
      <c r="G867" s="1003">
        <v>0</v>
      </c>
      <c r="H867" s="989">
        <f t="shared" si="105"/>
        <v>0</v>
      </c>
      <c r="I867" s="1178"/>
      <c r="K867" s="885"/>
    </row>
    <row r="868" spans="1:11">
      <c r="A868" s="956" t="s">
        <v>386</v>
      </c>
      <c r="B868" s="1140" t="str">
        <f t="shared" si="104"/>
        <v/>
      </c>
      <c r="C868" s="823" t="s">
        <v>1553</v>
      </c>
      <c r="D868" s="823">
        <v>1</v>
      </c>
      <c r="E868" s="1001">
        <v>21</v>
      </c>
      <c r="F868" s="824" t="str">
        <f>Superpave!O7</f>
        <v/>
      </c>
      <c r="G868" s="1003">
        <v>0</v>
      </c>
      <c r="H868" s="989">
        <f t="shared" si="105"/>
        <v>0</v>
      </c>
      <c r="I868" s="1178"/>
    </row>
    <row r="869" spans="1:11">
      <c r="A869" s="956" t="s">
        <v>387</v>
      </c>
      <c r="B869" s="1140" t="str">
        <f t="shared" si="104"/>
        <v/>
      </c>
      <c r="C869" s="823" t="s">
        <v>1553</v>
      </c>
      <c r="D869" s="823">
        <v>1</v>
      </c>
      <c r="E869" s="1001">
        <v>22</v>
      </c>
      <c r="F869" s="824" t="str">
        <f>Superpave!O8</f>
        <v/>
      </c>
      <c r="G869" s="1003">
        <v>0</v>
      </c>
      <c r="H869" s="989">
        <f t="shared" si="105"/>
        <v>0</v>
      </c>
      <c r="I869" s="1178"/>
      <c r="K869" s="958"/>
    </row>
    <row r="870" spans="1:11">
      <c r="A870" s="956" t="s">
        <v>388</v>
      </c>
      <c r="B870" s="1140" t="str">
        <f t="shared" si="104"/>
        <v/>
      </c>
      <c r="C870" s="823" t="s">
        <v>1553</v>
      </c>
      <c r="D870" s="823">
        <v>1</v>
      </c>
      <c r="E870" s="1001">
        <v>23</v>
      </c>
      <c r="F870" s="823" t="s">
        <v>1637</v>
      </c>
      <c r="G870" s="980">
        <f>Superpave!U3</f>
        <v>0</v>
      </c>
      <c r="H870" s="989">
        <f t="shared" si="105"/>
        <v>0</v>
      </c>
      <c r="I870" s="1178"/>
    </row>
    <row r="871" spans="1:11">
      <c r="A871" s="956" t="s">
        <v>389</v>
      </c>
      <c r="B871" s="1163" t="str">
        <f t="shared" si="104"/>
        <v/>
      </c>
      <c r="C871" s="875" t="s">
        <v>1553</v>
      </c>
      <c r="D871" s="875">
        <v>1</v>
      </c>
      <c r="E871" s="1001">
        <v>24</v>
      </c>
      <c r="F871" s="823" t="s">
        <v>1637</v>
      </c>
      <c r="G871" s="980">
        <f>Superpave!U4</f>
        <v>0</v>
      </c>
      <c r="H871" s="989">
        <f t="shared" si="105"/>
        <v>0</v>
      </c>
      <c r="I871" s="1192"/>
      <c r="K871" s="885"/>
    </row>
    <row r="872" spans="1:11">
      <c r="A872" s="956" t="s">
        <v>390</v>
      </c>
      <c r="B872" s="1140" t="str">
        <f t="shared" si="104"/>
        <v/>
      </c>
      <c r="C872" s="823" t="s">
        <v>1553</v>
      </c>
      <c r="D872" s="823">
        <v>1</v>
      </c>
      <c r="E872" s="1001">
        <v>25</v>
      </c>
      <c r="F872" s="823" t="s">
        <v>1637</v>
      </c>
      <c r="G872" s="980">
        <f>Superpave!U5</f>
        <v>0</v>
      </c>
      <c r="H872" s="989">
        <f t="shared" si="105"/>
        <v>0</v>
      </c>
      <c r="I872" s="1178"/>
    </row>
    <row r="873" spans="1:11">
      <c r="A873" s="956" t="s">
        <v>391</v>
      </c>
      <c r="B873" s="1140" t="str">
        <f t="shared" si="104"/>
        <v/>
      </c>
      <c r="C873" s="823" t="s">
        <v>1553</v>
      </c>
      <c r="D873" s="823">
        <v>1</v>
      </c>
      <c r="E873" s="1001">
        <v>26</v>
      </c>
      <c r="F873" s="823" t="s">
        <v>1637</v>
      </c>
      <c r="G873" s="980">
        <f>Superpave!U6</f>
        <v>0</v>
      </c>
      <c r="H873" s="989">
        <f t="shared" si="105"/>
        <v>0</v>
      </c>
      <c r="I873" s="1178"/>
    </row>
    <row r="874" spans="1:11">
      <c r="A874" s="956" t="s">
        <v>392</v>
      </c>
      <c r="B874" s="1140" t="str">
        <f t="shared" si="104"/>
        <v/>
      </c>
      <c r="C874" s="823" t="s">
        <v>1553</v>
      </c>
      <c r="D874" s="823">
        <v>1</v>
      </c>
      <c r="E874" s="1001">
        <v>27</v>
      </c>
      <c r="F874" s="823" t="s">
        <v>1637</v>
      </c>
      <c r="G874" s="980">
        <f>Superpave!U7</f>
        <v>0</v>
      </c>
      <c r="H874" s="989">
        <f t="shared" si="105"/>
        <v>0</v>
      </c>
      <c r="I874" s="1178"/>
    </row>
    <row r="875" spans="1:11">
      <c r="A875" s="956" t="s">
        <v>393</v>
      </c>
      <c r="B875" s="1140" t="str">
        <f t="shared" si="104"/>
        <v/>
      </c>
      <c r="C875" s="823" t="s">
        <v>1553</v>
      </c>
      <c r="D875" s="823">
        <v>1</v>
      </c>
      <c r="E875" s="1001">
        <v>28</v>
      </c>
      <c r="F875" s="823" t="s">
        <v>1637</v>
      </c>
      <c r="G875" s="980">
        <f>Superpave!U8</f>
        <v>0</v>
      </c>
      <c r="H875" s="989">
        <f t="shared" si="105"/>
        <v>0</v>
      </c>
      <c r="I875" s="1178"/>
    </row>
    <row r="876" spans="1:11">
      <c r="A876" s="956" t="s">
        <v>394</v>
      </c>
      <c r="B876" s="1140" t="str">
        <f t="shared" si="104"/>
        <v/>
      </c>
      <c r="C876" s="823" t="s">
        <v>1553</v>
      </c>
      <c r="D876" s="823">
        <v>1</v>
      </c>
      <c r="E876" s="1001">
        <v>29</v>
      </c>
      <c r="F876" s="823" t="s">
        <v>1637</v>
      </c>
      <c r="G876" s="981">
        <f>Superpave!Q3</f>
        <v>0</v>
      </c>
      <c r="H876" s="989">
        <f t="shared" si="105"/>
        <v>0</v>
      </c>
      <c r="I876" s="1178"/>
    </row>
    <row r="877" spans="1:11">
      <c r="A877" s="956" t="s">
        <v>395</v>
      </c>
      <c r="B877" s="1140" t="str">
        <f t="shared" si="104"/>
        <v/>
      </c>
      <c r="C877" s="823" t="s">
        <v>1553</v>
      </c>
      <c r="D877" s="823">
        <v>1</v>
      </c>
      <c r="E877" s="1001">
        <v>30</v>
      </c>
      <c r="F877" s="823" t="s">
        <v>1637</v>
      </c>
      <c r="G877" s="981">
        <f>Superpave!Q4</f>
        <v>0</v>
      </c>
      <c r="H877" s="989">
        <f t="shared" si="105"/>
        <v>0</v>
      </c>
      <c r="I877" s="1178"/>
    </row>
    <row r="878" spans="1:11">
      <c r="A878" s="956" t="s">
        <v>396</v>
      </c>
      <c r="B878" s="1140" t="str">
        <f t="shared" si="104"/>
        <v/>
      </c>
      <c r="C878" s="823" t="s">
        <v>1553</v>
      </c>
      <c r="D878" s="823">
        <v>1</v>
      </c>
      <c r="E878" s="1001">
        <v>31</v>
      </c>
      <c r="F878" s="823" t="s">
        <v>1637</v>
      </c>
      <c r="G878" s="981">
        <f>Superpave!Q5</f>
        <v>0</v>
      </c>
      <c r="H878" s="989">
        <f t="shared" si="105"/>
        <v>0</v>
      </c>
      <c r="I878" s="1178"/>
      <c r="K878" s="885"/>
    </row>
    <row r="879" spans="1:11">
      <c r="A879" s="956" t="s">
        <v>397</v>
      </c>
      <c r="B879" s="1140" t="str">
        <f t="shared" si="104"/>
        <v/>
      </c>
      <c r="C879" s="823" t="s">
        <v>1553</v>
      </c>
      <c r="D879" s="823">
        <v>1</v>
      </c>
      <c r="E879" s="1001">
        <v>32</v>
      </c>
      <c r="F879" s="823" t="s">
        <v>1637</v>
      </c>
      <c r="G879" s="981">
        <f>Superpave!Q6</f>
        <v>0</v>
      </c>
      <c r="H879" s="989">
        <f t="shared" si="105"/>
        <v>0</v>
      </c>
      <c r="I879" s="1178"/>
      <c r="J879" s="885"/>
    </row>
    <row r="880" spans="1:11">
      <c r="A880" s="956" t="s">
        <v>398</v>
      </c>
      <c r="B880" s="1140" t="str">
        <f t="shared" si="104"/>
        <v/>
      </c>
      <c r="C880" s="823" t="s">
        <v>1553</v>
      </c>
      <c r="D880" s="823">
        <v>1</v>
      </c>
      <c r="E880" s="1001">
        <v>33</v>
      </c>
      <c r="F880" s="823" t="s">
        <v>1637</v>
      </c>
      <c r="G880" s="981">
        <f>Superpave!Q7</f>
        <v>0</v>
      </c>
      <c r="H880" s="989">
        <f t="shared" si="105"/>
        <v>0</v>
      </c>
      <c r="I880" s="1178"/>
      <c r="K880" s="885"/>
    </row>
    <row r="881" spans="1:11">
      <c r="A881" s="956" t="s">
        <v>399</v>
      </c>
      <c r="B881" s="1140" t="str">
        <f t="shared" si="104"/>
        <v/>
      </c>
      <c r="C881" s="823" t="s">
        <v>1553</v>
      </c>
      <c r="D881" s="823">
        <v>1</v>
      </c>
      <c r="E881" s="1001">
        <v>34</v>
      </c>
      <c r="F881" s="823" t="s">
        <v>1637</v>
      </c>
      <c r="G881" s="981">
        <f>Superpave!Q8</f>
        <v>0</v>
      </c>
      <c r="H881" s="989">
        <f t="shared" si="105"/>
        <v>0</v>
      </c>
      <c r="I881" s="1178"/>
    </row>
    <row r="882" spans="1:11">
      <c r="A882" s="956" t="s">
        <v>400</v>
      </c>
      <c r="B882" s="1140" t="str">
        <f t="shared" si="104"/>
        <v/>
      </c>
      <c r="C882" s="823" t="s">
        <v>1553</v>
      </c>
      <c r="D882" s="823">
        <v>1</v>
      </c>
      <c r="E882" s="1001">
        <v>35</v>
      </c>
      <c r="F882" s="823" t="s">
        <v>1637</v>
      </c>
      <c r="G882" s="1003">
        <v>0</v>
      </c>
      <c r="H882" s="989">
        <f t="shared" si="105"/>
        <v>0</v>
      </c>
      <c r="I882" s="1178"/>
    </row>
    <row r="883" spans="1:11">
      <c r="A883" s="956" t="s">
        <v>401</v>
      </c>
      <c r="B883" s="1140" t="str">
        <f t="shared" si="104"/>
        <v/>
      </c>
      <c r="C883" s="823" t="s">
        <v>1553</v>
      </c>
      <c r="D883" s="823">
        <v>1</v>
      </c>
      <c r="E883" s="1001">
        <v>36</v>
      </c>
      <c r="F883" s="823" t="s">
        <v>1637</v>
      </c>
      <c r="G883" s="982">
        <f>Superpave!I6</f>
        <v>0</v>
      </c>
      <c r="H883" s="989">
        <f t="shared" si="105"/>
        <v>0</v>
      </c>
      <c r="I883" s="1178"/>
    </row>
    <row r="884" spans="1:11">
      <c r="A884" s="956" t="s">
        <v>402</v>
      </c>
      <c r="B884" s="1140" t="str">
        <f t="shared" si="104"/>
        <v/>
      </c>
      <c r="C884" s="823" t="s">
        <v>1553</v>
      </c>
      <c r="D884" s="823">
        <v>1</v>
      </c>
      <c r="E884" s="1001">
        <v>37</v>
      </c>
      <c r="F884" s="823" t="s">
        <v>1637</v>
      </c>
      <c r="G884" s="983">
        <f>Superpave!J6</f>
        <v>0</v>
      </c>
      <c r="H884" s="989">
        <f t="shared" si="105"/>
        <v>0</v>
      </c>
      <c r="I884" s="1178"/>
    </row>
    <row r="885" spans="1:11">
      <c r="A885" s="956" t="s">
        <v>706</v>
      </c>
      <c r="B885" s="1140" t="str">
        <f t="shared" si="104"/>
        <v/>
      </c>
      <c r="C885" s="823" t="s">
        <v>1553</v>
      </c>
      <c r="D885" s="823">
        <v>1</v>
      </c>
      <c r="E885" s="1001">
        <v>38</v>
      </c>
      <c r="F885" s="992">
        <f>Superpave!K6</f>
        <v>0</v>
      </c>
      <c r="G885" s="1005">
        <v>0</v>
      </c>
      <c r="H885" s="989">
        <f t="shared" si="105"/>
        <v>0</v>
      </c>
      <c r="I885" s="1178"/>
      <c r="K885" s="958"/>
    </row>
    <row r="886" spans="1:11">
      <c r="A886" s="956" t="s">
        <v>707</v>
      </c>
      <c r="B886" s="1140" t="str">
        <f t="shared" si="104"/>
        <v/>
      </c>
      <c r="C886" s="823" t="s">
        <v>1553</v>
      </c>
      <c r="D886" s="823">
        <v>1</v>
      </c>
      <c r="E886" s="1001">
        <v>39</v>
      </c>
      <c r="F886" s="823" t="s">
        <v>1637</v>
      </c>
      <c r="G886" s="981">
        <f>Superpave!L6</f>
        <v>0</v>
      </c>
      <c r="H886" s="989">
        <f t="shared" si="105"/>
        <v>0</v>
      </c>
      <c r="I886" s="1178"/>
    </row>
    <row r="887" spans="1:11">
      <c r="A887" s="956" t="s">
        <v>708</v>
      </c>
      <c r="B887" s="1163" t="str">
        <f t="shared" si="104"/>
        <v/>
      </c>
      <c r="C887" s="875" t="s">
        <v>1553</v>
      </c>
      <c r="D887" s="875">
        <v>1</v>
      </c>
      <c r="E887" s="1001">
        <v>40</v>
      </c>
      <c r="F887" s="823" t="s">
        <v>1637</v>
      </c>
      <c r="G887" s="1003">
        <v>0</v>
      </c>
      <c r="H887" s="989">
        <f t="shared" si="105"/>
        <v>0</v>
      </c>
      <c r="I887" s="1192"/>
      <c r="K887" s="885"/>
    </row>
    <row r="888" spans="1:11">
      <c r="A888" s="956" t="s">
        <v>1561</v>
      </c>
      <c r="B888" s="1140" t="str">
        <f t="shared" si="104"/>
        <v/>
      </c>
      <c r="C888" s="823" t="s">
        <v>1553</v>
      </c>
      <c r="D888" s="823">
        <v>1</v>
      </c>
      <c r="E888" s="1001">
        <v>41</v>
      </c>
      <c r="F888" s="824" t="str">
        <f>Calculations!AU38</f>
        <v/>
      </c>
      <c r="G888" s="1003">
        <v>0</v>
      </c>
      <c r="H888" s="989">
        <f t="shared" si="105"/>
        <v>0</v>
      </c>
      <c r="I888" s="1178"/>
    </row>
    <row r="889" spans="1:11">
      <c r="A889" s="956" t="s">
        <v>1562</v>
      </c>
      <c r="B889" s="1140" t="str">
        <f t="shared" si="104"/>
        <v/>
      </c>
      <c r="C889" s="823" t="s">
        <v>1553</v>
      </c>
      <c r="D889" s="823">
        <v>1</v>
      </c>
      <c r="E889" s="1001">
        <v>42</v>
      </c>
      <c r="F889" s="823" t="s">
        <v>1637</v>
      </c>
      <c r="G889" s="980" t="str">
        <f>Superpave!B32</f>
        <v/>
      </c>
      <c r="H889" s="989">
        <f t="shared" si="105"/>
        <v>0</v>
      </c>
      <c r="I889" s="1178"/>
    </row>
    <row r="890" spans="1:11">
      <c r="A890" s="956" t="s">
        <v>1563</v>
      </c>
      <c r="B890" s="1140" t="str">
        <f t="shared" si="104"/>
        <v/>
      </c>
      <c r="C890" s="823" t="s">
        <v>1553</v>
      </c>
      <c r="D890" s="823">
        <v>1</v>
      </c>
      <c r="E890" s="1001">
        <v>43</v>
      </c>
      <c r="F890" s="823" t="s">
        <v>1637</v>
      </c>
      <c r="G890" s="980" t="str">
        <f>Superpave!H32</f>
        <v/>
      </c>
      <c r="H890" s="989">
        <f t="shared" si="105"/>
        <v>0</v>
      </c>
      <c r="I890" s="1178"/>
    </row>
    <row r="891" spans="1:11">
      <c r="A891" s="956" t="s">
        <v>1564</v>
      </c>
      <c r="B891" s="1140" t="str">
        <f t="shared" si="104"/>
        <v/>
      </c>
      <c r="C891" s="823" t="s">
        <v>1553</v>
      </c>
      <c r="D891" s="823">
        <v>1</v>
      </c>
      <c r="E891" s="1001">
        <v>44</v>
      </c>
      <c r="F891" s="823" t="s">
        <v>1637</v>
      </c>
      <c r="G891" s="984" t="str">
        <f>Superpave!I32</f>
        <v/>
      </c>
      <c r="H891" s="989">
        <f t="shared" si="105"/>
        <v>0</v>
      </c>
      <c r="I891" s="1178"/>
    </row>
    <row r="892" spans="1:11">
      <c r="A892" s="956" t="s">
        <v>1565</v>
      </c>
      <c r="B892" s="1140" t="str">
        <f t="shared" si="104"/>
        <v/>
      </c>
      <c r="C892" s="823" t="s">
        <v>1553</v>
      </c>
      <c r="D892" s="823">
        <v>1</v>
      </c>
      <c r="E892" s="1001">
        <v>45</v>
      </c>
      <c r="F892" s="823" t="s">
        <v>1637</v>
      </c>
      <c r="G892" s="980" t="str">
        <f>Superpave!J32</f>
        <v/>
      </c>
      <c r="H892" s="989">
        <f t="shared" si="105"/>
        <v>0</v>
      </c>
      <c r="I892" s="1178"/>
    </row>
    <row r="893" spans="1:11">
      <c r="A893" s="956" t="s">
        <v>1566</v>
      </c>
      <c r="B893" s="1140" t="str">
        <f t="shared" si="104"/>
        <v/>
      </c>
      <c r="C893" s="823" t="s">
        <v>1553</v>
      </c>
      <c r="D893" s="823">
        <v>1</v>
      </c>
      <c r="E893" s="1001">
        <v>46</v>
      </c>
      <c r="F893" s="823" t="s">
        <v>1637</v>
      </c>
      <c r="G893" s="980" t="str">
        <f>Superpave!L32</f>
        <v/>
      </c>
      <c r="H893" s="989">
        <f t="shared" si="105"/>
        <v>0</v>
      </c>
      <c r="I893" s="1178"/>
    </row>
    <row r="894" spans="1:11">
      <c r="A894" s="956" t="s">
        <v>1567</v>
      </c>
      <c r="B894" s="1140" t="str">
        <f t="shared" si="104"/>
        <v/>
      </c>
      <c r="C894" s="823" t="s">
        <v>1553</v>
      </c>
      <c r="D894" s="823">
        <v>1</v>
      </c>
      <c r="E894" s="1001">
        <v>47</v>
      </c>
      <c r="F894" s="823" t="s">
        <v>1637</v>
      </c>
      <c r="G894" s="980" t="str">
        <f>Superpave!M32</f>
        <v/>
      </c>
      <c r="H894" s="989">
        <f t="shared" si="105"/>
        <v>0</v>
      </c>
      <c r="I894" s="1178"/>
      <c r="K894" s="885"/>
    </row>
    <row r="895" spans="1:11">
      <c r="A895" s="956" t="s">
        <v>1568</v>
      </c>
      <c r="B895" s="1140" t="str">
        <f t="shared" si="104"/>
        <v/>
      </c>
      <c r="C895" s="823" t="s">
        <v>1553</v>
      </c>
      <c r="D895" s="823">
        <v>1</v>
      </c>
      <c r="E895" s="1001">
        <v>48</v>
      </c>
      <c r="F895" s="823" t="s">
        <v>1637</v>
      </c>
      <c r="G895" s="980" t="str">
        <f>Superpave!N32</f>
        <v/>
      </c>
      <c r="H895" s="989">
        <f t="shared" si="105"/>
        <v>0</v>
      </c>
      <c r="I895" s="1178"/>
      <c r="J895" s="885"/>
    </row>
    <row r="896" spans="1:11">
      <c r="A896" s="956" t="s">
        <v>1569</v>
      </c>
      <c r="B896" s="1140" t="str">
        <f t="shared" si="104"/>
        <v/>
      </c>
      <c r="C896" s="823" t="s">
        <v>1553</v>
      </c>
      <c r="D896" s="823">
        <v>1</v>
      </c>
      <c r="E896" s="1001">
        <v>49</v>
      </c>
      <c r="F896" s="980" t="str">
        <f>Superpave!O32</f>
        <v/>
      </c>
      <c r="G896" s="1178"/>
      <c r="H896" s="989">
        <f t="shared" si="105"/>
        <v>0</v>
      </c>
      <c r="I896" s="1178"/>
      <c r="K896" s="885"/>
    </row>
    <row r="897" spans="1:11">
      <c r="A897" s="956" t="s">
        <v>1570</v>
      </c>
      <c r="B897" s="1140" t="str">
        <f t="shared" si="104"/>
        <v/>
      </c>
      <c r="C897" s="823" t="s">
        <v>1553</v>
      </c>
      <c r="D897" s="823">
        <v>1</v>
      </c>
      <c r="E897" s="1001">
        <v>50</v>
      </c>
      <c r="F897" s="823" t="s">
        <v>1637</v>
      </c>
      <c r="G897" s="980">
        <f>Superpave!N43</f>
        <v>0</v>
      </c>
      <c r="H897" s="989">
        <f t="shared" si="105"/>
        <v>0</v>
      </c>
      <c r="I897" s="1178"/>
    </row>
    <row r="898" spans="1:11">
      <c r="A898" s="956" t="s">
        <v>1571</v>
      </c>
      <c r="B898" s="1140" t="str">
        <f t="shared" si="104"/>
        <v/>
      </c>
      <c r="C898" s="823" t="s">
        <v>1553</v>
      </c>
      <c r="D898" s="823">
        <v>1</v>
      </c>
      <c r="E898" s="1001">
        <v>51</v>
      </c>
      <c r="F898" s="823" t="s">
        <v>1637</v>
      </c>
      <c r="G898" s="984" t="str">
        <f>Superpave!N42</f>
        <v/>
      </c>
      <c r="H898" s="989">
        <f t="shared" si="105"/>
        <v>0</v>
      </c>
      <c r="I898" s="1178"/>
      <c r="K898" s="885"/>
    </row>
    <row r="899" spans="1:11">
      <c r="A899" s="956" t="s">
        <v>1572</v>
      </c>
      <c r="B899" s="1140" t="str">
        <f t="shared" si="104"/>
        <v/>
      </c>
      <c r="C899" s="823" t="s">
        <v>1553</v>
      </c>
      <c r="D899" s="823">
        <v>1</v>
      </c>
      <c r="E899" s="1001">
        <v>52</v>
      </c>
      <c r="F899" s="823" t="s">
        <v>1637</v>
      </c>
      <c r="G899" s="1003">
        <v>0</v>
      </c>
      <c r="H899" s="989">
        <f t="shared" si="105"/>
        <v>0</v>
      </c>
      <c r="I899" s="1178"/>
      <c r="K899" s="885"/>
    </row>
    <row r="900" spans="1:11">
      <c r="A900" s="956" t="s">
        <v>1573</v>
      </c>
      <c r="B900" s="1140" t="str">
        <f t="shared" si="104"/>
        <v/>
      </c>
      <c r="C900" s="823" t="s">
        <v>1553</v>
      </c>
      <c r="D900" s="823">
        <v>1</v>
      </c>
      <c r="E900" s="1001">
        <v>53</v>
      </c>
      <c r="F900" s="823" t="s">
        <v>1637</v>
      </c>
      <c r="G900" s="980" t="str">
        <f>Gradation!M10</f>
        <v/>
      </c>
      <c r="H900" s="989">
        <f t="shared" si="105"/>
        <v>0</v>
      </c>
      <c r="I900" s="1178"/>
    </row>
    <row r="901" spans="1:11">
      <c r="A901" s="956" t="s">
        <v>1574</v>
      </c>
      <c r="B901" s="1140" t="str">
        <f t="shared" si="104"/>
        <v/>
      </c>
      <c r="C901" s="823" t="s">
        <v>1553</v>
      </c>
      <c r="D901" s="823">
        <v>1</v>
      </c>
      <c r="E901" s="1001">
        <v>54</v>
      </c>
      <c r="F901" s="823" t="s">
        <v>1637</v>
      </c>
      <c r="G901" s="980" t="str">
        <f>Gradation!M11</f>
        <v/>
      </c>
      <c r="H901" s="989">
        <f t="shared" si="105"/>
        <v>0</v>
      </c>
      <c r="I901" s="1178"/>
      <c r="K901" s="958"/>
    </row>
    <row r="902" spans="1:11">
      <c r="A902" s="956" t="s">
        <v>1575</v>
      </c>
      <c r="B902" s="1140" t="str">
        <f t="shared" si="104"/>
        <v/>
      </c>
      <c r="C902" s="823" t="s">
        <v>1553</v>
      </c>
      <c r="D902" s="823">
        <v>1</v>
      </c>
      <c r="E902" s="1001">
        <v>55</v>
      </c>
      <c r="F902" s="823" t="s">
        <v>1637</v>
      </c>
      <c r="G902" s="980" t="str">
        <f>Gradation!M12</f>
        <v/>
      </c>
      <c r="H902" s="989">
        <f t="shared" si="105"/>
        <v>0</v>
      </c>
      <c r="I902" s="1178"/>
    </row>
    <row r="903" spans="1:11">
      <c r="A903" s="956" t="s">
        <v>1576</v>
      </c>
      <c r="B903" s="1163" t="str">
        <f t="shared" si="104"/>
        <v/>
      </c>
      <c r="C903" s="875" t="s">
        <v>1553</v>
      </c>
      <c r="D903" s="875">
        <v>1</v>
      </c>
      <c r="E903" s="1001">
        <v>56</v>
      </c>
      <c r="F903" s="823" t="s">
        <v>1637</v>
      </c>
      <c r="G903" s="980" t="str">
        <f>Gradation!M13</f>
        <v/>
      </c>
      <c r="H903" s="989">
        <f t="shared" si="105"/>
        <v>0</v>
      </c>
      <c r="I903" s="1192"/>
      <c r="K903" s="885"/>
    </row>
    <row r="904" spans="1:11">
      <c r="A904" s="956" t="s">
        <v>1577</v>
      </c>
      <c r="B904" s="1140" t="str">
        <f t="shared" si="104"/>
        <v/>
      </c>
      <c r="C904" s="823" t="s">
        <v>1553</v>
      </c>
      <c r="D904" s="823">
        <v>1</v>
      </c>
      <c r="E904" s="1001">
        <v>57</v>
      </c>
      <c r="F904" s="823" t="s">
        <v>1637</v>
      </c>
      <c r="G904" s="980" t="str">
        <f>Gradation!M14</f>
        <v/>
      </c>
      <c r="H904" s="989">
        <f t="shared" si="105"/>
        <v>0</v>
      </c>
      <c r="I904" s="1178"/>
    </row>
    <row r="905" spans="1:11">
      <c r="A905" s="956" t="s">
        <v>1578</v>
      </c>
      <c r="B905" s="1140" t="str">
        <f t="shared" si="104"/>
        <v/>
      </c>
      <c r="C905" s="823" t="s">
        <v>1553</v>
      </c>
      <c r="D905" s="823">
        <v>1</v>
      </c>
      <c r="E905" s="1001">
        <v>58</v>
      </c>
      <c r="F905" s="823" t="s">
        <v>1637</v>
      </c>
      <c r="G905" s="980" t="str">
        <f>Gradation!M15</f>
        <v/>
      </c>
      <c r="H905" s="989">
        <f t="shared" si="105"/>
        <v>0</v>
      </c>
      <c r="I905" s="1178"/>
    </row>
    <row r="906" spans="1:11">
      <c r="A906" s="956" t="s">
        <v>1579</v>
      </c>
      <c r="B906" s="1140" t="str">
        <f t="shared" si="104"/>
        <v/>
      </c>
      <c r="C906" s="823" t="s">
        <v>1553</v>
      </c>
      <c r="D906" s="823">
        <v>1</v>
      </c>
      <c r="E906" s="1001">
        <v>59</v>
      </c>
      <c r="F906" s="823" t="s">
        <v>1637</v>
      </c>
      <c r="G906" s="980" t="str">
        <f>Gradation!M16</f>
        <v/>
      </c>
      <c r="H906" s="989">
        <f t="shared" si="105"/>
        <v>0</v>
      </c>
      <c r="I906" s="1178"/>
    </row>
    <row r="907" spans="1:11">
      <c r="A907" s="956" t="s">
        <v>1580</v>
      </c>
      <c r="B907" s="1140" t="str">
        <f t="shared" si="104"/>
        <v/>
      </c>
      <c r="C907" s="823" t="s">
        <v>1553</v>
      </c>
      <c r="D907" s="823">
        <v>1</v>
      </c>
      <c r="E907" s="1001">
        <v>60</v>
      </c>
      <c r="F907" s="823" t="s">
        <v>1637</v>
      </c>
      <c r="G907" s="980" t="str">
        <f>Gradation!M17</f>
        <v/>
      </c>
      <c r="H907" s="989">
        <f t="shared" si="105"/>
        <v>0</v>
      </c>
      <c r="I907" s="1178"/>
    </row>
    <row r="908" spans="1:11">
      <c r="A908" s="956" t="s">
        <v>1581</v>
      </c>
      <c r="B908" s="1140" t="str">
        <f t="shared" si="104"/>
        <v/>
      </c>
      <c r="C908" s="823" t="s">
        <v>1553</v>
      </c>
      <c r="D908" s="823">
        <v>1</v>
      </c>
      <c r="E908" s="1001">
        <v>61</v>
      </c>
      <c r="F908" s="823" t="s">
        <v>1637</v>
      </c>
      <c r="G908" s="980" t="str">
        <f>Gradation!M18</f>
        <v/>
      </c>
      <c r="H908" s="989">
        <f t="shared" si="105"/>
        <v>0</v>
      </c>
      <c r="I908" s="1178"/>
    </row>
    <row r="909" spans="1:11">
      <c r="A909" s="956" t="s">
        <v>1582</v>
      </c>
      <c r="B909" s="1140" t="str">
        <f t="shared" si="104"/>
        <v/>
      </c>
      <c r="C909" s="823" t="s">
        <v>1553</v>
      </c>
      <c r="D909" s="823">
        <v>1</v>
      </c>
      <c r="E909" s="1001">
        <v>62</v>
      </c>
      <c r="F909" s="823" t="s">
        <v>1637</v>
      </c>
      <c r="G909" s="980" t="str">
        <f>Gradation!M19</f>
        <v/>
      </c>
      <c r="H909" s="989">
        <f t="shared" si="105"/>
        <v>0</v>
      </c>
      <c r="I909" s="1178"/>
    </row>
    <row r="910" spans="1:11">
      <c r="A910" s="956" t="s">
        <v>1583</v>
      </c>
      <c r="B910" s="1140" t="str">
        <f t="shared" si="104"/>
        <v/>
      </c>
      <c r="C910" s="823" t="s">
        <v>1553</v>
      </c>
      <c r="D910" s="823">
        <v>1</v>
      </c>
      <c r="E910" s="1001">
        <v>63</v>
      </c>
      <c r="F910" s="823" t="s">
        <v>1637</v>
      </c>
      <c r="G910" s="980" t="str">
        <f>Gradation!M20</f>
        <v/>
      </c>
      <c r="H910" s="989">
        <f t="shared" si="105"/>
        <v>0</v>
      </c>
      <c r="I910" s="1178"/>
      <c r="K910" s="885"/>
    </row>
    <row r="911" spans="1:11">
      <c r="A911" s="956" t="s">
        <v>1584</v>
      </c>
      <c r="B911" s="1140" t="str">
        <f t="shared" si="104"/>
        <v/>
      </c>
      <c r="C911" s="823" t="s">
        <v>1553</v>
      </c>
      <c r="D911" s="823">
        <v>1</v>
      </c>
      <c r="E911" s="1001">
        <v>64</v>
      </c>
      <c r="F911" s="823" t="s">
        <v>1637</v>
      </c>
      <c r="G911" s="980" t="str">
        <f>Gradation!M21</f>
        <v/>
      </c>
      <c r="H911" s="989">
        <f t="shared" si="105"/>
        <v>0</v>
      </c>
      <c r="I911" s="1178"/>
      <c r="J911" s="885"/>
    </row>
    <row r="912" spans="1:11">
      <c r="A912" s="956" t="s">
        <v>1585</v>
      </c>
      <c r="B912" s="1140" t="str">
        <f t="shared" si="104"/>
        <v/>
      </c>
      <c r="C912" s="823" t="s">
        <v>1553</v>
      </c>
      <c r="D912" s="823">
        <v>1</v>
      </c>
      <c r="E912" s="1001">
        <v>65</v>
      </c>
      <c r="F912" s="823" t="s">
        <v>1637</v>
      </c>
      <c r="G912" s="980" t="str">
        <f>Gradation!M22</f>
        <v/>
      </c>
      <c r="H912" s="989">
        <f t="shared" si="105"/>
        <v>0</v>
      </c>
      <c r="I912" s="1178"/>
      <c r="K912" s="885"/>
    </row>
    <row r="913" spans="1:11">
      <c r="A913" s="956" t="s">
        <v>1586</v>
      </c>
      <c r="B913" s="1140" t="str">
        <f t="shared" si="104"/>
        <v/>
      </c>
      <c r="C913" s="823" t="s">
        <v>1553</v>
      </c>
      <c r="D913" s="823">
        <v>1</v>
      </c>
      <c r="E913" s="1001">
        <v>66</v>
      </c>
      <c r="F913" s="823" t="s">
        <v>1637</v>
      </c>
      <c r="G913" s="980" t="str">
        <f>Gradation!M23</f>
        <v/>
      </c>
      <c r="H913" s="989">
        <f t="shared" si="105"/>
        <v>0</v>
      </c>
      <c r="I913" s="1178"/>
    </row>
    <row r="914" spans="1:11">
      <c r="A914" s="956" t="s">
        <v>1591</v>
      </c>
      <c r="B914" s="1140" t="str">
        <f t="shared" si="104"/>
        <v/>
      </c>
      <c r="C914" s="823" t="s">
        <v>1553</v>
      </c>
      <c r="D914" s="823">
        <v>1</v>
      </c>
      <c r="E914" s="1001">
        <v>67</v>
      </c>
      <c r="F914" s="823" t="s">
        <v>1637</v>
      </c>
      <c r="G914" s="1003">
        <v>0</v>
      </c>
      <c r="H914" s="989">
        <f t="shared" si="105"/>
        <v>0</v>
      </c>
      <c r="I914" s="1178"/>
      <c r="K914" s="885"/>
    </row>
    <row r="915" spans="1:11">
      <c r="A915" s="956" t="s">
        <v>1592</v>
      </c>
      <c r="B915" s="1140" t="str">
        <f t="shared" si="104"/>
        <v/>
      </c>
      <c r="C915" s="823" t="s">
        <v>1553</v>
      </c>
      <c r="D915" s="823">
        <v>1</v>
      </c>
      <c r="E915" s="1001">
        <v>68</v>
      </c>
      <c r="F915" s="824" t="str">
        <f>Cores!A25</f>
        <v>0-4-A</v>
      </c>
      <c r="G915" s="1003">
        <v>0</v>
      </c>
      <c r="H915" s="989">
        <f t="shared" si="105"/>
        <v>0</v>
      </c>
      <c r="I915" s="1178"/>
    </row>
    <row r="916" spans="1:11">
      <c r="A916" s="956" t="s">
        <v>1593</v>
      </c>
      <c r="B916" s="1140" t="str">
        <f t="shared" si="104"/>
        <v/>
      </c>
      <c r="C916" s="823" t="s">
        <v>1553</v>
      </c>
      <c r="D916" s="823">
        <v>1</v>
      </c>
      <c r="E916" s="1001">
        <v>69</v>
      </c>
      <c r="F916" s="824" t="str">
        <f>Cores!A26</f>
        <v>0-4-B</v>
      </c>
      <c r="G916" s="1003">
        <v>0</v>
      </c>
      <c r="H916" s="989">
        <f t="shared" si="105"/>
        <v>0</v>
      </c>
      <c r="I916" s="1178"/>
    </row>
    <row r="917" spans="1:11">
      <c r="A917" s="956" t="s">
        <v>1594</v>
      </c>
      <c r="B917" s="1140" t="str">
        <f t="shared" si="104"/>
        <v/>
      </c>
      <c r="C917" s="823" t="s">
        <v>1553</v>
      </c>
      <c r="D917" s="823">
        <v>1</v>
      </c>
      <c r="E917" s="1001">
        <v>70</v>
      </c>
      <c r="F917" s="824" t="str">
        <f>Cores!A27</f>
        <v>0-4-C</v>
      </c>
      <c r="G917" s="1003">
        <v>0</v>
      </c>
      <c r="H917" s="989">
        <f t="shared" si="105"/>
        <v>0</v>
      </c>
      <c r="I917" s="1178"/>
      <c r="K917" s="958"/>
    </row>
    <row r="918" spans="1:11">
      <c r="A918" s="956" t="s">
        <v>788</v>
      </c>
      <c r="B918" s="1140" t="str">
        <f t="shared" si="104"/>
        <v/>
      </c>
      <c r="C918" s="823" t="s">
        <v>1553</v>
      </c>
      <c r="D918" s="823">
        <v>1</v>
      </c>
      <c r="E918" s="1001">
        <v>71</v>
      </c>
      <c r="F918" s="824" t="str">
        <f>Cores!A28</f>
        <v>0-4-D</v>
      </c>
      <c r="G918" s="1003">
        <v>0</v>
      </c>
      <c r="H918" s="989">
        <f t="shared" si="105"/>
        <v>0</v>
      </c>
      <c r="I918" s="1178"/>
    </row>
    <row r="919" spans="1:11">
      <c r="A919" s="956" t="s">
        <v>789</v>
      </c>
      <c r="B919" s="1140" t="str">
        <f t="shared" si="104"/>
        <v/>
      </c>
      <c r="C919" s="823" t="s">
        <v>1553</v>
      </c>
      <c r="D919" s="823">
        <v>1</v>
      </c>
      <c r="E919" s="1001">
        <v>72</v>
      </c>
      <c r="F919" s="824" t="str">
        <f>Cores!A42</f>
        <v>0-4-J1</v>
      </c>
      <c r="G919" s="1003">
        <v>0</v>
      </c>
      <c r="H919" s="989">
        <f t="shared" si="105"/>
        <v>0</v>
      </c>
      <c r="I919" s="1178"/>
    </row>
    <row r="920" spans="1:11">
      <c r="A920" s="956" t="s">
        <v>790</v>
      </c>
      <c r="B920" s="1140" t="str">
        <f t="shared" ref="B920:B938" si="106">B919</f>
        <v/>
      </c>
      <c r="C920" s="823" t="s">
        <v>1553</v>
      </c>
      <c r="D920" s="823">
        <v>1</v>
      </c>
      <c r="E920" s="1001">
        <v>73</v>
      </c>
      <c r="F920" s="824" t="str">
        <f>Cores!A43</f>
        <v>0-4-J2</v>
      </c>
      <c r="G920" s="1003">
        <v>0</v>
      </c>
      <c r="H920" s="989">
        <f t="shared" si="105"/>
        <v>0</v>
      </c>
      <c r="I920" s="1178"/>
    </row>
    <row r="921" spans="1:11">
      <c r="A921" s="956" t="s">
        <v>791</v>
      </c>
      <c r="B921" s="1140" t="str">
        <f t="shared" si="106"/>
        <v/>
      </c>
      <c r="C921" s="823" t="s">
        <v>1553</v>
      </c>
      <c r="D921" s="823">
        <v>1</v>
      </c>
      <c r="E921" s="1001">
        <v>74</v>
      </c>
      <c r="F921" s="824">
        <f>Cores!B25</f>
        <v>0</v>
      </c>
      <c r="G921" s="1003">
        <v>0</v>
      </c>
      <c r="H921" s="989">
        <f t="shared" si="105"/>
        <v>0</v>
      </c>
      <c r="I921" s="1178"/>
    </row>
    <row r="922" spans="1:11">
      <c r="A922" s="956" t="s">
        <v>792</v>
      </c>
      <c r="B922" s="1140" t="str">
        <f t="shared" si="106"/>
        <v/>
      </c>
      <c r="C922" s="823" t="s">
        <v>1553</v>
      </c>
      <c r="D922" s="823">
        <v>1</v>
      </c>
      <c r="E922" s="1001">
        <v>75</v>
      </c>
      <c r="F922" s="824">
        <f>Cores!B26</f>
        <v>0</v>
      </c>
      <c r="G922" s="1003">
        <v>0</v>
      </c>
      <c r="H922" s="989">
        <f t="shared" si="105"/>
        <v>0</v>
      </c>
      <c r="I922" s="1178"/>
    </row>
    <row r="923" spans="1:11">
      <c r="A923" s="956" t="s">
        <v>793</v>
      </c>
      <c r="B923" s="1140" t="str">
        <f t="shared" si="106"/>
        <v/>
      </c>
      <c r="C923" s="823" t="s">
        <v>1553</v>
      </c>
      <c r="D923" s="823">
        <v>1</v>
      </c>
      <c r="E923" s="1001">
        <v>76</v>
      </c>
      <c r="F923" s="824">
        <f>Cores!B27</f>
        <v>0</v>
      </c>
      <c r="G923" s="1003">
        <v>0</v>
      </c>
      <c r="H923" s="989">
        <f t="shared" si="105"/>
        <v>0</v>
      </c>
      <c r="I923" s="1178"/>
    </row>
    <row r="924" spans="1:11">
      <c r="A924" s="956" t="s">
        <v>794</v>
      </c>
      <c r="B924" s="1140" t="str">
        <f t="shared" si="106"/>
        <v/>
      </c>
      <c r="C924" s="823" t="s">
        <v>1553</v>
      </c>
      <c r="D924" s="823">
        <v>1</v>
      </c>
      <c r="E924" s="1001">
        <v>77</v>
      </c>
      <c r="F924" s="824">
        <f>Cores!B28</f>
        <v>0</v>
      </c>
      <c r="G924" s="1003">
        <v>0</v>
      </c>
      <c r="H924" s="989">
        <f t="shared" si="105"/>
        <v>0</v>
      </c>
      <c r="I924" s="1178"/>
    </row>
    <row r="925" spans="1:11">
      <c r="A925" s="956" t="s">
        <v>795</v>
      </c>
      <c r="B925" s="1140" t="str">
        <f t="shared" si="106"/>
        <v/>
      </c>
      <c r="C925" s="823" t="s">
        <v>1553</v>
      </c>
      <c r="D925" s="823">
        <v>1</v>
      </c>
      <c r="E925" s="1001">
        <v>78</v>
      </c>
      <c r="F925" s="824">
        <f>Cores!B42</f>
        <v>0</v>
      </c>
      <c r="G925" s="1003">
        <v>0</v>
      </c>
      <c r="H925" s="989">
        <f t="shared" si="105"/>
        <v>0</v>
      </c>
      <c r="I925" s="1178"/>
      <c r="K925" s="885"/>
    </row>
    <row r="926" spans="1:11">
      <c r="A926" s="956" t="s">
        <v>796</v>
      </c>
      <c r="B926" s="1140" t="str">
        <f t="shared" si="106"/>
        <v/>
      </c>
      <c r="C926" s="823" t="s">
        <v>1553</v>
      </c>
      <c r="D926" s="823">
        <v>1</v>
      </c>
      <c r="E926" s="1001">
        <v>79</v>
      </c>
      <c r="F926" s="824">
        <f>Cores!B43</f>
        <v>0</v>
      </c>
      <c r="G926" s="1003">
        <v>0</v>
      </c>
      <c r="H926" s="989">
        <f t="shared" si="105"/>
        <v>0</v>
      </c>
      <c r="I926" s="1178"/>
      <c r="J926" s="885"/>
    </row>
    <row r="927" spans="1:11">
      <c r="A927" s="956" t="s">
        <v>797</v>
      </c>
      <c r="B927" s="1140" t="str">
        <f t="shared" si="106"/>
        <v/>
      </c>
      <c r="C927" s="823" t="s">
        <v>1553</v>
      </c>
      <c r="D927" s="823">
        <v>1</v>
      </c>
      <c r="E927" s="1001">
        <v>80</v>
      </c>
      <c r="F927" s="823" t="s">
        <v>1637</v>
      </c>
      <c r="G927" s="980" t="str">
        <f>Cores!H25</f>
        <v/>
      </c>
      <c r="H927" s="989">
        <f t="shared" si="105"/>
        <v>0</v>
      </c>
      <c r="I927" s="1178"/>
      <c r="K927" s="885"/>
    </row>
    <row r="928" spans="1:11">
      <c r="A928" s="956" t="s">
        <v>798</v>
      </c>
      <c r="B928" s="1140" t="str">
        <f t="shared" si="106"/>
        <v/>
      </c>
      <c r="C928" s="823" t="s">
        <v>1553</v>
      </c>
      <c r="D928" s="823">
        <v>1</v>
      </c>
      <c r="E928" s="1001">
        <v>81</v>
      </c>
      <c r="F928" s="823" t="s">
        <v>1637</v>
      </c>
      <c r="G928" s="980" t="str">
        <f>Cores!H26</f>
        <v/>
      </c>
      <c r="H928" s="989">
        <f t="shared" si="105"/>
        <v>0</v>
      </c>
      <c r="I928" s="1178"/>
    </row>
    <row r="929" spans="1:11">
      <c r="A929" s="956" t="s">
        <v>799</v>
      </c>
      <c r="B929" s="1140" t="str">
        <f t="shared" si="106"/>
        <v/>
      </c>
      <c r="C929" s="823" t="s">
        <v>1553</v>
      </c>
      <c r="D929" s="823">
        <v>1</v>
      </c>
      <c r="E929" s="1001">
        <v>82</v>
      </c>
      <c r="F929" s="823" t="s">
        <v>1637</v>
      </c>
      <c r="G929" s="980" t="str">
        <f>Cores!H27</f>
        <v/>
      </c>
      <c r="H929" s="989">
        <f t="shared" ref="H929:H1110" si="107">H928</f>
        <v>0</v>
      </c>
      <c r="I929" s="1178"/>
      <c r="K929" s="885"/>
    </row>
    <row r="930" spans="1:11">
      <c r="A930" s="956" t="s">
        <v>800</v>
      </c>
      <c r="B930" s="1140" t="str">
        <f t="shared" si="106"/>
        <v/>
      </c>
      <c r="C930" s="823" t="s">
        <v>1553</v>
      </c>
      <c r="D930" s="823">
        <v>1</v>
      </c>
      <c r="E930" s="1001">
        <v>83</v>
      </c>
      <c r="F930" s="823" t="s">
        <v>1637</v>
      </c>
      <c r="G930" s="980" t="str">
        <f>Cores!H28</f>
        <v/>
      </c>
      <c r="H930" s="989">
        <f t="shared" si="107"/>
        <v>0</v>
      </c>
      <c r="I930" s="1178"/>
      <c r="K930" s="885"/>
    </row>
    <row r="931" spans="1:11">
      <c r="A931" s="956" t="s">
        <v>801</v>
      </c>
      <c r="B931" s="1140" t="str">
        <f t="shared" si="106"/>
        <v/>
      </c>
      <c r="C931" s="823" t="s">
        <v>1553</v>
      </c>
      <c r="D931" s="823">
        <v>1</v>
      </c>
      <c r="E931" s="1001">
        <v>84</v>
      </c>
      <c r="F931" s="823" t="s">
        <v>1637</v>
      </c>
      <c r="G931" s="980" t="str">
        <f>Cores!H42</f>
        <v/>
      </c>
      <c r="H931" s="989">
        <f t="shared" si="107"/>
        <v>0</v>
      </c>
      <c r="I931" s="1178"/>
    </row>
    <row r="932" spans="1:11">
      <c r="A932" s="956" t="s">
        <v>802</v>
      </c>
      <c r="B932" s="1140" t="str">
        <f t="shared" si="106"/>
        <v/>
      </c>
      <c r="C932" s="823" t="s">
        <v>1553</v>
      </c>
      <c r="D932" s="823">
        <v>1</v>
      </c>
      <c r="E932" s="1001">
        <v>85</v>
      </c>
      <c r="F932" s="823" t="s">
        <v>1637</v>
      </c>
      <c r="G932" s="980" t="str">
        <f>Cores!H43</f>
        <v/>
      </c>
      <c r="H932" s="989">
        <f t="shared" si="107"/>
        <v>0</v>
      </c>
      <c r="I932" s="1178"/>
      <c r="K932" s="958"/>
    </row>
    <row r="933" spans="1:11">
      <c r="A933" s="956" t="s">
        <v>803</v>
      </c>
      <c r="B933" s="1140" t="str">
        <f t="shared" si="106"/>
        <v/>
      </c>
      <c r="C933" s="823" t="s">
        <v>1553</v>
      </c>
      <c r="D933" s="823">
        <v>1</v>
      </c>
      <c r="E933" s="1001">
        <v>86</v>
      </c>
      <c r="F933" s="823" t="s">
        <v>1637</v>
      </c>
      <c r="G933" s="980" t="str">
        <f>Cores!I25</f>
        <v/>
      </c>
      <c r="H933" s="989">
        <f t="shared" si="107"/>
        <v>0</v>
      </c>
      <c r="I933" s="1178"/>
    </row>
    <row r="934" spans="1:11">
      <c r="A934" s="956" t="s">
        <v>804</v>
      </c>
      <c r="B934" s="1163" t="str">
        <f t="shared" si="106"/>
        <v/>
      </c>
      <c r="C934" s="875" t="s">
        <v>1553</v>
      </c>
      <c r="D934" s="875">
        <v>1</v>
      </c>
      <c r="E934" s="1001">
        <v>87</v>
      </c>
      <c r="F934" s="823" t="s">
        <v>1637</v>
      </c>
      <c r="G934" s="980" t="str">
        <f>Cores!I26</f>
        <v/>
      </c>
      <c r="H934" s="989">
        <f t="shared" si="107"/>
        <v>0</v>
      </c>
      <c r="I934" s="1192"/>
      <c r="K934" s="885"/>
    </row>
    <row r="935" spans="1:11">
      <c r="A935" s="956" t="s">
        <v>805</v>
      </c>
      <c r="B935" s="1140" t="str">
        <f t="shared" si="106"/>
        <v/>
      </c>
      <c r="C935" s="823" t="s">
        <v>1553</v>
      </c>
      <c r="D935" s="823">
        <v>1</v>
      </c>
      <c r="E935" s="1001">
        <v>88</v>
      </c>
      <c r="F935" s="823" t="s">
        <v>1637</v>
      </c>
      <c r="G935" s="980" t="str">
        <f>Cores!I27</f>
        <v/>
      </c>
      <c r="H935" s="989">
        <f t="shared" si="107"/>
        <v>0</v>
      </c>
      <c r="I935" s="1178"/>
    </row>
    <row r="936" spans="1:11">
      <c r="A936" s="956" t="s">
        <v>806</v>
      </c>
      <c r="B936" s="1140" t="str">
        <f t="shared" si="106"/>
        <v/>
      </c>
      <c r="C936" s="823" t="s">
        <v>1553</v>
      </c>
      <c r="D936" s="823">
        <v>1</v>
      </c>
      <c r="E936" s="1001">
        <v>89</v>
      </c>
      <c r="F936" s="823" t="s">
        <v>1637</v>
      </c>
      <c r="G936" s="980" t="str">
        <f>Cores!I28</f>
        <v/>
      </c>
      <c r="H936" s="989">
        <f t="shared" si="107"/>
        <v>0</v>
      </c>
      <c r="I936" s="1178"/>
    </row>
    <row r="937" spans="1:11">
      <c r="A937" s="956" t="s">
        <v>807</v>
      </c>
      <c r="B937" s="1140" t="str">
        <f t="shared" si="106"/>
        <v/>
      </c>
      <c r="C937" s="823" t="s">
        <v>1553</v>
      </c>
      <c r="D937" s="823">
        <v>1</v>
      </c>
      <c r="E937" s="1001">
        <v>90</v>
      </c>
      <c r="F937" s="823" t="s">
        <v>1637</v>
      </c>
      <c r="G937" s="980" t="str">
        <f>Cores!I42</f>
        <v/>
      </c>
      <c r="H937" s="989">
        <f t="shared" si="107"/>
        <v>0</v>
      </c>
      <c r="I937" s="1178"/>
    </row>
    <row r="938" spans="1:11" ht="12.75" customHeight="1">
      <c r="A938" s="956" t="s">
        <v>808</v>
      </c>
      <c r="B938" s="1140" t="str">
        <f t="shared" si="106"/>
        <v/>
      </c>
      <c r="C938" s="823" t="s">
        <v>1553</v>
      </c>
      <c r="D938" s="823">
        <v>1</v>
      </c>
      <c r="E938" s="1001">
        <v>91</v>
      </c>
      <c r="F938" s="823" t="s">
        <v>1637</v>
      </c>
      <c r="G938" s="980" t="str">
        <f>Cores!I43</f>
        <v/>
      </c>
      <c r="H938" s="989">
        <f t="shared" si="107"/>
        <v>0</v>
      </c>
      <c r="I938" s="1178"/>
    </row>
    <row r="939" spans="1:11" ht="12.75" customHeight="1">
      <c r="A939" s="956" t="s">
        <v>2398</v>
      </c>
      <c r="B939" s="1219" t="str">
        <f>B938</f>
        <v/>
      </c>
      <c r="C939" s="823" t="s">
        <v>1553</v>
      </c>
      <c r="D939" s="823">
        <v>1</v>
      </c>
      <c r="E939" s="1001" t="s">
        <v>2304</v>
      </c>
      <c r="F939" s="1220"/>
      <c r="G939" s="1226">
        <f>Calculations!$D$15</f>
        <v>0</v>
      </c>
      <c r="H939" s="1222">
        <f>H938</f>
        <v>0</v>
      </c>
      <c r="I939" s="1223"/>
    </row>
    <row r="940" spans="1:11" ht="12.75" customHeight="1">
      <c r="A940" s="956" t="s">
        <v>1561</v>
      </c>
      <c r="B940" s="1219" t="str">
        <f t="shared" ref="B940:D977" si="108">B939</f>
        <v/>
      </c>
      <c r="C940" s="823" t="s">
        <v>1553</v>
      </c>
      <c r="D940" s="823">
        <v>1</v>
      </c>
      <c r="E940" s="1001" t="s">
        <v>2305</v>
      </c>
      <c r="F940" s="1225" t="str">
        <f>Calculations!$H$20</f>
        <v/>
      </c>
      <c r="G940" s="1220"/>
      <c r="H940" s="1222">
        <f t="shared" ref="H940:H1005" si="109">H939</f>
        <v>0</v>
      </c>
      <c r="I940" s="1223"/>
    </row>
    <row r="941" spans="1:11" ht="12.75" customHeight="1">
      <c r="A941" s="956" t="s">
        <v>2399</v>
      </c>
      <c r="B941" s="1219" t="str">
        <f t="shared" si="108"/>
        <v/>
      </c>
      <c r="C941" s="823" t="s">
        <v>1553</v>
      </c>
      <c r="D941" s="823">
        <v>1</v>
      </c>
      <c r="E941" s="1001" t="s">
        <v>2307</v>
      </c>
      <c r="F941" s="1225" t="str">
        <f>IF(Calculations!$H$12=1,"A",IF(Calculations!$H$12=2,"B"," "))</f>
        <v xml:space="preserve"> </v>
      </c>
      <c r="G941" s="1220"/>
      <c r="H941" s="1222">
        <f t="shared" si="109"/>
        <v>0</v>
      </c>
      <c r="I941" s="1223"/>
    </row>
    <row r="942" spans="1:11" ht="12.75" customHeight="1">
      <c r="A942" s="956" t="s">
        <v>2400</v>
      </c>
      <c r="B942" s="1219" t="str">
        <f t="shared" si="108"/>
        <v/>
      </c>
      <c r="C942" s="823" t="s">
        <v>1553</v>
      </c>
      <c r="D942" s="823">
        <v>1</v>
      </c>
      <c r="E942" s="1001" t="s">
        <v>2308</v>
      </c>
      <c r="F942" s="1220"/>
      <c r="G942" s="1221">
        <f>'Pay Values'!$A$16</f>
        <v>0</v>
      </c>
      <c r="H942" s="1222">
        <f t="shared" si="109"/>
        <v>0</v>
      </c>
      <c r="I942" s="1223"/>
    </row>
    <row r="943" spans="1:11" ht="12.75" customHeight="1">
      <c r="A943" s="956" t="s">
        <v>2401</v>
      </c>
      <c r="B943" s="1219" t="str">
        <f t="shared" si="108"/>
        <v/>
      </c>
      <c r="C943" s="823" t="s">
        <v>1553</v>
      </c>
      <c r="D943" s="823">
        <v>1</v>
      </c>
      <c r="E943" s="1001" t="s">
        <v>2309</v>
      </c>
      <c r="F943" s="1220"/>
      <c r="G943" s="1221" t="str">
        <f>'Pay Values'!$D$16</f>
        <v/>
      </c>
      <c r="H943" s="1222">
        <f t="shared" si="109"/>
        <v>0</v>
      </c>
      <c r="I943" s="1223"/>
    </row>
    <row r="944" spans="1:11" ht="12.75" customHeight="1">
      <c r="A944" s="956" t="s">
        <v>2402</v>
      </c>
      <c r="B944" s="1219" t="str">
        <f t="shared" si="108"/>
        <v/>
      </c>
      <c r="C944" s="823" t="s">
        <v>1553</v>
      </c>
      <c r="D944" s="823">
        <v>1</v>
      </c>
      <c r="E944" s="1001" t="s">
        <v>2310</v>
      </c>
      <c r="F944" s="1220"/>
      <c r="G944" s="1221" t="str">
        <f>'Pay Values'!$E$16</f>
        <v/>
      </c>
      <c r="H944" s="1222">
        <f t="shared" si="109"/>
        <v>0</v>
      </c>
      <c r="I944" s="1223"/>
    </row>
    <row r="945" spans="1:9" ht="12.75" customHeight="1">
      <c r="A945" s="956" t="s">
        <v>2403</v>
      </c>
      <c r="B945" s="1219" t="str">
        <f t="shared" si="108"/>
        <v/>
      </c>
      <c r="C945" s="823" t="s">
        <v>1553</v>
      </c>
      <c r="D945" s="823">
        <v>1</v>
      </c>
      <c r="E945" s="1001" t="s">
        <v>2311</v>
      </c>
      <c r="F945" s="1220"/>
      <c r="G945" s="1221" t="str">
        <f>'Pay Values'!$G$16</f>
        <v/>
      </c>
      <c r="H945" s="1222">
        <f t="shared" si="109"/>
        <v>0</v>
      </c>
      <c r="I945" s="1223"/>
    </row>
    <row r="946" spans="1:9" ht="12.75" customHeight="1">
      <c r="A946" s="956" t="s">
        <v>2404</v>
      </c>
      <c r="B946" s="1219" t="str">
        <f t="shared" si="108"/>
        <v/>
      </c>
      <c r="C946" s="823" t="s">
        <v>1553</v>
      </c>
      <c r="D946" s="823">
        <v>1</v>
      </c>
      <c r="E946" s="1001" t="s">
        <v>2312</v>
      </c>
      <c r="F946" s="1220"/>
      <c r="G946" s="1221">
        <f>'Pay Values'!$H$16</f>
        <v>0</v>
      </c>
      <c r="H946" s="1222">
        <f t="shared" si="109"/>
        <v>0</v>
      </c>
      <c r="I946" s="1223"/>
    </row>
    <row r="947" spans="1:9" ht="12.75" customHeight="1">
      <c r="A947" s="956" t="s">
        <v>2405</v>
      </c>
      <c r="B947" s="1219" t="str">
        <f t="shared" si="108"/>
        <v/>
      </c>
      <c r="C947" s="823" t="s">
        <v>1553</v>
      </c>
      <c r="D947" s="823">
        <v>1</v>
      </c>
      <c r="E947" s="1001" t="s">
        <v>2313</v>
      </c>
      <c r="F947" s="1220"/>
      <c r="G947" s="1221" t="str">
        <f>'Pay Values'!$K$16</f>
        <v/>
      </c>
      <c r="H947" s="1222">
        <f t="shared" si="109"/>
        <v>0</v>
      </c>
      <c r="I947" s="1223"/>
    </row>
    <row r="948" spans="1:9" ht="12.75" customHeight="1">
      <c r="A948" s="956" t="s">
        <v>2406</v>
      </c>
      <c r="B948" s="1219" t="str">
        <f t="shared" si="108"/>
        <v/>
      </c>
      <c r="C948" s="823" t="s">
        <v>1553</v>
      </c>
      <c r="D948" s="823">
        <v>1</v>
      </c>
      <c r="E948" s="1001" t="s">
        <v>2314</v>
      </c>
      <c r="F948" s="1220"/>
      <c r="G948" s="1225" t="str">
        <f>'Pay Values'!$B$21</f>
        <v/>
      </c>
      <c r="H948" s="1222">
        <f t="shared" si="109"/>
        <v>0</v>
      </c>
      <c r="I948" s="1223"/>
    </row>
    <row r="949" spans="1:9" ht="12.75" customHeight="1">
      <c r="A949" s="956" t="s">
        <v>2407</v>
      </c>
      <c r="B949" s="1219" t="str">
        <f t="shared" si="108"/>
        <v/>
      </c>
      <c r="C949" s="823" t="s">
        <v>1553</v>
      </c>
      <c r="D949" s="823">
        <v>1</v>
      </c>
      <c r="E949" s="1001" t="s">
        <v>2315</v>
      </c>
      <c r="F949" s="1220"/>
      <c r="G949" s="1225" t="str">
        <f>'Pay Values'!$B$22</f>
        <v/>
      </c>
      <c r="H949" s="1222">
        <f t="shared" si="109"/>
        <v>0</v>
      </c>
      <c r="I949" s="1223"/>
    </row>
    <row r="950" spans="1:9" ht="12.75" customHeight="1">
      <c r="A950" s="956" t="s">
        <v>2408</v>
      </c>
      <c r="B950" s="1219" t="str">
        <f t="shared" si="108"/>
        <v/>
      </c>
      <c r="C950" s="823" t="s">
        <v>1553</v>
      </c>
      <c r="D950" s="823">
        <v>1</v>
      </c>
      <c r="E950" s="1001" t="s">
        <v>2316</v>
      </c>
      <c r="F950" s="1220"/>
      <c r="G950" s="1225">
        <f>ROUND('Pay Values'!$J$20,2)</f>
        <v>0</v>
      </c>
      <c r="H950" s="1222">
        <f t="shared" si="109"/>
        <v>0</v>
      </c>
      <c r="I950" s="1223"/>
    </row>
    <row r="951" spans="1:9" ht="12.75" customHeight="1">
      <c r="A951" s="956" t="s">
        <v>2409</v>
      </c>
      <c r="B951" s="1219" t="str">
        <f t="shared" si="108"/>
        <v/>
      </c>
      <c r="C951" s="823" t="s">
        <v>1553</v>
      </c>
      <c r="D951" s="823">
        <v>1</v>
      </c>
      <c r="E951" s="1001" t="s">
        <v>2317</v>
      </c>
      <c r="F951" s="1220"/>
      <c r="G951" s="1225" t="str">
        <f>'Pay Values'!$J$21</f>
        <v/>
      </c>
      <c r="H951" s="1222">
        <f t="shared" si="109"/>
        <v>0</v>
      </c>
      <c r="I951" s="1223"/>
    </row>
    <row r="952" spans="1:9" ht="12.75" customHeight="1">
      <c r="A952" s="956" t="s">
        <v>2410</v>
      </c>
      <c r="B952" s="1219" t="str">
        <f t="shared" si="108"/>
        <v/>
      </c>
      <c r="C952" s="823" t="s">
        <v>1553</v>
      </c>
      <c r="D952" s="823">
        <v>1</v>
      </c>
      <c r="E952" s="1001" t="s">
        <v>2318</v>
      </c>
      <c r="F952" s="1220"/>
      <c r="G952" s="1225" t="str">
        <f>'Pay Values'!$J$24</f>
        <v/>
      </c>
      <c r="H952" s="1222">
        <f t="shared" si="109"/>
        <v>0</v>
      </c>
      <c r="I952" s="1223"/>
    </row>
    <row r="953" spans="1:9" ht="12.75" customHeight="1">
      <c r="A953" s="956" t="s">
        <v>2411</v>
      </c>
      <c r="B953" s="1219" t="str">
        <f t="shared" si="108"/>
        <v/>
      </c>
      <c r="C953" s="823" t="s">
        <v>1553</v>
      </c>
      <c r="D953" s="823">
        <v>1</v>
      </c>
      <c r="E953" s="1001" t="s">
        <v>2319</v>
      </c>
      <c r="F953" s="1221" t="str">
        <f>'Pay Values'!$B$40</f>
        <v/>
      </c>
      <c r="G953" s="1220"/>
      <c r="H953" s="1222">
        <f t="shared" si="109"/>
        <v>0</v>
      </c>
      <c r="I953" s="1223"/>
    </row>
    <row r="954" spans="1:9" ht="12.75" customHeight="1">
      <c r="A954" s="956" t="s">
        <v>2412</v>
      </c>
      <c r="B954" s="1219" t="str">
        <f t="shared" si="108"/>
        <v/>
      </c>
      <c r="C954" s="823" t="s">
        <v>1553</v>
      </c>
      <c r="D954" s="823">
        <v>1</v>
      </c>
      <c r="E954" s="1001" t="s">
        <v>2320</v>
      </c>
      <c r="F954" s="1221" t="str">
        <f>'Pay Values'!$C$40</f>
        <v/>
      </c>
      <c r="G954" s="1220"/>
      <c r="H954" s="1222">
        <f t="shared" si="109"/>
        <v>0</v>
      </c>
      <c r="I954" s="1223"/>
    </row>
    <row r="955" spans="1:9" ht="12.75" customHeight="1">
      <c r="A955" s="956" t="s">
        <v>2413</v>
      </c>
      <c r="B955" s="1219" t="str">
        <f t="shared" si="108"/>
        <v/>
      </c>
      <c r="C955" s="823" t="s">
        <v>1553</v>
      </c>
      <c r="D955" s="823">
        <v>1</v>
      </c>
      <c r="E955" s="1001" t="s">
        <v>2321</v>
      </c>
      <c r="F955" s="1220"/>
      <c r="G955" s="1221" t="str">
        <f>'Pay Values'!$E$40</f>
        <v/>
      </c>
      <c r="H955" s="1222">
        <f t="shared" si="109"/>
        <v>0</v>
      </c>
      <c r="I955" s="1223"/>
    </row>
    <row r="956" spans="1:9" ht="12.75" customHeight="1">
      <c r="A956" s="956" t="s">
        <v>2414</v>
      </c>
      <c r="B956" s="1219" t="str">
        <f t="shared" si="108"/>
        <v/>
      </c>
      <c r="C956" s="823" t="s">
        <v>1553</v>
      </c>
      <c r="D956" s="823">
        <v>1</v>
      </c>
      <c r="E956" s="1001" t="s">
        <v>2322</v>
      </c>
      <c r="F956" s="1221">
        <f>'Pay Values'!$E$43</f>
        <v>0</v>
      </c>
      <c r="G956" s="1220"/>
      <c r="H956" s="1222">
        <f t="shared" si="109"/>
        <v>0</v>
      </c>
      <c r="I956" s="1223"/>
    </row>
    <row r="957" spans="1:9" ht="12.75" customHeight="1">
      <c r="A957" s="956" t="s">
        <v>2415</v>
      </c>
      <c r="B957" s="1219" t="str">
        <f t="shared" si="108"/>
        <v/>
      </c>
      <c r="C957" s="823" t="s">
        <v>1553</v>
      </c>
      <c r="D957" s="823">
        <v>1</v>
      </c>
      <c r="E957" s="1001" t="s">
        <v>2323</v>
      </c>
      <c r="F957" s="1221">
        <f>'Pay Values'!$E$44</f>
        <v>0</v>
      </c>
      <c r="G957" s="1220"/>
      <c r="H957" s="1222">
        <f t="shared" si="109"/>
        <v>0</v>
      </c>
      <c r="I957" s="1223"/>
    </row>
    <row r="958" spans="1:9" ht="12.75" customHeight="1">
      <c r="A958" s="956" t="s">
        <v>2416</v>
      </c>
      <c r="B958" s="1219" t="str">
        <f t="shared" si="108"/>
        <v/>
      </c>
      <c r="C958" s="823" t="s">
        <v>1553</v>
      </c>
      <c r="D958" s="823">
        <v>1</v>
      </c>
      <c r="E958" s="1001" t="s">
        <v>2324</v>
      </c>
      <c r="F958" s="1225" t="e">
        <f>VLOOKUP(Calculations!$D$147,Calculations!$A$147:$B$161,2,FALSE)</f>
        <v>#N/A</v>
      </c>
      <c r="G958" s="1220"/>
      <c r="H958" s="1222">
        <f t="shared" si="109"/>
        <v>0</v>
      </c>
      <c r="I958" s="1223"/>
    </row>
    <row r="959" spans="1:9" ht="12.75" customHeight="1">
      <c r="A959" s="956" t="s">
        <v>2417</v>
      </c>
      <c r="B959" s="1219" t="str">
        <f t="shared" si="108"/>
        <v/>
      </c>
      <c r="C959" s="823" t="s">
        <v>1553</v>
      </c>
      <c r="D959" s="823">
        <v>1</v>
      </c>
      <c r="E959" s="1001" t="s">
        <v>2325</v>
      </c>
      <c r="F959" s="1225" t="str">
        <f>'Pay Values'!$B$46</f>
        <v/>
      </c>
      <c r="G959" s="1220"/>
      <c r="H959" s="1222">
        <f t="shared" si="109"/>
        <v>0</v>
      </c>
      <c r="I959" s="1223"/>
    </row>
    <row r="960" spans="1:9" ht="12.75" customHeight="1">
      <c r="A960" s="956" t="s">
        <v>2418</v>
      </c>
      <c r="B960" s="1219" t="str">
        <f t="shared" si="108"/>
        <v/>
      </c>
      <c r="C960" s="823" t="s">
        <v>1553</v>
      </c>
      <c r="D960" s="823">
        <v>1</v>
      </c>
      <c r="E960" s="1001" t="s">
        <v>2326</v>
      </c>
      <c r="F960" s="1225">
        <f>'Pay Values'!$C$46</f>
        <v>0</v>
      </c>
      <c r="G960" s="1220"/>
      <c r="H960" s="1222">
        <f t="shared" si="109"/>
        <v>0</v>
      </c>
      <c r="I960" s="1223"/>
    </row>
    <row r="961" spans="1:9" ht="12.75" customHeight="1">
      <c r="A961" s="956" t="s">
        <v>2419</v>
      </c>
      <c r="B961" s="1219" t="str">
        <f t="shared" si="108"/>
        <v/>
      </c>
      <c r="C961" s="823" t="s">
        <v>1553</v>
      </c>
      <c r="D961" s="823">
        <v>1</v>
      </c>
      <c r="E961" s="1001" t="s">
        <v>2327</v>
      </c>
      <c r="F961" s="1225" t="str">
        <f>IF(Calculations!$O$1=1,"Yes", "No")</f>
        <v>No</v>
      </c>
      <c r="G961" s="1220"/>
      <c r="H961" s="1222">
        <f t="shared" si="109"/>
        <v>0</v>
      </c>
      <c r="I961" s="1223"/>
    </row>
    <row r="962" spans="1:9" ht="12.75" customHeight="1">
      <c r="A962" s="956" t="s">
        <v>2420</v>
      </c>
      <c r="B962" s="1219" t="str">
        <f t="shared" si="108"/>
        <v/>
      </c>
      <c r="C962" s="823" t="s">
        <v>1553</v>
      </c>
      <c r="D962" s="823">
        <v>1</v>
      </c>
      <c r="E962" s="1001" t="s">
        <v>2328</v>
      </c>
      <c r="F962" s="1225" t="str">
        <f>IF(Calculations!$O$2=1,"Yes", "No")</f>
        <v>No</v>
      </c>
      <c r="G962" s="1220"/>
      <c r="H962" s="1222">
        <f t="shared" si="109"/>
        <v>0</v>
      </c>
      <c r="I962" s="1223"/>
    </row>
    <row r="963" spans="1:9" ht="12.75" customHeight="1">
      <c r="A963" s="956" t="s">
        <v>2575</v>
      </c>
      <c r="B963" s="1219" t="str">
        <f t="shared" si="108"/>
        <v/>
      </c>
      <c r="C963" s="823" t="s">
        <v>1553</v>
      </c>
      <c r="D963" s="823">
        <v>1</v>
      </c>
      <c r="E963" s="1001" t="s">
        <v>2519</v>
      </c>
      <c r="F963" s="1001"/>
      <c r="G963" s="980">
        <f>Gradation!$N$10</f>
        <v>0</v>
      </c>
      <c r="H963" s="1222">
        <f t="shared" si="109"/>
        <v>0</v>
      </c>
      <c r="I963" s="1223"/>
    </row>
    <row r="964" spans="1:9" ht="12.75" customHeight="1">
      <c r="A964" s="956" t="s">
        <v>2576</v>
      </c>
      <c r="B964" s="1219" t="str">
        <f t="shared" si="108"/>
        <v/>
      </c>
      <c r="C964" s="823" t="s">
        <v>1553</v>
      </c>
      <c r="D964" s="823">
        <v>1</v>
      </c>
      <c r="E964" s="1001" t="s">
        <v>2520</v>
      </c>
      <c r="F964" s="1001"/>
      <c r="G964" s="980">
        <f>Gradation!$N$11</f>
        <v>0</v>
      </c>
      <c r="H964" s="1222">
        <f t="shared" si="109"/>
        <v>0</v>
      </c>
      <c r="I964" s="1223"/>
    </row>
    <row r="965" spans="1:9" ht="12.75" customHeight="1">
      <c r="A965" s="956" t="s">
        <v>2577</v>
      </c>
      <c r="B965" s="1219" t="str">
        <f t="shared" si="108"/>
        <v/>
      </c>
      <c r="C965" s="823" t="s">
        <v>1553</v>
      </c>
      <c r="D965" s="823">
        <v>1</v>
      </c>
      <c r="E965" s="1001" t="s">
        <v>2521</v>
      </c>
      <c r="F965" s="1001"/>
      <c r="G965" s="980">
        <f>Gradation!$N$12</f>
        <v>0</v>
      </c>
      <c r="H965" s="1222">
        <f t="shared" si="109"/>
        <v>0</v>
      </c>
      <c r="I965" s="1223"/>
    </row>
    <row r="966" spans="1:9" ht="12.75" customHeight="1">
      <c r="A966" s="956" t="s">
        <v>2578</v>
      </c>
      <c r="B966" s="1219" t="str">
        <f t="shared" si="108"/>
        <v/>
      </c>
      <c r="C966" s="823" t="s">
        <v>1553</v>
      </c>
      <c r="D966" s="823">
        <v>1</v>
      </c>
      <c r="E966" s="1001" t="s">
        <v>2522</v>
      </c>
      <c r="F966" s="1001"/>
      <c r="G966" s="980">
        <f>Gradation!$N$13</f>
        <v>0</v>
      </c>
      <c r="H966" s="1222">
        <f t="shared" si="109"/>
        <v>0</v>
      </c>
      <c r="I966" s="1223"/>
    </row>
    <row r="967" spans="1:9" ht="12.75" customHeight="1">
      <c r="A967" s="956" t="s">
        <v>2579</v>
      </c>
      <c r="B967" s="1219" t="str">
        <f t="shared" si="108"/>
        <v/>
      </c>
      <c r="C967" s="823" t="s">
        <v>1553</v>
      </c>
      <c r="D967" s="823">
        <v>1</v>
      </c>
      <c r="E967" s="1001" t="s">
        <v>2523</v>
      </c>
      <c r="F967" s="1001"/>
      <c r="G967" s="980">
        <f>Gradation!$N$14</f>
        <v>0</v>
      </c>
      <c r="H967" s="1222">
        <f t="shared" si="109"/>
        <v>0</v>
      </c>
      <c r="I967" s="1223"/>
    </row>
    <row r="968" spans="1:9" ht="12.75" customHeight="1">
      <c r="A968" s="956" t="s">
        <v>2580</v>
      </c>
      <c r="B968" s="1219" t="str">
        <f t="shared" si="108"/>
        <v/>
      </c>
      <c r="C968" s="823" t="s">
        <v>1553</v>
      </c>
      <c r="D968" s="823">
        <v>1</v>
      </c>
      <c r="E968" s="1001" t="s">
        <v>2524</v>
      </c>
      <c r="F968" s="1001"/>
      <c r="G968" s="980">
        <f>Gradation!$N$15</f>
        <v>0</v>
      </c>
      <c r="H968" s="1222">
        <f t="shared" si="109"/>
        <v>0</v>
      </c>
      <c r="I968" s="1223"/>
    </row>
    <row r="969" spans="1:9" ht="12.75" customHeight="1">
      <c r="A969" s="956" t="s">
        <v>2581</v>
      </c>
      <c r="B969" s="1219" t="str">
        <f t="shared" si="108"/>
        <v/>
      </c>
      <c r="C969" s="823" t="s">
        <v>1553</v>
      </c>
      <c r="D969" s="823">
        <v>1</v>
      </c>
      <c r="E969" s="1001" t="s">
        <v>2525</v>
      </c>
      <c r="F969" s="1001"/>
      <c r="G969" s="980">
        <f>Gradation!$N$16</f>
        <v>0</v>
      </c>
      <c r="H969" s="1222">
        <f t="shared" si="109"/>
        <v>0</v>
      </c>
      <c r="I969" s="1223"/>
    </row>
    <row r="970" spans="1:9" ht="12.75" customHeight="1">
      <c r="A970" s="956" t="s">
        <v>2582</v>
      </c>
      <c r="B970" s="1219" t="str">
        <f t="shared" si="108"/>
        <v/>
      </c>
      <c r="C970" s="823" t="s">
        <v>1553</v>
      </c>
      <c r="D970" s="823">
        <v>1</v>
      </c>
      <c r="E970" s="1001" t="s">
        <v>2526</v>
      </c>
      <c r="F970" s="1001"/>
      <c r="G970" s="980">
        <f>Gradation!$N$17</f>
        <v>0</v>
      </c>
      <c r="H970" s="1222">
        <f t="shared" si="109"/>
        <v>0</v>
      </c>
      <c r="I970" s="1223"/>
    </row>
    <row r="971" spans="1:9" ht="12.75" customHeight="1">
      <c r="A971" s="956" t="s">
        <v>2583</v>
      </c>
      <c r="B971" s="1219" t="str">
        <f t="shared" si="108"/>
        <v/>
      </c>
      <c r="C971" s="823" t="s">
        <v>1553</v>
      </c>
      <c r="D971" s="823">
        <v>1</v>
      </c>
      <c r="E971" s="1001" t="s">
        <v>2527</v>
      </c>
      <c r="F971" s="1001"/>
      <c r="G971" s="980">
        <f>Gradation!$N$18</f>
        <v>0</v>
      </c>
      <c r="H971" s="1222">
        <f t="shared" si="109"/>
        <v>0</v>
      </c>
      <c r="I971" s="1223"/>
    </row>
    <row r="972" spans="1:9" ht="12.75" customHeight="1">
      <c r="A972" s="956" t="s">
        <v>2584</v>
      </c>
      <c r="B972" s="1219" t="str">
        <f t="shared" si="108"/>
        <v/>
      </c>
      <c r="C972" s="823" t="s">
        <v>1553</v>
      </c>
      <c r="D972" s="823">
        <v>1</v>
      </c>
      <c r="E972" s="1001" t="s">
        <v>2528</v>
      </c>
      <c r="F972" s="1001"/>
      <c r="G972" s="980">
        <f>Gradation!$N$19</f>
        <v>0</v>
      </c>
      <c r="H972" s="1222">
        <f t="shared" si="109"/>
        <v>0</v>
      </c>
      <c r="I972" s="1223"/>
    </row>
    <row r="973" spans="1:9" ht="12.75" customHeight="1">
      <c r="A973" s="956" t="s">
        <v>2585</v>
      </c>
      <c r="B973" s="1219" t="str">
        <f t="shared" si="108"/>
        <v/>
      </c>
      <c r="C973" s="823" t="s">
        <v>1553</v>
      </c>
      <c r="D973" s="823">
        <v>1</v>
      </c>
      <c r="E973" s="1001" t="s">
        <v>2529</v>
      </c>
      <c r="F973" s="1001"/>
      <c r="G973" s="980">
        <f>Gradation!$N$20</f>
        <v>0</v>
      </c>
      <c r="H973" s="1222">
        <f t="shared" si="109"/>
        <v>0</v>
      </c>
      <c r="I973" s="1223"/>
    </row>
    <row r="974" spans="1:9" ht="12.75" customHeight="1">
      <c r="A974" s="956" t="s">
        <v>2586</v>
      </c>
      <c r="B974" s="1219" t="str">
        <f t="shared" si="108"/>
        <v/>
      </c>
      <c r="C974" s="823" t="s">
        <v>1553</v>
      </c>
      <c r="D974" s="823">
        <v>1</v>
      </c>
      <c r="E974" s="1001" t="s">
        <v>2530</v>
      </c>
      <c r="F974" s="1001"/>
      <c r="G974" s="980">
        <f>Gradation!$N$21</f>
        <v>0</v>
      </c>
      <c r="H974" s="1222">
        <f t="shared" si="109"/>
        <v>0</v>
      </c>
      <c r="I974" s="1223"/>
    </row>
    <row r="975" spans="1:9" ht="12.75" customHeight="1">
      <c r="A975" s="956" t="s">
        <v>2587</v>
      </c>
      <c r="B975" s="1219" t="str">
        <f t="shared" si="108"/>
        <v/>
      </c>
      <c r="C975" s="823" t="s">
        <v>1553</v>
      </c>
      <c r="D975" s="823">
        <v>1</v>
      </c>
      <c r="E975" s="1001" t="s">
        <v>2531</v>
      </c>
      <c r="F975" s="1001"/>
      <c r="G975" s="980">
        <f>Gradation!$N$22</f>
        <v>0</v>
      </c>
      <c r="H975" s="1222">
        <f t="shared" si="109"/>
        <v>0</v>
      </c>
      <c r="I975" s="1223"/>
    </row>
    <row r="976" spans="1:9" ht="12.75" customHeight="1">
      <c r="A976" s="956" t="s">
        <v>2588</v>
      </c>
      <c r="B976" s="1219" t="str">
        <f t="shared" si="108"/>
        <v/>
      </c>
      <c r="C976" s="823" t="s">
        <v>1553</v>
      </c>
      <c r="D976" s="823">
        <v>1</v>
      </c>
      <c r="E976" s="1001" t="s">
        <v>2532</v>
      </c>
      <c r="F976" s="1001"/>
      <c r="G976" s="980">
        <f>Gradation!$N$23</f>
        <v>0</v>
      </c>
      <c r="H976" s="1222">
        <f t="shared" si="109"/>
        <v>0</v>
      </c>
      <c r="I976" s="1223"/>
    </row>
    <row r="977" spans="1:9" ht="12.75" customHeight="1">
      <c r="A977" s="1505" t="s">
        <v>3053</v>
      </c>
      <c r="B977" s="1506" t="str">
        <f t="shared" si="108"/>
        <v/>
      </c>
      <c r="C977" s="1507" t="str">
        <f t="shared" si="108"/>
        <v>AMAMAW</v>
      </c>
      <c r="D977" s="1507">
        <f t="shared" si="108"/>
        <v>1</v>
      </c>
      <c r="E977" s="1508">
        <v>130</v>
      </c>
      <c r="F977" s="1509"/>
      <c r="G977" s="1516">
        <f>IF('Performance Specimens'!$H$41="",0,'Performance Specimens'!$H$41)</f>
        <v>0</v>
      </c>
      <c r="H977" s="1510">
        <f t="shared" si="109"/>
        <v>0</v>
      </c>
      <c r="I977" s="1178"/>
    </row>
    <row r="978" spans="1:9" ht="12.75" customHeight="1">
      <c r="A978" s="1505" t="s">
        <v>3054</v>
      </c>
      <c r="B978" s="1506" t="str">
        <f t="shared" ref="B978:D995" si="110">B977</f>
        <v/>
      </c>
      <c r="C978" s="1507" t="str">
        <f t="shared" si="110"/>
        <v>AMAMAW</v>
      </c>
      <c r="D978" s="1507">
        <f t="shared" si="110"/>
        <v>1</v>
      </c>
      <c r="E978" s="1508">
        <v>131</v>
      </c>
      <c r="F978" s="1509"/>
      <c r="G978" s="1516">
        <f>IF('Performance Specimens'!$O$41="",0,'Performance Specimens'!$O$41)</f>
        <v>0</v>
      </c>
      <c r="H978" s="1510">
        <f t="shared" si="109"/>
        <v>0</v>
      </c>
      <c r="I978" s="1178"/>
    </row>
    <row r="979" spans="1:9" ht="12.75" customHeight="1">
      <c r="A979" s="1505" t="s">
        <v>3247</v>
      </c>
      <c r="B979" s="1506" t="str">
        <f t="shared" ref="B979:D979" si="111">B978</f>
        <v/>
      </c>
      <c r="C979" s="1507" t="str">
        <f t="shared" si="111"/>
        <v>AMAMAW</v>
      </c>
      <c r="D979" s="1507">
        <f t="shared" si="111"/>
        <v>1</v>
      </c>
      <c r="E979" s="1508">
        <v>132</v>
      </c>
      <c r="F979" s="1509"/>
      <c r="G979" s="1516">
        <f>IF('Performance Specimens'!$H$57="",0,'Performance Specimens'!$H$57)</f>
        <v>0</v>
      </c>
      <c r="H979" s="1510">
        <f t="shared" si="109"/>
        <v>0</v>
      </c>
      <c r="I979" s="1178"/>
    </row>
    <row r="980" spans="1:9" ht="12.75" customHeight="1">
      <c r="A980" s="1505" t="s">
        <v>3248</v>
      </c>
      <c r="B980" s="1506" t="str">
        <f t="shared" ref="B980:D980" si="112">B979</f>
        <v/>
      </c>
      <c r="C980" s="1507" t="str">
        <f t="shared" si="112"/>
        <v>AMAMAW</v>
      </c>
      <c r="D980" s="1507">
        <f t="shared" si="112"/>
        <v>1</v>
      </c>
      <c r="E980" s="1508">
        <v>133</v>
      </c>
      <c r="F980" s="1509"/>
      <c r="G980" s="1516">
        <f>IF('Performance Specimens'!$O$57="",0,'Performance Specimens'!$O$57)</f>
        <v>0</v>
      </c>
      <c r="H980" s="1510">
        <f t="shared" si="109"/>
        <v>0</v>
      </c>
      <c r="I980" s="1178"/>
    </row>
    <row r="981" spans="1:9" ht="12.75" customHeight="1">
      <c r="A981" s="1505" t="s">
        <v>3055</v>
      </c>
      <c r="B981" s="1506" t="str">
        <f>B978</f>
        <v/>
      </c>
      <c r="C981" s="1507" t="str">
        <f>C978</f>
        <v>AMAMAW</v>
      </c>
      <c r="D981" s="1507">
        <f>D978</f>
        <v>1</v>
      </c>
      <c r="E981" s="1508">
        <v>134</v>
      </c>
      <c r="F981" s="1511">
        <f>Calculations!$AR$1</f>
        <v>0</v>
      </c>
      <c r="G981" s="1509"/>
      <c r="H981" s="1510">
        <f>H978</f>
        <v>0</v>
      </c>
      <c r="I981" s="1178"/>
    </row>
    <row r="982" spans="1:9" ht="12.75" customHeight="1">
      <c r="A982" s="1505" t="s">
        <v>3056</v>
      </c>
      <c r="B982" s="1506" t="str">
        <f t="shared" si="110"/>
        <v/>
      </c>
      <c r="C982" s="1507" t="str">
        <f t="shared" si="110"/>
        <v>AMAMAW</v>
      </c>
      <c r="D982" s="1507">
        <f t="shared" si="110"/>
        <v>1</v>
      </c>
      <c r="E982" s="1508">
        <v>135</v>
      </c>
      <c r="F982" s="1509"/>
      <c r="G982" s="1510">
        <f ca="1">IF('KYCT Data Sublot # 4'!$B$14="",0,'KYCT Data Sublot # 4'!$B$14)</f>
        <v>0</v>
      </c>
      <c r="H982" s="1510">
        <f t="shared" si="109"/>
        <v>0</v>
      </c>
      <c r="I982" s="1178"/>
    </row>
    <row r="983" spans="1:9" ht="12.75" customHeight="1">
      <c r="A983" s="1505" t="s">
        <v>3057</v>
      </c>
      <c r="B983" s="1506" t="str">
        <f t="shared" si="110"/>
        <v/>
      </c>
      <c r="C983" s="1507" t="str">
        <f t="shared" si="110"/>
        <v>AMAMAW</v>
      </c>
      <c r="D983" s="1507">
        <f t="shared" si="110"/>
        <v>1</v>
      </c>
      <c r="E983" s="1508">
        <v>136</v>
      </c>
      <c r="F983" s="1509"/>
      <c r="G983" s="1510">
        <f ca="1">IF('KYCT Data Sublot # 4'!$B$18="",0,'KYCT Data Sublot # 4'!$B$18)</f>
        <v>0</v>
      </c>
      <c r="H983" s="1510">
        <f t="shared" si="109"/>
        <v>0</v>
      </c>
      <c r="I983" s="1178"/>
    </row>
    <row r="984" spans="1:9" ht="12.75" customHeight="1">
      <c r="A984" s="1505" t="s">
        <v>3058</v>
      </c>
      <c r="B984" s="1506" t="str">
        <f t="shared" si="110"/>
        <v/>
      </c>
      <c r="C984" s="1507" t="str">
        <f t="shared" si="110"/>
        <v>AMAMAW</v>
      </c>
      <c r="D984" s="1507">
        <f t="shared" si="110"/>
        <v>1</v>
      </c>
      <c r="E984" s="1508">
        <v>137</v>
      </c>
      <c r="F984" s="1509"/>
      <c r="G984" s="1510">
        <f ca="1">IF('KYCT Data Sublot # 4'!$B$19="",0,'KYCT Data Sublot # 4'!$B$19)</f>
        <v>0</v>
      </c>
      <c r="H984" s="1510">
        <f t="shared" si="109"/>
        <v>0</v>
      </c>
      <c r="I984" s="1178"/>
    </row>
    <row r="985" spans="1:9" ht="12.75" customHeight="1">
      <c r="A985" s="1505" t="s">
        <v>3059</v>
      </c>
      <c r="B985" s="1506" t="str">
        <f t="shared" si="110"/>
        <v/>
      </c>
      <c r="C985" s="1507" t="str">
        <f t="shared" si="110"/>
        <v>AMAMAW</v>
      </c>
      <c r="D985" s="1507">
        <f t="shared" si="110"/>
        <v>1</v>
      </c>
      <c r="E985" s="1508">
        <v>138</v>
      </c>
      <c r="F985" s="1509"/>
      <c r="G985" s="1510">
        <f ca="1">IF('KYCT Data Sublot # 4'!$B$20="",0,'KYCT Data Sublot # 4'!$B$20)</f>
        <v>0</v>
      </c>
      <c r="H985" s="1510">
        <f t="shared" si="109"/>
        <v>0</v>
      </c>
      <c r="I985" s="1178"/>
    </row>
    <row r="986" spans="1:9" ht="12.75" customHeight="1">
      <c r="A986" s="1505" t="s">
        <v>3060</v>
      </c>
      <c r="B986" s="1506" t="str">
        <f t="shared" si="110"/>
        <v/>
      </c>
      <c r="C986" s="1507" t="str">
        <f t="shared" si="110"/>
        <v>AMAMAW</v>
      </c>
      <c r="D986" s="1507">
        <f t="shared" si="110"/>
        <v>1</v>
      </c>
      <c r="E986" s="1508">
        <v>139</v>
      </c>
      <c r="F986" s="1509"/>
      <c r="G986" s="1510">
        <f ca="1">IF('KYCT Data Sublot # 4'!$B$21="",0,'KYCT Data Sublot # 4'!$B$21)</f>
        <v>0</v>
      </c>
      <c r="H986" s="1510">
        <f t="shared" si="109"/>
        <v>0</v>
      </c>
      <c r="I986" s="1178"/>
    </row>
    <row r="987" spans="1:9" ht="12.75" customHeight="1">
      <c r="A987" s="1505" t="s">
        <v>3061</v>
      </c>
      <c r="B987" s="1506" t="str">
        <f t="shared" si="110"/>
        <v/>
      </c>
      <c r="C987" s="1507" t="str">
        <f t="shared" si="110"/>
        <v>AMAMAW</v>
      </c>
      <c r="D987" s="1507">
        <f t="shared" si="110"/>
        <v>1</v>
      </c>
      <c r="E987" s="1508">
        <v>140</v>
      </c>
      <c r="F987" s="1509"/>
      <c r="G987" s="1510">
        <f ca="1">IF('KYCT Data Sublot # 4'!$D$14="",0,'KYCT Data Sublot # 4'!$D$14)</f>
        <v>0</v>
      </c>
      <c r="H987" s="1510">
        <f t="shared" si="109"/>
        <v>0</v>
      </c>
      <c r="I987" s="1178"/>
    </row>
    <row r="988" spans="1:9" ht="12.75" customHeight="1">
      <c r="A988" s="1505" t="s">
        <v>3062</v>
      </c>
      <c r="B988" s="1506" t="str">
        <f t="shared" si="110"/>
        <v/>
      </c>
      <c r="C988" s="1507" t="str">
        <f t="shared" si="110"/>
        <v>AMAMAW</v>
      </c>
      <c r="D988" s="1507">
        <f t="shared" si="110"/>
        <v>1</v>
      </c>
      <c r="E988" s="1508">
        <v>141</v>
      </c>
      <c r="F988" s="1509"/>
      <c r="G988" s="1510">
        <f ca="1">IF('KYCT Data Sublot # 4'!$D$18="",0,'KYCT Data Sublot # 4'!$D$18)</f>
        <v>0</v>
      </c>
      <c r="H988" s="1510">
        <f t="shared" si="109"/>
        <v>0</v>
      </c>
      <c r="I988" s="1178"/>
    </row>
    <row r="989" spans="1:9" ht="12.75" customHeight="1">
      <c r="A989" s="1505" t="s">
        <v>3063</v>
      </c>
      <c r="B989" s="1506" t="str">
        <f t="shared" si="110"/>
        <v/>
      </c>
      <c r="C989" s="1507" t="str">
        <f t="shared" si="110"/>
        <v>AMAMAW</v>
      </c>
      <c r="D989" s="1507">
        <f t="shared" si="110"/>
        <v>1</v>
      </c>
      <c r="E989" s="1508">
        <v>142</v>
      </c>
      <c r="F989" s="1509"/>
      <c r="G989" s="1510">
        <f ca="1">IF('KYCT Data Sublot # 4'!$D$19="",0,'KYCT Data Sublot # 4'!$D$19)</f>
        <v>0</v>
      </c>
      <c r="H989" s="1510">
        <f t="shared" si="109"/>
        <v>0</v>
      </c>
      <c r="I989" s="1178"/>
    </row>
    <row r="990" spans="1:9" ht="12.75" customHeight="1">
      <c r="A990" s="1505" t="s">
        <v>3064</v>
      </c>
      <c r="B990" s="1506" t="str">
        <f t="shared" si="110"/>
        <v/>
      </c>
      <c r="C990" s="1507" t="str">
        <f t="shared" si="110"/>
        <v>AMAMAW</v>
      </c>
      <c r="D990" s="1507">
        <f t="shared" si="110"/>
        <v>1</v>
      </c>
      <c r="E990" s="1508">
        <v>143</v>
      </c>
      <c r="F990" s="1509"/>
      <c r="G990" s="1510">
        <f ca="1">IF('KYCT Data Sublot # 4'!$D$20="",0,'KYCT Data Sublot # 4'!$D$20)</f>
        <v>0</v>
      </c>
      <c r="H990" s="1510">
        <f t="shared" si="109"/>
        <v>0</v>
      </c>
      <c r="I990" s="1178"/>
    </row>
    <row r="991" spans="1:9" ht="12.75" customHeight="1">
      <c r="A991" s="1505" t="s">
        <v>3065</v>
      </c>
      <c r="B991" s="1506" t="str">
        <f t="shared" si="110"/>
        <v/>
      </c>
      <c r="C991" s="1507" t="str">
        <f t="shared" si="110"/>
        <v>AMAMAW</v>
      </c>
      <c r="D991" s="1507">
        <f t="shared" si="110"/>
        <v>1</v>
      </c>
      <c r="E991" s="1508">
        <v>144</v>
      </c>
      <c r="F991" s="1509"/>
      <c r="G991" s="1510">
        <f ca="1">IF('KYCT Data Sublot # 4'!$D$21="",0,'KYCT Data Sublot # 4'!$D$21)</f>
        <v>0</v>
      </c>
      <c r="H991" s="1510">
        <f t="shared" si="109"/>
        <v>0</v>
      </c>
      <c r="I991" s="1178"/>
    </row>
    <row r="992" spans="1:9" ht="12.75" customHeight="1">
      <c r="A992" s="1505" t="s">
        <v>3066</v>
      </c>
      <c r="B992" s="1506" t="str">
        <f t="shared" si="110"/>
        <v/>
      </c>
      <c r="C992" s="1507" t="str">
        <f t="shared" si="110"/>
        <v>AMAMAW</v>
      </c>
      <c r="D992" s="1507">
        <f t="shared" si="110"/>
        <v>1</v>
      </c>
      <c r="E992" s="1508">
        <v>145</v>
      </c>
      <c r="F992" s="1509"/>
      <c r="G992" s="1510">
        <f ca="1">IF('KYCT Data Sublot # 4'!$F$14="",0,'KYCT Data Sublot # 4'!$F$14)</f>
        <v>0</v>
      </c>
      <c r="H992" s="1510">
        <f t="shared" si="109"/>
        <v>0</v>
      </c>
      <c r="I992" s="1178"/>
    </row>
    <row r="993" spans="1:9" ht="12.75" customHeight="1">
      <c r="A993" s="1505" t="s">
        <v>3067</v>
      </c>
      <c r="B993" s="1506" t="str">
        <f t="shared" si="110"/>
        <v/>
      </c>
      <c r="C993" s="1507" t="str">
        <f t="shared" si="110"/>
        <v>AMAMAW</v>
      </c>
      <c r="D993" s="1507">
        <f t="shared" si="110"/>
        <v>1</v>
      </c>
      <c r="E993" s="1508">
        <v>146</v>
      </c>
      <c r="F993" s="1509"/>
      <c r="G993" s="1510">
        <f ca="1">IF('KYCT Data Sublot # 4'!$F$18="",0,'KYCT Data Sublot # 4'!$F$18)</f>
        <v>0</v>
      </c>
      <c r="H993" s="1510">
        <f t="shared" si="109"/>
        <v>0</v>
      </c>
      <c r="I993" s="1178"/>
    </row>
    <row r="994" spans="1:9" ht="12.75" customHeight="1">
      <c r="A994" s="1505" t="s">
        <v>3068</v>
      </c>
      <c r="B994" s="1506" t="str">
        <f t="shared" si="110"/>
        <v/>
      </c>
      <c r="C994" s="1507" t="str">
        <f t="shared" si="110"/>
        <v>AMAMAW</v>
      </c>
      <c r="D994" s="1507">
        <f t="shared" si="110"/>
        <v>1</v>
      </c>
      <c r="E994" s="1508">
        <v>147</v>
      </c>
      <c r="F994" s="1509"/>
      <c r="G994" s="1510">
        <f ca="1">IF('KYCT Data Sublot # 4'!$F$19="",0,'KYCT Data Sublot # 4'!$F$19)</f>
        <v>0</v>
      </c>
      <c r="H994" s="1510">
        <f t="shared" si="109"/>
        <v>0</v>
      </c>
      <c r="I994" s="1178"/>
    </row>
    <row r="995" spans="1:9" ht="12.75" customHeight="1">
      <c r="A995" s="1505" t="s">
        <v>3069</v>
      </c>
      <c r="B995" s="1506" t="str">
        <f t="shared" si="110"/>
        <v/>
      </c>
      <c r="C995" s="1507" t="str">
        <f t="shared" si="110"/>
        <v>AMAMAW</v>
      </c>
      <c r="D995" s="1507">
        <f t="shared" si="110"/>
        <v>1</v>
      </c>
      <c r="E995" s="1508">
        <v>148</v>
      </c>
      <c r="F995" s="1509"/>
      <c r="G995" s="1510">
        <f ca="1">IF('KYCT Data Sublot # 4'!$F$20="",0,'KYCT Data Sublot # 4'!$F$20)</f>
        <v>0</v>
      </c>
      <c r="H995" s="1510">
        <f t="shared" si="109"/>
        <v>0</v>
      </c>
      <c r="I995" s="1178"/>
    </row>
    <row r="996" spans="1:9" ht="12.75" customHeight="1">
      <c r="A996" s="1505" t="s">
        <v>3070</v>
      </c>
      <c r="B996" s="1506" t="str">
        <f t="shared" ref="B996:D1011" si="113">B995</f>
        <v/>
      </c>
      <c r="C996" s="1507" t="str">
        <f t="shared" si="113"/>
        <v>AMAMAW</v>
      </c>
      <c r="D996" s="1507">
        <f t="shared" si="113"/>
        <v>1</v>
      </c>
      <c r="E996" s="1508">
        <v>149</v>
      </c>
      <c r="F996" s="1509"/>
      <c r="G996" s="1510">
        <f ca="1">IF('KYCT Data Sublot # 4'!$F$21="",0,'KYCT Data Sublot # 4'!$F$21)</f>
        <v>0</v>
      </c>
      <c r="H996" s="1510">
        <f t="shared" si="109"/>
        <v>0</v>
      </c>
      <c r="I996" s="1178"/>
    </row>
    <row r="997" spans="1:9" ht="12.75" customHeight="1">
      <c r="A997" s="1505" t="s">
        <v>3071</v>
      </c>
      <c r="B997" s="1506" t="str">
        <f t="shared" si="113"/>
        <v/>
      </c>
      <c r="C997" s="1507" t="str">
        <f t="shared" si="113"/>
        <v>AMAMAW</v>
      </c>
      <c r="D997" s="1507">
        <f t="shared" si="113"/>
        <v>1</v>
      </c>
      <c r="E997" s="1508">
        <v>150</v>
      </c>
      <c r="F997" s="1509"/>
      <c r="G997" s="1510">
        <f ca="1">IF('KYCT Data Sublot # 4'!$H$14="",0,'KYCT Data Sublot # 4'!$H$14)</f>
        <v>0</v>
      </c>
      <c r="H997" s="1510">
        <f t="shared" si="109"/>
        <v>0</v>
      </c>
      <c r="I997" s="1178"/>
    </row>
    <row r="998" spans="1:9" ht="12.75" customHeight="1">
      <c r="A998" s="1505" t="s">
        <v>3072</v>
      </c>
      <c r="B998" s="1506" t="str">
        <f t="shared" si="113"/>
        <v/>
      </c>
      <c r="C998" s="1507" t="str">
        <f t="shared" si="113"/>
        <v>AMAMAW</v>
      </c>
      <c r="D998" s="1507">
        <f t="shared" si="113"/>
        <v>1</v>
      </c>
      <c r="E998" s="1508">
        <v>151</v>
      </c>
      <c r="F998" s="1509"/>
      <c r="G998" s="1510">
        <f ca="1">IF('KYCT Data Sublot # 4'!$H$18="",0,'KYCT Data Sublot # 4'!$H$18)</f>
        <v>0</v>
      </c>
      <c r="H998" s="1510">
        <f t="shared" si="109"/>
        <v>0</v>
      </c>
      <c r="I998" s="1178"/>
    </row>
    <row r="999" spans="1:9" ht="12.75" customHeight="1">
      <c r="A999" s="1505" t="s">
        <v>3073</v>
      </c>
      <c r="B999" s="1506" t="str">
        <f t="shared" si="113"/>
        <v/>
      </c>
      <c r="C999" s="1507" t="str">
        <f t="shared" si="113"/>
        <v>AMAMAW</v>
      </c>
      <c r="D999" s="1507">
        <f t="shared" si="113"/>
        <v>1</v>
      </c>
      <c r="E999" s="1508">
        <v>152</v>
      </c>
      <c r="F999" s="1509"/>
      <c r="G999" s="1510">
        <f ca="1">IF('KYCT Data Sublot # 4'!$H$19="",0,'KYCT Data Sublot # 4'!$H$19)</f>
        <v>0</v>
      </c>
      <c r="H999" s="1510">
        <f t="shared" si="109"/>
        <v>0</v>
      </c>
      <c r="I999" s="1178"/>
    </row>
    <row r="1000" spans="1:9" ht="12.75" customHeight="1">
      <c r="A1000" s="1505" t="s">
        <v>3074</v>
      </c>
      <c r="B1000" s="1506" t="str">
        <f t="shared" si="113"/>
        <v/>
      </c>
      <c r="C1000" s="1507" t="str">
        <f t="shared" si="113"/>
        <v>AMAMAW</v>
      </c>
      <c r="D1000" s="1507">
        <f t="shared" si="113"/>
        <v>1</v>
      </c>
      <c r="E1000" s="1508">
        <v>153</v>
      </c>
      <c r="F1000" s="1509"/>
      <c r="G1000" s="1510">
        <f ca="1">IF('KYCT Data Sublot # 4'!$H$20="",0,'KYCT Data Sublot # 4'!$H$20)</f>
        <v>0</v>
      </c>
      <c r="H1000" s="1510">
        <f t="shared" si="109"/>
        <v>0</v>
      </c>
      <c r="I1000" s="1178"/>
    </row>
    <row r="1001" spans="1:9" ht="12.75" customHeight="1">
      <c r="A1001" s="1505" t="s">
        <v>3075</v>
      </c>
      <c r="B1001" s="1506" t="str">
        <f t="shared" si="113"/>
        <v/>
      </c>
      <c r="C1001" s="1507" t="str">
        <f t="shared" si="113"/>
        <v>AMAMAW</v>
      </c>
      <c r="D1001" s="1507">
        <f t="shared" si="113"/>
        <v>1</v>
      </c>
      <c r="E1001" s="1508">
        <v>154</v>
      </c>
      <c r="F1001" s="1509"/>
      <c r="G1001" s="1510">
        <f ca="1">IF('KYCT Data Sublot # 4'!$H$21="",0,'KYCT Data Sublot # 4'!$H$21)</f>
        <v>0</v>
      </c>
      <c r="H1001" s="1510">
        <f t="shared" si="109"/>
        <v>0</v>
      </c>
      <c r="I1001" s="1178"/>
    </row>
    <row r="1002" spans="1:9" ht="12.75" customHeight="1">
      <c r="A1002" s="1505" t="s">
        <v>3076</v>
      </c>
      <c r="B1002" s="1506" t="str">
        <f t="shared" si="113"/>
        <v/>
      </c>
      <c r="C1002" s="1507" t="str">
        <f t="shared" si="113"/>
        <v>AMAMAW</v>
      </c>
      <c r="D1002" s="1507">
        <f t="shared" si="113"/>
        <v>1</v>
      </c>
      <c r="E1002" s="1508">
        <v>155</v>
      </c>
      <c r="F1002" s="1509"/>
      <c r="G1002" s="1510">
        <f ca="1">IF('KYCT Data Sublot # 4'!$J$14="",0,'KYCT Data Sublot # 4'!$J$14)</f>
        <v>0</v>
      </c>
      <c r="H1002" s="1510">
        <f t="shared" si="109"/>
        <v>0</v>
      </c>
      <c r="I1002" s="1178"/>
    </row>
    <row r="1003" spans="1:9" ht="12.75" customHeight="1">
      <c r="A1003" s="1505" t="s">
        <v>3077</v>
      </c>
      <c r="B1003" s="1506" t="str">
        <f t="shared" si="113"/>
        <v/>
      </c>
      <c r="C1003" s="1507" t="str">
        <f t="shared" si="113"/>
        <v>AMAMAW</v>
      </c>
      <c r="D1003" s="1507">
        <f t="shared" si="113"/>
        <v>1</v>
      </c>
      <c r="E1003" s="1508">
        <v>156</v>
      </c>
      <c r="F1003" s="1509"/>
      <c r="G1003" s="1510">
        <f ca="1">IF('KYCT Data Sublot # 4'!$J$18="",0,'KYCT Data Sublot # 4'!$J$18)</f>
        <v>0</v>
      </c>
      <c r="H1003" s="1510">
        <f t="shared" si="109"/>
        <v>0</v>
      </c>
      <c r="I1003" s="1178"/>
    </row>
    <row r="1004" spans="1:9" ht="12.75" customHeight="1">
      <c r="A1004" s="1505" t="s">
        <v>3078</v>
      </c>
      <c r="B1004" s="1506" t="str">
        <f t="shared" si="113"/>
        <v/>
      </c>
      <c r="C1004" s="1507" t="str">
        <f t="shared" si="113"/>
        <v>AMAMAW</v>
      </c>
      <c r="D1004" s="1507">
        <f t="shared" si="113"/>
        <v>1</v>
      </c>
      <c r="E1004" s="1508">
        <v>157</v>
      </c>
      <c r="F1004" s="1509"/>
      <c r="G1004" s="1510">
        <f ca="1">IF('KYCT Data Sublot # 4'!$J$19="",0,'KYCT Data Sublot # 4'!$J$19)</f>
        <v>0</v>
      </c>
      <c r="H1004" s="1510">
        <f t="shared" si="109"/>
        <v>0</v>
      </c>
      <c r="I1004" s="1178"/>
    </row>
    <row r="1005" spans="1:9" ht="12.75" customHeight="1">
      <c r="A1005" s="1505" t="s">
        <v>3079</v>
      </c>
      <c r="B1005" s="1506" t="str">
        <f t="shared" si="113"/>
        <v/>
      </c>
      <c r="C1005" s="1507" t="str">
        <f t="shared" si="113"/>
        <v>AMAMAW</v>
      </c>
      <c r="D1005" s="1507">
        <f t="shared" si="113"/>
        <v>1</v>
      </c>
      <c r="E1005" s="1508">
        <v>158</v>
      </c>
      <c r="F1005" s="1509"/>
      <c r="G1005" s="1510">
        <f ca="1">IF('KYCT Data Sublot # 4'!$J$20="",0,'KYCT Data Sublot # 4'!$J$20)</f>
        <v>0</v>
      </c>
      <c r="H1005" s="1510">
        <f t="shared" si="109"/>
        <v>0</v>
      </c>
      <c r="I1005" s="1178"/>
    </row>
    <row r="1006" spans="1:9" ht="12.75" customHeight="1">
      <c r="A1006" s="1505" t="s">
        <v>3080</v>
      </c>
      <c r="B1006" s="1506" t="str">
        <f t="shared" si="113"/>
        <v/>
      </c>
      <c r="C1006" s="1507" t="str">
        <f t="shared" si="113"/>
        <v>AMAMAW</v>
      </c>
      <c r="D1006" s="1507">
        <f t="shared" si="113"/>
        <v>1</v>
      </c>
      <c r="E1006" s="1508">
        <v>159</v>
      </c>
      <c r="F1006" s="1509"/>
      <c r="G1006" s="1510">
        <f ca="1">IF('KYCT Data Sublot # 4'!$J$21="",0,'KYCT Data Sublot # 4'!$J$21)</f>
        <v>0</v>
      </c>
      <c r="H1006" s="1510">
        <f t="shared" ref="H1006:H1056" si="114">H1005</f>
        <v>0</v>
      </c>
      <c r="I1006" s="1178"/>
    </row>
    <row r="1007" spans="1:9" ht="12.75" customHeight="1">
      <c r="A1007" s="1505" t="s">
        <v>3081</v>
      </c>
      <c r="B1007" s="1512" t="str">
        <f t="shared" si="113"/>
        <v/>
      </c>
      <c r="C1007" s="1513" t="str">
        <f t="shared" si="113"/>
        <v>AMAMAW</v>
      </c>
      <c r="D1007" s="1513">
        <f t="shared" si="113"/>
        <v>1</v>
      </c>
      <c r="E1007" s="1514">
        <v>160</v>
      </c>
      <c r="F1007" s="1509"/>
      <c r="G1007" s="1510">
        <f ca="1">IF('KYCT Data Sublot # 4'!$L$14="",0,'KYCT Data Sublot # 4'!$L$14)</f>
        <v>0</v>
      </c>
      <c r="H1007" s="1515">
        <f t="shared" si="114"/>
        <v>0</v>
      </c>
      <c r="I1007" s="1178"/>
    </row>
    <row r="1008" spans="1:9" ht="12.75" customHeight="1">
      <c r="A1008" s="1505" t="s">
        <v>3082</v>
      </c>
      <c r="B1008" s="1512" t="str">
        <f t="shared" si="113"/>
        <v/>
      </c>
      <c r="C1008" s="1513" t="str">
        <f t="shared" si="113"/>
        <v>AMAMAW</v>
      </c>
      <c r="D1008" s="1513">
        <f t="shared" si="113"/>
        <v>1</v>
      </c>
      <c r="E1008" s="1514">
        <v>161</v>
      </c>
      <c r="F1008" s="1509"/>
      <c r="G1008" s="1510">
        <f ca="1">IF('KYCT Data Sublot # 4'!$L$18="",0,'KYCT Data Sublot # 4'!$L$18)</f>
        <v>0</v>
      </c>
      <c r="H1008" s="1515">
        <f t="shared" si="114"/>
        <v>0</v>
      </c>
      <c r="I1008" s="1178"/>
    </row>
    <row r="1009" spans="1:9" ht="12.75" customHeight="1">
      <c r="A1009" s="1505" t="s">
        <v>3083</v>
      </c>
      <c r="B1009" s="1512" t="str">
        <f t="shared" si="113"/>
        <v/>
      </c>
      <c r="C1009" s="1513" t="str">
        <f t="shared" si="113"/>
        <v>AMAMAW</v>
      </c>
      <c r="D1009" s="1513">
        <f t="shared" si="113"/>
        <v>1</v>
      </c>
      <c r="E1009" s="1514">
        <v>162</v>
      </c>
      <c r="F1009" s="1509"/>
      <c r="G1009" s="1510">
        <f ca="1">IF('KYCT Data Sublot # 4'!$L$19="",0,'KYCT Data Sublot # 4'!$L$19)</f>
        <v>0</v>
      </c>
      <c r="H1009" s="1515">
        <f t="shared" si="114"/>
        <v>0</v>
      </c>
      <c r="I1009" s="1178"/>
    </row>
    <row r="1010" spans="1:9" ht="12.75" customHeight="1">
      <c r="A1010" s="1505" t="s">
        <v>3084</v>
      </c>
      <c r="B1010" s="1512" t="str">
        <f t="shared" si="113"/>
        <v/>
      </c>
      <c r="C1010" s="1513" t="str">
        <f t="shared" si="113"/>
        <v>AMAMAW</v>
      </c>
      <c r="D1010" s="1513">
        <f t="shared" si="113"/>
        <v>1</v>
      </c>
      <c r="E1010" s="1514">
        <v>163</v>
      </c>
      <c r="F1010" s="1509"/>
      <c r="G1010" s="1510">
        <f ca="1">IF('KYCT Data Sublot # 4'!$L$20="",0,'KYCT Data Sublot # 4'!$L$20)</f>
        <v>0</v>
      </c>
      <c r="H1010" s="1515">
        <f t="shared" si="114"/>
        <v>0</v>
      </c>
      <c r="I1010" s="1178"/>
    </row>
    <row r="1011" spans="1:9" ht="12.75" customHeight="1">
      <c r="A1011" s="1505" t="s">
        <v>3085</v>
      </c>
      <c r="B1011" s="1506" t="str">
        <f t="shared" si="113"/>
        <v/>
      </c>
      <c r="C1011" s="1507" t="str">
        <f t="shared" si="113"/>
        <v>AMAMAW</v>
      </c>
      <c r="D1011" s="1507">
        <f t="shared" si="113"/>
        <v>1</v>
      </c>
      <c r="E1011" s="1508">
        <v>164</v>
      </c>
      <c r="F1011" s="1509"/>
      <c r="G1011" s="1510">
        <f ca="1">IF('KYCT Data Sublot # 4'!$L$21="",0,'KYCT Data Sublot # 4'!$L$21)</f>
        <v>0</v>
      </c>
      <c r="H1011" s="1510">
        <f t="shared" si="114"/>
        <v>0</v>
      </c>
      <c r="I1011" s="1178"/>
    </row>
    <row r="1012" spans="1:9" ht="12.75" customHeight="1">
      <c r="A1012" s="1505" t="s">
        <v>3086</v>
      </c>
      <c r="B1012" s="1512" t="str">
        <f t="shared" ref="B1012:D1027" si="115">B1011</f>
        <v/>
      </c>
      <c r="C1012" s="1513" t="str">
        <f t="shared" si="115"/>
        <v>AMAMAW</v>
      </c>
      <c r="D1012" s="1513">
        <f t="shared" si="115"/>
        <v>1</v>
      </c>
      <c r="E1012" s="1514">
        <v>165</v>
      </c>
      <c r="F1012" s="1509"/>
      <c r="G1012" s="1510">
        <f ca="1">IF('KYCT Data Sublot # 4'!$N$14="",0,'KYCT Data Sublot # 4'!$N$14)</f>
        <v>0</v>
      </c>
      <c r="H1012" s="1515">
        <f t="shared" si="114"/>
        <v>0</v>
      </c>
      <c r="I1012" s="1178"/>
    </row>
    <row r="1013" spans="1:9" ht="12.75" customHeight="1">
      <c r="A1013" s="1505" t="s">
        <v>3087</v>
      </c>
      <c r="B1013" s="1512" t="str">
        <f t="shared" si="115"/>
        <v/>
      </c>
      <c r="C1013" s="1513" t="str">
        <f t="shared" si="115"/>
        <v>AMAMAW</v>
      </c>
      <c r="D1013" s="1513">
        <f t="shared" si="115"/>
        <v>1</v>
      </c>
      <c r="E1013" s="1514">
        <v>166</v>
      </c>
      <c r="F1013" s="1509"/>
      <c r="G1013" s="1510">
        <f ca="1">IF('KYCT Data Sublot # 4'!$N$18="",0,'KYCT Data Sublot # 4'!$N$18)</f>
        <v>0</v>
      </c>
      <c r="H1013" s="1515">
        <f t="shared" si="114"/>
        <v>0</v>
      </c>
      <c r="I1013" s="1178"/>
    </row>
    <row r="1014" spans="1:9" ht="12.75" customHeight="1">
      <c r="A1014" s="1505" t="s">
        <v>3088</v>
      </c>
      <c r="B1014" s="1512" t="str">
        <f t="shared" si="115"/>
        <v/>
      </c>
      <c r="C1014" s="1513" t="str">
        <f t="shared" si="115"/>
        <v>AMAMAW</v>
      </c>
      <c r="D1014" s="1513">
        <f t="shared" si="115"/>
        <v>1</v>
      </c>
      <c r="E1014" s="1514">
        <v>167</v>
      </c>
      <c r="F1014" s="1509"/>
      <c r="G1014" s="1510">
        <f ca="1">IF('KYCT Data Sublot # 4'!$N$19="",0,'KYCT Data Sublot # 4'!$N$19)</f>
        <v>0</v>
      </c>
      <c r="H1014" s="1515">
        <f t="shared" si="114"/>
        <v>0</v>
      </c>
      <c r="I1014" s="1178"/>
    </row>
    <row r="1015" spans="1:9" ht="12.75" customHeight="1">
      <c r="A1015" s="1505" t="s">
        <v>3089</v>
      </c>
      <c r="B1015" s="1512" t="str">
        <f t="shared" si="115"/>
        <v/>
      </c>
      <c r="C1015" s="1513" t="str">
        <f t="shared" si="115"/>
        <v>AMAMAW</v>
      </c>
      <c r="D1015" s="1513">
        <f t="shared" si="115"/>
        <v>1</v>
      </c>
      <c r="E1015" s="1514">
        <v>168</v>
      </c>
      <c r="F1015" s="1509"/>
      <c r="G1015" s="1510">
        <f ca="1">IF('KYCT Data Sublot # 4'!$N$20="",0,'KYCT Data Sublot # 4'!$N$20)</f>
        <v>0</v>
      </c>
      <c r="H1015" s="1515">
        <f t="shared" si="114"/>
        <v>0</v>
      </c>
      <c r="I1015" s="1178"/>
    </row>
    <row r="1016" spans="1:9" ht="12.75" customHeight="1">
      <c r="A1016" s="1505" t="s">
        <v>3090</v>
      </c>
      <c r="B1016" s="1506" t="str">
        <f t="shared" si="115"/>
        <v/>
      </c>
      <c r="C1016" s="1507" t="str">
        <f t="shared" si="115"/>
        <v>AMAMAW</v>
      </c>
      <c r="D1016" s="1507">
        <f t="shared" si="115"/>
        <v>1</v>
      </c>
      <c r="E1016" s="1508">
        <v>169</v>
      </c>
      <c r="F1016" s="1509"/>
      <c r="G1016" s="1510">
        <f ca="1">IF('KYCT Data Sublot # 4'!$N$21="",0,'KYCT Data Sublot # 4'!$N$21)</f>
        <v>0</v>
      </c>
      <c r="H1016" s="1510">
        <f t="shared" si="114"/>
        <v>0</v>
      </c>
      <c r="I1016" s="1178"/>
    </row>
    <row r="1017" spans="1:9" ht="12.75" customHeight="1">
      <c r="A1017" s="1505" t="s">
        <v>3091</v>
      </c>
      <c r="B1017" s="1512" t="str">
        <f t="shared" si="115"/>
        <v/>
      </c>
      <c r="C1017" s="1513" t="str">
        <f t="shared" si="115"/>
        <v>AMAMAW</v>
      </c>
      <c r="D1017" s="1513">
        <f t="shared" si="115"/>
        <v>1</v>
      </c>
      <c r="E1017" s="1514">
        <v>170</v>
      </c>
      <c r="F1017" s="1509"/>
      <c r="G1017" s="1510">
        <f ca="1">IF('KYCT Data Sublot # 4'!$P$14="",0,'KYCT Data Sublot # 4'!$P$14)</f>
        <v>0</v>
      </c>
      <c r="H1017" s="1515">
        <f t="shared" si="114"/>
        <v>0</v>
      </c>
      <c r="I1017" s="1178"/>
    </row>
    <row r="1018" spans="1:9" ht="12.75" customHeight="1">
      <c r="A1018" s="1505" t="s">
        <v>3092</v>
      </c>
      <c r="B1018" s="1512" t="str">
        <f t="shared" si="115"/>
        <v/>
      </c>
      <c r="C1018" s="1513" t="str">
        <f t="shared" si="115"/>
        <v>AMAMAW</v>
      </c>
      <c r="D1018" s="1513">
        <f t="shared" si="115"/>
        <v>1</v>
      </c>
      <c r="E1018" s="1514">
        <v>171</v>
      </c>
      <c r="F1018" s="1509"/>
      <c r="G1018" s="1510">
        <f ca="1">IF('KYCT Data Sublot # 4'!$P$18="",0,'KYCT Data Sublot # 4'!$P$18)</f>
        <v>0</v>
      </c>
      <c r="H1018" s="1515">
        <f t="shared" si="114"/>
        <v>0</v>
      </c>
      <c r="I1018" s="1178"/>
    </row>
    <row r="1019" spans="1:9" ht="12.75" customHeight="1">
      <c r="A1019" s="1505" t="s">
        <v>3093</v>
      </c>
      <c r="B1019" s="1512" t="str">
        <f t="shared" si="115"/>
        <v/>
      </c>
      <c r="C1019" s="1513" t="str">
        <f t="shared" si="115"/>
        <v>AMAMAW</v>
      </c>
      <c r="D1019" s="1513">
        <f t="shared" si="115"/>
        <v>1</v>
      </c>
      <c r="E1019" s="1514">
        <v>172</v>
      </c>
      <c r="F1019" s="1509"/>
      <c r="G1019" s="1510">
        <f ca="1">IF('KYCT Data Sublot # 4'!$P$19="",0,'KYCT Data Sublot # 4'!$P$19)</f>
        <v>0</v>
      </c>
      <c r="H1019" s="1515">
        <f t="shared" si="114"/>
        <v>0</v>
      </c>
      <c r="I1019" s="1178"/>
    </row>
    <row r="1020" spans="1:9" ht="12.75" customHeight="1">
      <c r="A1020" s="1505" t="s">
        <v>3094</v>
      </c>
      <c r="B1020" s="1512" t="str">
        <f t="shared" si="115"/>
        <v/>
      </c>
      <c r="C1020" s="1513" t="str">
        <f t="shared" si="115"/>
        <v>AMAMAW</v>
      </c>
      <c r="D1020" s="1513">
        <f t="shared" si="115"/>
        <v>1</v>
      </c>
      <c r="E1020" s="1514">
        <v>173</v>
      </c>
      <c r="F1020" s="1509"/>
      <c r="G1020" s="1510">
        <f ca="1">IF('KYCT Data Sublot # 4'!$P$20="",0,'KYCT Data Sublot # 4'!$P$20)</f>
        <v>0</v>
      </c>
      <c r="H1020" s="1515">
        <f t="shared" si="114"/>
        <v>0</v>
      </c>
      <c r="I1020" s="1178"/>
    </row>
    <row r="1021" spans="1:9" ht="12.75" customHeight="1">
      <c r="A1021" s="1505" t="s">
        <v>3095</v>
      </c>
      <c r="B1021" s="1512" t="str">
        <f t="shared" si="115"/>
        <v/>
      </c>
      <c r="C1021" s="1513" t="str">
        <f t="shared" si="115"/>
        <v>AMAMAW</v>
      </c>
      <c r="D1021" s="1513">
        <f t="shared" si="115"/>
        <v>1</v>
      </c>
      <c r="E1021" s="1514">
        <v>174</v>
      </c>
      <c r="F1021" s="1509"/>
      <c r="G1021" s="1510">
        <f ca="1">IF('KYCT Data Sublot # 4'!$P$21="",0,'KYCT Data Sublot # 4'!$P$21)</f>
        <v>0</v>
      </c>
      <c r="H1021" s="1510">
        <f t="shared" si="114"/>
        <v>0</v>
      </c>
      <c r="I1021" s="1178"/>
    </row>
    <row r="1022" spans="1:9" ht="12.75" customHeight="1">
      <c r="A1022" s="1505" t="s">
        <v>3096</v>
      </c>
      <c r="B1022" s="1512" t="str">
        <f t="shared" si="115"/>
        <v/>
      </c>
      <c r="C1022" s="1513" t="str">
        <f t="shared" si="115"/>
        <v>AMAMAW</v>
      </c>
      <c r="D1022" s="1513">
        <f t="shared" si="115"/>
        <v>1</v>
      </c>
      <c r="E1022" s="1514">
        <v>175</v>
      </c>
      <c r="F1022" s="1510">
        <f>Calculations!$AR$1</f>
        <v>0</v>
      </c>
      <c r="G1022" s="1509"/>
      <c r="H1022" s="1515">
        <f t="shared" si="114"/>
        <v>0</v>
      </c>
      <c r="I1022" s="1178"/>
    </row>
    <row r="1023" spans="1:9" ht="12.75" customHeight="1">
      <c r="A1023" s="1505" t="s">
        <v>3097</v>
      </c>
      <c r="B1023" s="1512" t="str">
        <f t="shared" si="115"/>
        <v/>
      </c>
      <c r="C1023" s="1513" t="str">
        <f t="shared" si="115"/>
        <v>AMAMAW</v>
      </c>
      <c r="D1023" s="1513">
        <f t="shared" si="115"/>
        <v>1</v>
      </c>
      <c r="E1023" s="1514">
        <v>176</v>
      </c>
      <c r="F1023" s="1509"/>
      <c r="G1023" s="1516">
        <f>IF('Field Rutting'!$D$19="",0,'Field Rutting'!$D$19)</f>
        <v>0</v>
      </c>
      <c r="H1023" s="1515">
        <f t="shared" si="114"/>
        <v>0</v>
      </c>
      <c r="I1023" s="1178"/>
    </row>
    <row r="1024" spans="1:9" ht="12.75" customHeight="1">
      <c r="A1024" s="1505" t="s">
        <v>3098</v>
      </c>
      <c r="B1024" s="1512" t="str">
        <f t="shared" si="115"/>
        <v/>
      </c>
      <c r="C1024" s="1513" t="str">
        <f t="shared" si="115"/>
        <v>AMAMAW</v>
      </c>
      <c r="D1024" s="1513">
        <f t="shared" si="115"/>
        <v>1</v>
      </c>
      <c r="E1024" s="1514">
        <v>177</v>
      </c>
      <c r="F1024" s="1509"/>
      <c r="G1024" s="1516">
        <f>IF('Field Rutting'!$D$19="",0,'Field Rutting'!$D$19)</f>
        <v>0</v>
      </c>
      <c r="H1024" s="1515">
        <f t="shared" si="114"/>
        <v>0</v>
      </c>
      <c r="I1024" s="1178"/>
    </row>
    <row r="1025" spans="1:9" ht="12.75" customHeight="1">
      <c r="A1025" s="1505" t="s">
        <v>3099</v>
      </c>
      <c r="B1025" s="1512" t="str">
        <f t="shared" si="115"/>
        <v/>
      </c>
      <c r="C1025" s="1513" t="str">
        <f t="shared" si="115"/>
        <v>AMAMAW</v>
      </c>
      <c r="D1025" s="1513">
        <f t="shared" si="115"/>
        <v>1</v>
      </c>
      <c r="E1025" s="1514">
        <v>178</v>
      </c>
      <c r="F1025" s="1509"/>
      <c r="G1025" s="1516">
        <f>IF('Field Rutting'!$D$20="",0,'Field Rutting'!$D$20)</f>
        <v>0</v>
      </c>
      <c r="H1025" s="1515">
        <f t="shared" si="114"/>
        <v>0</v>
      </c>
      <c r="I1025" s="1178"/>
    </row>
    <row r="1026" spans="1:9" ht="12.75" customHeight="1">
      <c r="A1026" s="1505" t="s">
        <v>3100</v>
      </c>
      <c r="B1026" s="1512" t="str">
        <f t="shared" si="115"/>
        <v/>
      </c>
      <c r="C1026" s="1513" t="str">
        <f t="shared" si="115"/>
        <v>AMAMAW</v>
      </c>
      <c r="D1026" s="1513">
        <f t="shared" si="115"/>
        <v>1</v>
      </c>
      <c r="E1026" s="1514">
        <v>179</v>
      </c>
      <c r="F1026" s="1509"/>
      <c r="G1026" s="1516">
        <f>IF('Field Rutting'!$D$21="",0,'Field Rutting'!$D$21)</f>
        <v>0</v>
      </c>
      <c r="H1026" s="1515">
        <f t="shared" si="114"/>
        <v>0</v>
      </c>
      <c r="I1026" s="1178"/>
    </row>
    <row r="1027" spans="1:9" ht="12.75" customHeight="1">
      <c r="A1027" s="1505" t="s">
        <v>3101</v>
      </c>
      <c r="B1027" s="1512" t="str">
        <f t="shared" si="115"/>
        <v/>
      </c>
      <c r="C1027" s="1513" t="str">
        <f t="shared" si="115"/>
        <v>AMAMAW</v>
      </c>
      <c r="D1027" s="1513">
        <f t="shared" si="115"/>
        <v>1</v>
      </c>
      <c r="E1027" s="1514">
        <v>180</v>
      </c>
      <c r="F1027" s="1509"/>
      <c r="G1027" s="1516">
        <f>IF('Field Rutting'!$D$22="",0,'Field Rutting'!$D$22)</f>
        <v>0</v>
      </c>
      <c r="H1027" s="1515">
        <f t="shared" si="114"/>
        <v>0</v>
      </c>
      <c r="I1027" s="1178"/>
    </row>
    <row r="1028" spans="1:9" ht="12.75" customHeight="1">
      <c r="A1028" s="1505" t="s">
        <v>3102</v>
      </c>
      <c r="B1028" s="1512" t="str">
        <f t="shared" ref="B1028:D1040" si="116">B1027</f>
        <v/>
      </c>
      <c r="C1028" s="1513" t="str">
        <f t="shared" si="116"/>
        <v>AMAMAW</v>
      </c>
      <c r="D1028" s="1513">
        <f t="shared" si="116"/>
        <v>1</v>
      </c>
      <c r="E1028" s="1514">
        <v>181</v>
      </c>
      <c r="F1028" s="1509"/>
      <c r="G1028" s="1516">
        <f>IF('Field Rutting'!$D$23="",0,'Field Rutting'!$D$23)</f>
        <v>0</v>
      </c>
      <c r="H1028" s="1515">
        <f t="shared" si="114"/>
        <v>0</v>
      </c>
      <c r="I1028" s="1178"/>
    </row>
    <row r="1029" spans="1:9" ht="12.75" customHeight="1">
      <c r="A1029" s="1505" t="s">
        <v>3103</v>
      </c>
      <c r="B1029" s="1512" t="str">
        <f t="shared" si="116"/>
        <v/>
      </c>
      <c r="C1029" s="1513" t="str">
        <f t="shared" si="116"/>
        <v>AMAMAW</v>
      </c>
      <c r="D1029" s="1513">
        <f t="shared" si="116"/>
        <v>1</v>
      </c>
      <c r="E1029" s="1514">
        <v>182</v>
      </c>
      <c r="F1029" s="1509"/>
      <c r="G1029" s="1516">
        <f>IF('Field Rutting'!$D$24="",0,'Field Rutting'!$D$24)</f>
        <v>0</v>
      </c>
      <c r="H1029" s="1515">
        <f t="shared" si="114"/>
        <v>0</v>
      </c>
      <c r="I1029" s="1178"/>
    </row>
    <row r="1030" spans="1:9" ht="12.75" customHeight="1">
      <c r="A1030" s="1505" t="s">
        <v>3104</v>
      </c>
      <c r="B1030" s="1512" t="str">
        <f t="shared" si="116"/>
        <v/>
      </c>
      <c r="C1030" s="1513" t="str">
        <f t="shared" si="116"/>
        <v>AMAMAW</v>
      </c>
      <c r="D1030" s="1513">
        <f t="shared" si="116"/>
        <v>1</v>
      </c>
      <c r="E1030" s="1514">
        <v>183</v>
      </c>
      <c r="F1030" s="1509"/>
      <c r="G1030" s="1516">
        <f>IF('Field Rutting'!$L$19="",0,'Field Rutting'!$L$19)</f>
        <v>0</v>
      </c>
      <c r="H1030" s="1515">
        <f t="shared" si="114"/>
        <v>0</v>
      </c>
      <c r="I1030" s="1178"/>
    </row>
    <row r="1031" spans="1:9" ht="12.75" customHeight="1">
      <c r="A1031" s="1505" t="s">
        <v>3105</v>
      </c>
      <c r="B1031" s="1512" t="str">
        <f t="shared" si="116"/>
        <v/>
      </c>
      <c r="C1031" s="1513" t="str">
        <f t="shared" si="116"/>
        <v>AMAMAW</v>
      </c>
      <c r="D1031" s="1513">
        <f t="shared" si="116"/>
        <v>1</v>
      </c>
      <c r="E1031" s="1514">
        <v>184</v>
      </c>
      <c r="F1031" s="1509"/>
      <c r="G1031" s="1516">
        <f>IF('Field Rutting'!$L$20="",0,'Field Rutting'!$L$20)</f>
        <v>0</v>
      </c>
      <c r="H1031" s="1515">
        <f t="shared" si="114"/>
        <v>0</v>
      </c>
      <c r="I1031" s="1178"/>
    </row>
    <row r="1032" spans="1:9" ht="12.75" customHeight="1">
      <c r="A1032" s="1505" t="s">
        <v>3106</v>
      </c>
      <c r="B1032" s="1512" t="str">
        <f t="shared" si="116"/>
        <v/>
      </c>
      <c r="C1032" s="1513" t="str">
        <f t="shared" si="116"/>
        <v>AMAMAW</v>
      </c>
      <c r="D1032" s="1513">
        <f t="shared" si="116"/>
        <v>1</v>
      </c>
      <c r="E1032" s="1514">
        <v>185</v>
      </c>
      <c r="F1032" s="1509"/>
      <c r="G1032" s="1516">
        <f>IF('Field Rutting'!$L$21="",0,'Field Rutting'!$L$21)</f>
        <v>0</v>
      </c>
      <c r="H1032" s="1515">
        <f t="shared" si="114"/>
        <v>0</v>
      </c>
      <c r="I1032" s="1178"/>
    </row>
    <row r="1033" spans="1:9" ht="12.75" customHeight="1">
      <c r="A1033" s="1505" t="s">
        <v>3107</v>
      </c>
      <c r="B1033" s="1512" t="str">
        <f t="shared" si="116"/>
        <v/>
      </c>
      <c r="C1033" s="1513" t="str">
        <f t="shared" si="116"/>
        <v>AMAMAW</v>
      </c>
      <c r="D1033" s="1513">
        <f t="shared" si="116"/>
        <v>1</v>
      </c>
      <c r="E1033" s="1514">
        <v>186</v>
      </c>
      <c r="F1033" s="1509"/>
      <c r="G1033" s="1516">
        <f>IF('Field Rutting'!$L$22="",0,'Field Rutting'!$L$22)</f>
        <v>0</v>
      </c>
      <c r="H1033" s="1515">
        <f t="shared" si="114"/>
        <v>0</v>
      </c>
      <c r="I1033" s="1178"/>
    </row>
    <row r="1034" spans="1:9" ht="12.75" customHeight="1">
      <c r="A1034" s="1505" t="s">
        <v>3108</v>
      </c>
      <c r="B1034" s="1512" t="str">
        <f t="shared" si="116"/>
        <v/>
      </c>
      <c r="C1034" s="1513" t="str">
        <f t="shared" si="116"/>
        <v>AMAMAW</v>
      </c>
      <c r="D1034" s="1513">
        <f t="shared" si="116"/>
        <v>1</v>
      </c>
      <c r="E1034" s="1514">
        <v>187</v>
      </c>
      <c r="F1034" s="1509"/>
      <c r="G1034" s="1516">
        <f>IF('Field Rutting'!$L$23="",0,'Field Rutting'!$L$23)</f>
        <v>0</v>
      </c>
      <c r="H1034" s="1515">
        <f t="shared" si="114"/>
        <v>0</v>
      </c>
      <c r="I1034" s="1178"/>
    </row>
    <row r="1035" spans="1:9" ht="12.75" customHeight="1">
      <c r="A1035" s="1505" t="s">
        <v>3109</v>
      </c>
      <c r="B1035" s="1512" t="str">
        <f t="shared" si="116"/>
        <v/>
      </c>
      <c r="C1035" s="1513" t="str">
        <f t="shared" si="116"/>
        <v>AMAMAW</v>
      </c>
      <c r="D1035" s="1513">
        <f t="shared" si="116"/>
        <v>1</v>
      </c>
      <c r="E1035" s="1514">
        <v>188</v>
      </c>
      <c r="F1035" s="1509"/>
      <c r="G1035" s="1516">
        <f>IF('Field Rutting'!$L$24="",0,'Field Rutting'!$L$24)</f>
        <v>0</v>
      </c>
      <c r="H1035" s="1515">
        <f t="shared" si="114"/>
        <v>0</v>
      </c>
      <c r="I1035" s="1178"/>
    </row>
    <row r="1036" spans="1:9" ht="12.75" customHeight="1">
      <c r="A1036" s="1505" t="s">
        <v>3110</v>
      </c>
      <c r="B1036" s="1512" t="str">
        <f t="shared" si="116"/>
        <v/>
      </c>
      <c r="C1036" s="1513" t="str">
        <f t="shared" si="116"/>
        <v>AMAMAW</v>
      </c>
      <c r="D1036" s="1513">
        <f t="shared" si="116"/>
        <v>1</v>
      </c>
      <c r="E1036" s="1514">
        <v>189</v>
      </c>
      <c r="F1036" s="1509"/>
      <c r="G1036" s="1510"/>
      <c r="H1036" s="1515">
        <f t="shared" si="114"/>
        <v>0</v>
      </c>
      <c r="I1036" s="1178"/>
    </row>
    <row r="1037" spans="1:9" ht="12.75" customHeight="1">
      <c r="A1037" s="1505" t="s">
        <v>3111</v>
      </c>
      <c r="B1037" s="1512" t="str">
        <f t="shared" si="116"/>
        <v/>
      </c>
      <c r="C1037" s="1513" t="str">
        <f t="shared" si="116"/>
        <v>AMAMAW</v>
      </c>
      <c r="D1037" s="1513">
        <f t="shared" si="116"/>
        <v>1</v>
      </c>
      <c r="E1037" s="1514">
        <v>190</v>
      </c>
      <c r="F1037" s="1509"/>
      <c r="G1037" s="1510"/>
      <c r="H1037" s="1515">
        <f t="shared" si="114"/>
        <v>0</v>
      </c>
      <c r="I1037" s="1178"/>
    </row>
    <row r="1038" spans="1:9" ht="12.75" customHeight="1">
      <c r="A1038" s="1505" t="s">
        <v>3112</v>
      </c>
      <c r="B1038" s="1512" t="str">
        <f t="shared" si="116"/>
        <v/>
      </c>
      <c r="C1038" s="1513" t="str">
        <f t="shared" si="116"/>
        <v>AMAMAW</v>
      </c>
      <c r="D1038" s="1513">
        <f t="shared" si="116"/>
        <v>1</v>
      </c>
      <c r="E1038" s="1514">
        <v>191</v>
      </c>
      <c r="F1038" s="1509"/>
      <c r="G1038" s="1510"/>
      <c r="H1038" s="1515">
        <f t="shared" si="114"/>
        <v>0</v>
      </c>
      <c r="I1038" s="1178"/>
    </row>
    <row r="1039" spans="1:9" ht="12.75" customHeight="1">
      <c r="A1039" s="1505" t="s">
        <v>3113</v>
      </c>
      <c r="B1039" s="1512" t="str">
        <f t="shared" si="116"/>
        <v/>
      </c>
      <c r="C1039" s="1513" t="str">
        <f t="shared" si="116"/>
        <v>AMAMAW</v>
      </c>
      <c r="D1039" s="1513">
        <f t="shared" si="116"/>
        <v>1</v>
      </c>
      <c r="E1039" s="1514">
        <v>192</v>
      </c>
      <c r="F1039" s="1509"/>
      <c r="G1039" s="1510"/>
      <c r="H1039" s="1515">
        <f t="shared" si="114"/>
        <v>0</v>
      </c>
      <c r="I1039" s="1178"/>
    </row>
    <row r="1040" spans="1:9" ht="12.75" customHeight="1">
      <c r="A1040" s="1505" t="s">
        <v>3114</v>
      </c>
      <c r="B1040" s="1506" t="str">
        <f t="shared" si="116"/>
        <v/>
      </c>
      <c r="C1040" s="1507" t="str">
        <f t="shared" si="116"/>
        <v>AMAMAW</v>
      </c>
      <c r="D1040" s="1507">
        <f t="shared" si="116"/>
        <v>1</v>
      </c>
      <c r="E1040" s="1508">
        <v>193</v>
      </c>
      <c r="F1040" s="1509"/>
      <c r="G1040" s="1510"/>
      <c r="H1040" s="1510">
        <f t="shared" si="114"/>
        <v>0</v>
      </c>
      <c r="I1040" s="1178"/>
    </row>
    <row r="1041" spans="1:9" ht="12.75" customHeight="1">
      <c r="A1041" s="1505" t="s">
        <v>3319</v>
      </c>
      <c r="B1041" s="1512" t="str">
        <f t="shared" ref="B1041:D1041" si="117">B1040</f>
        <v/>
      </c>
      <c r="C1041" s="1513" t="str">
        <f t="shared" si="117"/>
        <v>AMAMAW</v>
      </c>
      <c r="D1041" s="1513">
        <f t="shared" si="117"/>
        <v>1</v>
      </c>
      <c r="E1041" s="1514">
        <v>194</v>
      </c>
      <c r="F1041" s="1509"/>
      <c r="G1041" s="1515">
        <f ca="1">IF('KYCT Data Sublot # 4'!$A$29="",0,'KYCT Data Sublot # 4'!$A$29)</f>
        <v>0</v>
      </c>
      <c r="H1041" s="1515">
        <f t="shared" si="114"/>
        <v>0</v>
      </c>
      <c r="I1041" s="1517"/>
    </row>
    <row r="1042" spans="1:9" ht="12.75" customHeight="1">
      <c r="A1042" s="1505" t="s">
        <v>3320</v>
      </c>
      <c r="B1042" s="1512" t="str">
        <f t="shared" ref="B1042:D1042" si="118">B1041</f>
        <v/>
      </c>
      <c r="C1042" s="1513" t="str">
        <f t="shared" si="118"/>
        <v>AMAMAW</v>
      </c>
      <c r="D1042" s="1513">
        <f t="shared" si="118"/>
        <v>1</v>
      </c>
      <c r="E1042" s="1514">
        <v>195</v>
      </c>
      <c r="F1042" s="1509"/>
      <c r="G1042" s="1515">
        <f>IF('KYCT Data Sublot # 4'!$B$29="",0,'KYCT Data Sublot # 4'!$B$29)</f>
        <v>0</v>
      </c>
      <c r="H1042" s="1515">
        <f t="shared" si="114"/>
        <v>0</v>
      </c>
      <c r="I1042" s="1517"/>
    </row>
    <row r="1043" spans="1:9" ht="12.75" customHeight="1">
      <c r="A1043" s="1505" t="s">
        <v>3321</v>
      </c>
      <c r="B1043" s="1512" t="str">
        <f t="shared" ref="B1043:D1043" si="119">B1042</f>
        <v/>
      </c>
      <c r="C1043" s="1513" t="str">
        <f t="shared" si="119"/>
        <v>AMAMAW</v>
      </c>
      <c r="D1043" s="1513">
        <f t="shared" si="119"/>
        <v>1</v>
      </c>
      <c r="E1043" s="1514">
        <v>196</v>
      </c>
      <c r="F1043" s="1509"/>
      <c r="G1043" s="1515">
        <f ca="1">IF('KYCT Data Sublot # 4'!$C$29="",0,'KYCT Data Sublot # 4'!$C$29)</f>
        <v>0</v>
      </c>
      <c r="H1043" s="1515">
        <f t="shared" si="114"/>
        <v>0</v>
      </c>
      <c r="I1043" s="1517"/>
    </row>
    <row r="1044" spans="1:9" ht="12.75" customHeight="1">
      <c r="A1044" s="1505" t="s">
        <v>3322</v>
      </c>
      <c r="B1044" s="1512" t="str">
        <f t="shared" ref="B1044:D1044" si="120">B1043</f>
        <v/>
      </c>
      <c r="C1044" s="1513" t="str">
        <f t="shared" si="120"/>
        <v>AMAMAW</v>
      </c>
      <c r="D1044" s="1513">
        <f t="shared" si="120"/>
        <v>1</v>
      </c>
      <c r="E1044" s="1514">
        <v>197</v>
      </c>
      <c r="F1044" s="1509"/>
      <c r="G1044" s="1515">
        <f>IF('KYCT Data Sublot # 4'!$D$29="",0,'KYCT Data Sublot # 4'!$D$29)</f>
        <v>0</v>
      </c>
      <c r="H1044" s="1515">
        <f t="shared" si="114"/>
        <v>0</v>
      </c>
      <c r="I1044" s="1517"/>
    </row>
    <row r="1045" spans="1:9" ht="12.75" customHeight="1">
      <c r="A1045" s="1505" t="s">
        <v>3323</v>
      </c>
      <c r="B1045" s="1512" t="str">
        <f t="shared" ref="B1045:D1045" si="121">B1044</f>
        <v/>
      </c>
      <c r="C1045" s="1513" t="str">
        <f t="shared" si="121"/>
        <v>AMAMAW</v>
      </c>
      <c r="D1045" s="1513">
        <f t="shared" si="121"/>
        <v>1</v>
      </c>
      <c r="E1045" s="1514">
        <v>198</v>
      </c>
      <c r="F1045" s="1509"/>
      <c r="G1045" s="1515">
        <f ca="1">IF('KYCT Data Sublot # 4'!$E$29="",0,'KYCT Data Sublot # 4'!$E$29)</f>
        <v>0</v>
      </c>
      <c r="H1045" s="1515">
        <f t="shared" si="114"/>
        <v>0</v>
      </c>
      <c r="I1045" s="1517"/>
    </row>
    <row r="1046" spans="1:9" ht="12.75" customHeight="1">
      <c r="A1046" s="1505" t="s">
        <v>3324</v>
      </c>
      <c r="B1046" s="1512" t="str">
        <f t="shared" ref="B1046:D1046" si="122">B1045</f>
        <v/>
      </c>
      <c r="C1046" s="1513" t="str">
        <f t="shared" si="122"/>
        <v>AMAMAW</v>
      </c>
      <c r="D1046" s="1513">
        <f t="shared" si="122"/>
        <v>1</v>
      </c>
      <c r="E1046" s="1514">
        <v>199</v>
      </c>
      <c r="F1046" s="1509"/>
      <c r="G1046" s="1515">
        <f>IF('KYCT Data Sublot # 4'!$F$29="",0,'KYCT Data Sublot # 4'!$F$29)</f>
        <v>0</v>
      </c>
      <c r="H1046" s="1515">
        <f t="shared" si="114"/>
        <v>0</v>
      </c>
      <c r="I1046" s="1517"/>
    </row>
    <row r="1047" spans="1:9" ht="12.75" customHeight="1">
      <c r="A1047" s="1505" t="s">
        <v>3325</v>
      </c>
      <c r="B1047" s="1512" t="str">
        <f t="shared" ref="B1047:D1047" si="123">B1046</f>
        <v/>
      </c>
      <c r="C1047" s="1513" t="str">
        <f t="shared" si="123"/>
        <v>AMAMAW</v>
      </c>
      <c r="D1047" s="1513">
        <f t="shared" si="123"/>
        <v>1</v>
      </c>
      <c r="E1047" s="1514">
        <v>200</v>
      </c>
      <c r="F1047" s="1509"/>
      <c r="G1047" s="1515">
        <f ca="1">IF('KYCT Data Sublot # 4'!$G$29="",0,'KYCT Data Sublot # 4'!$G$29)</f>
        <v>0</v>
      </c>
      <c r="H1047" s="1515">
        <f t="shared" si="114"/>
        <v>0</v>
      </c>
      <c r="I1047" s="1517"/>
    </row>
    <row r="1048" spans="1:9" ht="12.75" customHeight="1">
      <c r="A1048" s="1505" t="s">
        <v>3326</v>
      </c>
      <c r="B1048" s="1512" t="str">
        <f t="shared" ref="B1048:D1048" si="124">B1047</f>
        <v/>
      </c>
      <c r="C1048" s="1513" t="str">
        <f t="shared" si="124"/>
        <v>AMAMAW</v>
      </c>
      <c r="D1048" s="1513">
        <f t="shared" si="124"/>
        <v>1</v>
      </c>
      <c r="E1048" s="1514">
        <v>201</v>
      </c>
      <c r="F1048" s="1509"/>
      <c r="G1048" s="1515">
        <f>IF('KYCT Data Sublot # 4'!$H$29="",0,'KYCT Data Sublot # 4'!$H$29)</f>
        <v>0</v>
      </c>
      <c r="H1048" s="1515">
        <f t="shared" si="114"/>
        <v>0</v>
      </c>
      <c r="I1048" s="1517"/>
    </row>
    <row r="1049" spans="1:9" ht="12.75" customHeight="1">
      <c r="A1049" s="1505" t="s">
        <v>3327</v>
      </c>
      <c r="B1049" s="1512" t="str">
        <f t="shared" ref="B1049:D1049" si="125">B1048</f>
        <v/>
      </c>
      <c r="C1049" s="1513" t="str">
        <f t="shared" si="125"/>
        <v>AMAMAW</v>
      </c>
      <c r="D1049" s="1513">
        <f t="shared" si="125"/>
        <v>1</v>
      </c>
      <c r="E1049" s="1514">
        <v>202</v>
      </c>
      <c r="F1049" s="1509"/>
      <c r="G1049" s="1515">
        <f ca="1">IF('KYCT Data Sublot # 4'!$I$29="",0,'KYCT Data Sublot # 4'!$I$29)</f>
        <v>0</v>
      </c>
      <c r="H1049" s="1515">
        <f t="shared" si="114"/>
        <v>0</v>
      </c>
      <c r="I1049" s="1517"/>
    </row>
    <row r="1050" spans="1:9" ht="12.75" customHeight="1">
      <c r="A1050" s="1505" t="s">
        <v>3328</v>
      </c>
      <c r="B1050" s="1512" t="str">
        <f t="shared" ref="B1050:D1050" si="126">B1049</f>
        <v/>
      </c>
      <c r="C1050" s="1513" t="str">
        <f t="shared" si="126"/>
        <v>AMAMAW</v>
      </c>
      <c r="D1050" s="1513">
        <f t="shared" si="126"/>
        <v>1</v>
      </c>
      <c r="E1050" s="1514">
        <v>203</v>
      </c>
      <c r="F1050" s="1509"/>
      <c r="G1050" s="1515">
        <f>IF('KYCT Data Sublot # 4'!$J$29="",0,'KYCT Data Sublot # 4'!$J$29)</f>
        <v>0</v>
      </c>
      <c r="H1050" s="1515">
        <f t="shared" si="114"/>
        <v>0</v>
      </c>
      <c r="I1050" s="1517"/>
    </row>
    <row r="1051" spans="1:9" ht="12.75" customHeight="1">
      <c r="A1051" s="1505" t="s">
        <v>3329</v>
      </c>
      <c r="B1051" s="1512" t="str">
        <f t="shared" ref="B1051:D1051" si="127">B1050</f>
        <v/>
      </c>
      <c r="C1051" s="1513" t="str">
        <f t="shared" si="127"/>
        <v>AMAMAW</v>
      </c>
      <c r="D1051" s="1513">
        <f t="shared" si="127"/>
        <v>1</v>
      </c>
      <c r="E1051" s="1514">
        <v>204</v>
      </c>
      <c r="F1051" s="1509"/>
      <c r="G1051" s="1515">
        <f ca="1">IF('KYCT Data Sublot # 4'!$K$29="",0,'KYCT Data Sublot # 4'!$K$29)</f>
        <v>0</v>
      </c>
      <c r="H1051" s="1515">
        <f t="shared" si="114"/>
        <v>0</v>
      </c>
      <c r="I1051" s="1517"/>
    </row>
    <row r="1052" spans="1:9" ht="12.75" customHeight="1">
      <c r="A1052" s="1505" t="s">
        <v>3330</v>
      </c>
      <c r="B1052" s="1512" t="str">
        <f t="shared" ref="B1052:D1052" si="128">B1051</f>
        <v/>
      </c>
      <c r="C1052" s="1513" t="str">
        <f t="shared" si="128"/>
        <v>AMAMAW</v>
      </c>
      <c r="D1052" s="1513">
        <f t="shared" si="128"/>
        <v>1</v>
      </c>
      <c r="E1052" s="1514">
        <v>205</v>
      </c>
      <c r="F1052" s="1509"/>
      <c r="G1052" s="1515">
        <f>IF('KYCT Data Sublot # 4'!$L$29="",0,'KYCT Data Sublot # 4'!$L$29)</f>
        <v>0</v>
      </c>
      <c r="H1052" s="1515">
        <f t="shared" si="114"/>
        <v>0</v>
      </c>
      <c r="I1052" s="1517"/>
    </row>
    <row r="1053" spans="1:9" ht="12.75" customHeight="1">
      <c r="A1053" s="1505" t="s">
        <v>3331</v>
      </c>
      <c r="B1053" s="1512" t="str">
        <f t="shared" ref="B1053:D1053" si="129">B1052</f>
        <v/>
      </c>
      <c r="C1053" s="1513" t="str">
        <f t="shared" si="129"/>
        <v>AMAMAW</v>
      </c>
      <c r="D1053" s="1513">
        <f t="shared" si="129"/>
        <v>1</v>
      </c>
      <c r="E1053" s="1514">
        <v>206</v>
      </c>
      <c r="F1053" s="1509"/>
      <c r="G1053" s="1515">
        <f ca="1">IF('KYCT Data Sublot # 4'!$M$29="",0,'KYCT Data Sublot # 4'!$M$29)</f>
        <v>0</v>
      </c>
      <c r="H1053" s="1515">
        <f t="shared" si="114"/>
        <v>0</v>
      </c>
      <c r="I1053" s="1517"/>
    </row>
    <row r="1054" spans="1:9" ht="12.75" customHeight="1">
      <c r="A1054" s="1505" t="s">
        <v>3332</v>
      </c>
      <c r="B1054" s="1512" t="str">
        <f t="shared" ref="B1054:D1054" si="130">B1053</f>
        <v/>
      </c>
      <c r="C1054" s="1513" t="str">
        <f t="shared" si="130"/>
        <v>AMAMAW</v>
      </c>
      <c r="D1054" s="1513">
        <f t="shared" si="130"/>
        <v>1</v>
      </c>
      <c r="E1054" s="1514">
        <v>207</v>
      </c>
      <c r="F1054" s="1509"/>
      <c r="G1054" s="1515">
        <f>IF('KYCT Data Sublot # 4'!$N$29="",0,'KYCT Data Sublot # 4'!$N$29)</f>
        <v>0</v>
      </c>
      <c r="H1054" s="1515">
        <f t="shared" si="114"/>
        <v>0</v>
      </c>
      <c r="I1054" s="1517"/>
    </row>
    <row r="1055" spans="1:9" ht="12.75" customHeight="1">
      <c r="A1055" s="1505" t="s">
        <v>3333</v>
      </c>
      <c r="B1055" s="1512" t="str">
        <f t="shared" ref="B1055:D1055" si="131">B1054</f>
        <v/>
      </c>
      <c r="C1055" s="1513" t="str">
        <f t="shared" si="131"/>
        <v>AMAMAW</v>
      </c>
      <c r="D1055" s="1513">
        <f t="shared" si="131"/>
        <v>1</v>
      </c>
      <c r="E1055" s="1514">
        <v>208</v>
      </c>
      <c r="F1055" s="1509"/>
      <c r="G1055" s="1515">
        <f ca="1">IF('KYCT Data Sublot # 4'!$O$29="",0,'KYCT Data Sublot # 4'!$O$29)</f>
        <v>0</v>
      </c>
      <c r="H1055" s="1515">
        <f t="shared" si="114"/>
        <v>0</v>
      </c>
      <c r="I1055" s="1517"/>
    </row>
    <row r="1056" spans="1:9" ht="12.75" customHeight="1" thickBot="1">
      <c r="A1056" s="1505" t="s">
        <v>3334</v>
      </c>
      <c r="B1056" s="1506" t="str">
        <f t="shared" ref="B1056:D1056" si="132">B1055</f>
        <v/>
      </c>
      <c r="C1056" s="1507" t="str">
        <f t="shared" si="132"/>
        <v>AMAMAW</v>
      </c>
      <c r="D1056" s="1507">
        <f t="shared" si="132"/>
        <v>1</v>
      </c>
      <c r="E1056" s="1508">
        <v>209</v>
      </c>
      <c r="F1056" s="1509"/>
      <c r="G1056" s="1515">
        <f>IF('KYCT Data Sublot # 4'!$P$29="",0,'KYCT Data Sublot # 4'!$P$29)</f>
        <v>0</v>
      </c>
      <c r="H1056" s="1510">
        <f t="shared" si="114"/>
        <v>0</v>
      </c>
      <c r="I1056" s="1518"/>
    </row>
    <row r="1057" spans="1:11" ht="13.5" thickBot="1">
      <c r="A1057" s="956" t="s">
        <v>809</v>
      </c>
      <c r="B1057" s="1140" t="str">
        <f>B938</f>
        <v/>
      </c>
      <c r="C1057" s="823" t="s">
        <v>1553</v>
      </c>
      <c r="D1057" s="823">
        <v>1</v>
      </c>
      <c r="E1057" s="1039" t="s">
        <v>341</v>
      </c>
      <c r="F1057" s="823" t="s">
        <v>1637</v>
      </c>
      <c r="G1057" s="1003">
        <v>0</v>
      </c>
      <c r="H1057" s="989">
        <f>H938</f>
        <v>0</v>
      </c>
      <c r="I1057" s="1178"/>
      <c r="K1057" s="957" t="s">
        <v>1341</v>
      </c>
    </row>
    <row r="1058" spans="1:11">
      <c r="A1058" s="956" t="s">
        <v>811</v>
      </c>
      <c r="B1058" s="1190" t="str">
        <f>t_smpl!B13</f>
        <v/>
      </c>
      <c r="C1058" s="1000" t="s">
        <v>1553</v>
      </c>
      <c r="D1058" s="1000">
        <v>1</v>
      </c>
      <c r="E1058" s="1007">
        <v>1</v>
      </c>
      <c r="F1058" s="999" t="s">
        <v>1637</v>
      </c>
      <c r="G1058" s="1002">
        <v>0</v>
      </c>
      <c r="H1058" s="1006">
        <f t="shared" si="107"/>
        <v>0</v>
      </c>
      <c r="I1058" s="1191"/>
    </row>
    <row r="1059" spans="1:11">
      <c r="A1059" s="956" t="s">
        <v>350</v>
      </c>
      <c r="B1059" s="1140" t="str">
        <f t="shared" ref="B1059:B1065" si="133">B1058</f>
        <v/>
      </c>
      <c r="C1059" s="823" t="s">
        <v>1553</v>
      </c>
      <c r="D1059" s="823">
        <v>1</v>
      </c>
      <c r="E1059" s="1001">
        <v>2</v>
      </c>
      <c r="F1059" s="824" t="str">
        <f>IF(t_smpl!Z13="COMP","ISPC","OSPC")</f>
        <v>ISPC</v>
      </c>
      <c r="G1059" s="1003">
        <v>0</v>
      </c>
      <c r="H1059" s="989">
        <f t="shared" si="107"/>
        <v>0</v>
      </c>
      <c r="I1059" s="1178"/>
    </row>
    <row r="1060" spans="1:11">
      <c r="A1060" s="956" t="s">
        <v>812</v>
      </c>
      <c r="B1060" s="1140" t="str">
        <f t="shared" si="133"/>
        <v/>
      </c>
      <c r="C1060" s="823" t="s">
        <v>1553</v>
      </c>
      <c r="D1060" s="823">
        <v>1</v>
      </c>
      <c r="E1060" s="1001">
        <v>3</v>
      </c>
      <c r="F1060" s="824" t="s">
        <v>1637</v>
      </c>
      <c r="G1060" s="1003">
        <v>0</v>
      </c>
      <c r="H1060" s="989">
        <f t="shared" si="107"/>
        <v>0</v>
      </c>
      <c r="I1060" s="1178"/>
    </row>
    <row r="1061" spans="1:11">
      <c r="A1061" s="956" t="s">
        <v>813</v>
      </c>
      <c r="B1061" s="1140" t="str">
        <f t="shared" si="133"/>
        <v/>
      </c>
      <c r="C1061" s="823" t="s">
        <v>1553</v>
      </c>
      <c r="D1061" s="823">
        <v>1</v>
      </c>
      <c r="E1061" s="1001">
        <v>4</v>
      </c>
      <c r="F1061" s="828" t="s">
        <v>1637</v>
      </c>
      <c r="G1061" s="1004">
        <v>0</v>
      </c>
      <c r="H1061" s="989">
        <f t="shared" si="107"/>
        <v>0</v>
      </c>
      <c r="I1061" s="1178"/>
    </row>
    <row r="1062" spans="1:11">
      <c r="A1062" s="956" t="s">
        <v>814</v>
      </c>
      <c r="B1062" s="1140" t="str">
        <f t="shared" si="133"/>
        <v/>
      </c>
      <c r="C1062" s="823" t="s">
        <v>1553</v>
      </c>
      <c r="D1062" s="823">
        <v>1</v>
      </c>
      <c r="E1062" s="1001">
        <v>5</v>
      </c>
      <c r="F1062" s="828" t="s">
        <v>1637</v>
      </c>
      <c r="G1062" s="1004">
        <v>0</v>
      </c>
      <c r="H1062" s="989">
        <f t="shared" si="107"/>
        <v>0</v>
      </c>
      <c r="I1062" s="1178"/>
    </row>
    <row r="1063" spans="1:11">
      <c r="A1063" s="956" t="s">
        <v>815</v>
      </c>
      <c r="B1063" s="1140" t="str">
        <f t="shared" si="133"/>
        <v/>
      </c>
      <c r="C1063" s="823" t="s">
        <v>1553</v>
      </c>
      <c r="D1063" s="823">
        <v>1</v>
      </c>
      <c r="E1063" s="1001">
        <v>6</v>
      </c>
      <c r="F1063" s="828" t="s">
        <v>1637</v>
      </c>
      <c r="G1063" s="1004">
        <v>0</v>
      </c>
      <c r="H1063" s="989">
        <f t="shared" si="107"/>
        <v>0</v>
      </c>
      <c r="I1063" s="1178"/>
    </row>
    <row r="1064" spans="1:11">
      <c r="A1064" s="956" t="s">
        <v>816</v>
      </c>
      <c r="B1064" s="1140" t="str">
        <f t="shared" si="133"/>
        <v/>
      </c>
      <c r="C1064" s="823" t="s">
        <v>1553</v>
      </c>
      <c r="D1064" s="823">
        <v>1</v>
      </c>
      <c r="E1064" s="1001">
        <v>7</v>
      </c>
      <c r="F1064" s="828" t="s">
        <v>1637</v>
      </c>
      <c r="G1064" s="1004">
        <v>0</v>
      </c>
      <c r="H1064" s="989">
        <f t="shared" si="107"/>
        <v>0</v>
      </c>
      <c r="I1064" s="1178"/>
    </row>
    <row r="1065" spans="1:11">
      <c r="A1065" s="956" t="s">
        <v>817</v>
      </c>
      <c r="B1065" s="1140" t="str">
        <f t="shared" si="133"/>
        <v/>
      </c>
      <c r="C1065" s="823" t="s">
        <v>1553</v>
      </c>
      <c r="D1065" s="823">
        <v>1</v>
      </c>
      <c r="E1065" s="1001">
        <v>8</v>
      </c>
      <c r="F1065" s="824">
        <f>'Pay Values'!I3</f>
        <v>0</v>
      </c>
      <c r="G1065" s="1003">
        <v>0</v>
      </c>
      <c r="H1065" s="989">
        <f t="shared" si="107"/>
        <v>0</v>
      </c>
      <c r="I1065" s="1178"/>
    </row>
    <row r="1066" spans="1:11" ht="13.5" thickBot="1">
      <c r="A1066" s="956" t="s">
        <v>818</v>
      </c>
      <c r="B1066" s="1140" t="str">
        <f t="shared" ref="B1066:B1129" si="134">B1065</f>
        <v/>
      </c>
      <c r="C1066" s="823" t="s">
        <v>1553</v>
      </c>
      <c r="D1066" s="823">
        <v>1</v>
      </c>
      <c r="E1066" s="1001">
        <v>9</v>
      </c>
      <c r="F1066" s="823" t="s">
        <v>1637</v>
      </c>
      <c r="G1066" s="1003">
        <v>0</v>
      </c>
      <c r="H1066" s="989">
        <f t="shared" si="107"/>
        <v>0</v>
      </c>
      <c r="I1066" s="1178"/>
    </row>
    <row r="1067" spans="1:11" ht="13.5" thickBot="1">
      <c r="A1067" s="956" t="s">
        <v>819</v>
      </c>
      <c r="B1067" s="1140" t="str">
        <f t="shared" si="134"/>
        <v/>
      </c>
      <c r="C1067" s="823" t="s">
        <v>1553</v>
      </c>
      <c r="D1067" s="823">
        <v>1</v>
      </c>
      <c r="E1067" s="1001">
        <v>10</v>
      </c>
      <c r="F1067" s="823" t="s">
        <v>1637</v>
      </c>
      <c r="G1067" s="981" t="e">
        <f ca="1">INDIRECT("'Superpave'!"&amp;CHAR(81+'Super Verify'!B5)&amp;"9")</f>
        <v>#VALUE!</v>
      </c>
      <c r="H1067" s="989">
        <f t="shared" si="107"/>
        <v>0</v>
      </c>
      <c r="I1067" s="1178"/>
      <c r="K1067" s="960" t="s">
        <v>1827</v>
      </c>
    </row>
    <row r="1068" spans="1:11">
      <c r="A1068" s="956" t="s">
        <v>820</v>
      </c>
      <c r="B1068" s="1140" t="str">
        <f t="shared" si="134"/>
        <v/>
      </c>
      <c r="C1068" s="823" t="s">
        <v>1553</v>
      </c>
      <c r="D1068" s="823">
        <v>1</v>
      </c>
      <c r="E1068" s="1001">
        <v>11</v>
      </c>
      <c r="F1068" s="959" t="str">
        <f>Superpave!N3</f>
        <v/>
      </c>
      <c r="G1068" s="1003">
        <v>0</v>
      </c>
      <c r="H1068" s="989">
        <f t="shared" si="107"/>
        <v>0</v>
      </c>
      <c r="I1068" s="1178"/>
    </row>
    <row r="1069" spans="1:11">
      <c r="A1069" s="956" t="s">
        <v>821</v>
      </c>
      <c r="B1069" s="1140" t="str">
        <f t="shared" si="134"/>
        <v/>
      </c>
      <c r="C1069" s="823" t="s">
        <v>1553</v>
      </c>
      <c r="D1069" s="823">
        <v>1</v>
      </c>
      <c r="E1069" s="1001">
        <v>12</v>
      </c>
      <c r="F1069" s="824" t="str">
        <f>Superpave!N4</f>
        <v/>
      </c>
      <c r="G1069" s="1003">
        <v>0</v>
      </c>
      <c r="H1069" s="989">
        <f t="shared" si="107"/>
        <v>0</v>
      </c>
      <c r="I1069" s="1178"/>
    </row>
    <row r="1070" spans="1:11">
      <c r="A1070" s="956" t="s">
        <v>822</v>
      </c>
      <c r="B1070" s="1140" t="str">
        <f t="shared" si="134"/>
        <v/>
      </c>
      <c r="C1070" s="823" t="s">
        <v>1553</v>
      </c>
      <c r="D1070" s="823">
        <v>1</v>
      </c>
      <c r="E1070" s="1001">
        <v>13</v>
      </c>
      <c r="F1070" s="824" t="str">
        <f>Superpave!N5</f>
        <v/>
      </c>
      <c r="G1070" s="1003">
        <v>0</v>
      </c>
      <c r="H1070" s="989">
        <f t="shared" si="107"/>
        <v>0</v>
      </c>
      <c r="I1070" s="1178"/>
    </row>
    <row r="1071" spans="1:11">
      <c r="A1071" s="956" t="s">
        <v>823</v>
      </c>
      <c r="B1071" s="1140" t="str">
        <f t="shared" si="134"/>
        <v/>
      </c>
      <c r="C1071" s="823" t="s">
        <v>1553</v>
      </c>
      <c r="D1071" s="823">
        <v>1</v>
      </c>
      <c r="E1071" s="1001">
        <v>14</v>
      </c>
      <c r="F1071" s="824" t="str">
        <f>Superpave!N6</f>
        <v/>
      </c>
      <c r="G1071" s="1003">
        <v>0</v>
      </c>
      <c r="H1071" s="989">
        <f t="shared" si="107"/>
        <v>0</v>
      </c>
      <c r="I1071" s="1178"/>
    </row>
    <row r="1072" spans="1:11">
      <c r="A1072" s="956" t="s">
        <v>824</v>
      </c>
      <c r="B1072" s="1140" t="str">
        <f t="shared" si="134"/>
        <v/>
      </c>
      <c r="C1072" s="823" t="s">
        <v>1553</v>
      </c>
      <c r="D1072" s="823">
        <v>1</v>
      </c>
      <c r="E1072" s="1001">
        <v>15</v>
      </c>
      <c r="F1072" s="824" t="str">
        <f>Superpave!N7</f>
        <v/>
      </c>
      <c r="G1072" s="1003">
        <v>0</v>
      </c>
      <c r="H1072" s="989">
        <f t="shared" si="107"/>
        <v>0</v>
      </c>
      <c r="I1072" s="1178"/>
      <c r="K1072" s="885"/>
    </row>
    <row r="1073" spans="1:11">
      <c r="A1073" s="956" t="s">
        <v>825</v>
      </c>
      <c r="B1073" s="1140" t="str">
        <f t="shared" si="134"/>
        <v/>
      </c>
      <c r="C1073" s="823" t="s">
        <v>1553</v>
      </c>
      <c r="D1073" s="823">
        <v>1</v>
      </c>
      <c r="E1073" s="1001">
        <v>16</v>
      </c>
      <c r="F1073" s="824" t="str">
        <f>Superpave!N8</f>
        <v/>
      </c>
      <c r="G1073" s="1003">
        <v>0</v>
      </c>
      <c r="H1073" s="989">
        <f t="shared" si="107"/>
        <v>0</v>
      </c>
      <c r="I1073" s="1178"/>
      <c r="J1073" s="885"/>
    </row>
    <row r="1074" spans="1:11">
      <c r="A1074" s="956" t="s">
        <v>826</v>
      </c>
      <c r="B1074" s="1140" t="str">
        <f t="shared" si="134"/>
        <v/>
      </c>
      <c r="C1074" s="823" t="s">
        <v>1553</v>
      </c>
      <c r="D1074" s="823">
        <v>1</v>
      </c>
      <c r="E1074" s="1001">
        <v>17</v>
      </c>
      <c r="F1074" s="824" t="str">
        <f>Superpave!O3</f>
        <v/>
      </c>
      <c r="G1074" s="1003">
        <v>0</v>
      </c>
      <c r="H1074" s="989">
        <f t="shared" si="107"/>
        <v>0</v>
      </c>
      <c r="I1074" s="1178"/>
      <c r="K1074" s="885"/>
    </row>
    <row r="1075" spans="1:11">
      <c r="A1075" s="956" t="s">
        <v>827</v>
      </c>
      <c r="B1075" s="1140" t="str">
        <f t="shared" si="134"/>
        <v/>
      </c>
      <c r="C1075" s="823" t="s">
        <v>1553</v>
      </c>
      <c r="D1075" s="823">
        <v>1</v>
      </c>
      <c r="E1075" s="1001">
        <v>18</v>
      </c>
      <c r="F1075" s="824" t="str">
        <f>Superpave!O4</f>
        <v/>
      </c>
      <c r="G1075" s="1003">
        <v>0</v>
      </c>
      <c r="H1075" s="989">
        <f t="shared" si="107"/>
        <v>0</v>
      </c>
      <c r="I1075" s="1178"/>
    </row>
    <row r="1076" spans="1:11">
      <c r="A1076" s="956" t="s">
        <v>828</v>
      </c>
      <c r="B1076" s="1140" t="str">
        <f t="shared" si="134"/>
        <v/>
      </c>
      <c r="C1076" s="823" t="s">
        <v>1553</v>
      </c>
      <c r="D1076" s="823">
        <v>1</v>
      </c>
      <c r="E1076" s="1001">
        <v>19</v>
      </c>
      <c r="F1076" s="824" t="str">
        <f>Superpave!O5</f>
        <v/>
      </c>
      <c r="G1076" s="1003">
        <v>0</v>
      </c>
      <c r="H1076" s="989">
        <f t="shared" si="107"/>
        <v>0</v>
      </c>
      <c r="I1076" s="1178"/>
      <c r="K1076" s="885"/>
    </row>
    <row r="1077" spans="1:11">
      <c r="A1077" s="956" t="s">
        <v>829</v>
      </c>
      <c r="B1077" s="1140" t="str">
        <f t="shared" si="134"/>
        <v/>
      </c>
      <c r="C1077" s="823" t="s">
        <v>1553</v>
      </c>
      <c r="D1077" s="823">
        <v>1</v>
      </c>
      <c r="E1077" s="1001">
        <v>20</v>
      </c>
      <c r="F1077" s="824" t="str">
        <f>Superpave!O6</f>
        <v/>
      </c>
      <c r="G1077" s="1003">
        <v>0</v>
      </c>
      <c r="H1077" s="989">
        <f t="shared" si="107"/>
        <v>0</v>
      </c>
      <c r="I1077" s="1178"/>
      <c r="K1077" s="885"/>
    </row>
    <row r="1078" spans="1:11">
      <c r="A1078" s="956" t="s">
        <v>830</v>
      </c>
      <c r="B1078" s="1140" t="str">
        <f t="shared" si="134"/>
        <v/>
      </c>
      <c r="C1078" s="823" t="s">
        <v>1553</v>
      </c>
      <c r="D1078" s="823">
        <v>1</v>
      </c>
      <c r="E1078" s="1001">
        <v>21</v>
      </c>
      <c r="F1078" s="824" t="str">
        <f>Superpave!O7</f>
        <v/>
      </c>
      <c r="G1078" s="1003">
        <v>0</v>
      </c>
      <c r="H1078" s="989">
        <f t="shared" si="107"/>
        <v>0</v>
      </c>
      <c r="I1078" s="1178"/>
    </row>
    <row r="1079" spans="1:11" ht="13.5" thickBot="1">
      <c r="A1079" s="956" t="s">
        <v>831</v>
      </c>
      <c r="B1079" s="1140" t="str">
        <f t="shared" si="134"/>
        <v/>
      </c>
      <c r="C1079" s="823" t="s">
        <v>1553</v>
      </c>
      <c r="D1079" s="823">
        <v>1</v>
      </c>
      <c r="E1079" s="1001">
        <v>22</v>
      </c>
      <c r="F1079" s="824" t="str">
        <f>Superpave!O8</f>
        <v/>
      </c>
      <c r="G1079" s="1003">
        <v>0</v>
      </c>
      <c r="H1079" s="989">
        <f t="shared" si="107"/>
        <v>0</v>
      </c>
      <c r="I1079" s="1178"/>
      <c r="K1079" s="958"/>
    </row>
    <row r="1080" spans="1:11" ht="13.5" thickBot="1">
      <c r="A1080" s="956" t="s">
        <v>832</v>
      </c>
      <c r="B1080" s="1140" t="str">
        <f t="shared" si="134"/>
        <v/>
      </c>
      <c r="C1080" s="823" t="s">
        <v>1553</v>
      </c>
      <c r="D1080" s="823">
        <v>1</v>
      </c>
      <c r="E1080" s="1001">
        <v>23</v>
      </c>
      <c r="F1080" s="823" t="s">
        <v>1637</v>
      </c>
      <c r="G1080" s="980" t="e">
        <f ca="1">INDIRECT("'Superpave'!"&amp;CHAR(81+'Super Verify'!B5)&amp;"3")</f>
        <v>#VALUE!</v>
      </c>
      <c r="H1080" s="989">
        <f t="shared" si="107"/>
        <v>0</v>
      </c>
      <c r="I1080" s="1178"/>
      <c r="K1080" s="960" t="s">
        <v>1827</v>
      </c>
    </row>
    <row r="1081" spans="1:11" ht="13.5" thickBot="1">
      <c r="A1081" s="956" t="s">
        <v>833</v>
      </c>
      <c r="B1081" s="1163" t="str">
        <f t="shared" si="134"/>
        <v/>
      </c>
      <c r="C1081" s="875" t="s">
        <v>1553</v>
      </c>
      <c r="D1081" s="875">
        <v>1</v>
      </c>
      <c r="E1081" s="1001">
        <v>24</v>
      </c>
      <c r="F1081" s="823" t="s">
        <v>1637</v>
      </c>
      <c r="G1081" s="980" t="e">
        <f ca="1">INDIRECT("'Superpave'!"&amp;CHAR(81+'Super Verify'!B5)&amp;"4")</f>
        <v>#VALUE!</v>
      </c>
      <c r="H1081" s="989">
        <f t="shared" si="107"/>
        <v>0</v>
      </c>
      <c r="I1081" s="1192"/>
      <c r="K1081" s="960" t="s">
        <v>1827</v>
      </c>
    </row>
    <row r="1082" spans="1:11" ht="13.5" thickBot="1">
      <c r="A1082" s="956" t="s">
        <v>834</v>
      </c>
      <c r="B1082" s="1140" t="str">
        <f t="shared" si="134"/>
        <v/>
      </c>
      <c r="C1082" s="823" t="s">
        <v>1553</v>
      </c>
      <c r="D1082" s="823">
        <v>1</v>
      </c>
      <c r="E1082" s="1001">
        <v>25</v>
      </c>
      <c r="F1082" s="823" t="s">
        <v>1637</v>
      </c>
      <c r="G1082" s="980" t="e">
        <f ca="1">INDIRECT("'Superpave'!"&amp;CHAR(81+'Super Verify'!B5)&amp;"5")</f>
        <v>#VALUE!</v>
      </c>
      <c r="H1082" s="989">
        <f t="shared" si="107"/>
        <v>0</v>
      </c>
      <c r="I1082" s="1178"/>
      <c r="K1082" s="960" t="s">
        <v>1827</v>
      </c>
    </row>
    <row r="1083" spans="1:11" ht="13.5" thickBot="1">
      <c r="A1083" s="956" t="s">
        <v>835</v>
      </c>
      <c r="B1083" s="1140" t="str">
        <f t="shared" si="134"/>
        <v/>
      </c>
      <c r="C1083" s="823" t="s">
        <v>1553</v>
      </c>
      <c r="D1083" s="823">
        <v>1</v>
      </c>
      <c r="E1083" s="1001">
        <v>26</v>
      </c>
      <c r="F1083" s="823" t="s">
        <v>1637</v>
      </c>
      <c r="G1083" s="980" t="e">
        <f ca="1">INDIRECT("'Superpave'!"&amp;CHAR(81+'Super Verify'!B5)&amp;"6")</f>
        <v>#VALUE!</v>
      </c>
      <c r="H1083" s="989">
        <f t="shared" si="107"/>
        <v>0</v>
      </c>
      <c r="I1083" s="1178"/>
      <c r="K1083" s="960" t="s">
        <v>1827</v>
      </c>
    </row>
    <row r="1084" spans="1:11" ht="13.5" thickBot="1">
      <c r="A1084" s="956" t="s">
        <v>836</v>
      </c>
      <c r="B1084" s="1140" t="str">
        <f t="shared" si="134"/>
        <v/>
      </c>
      <c r="C1084" s="823" t="s">
        <v>1553</v>
      </c>
      <c r="D1084" s="823">
        <v>1</v>
      </c>
      <c r="E1084" s="1001">
        <v>27</v>
      </c>
      <c r="F1084" s="823" t="s">
        <v>1637</v>
      </c>
      <c r="G1084" s="980" t="e">
        <f ca="1">INDIRECT("'Superpave'!"&amp;CHAR(81+'Super Verify'!B5)&amp;"7")</f>
        <v>#VALUE!</v>
      </c>
      <c r="H1084" s="989">
        <f t="shared" si="107"/>
        <v>0</v>
      </c>
      <c r="I1084" s="1178"/>
      <c r="K1084" s="960" t="s">
        <v>1827</v>
      </c>
    </row>
    <row r="1085" spans="1:11" ht="13.5" thickBot="1">
      <c r="A1085" s="956" t="s">
        <v>837</v>
      </c>
      <c r="B1085" s="1140" t="str">
        <f t="shared" si="134"/>
        <v/>
      </c>
      <c r="C1085" s="823" t="s">
        <v>1553</v>
      </c>
      <c r="D1085" s="823">
        <v>1</v>
      </c>
      <c r="E1085" s="1001">
        <v>28</v>
      </c>
      <c r="F1085" s="823" t="s">
        <v>1637</v>
      </c>
      <c r="G1085" s="980" t="e">
        <f ca="1">INDIRECT("'Superpave'!"&amp;CHAR(81+'Super Verify'!B5)&amp;"8")</f>
        <v>#VALUE!</v>
      </c>
      <c r="H1085" s="989">
        <f t="shared" si="107"/>
        <v>0</v>
      </c>
      <c r="I1085" s="1178"/>
      <c r="K1085" s="960" t="s">
        <v>1827</v>
      </c>
    </row>
    <row r="1086" spans="1:11" ht="13.5" thickBot="1">
      <c r="A1086" s="956" t="s">
        <v>838</v>
      </c>
      <c r="B1086" s="1140" t="str">
        <f t="shared" si="134"/>
        <v/>
      </c>
      <c r="C1086" s="823" t="s">
        <v>1553</v>
      </c>
      <c r="D1086" s="823">
        <v>1</v>
      </c>
      <c r="E1086" s="1001">
        <v>29</v>
      </c>
      <c r="F1086" s="823" t="s">
        <v>1637</v>
      </c>
      <c r="G1086" s="981">
        <f>Superpave!Q3</f>
        <v>0</v>
      </c>
      <c r="H1086" s="989">
        <f t="shared" si="107"/>
        <v>0</v>
      </c>
      <c r="I1086" s="1178"/>
      <c r="K1086" s="960" t="s">
        <v>1827</v>
      </c>
    </row>
    <row r="1087" spans="1:11" ht="13.5" thickBot="1">
      <c r="A1087" s="956" t="s">
        <v>839</v>
      </c>
      <c r="B1087" s="1140" t="str">
        <f t="shared" si="134"/>
        <v/>
      </c>
      <c r="C1087" s="823" t="s">
        <v>1553</v>
      </c>
      <c r="D1087" s="823">
        <v>1</v>
      </c>
      <c r="E1087" s="1001">
        <v>30</v>
      </c>
      <c r="F1087" s="823" t="s">
        <v>1637</v>
      </c>
      <c r="G1087" s="981">
        <f>Superpave!Q4</f>
        <v>0</v>
      </c>
      <c r="H1087" s="989">
        <f t="shared" si="107"/>
        <v>0</v>
      </c>
      <c r="I1087" s="1178"/>
      <c r="K1087" s="960" t="s">
        <v>1827</v>
      </c>
    </row>
    <row r="1088" spans="1:11" ht="13.5" thickBot="1">
      <c r="A1088" s="956" t="s">
        <v>840</v>
      </c>
      <c r="B1088" s="1140" t="str">
        <f t="shared" si="134"/>
        <v/>
      </c>
      <c r="C1088" s="823" t="s">
        <v>1553</v>
      </c>
      <c r="D1088" s="823">
        <v>1</v>
      </c>
      <c r="E1088" s="1001">
        <v>31</v>
      </c>
      <c r="F1088" s="823" t="s">
        <v>1637</v>
      </c>
      <c r="G1088" s="981">
        <f>Superpave!Q5</f>
        <v>0</v>
      </c>
      <c r="H1088" s="989">
        <f t="shared" si="107"/>
        <v>0</v>
      </c>
      <c r="I1088" s="1178"/>
      <c r="K1088" s="960" t="s">
        <v>1827</v>
      </c>
    </row>
    <row r="1089" spans="1:11" ht="13.5" thickBot="1">
      <c r="A1089" s="956" t="s">
        <v>841</v>
      </c>
      <c r="B1089" s="1140" t="str">
        <f t="shared" si="134"/>
        <v/>
      </c>
      <c r="C1089" s="823" t="s">
        <v>1553</v>
      </c>
      <c r="D1089" s="823">
        <v>1</v>
      </c>
      <c r="E1089" s="1001">
        <v>32</v>
      </c>
      <c r="F1089" s="823" t="s">
        <v>1637</v>
      </c>
      <c r="G1089" s="981">
        <f>Superpave!Q6</f>
        <v>0</v>
      </c>
      <c r="H1089" s="989">
        <f t="shared" si="107"/>
        <v>0</v>
      </c>
      <c r="I1089" s="1178"/>
      <c r="J1089" s="885"/>
      <c r="K1089" s="960" t="s">
        <v>1827</v>
      </c>
    </row>
    <row r="1090" spans="1:11" ht="13.5" thickBot="1">
      <c r="A1090" s="956" t="s">
        <v>842</v>
      </c>
      <c r="B1090" s="1140" t="str">
        <f t="shared" si="134"/>
        <v/>
      </c>
      <c r="C1090" s="823" t="s">
        <v>1553</v>
      </c>
      <c r="D1090" s="823">
        <v>1</v>
      </c>
      <c r="E1090" s="1001">
        <v>33</v>
      </c>
      <c r="F1090" s="823" t="s">
        <v>1637</v>
      </c>
      <c r="G1090" s="981">
        <f>Superpave!Q7</f>
        <v>0</v>
      </c>
      <c r="H1090" s="989">
        <f t="shared" si="107"/>
        <v>0</v>
      </c>
      <c r="I1090" s="1178"/>
      <c r="K1090" s="960" t="s">
        <v>1827</v>
      </c>
    </row>
    <row r="1091" spans="1:11" ht="13.5" thickBot="1">
      <c r="A1091" s="956" t="s">
        <v>843</v>
      </c>
      <c r="B1091" s="1140" t="str">
        <f t="shared" si="134"/>
        <v/>
      </c>
      <c r="C1091" s="823" t="s">
        <v>1553</v>
      </c>
      <c r="D1091" s="823">
        <v>1</v>
      </c>
      <c r="E1091" s="1001">
        <v>34</v>
      </c>
      <c r="F1091" s="823" t="s">
        <v>1637</v>
      </c>
      <c r="G1091" s="981">
        <f>Superpave!Q8</f>
        <v>0</v>
      </c>
      <c r="H1091" s="989">
        <f t="shared" si="107"/>
        <v>0</v>
      </c>
      <c r="I1091" s="1178"/>
      <c r="K1091" s="960" t="s">
        <v>1827</v>
      </c>
    </row>
    <row r="1092" spans="1:11" ht="13.5" thickBot="1">
      <c r="A1092" s="956" t="s">
        <v>844</v>
      </c>
      <c r="B1092" s="1140" t="str">
        <f t="shared" si="134"/>
        <v/>
      </c>
      <c r="C1092" s="823" t="s">
        <v>1553</v>
      </c>
      <c r="D1092" s="823">
        <v>1</v>
      </c>
      <c r="E1092" s="1001">
        <v>35</v>
      </c>
      <c r="F1092" s="823" t="s">
        <v>1637</v>
      </c>
      <c r="G1092" s="1003">
        <v>0</v>
      </c>
      <c r="H1092" s="989">
        <f t="shared" si="107"/>
        <v>0</v>
      </c>
      <c r="I1092" s="1178"/>
    </row>
    <row r="1093" spans="1:11" ht="13.5" thickBot="1">
      <c r="A1093" s="956" t="s">
        <v>845</v>
      </c>
      <c r="B1093" s="1140" t="str">
        <f t="shared" si="134"/>
        <v/>
      </c>
      <c r="C1093" s="823" t="s">
        <v>1553</v>
      </c>
      <c r="D1093" s="823">
        <v>1</v>
      </c>
      <c r="E1093" s="1001">
        <v>36</v>
      </c>
      <c r="F1093" s="823" t="s">
        <v>1637</v>
      </c>
      <c r="G1093" s="982" t="e">
        <f ca="1">INDIRECT("'Superpave'!I"&amp;'Super Verify'!B5+2)</f>
        <v>#VALUE!</v>
      </c>
      <c r="H1093" s="989">
        <f t="shared" si="107"/>
        <v>0</v>
      </c>
      <c r="I1093" s="1178"/>
      <c r="K1093" s="960" t="s">
        <v>1827</v>
      </c>
    </row>
    <row r="1094" spans="1:11" ht="13.5" thickBot="1">
      <c r="A1094" s="956" t="s">
        <v>846</v>
      </c>
      <c r="B1094" s="1140" t="str">
        <f t="shared" si="134"/>
        <v/>
      </c>
      <c r="C1094" s="823" t="s">
        <v>1553</v>
      </c>
      <c r="D1094" s="823">
        <v>1</v>
      </c>
      <c r="E1094" s="1001">
        <v>37</v>
      </c>
      <c r="F1094" s="823" t="s">
        <v>1637</v>
      </c>
      <c r="G1094" s="983" t="e">
        <f ca="1">INDIRECT("'Superpave'!J"&amp;'Super Verify'!B5+2)</f>
        <v>#VALUE!</v>
      </c>
      <c r="H1094" s="989">
        <f t="shared" si="107"/>
        <v>0</v>
      </c>
      <c r="I1094" s="1178"/>
      <c r="K1094" s="960" t="s">
        <v>1827</v>
      </c>
    </row>
    <row r="1095" spans="1:11" ht="13.5" thickBot="1">
      <c r="A1095" s="956" t="s">
        <v>847</v>
      </c>
      <c r="B1095" s="1140" t="str">
        <f t="shared" si="134"/>
        <v/>
      </c>
      <c r="C1095" s="823" t="s">
        <v>1553</v>
      </c>
      <c r="D1095" s="823">
        <v>1</v>
      </c>
      <c r="E1095" s="1001">
        <v>38</v>
      </c>
      <c r="F1095" s="992" t="e">
        <f ca="1">INDIRECT("'Superpave'!K"&amp;'Super Verify'!B5+2)</f>
        <v>#VALUE!</v>
      </c>
      <c r="G1095" s="1005">
        <v>0</v>
      </c>
      <c r="H1095" s="989">
        <f t="shared" si="107"/>
        <v>0</v>
      </c>
      <c r="I1095" s="1178"/>
      <c r="K1095" s="960" t="s">
        <v>1827</v>
      </c>
    </row>
    <row r="1096" spans="1:11" ht="13.5" thickBot="1">
      <c r="A1096" s="956" t="s">
        <v>848</v>
      </c>
      <c r="B1096" s="1140" t="str">
        <f t="shared" si="134"/>
        <v/>
      </c>
      <c r="C1096" s="823" t="s">
        <v>1553</v>
      </c>
      <c r="D1096" s="823">
        <v>1</v>
      </c>
      <c r="E1096" s="1001">
        <v>39</v>
      </c>
      <c r="F1096" s="823" t="s">
        <v>1637</v>
      </c>
      <c r="G1096" s="981" t="e">
        <f ca="1">INDIRECT("'Superpave'!L"&amp;'Super Verify'!B5+2)</f>
        <v>#VALUE!</v>
      </c>
      <c r="H1096" s="989">
        <f t="shared" si="107"/>
        <v>0</v>
      </c>
      <c r="I1096" s="1178"/>
      <c r="K1096" s="960" t="s">
        <v>1827</v>
      </c>
    </row>
    <row r="1097" spans="1:11">
      <c r="A1097" s="956" t="s">
        <v>849</v>
      </c>
      <c r="B1097" s="1163" t="str">
        <f t="shared" si="134"/>
        <v/>
      </c>
      <c r="C1097" s="875" t="s">
        <v>1553</v>
      </c>
      <c r="D1097" s="875">
        <v>1</v>
      </c>
      <c r="E1097" s="1001">
        <v>40</v>
      </c>
      <c r="F1097" s="823" t="s">
        <v>1637</v>
      </c>
      <c r="G1097" s="1003">
        <v>0</v>
      </c>
      <c r="H1097" s="989">
        <f t="shared" si="107"/>
        <v>0</v>
      </c>
      <c r="I1097" s="1192"/>
      <c r="K1097" s="885"/>
    </row>
    <row r="1098" spans="1:11">
      <c r="A1098" s="956" t="s">
        <v>850</v>
      </c>
      <c r="B1098" s="1140" t="str">
        <f t="shared" si="134"/>
        <v/>
      </c>
      <c r="C1098" s="823" t="s">
        <v>1553</v>
      </c>
      <c r="D1098" s="823">
        <v>1</v>
      </c>
      <c r="E1098" s="1001">
        <v>41</v>
      </c>
      <c r="F1098" s="824" t="str">
        <f>Calculations!AU33</f>
        <v/>
      </c>
      <c r="G1098" s="1003">
        <v>0</v>
      </c>
      <c r="H1098" s="989">
        <f t="shared" si="107"/>
        <v>0</v>
      </c>
      <c r="I1098" s="1178"/>
    </row>
    <row r="1099" spans="1:11">
      <c r="A1099" s="956" t="s">
        <v>851</v>
      </c>
      <c r="B1099" s="1140" t="str">
        <f t="shared" si="134"/>
        <v/>
      </c>
      <c r="C1099" s="823" t="s">
        <v>1553</v>
      </c>
      <c r="D1099" s="823">
        <v>1</v>
      </c>
      <c r="E1099" s="1001">
        <v>42</v>
      </c>
      <c r="F1099" s="823" t="s">
        <v>1637</v>
      </c>
      <c r="G1099" s="980" t="str">
        <f>'Super Verify'!B10</f>
        <v/>
      </c>
      <c r="H1099" s="989">
        <f t="shared" si="107"/>
        <v>0</v>
      </c>
      <c r="I1099" s="1178"/>
    </row>
    <row r="1100" spans="1:11">
      <c r="A1100" s="956" t="s">
        <v>852</v>
      </c>
      <c r="B1100" s="1140" t="str">
        <f t="shared" si="134"/>
        <v/>
      </c>
      <c r="C1100" s="823" t="s">
        <v>1553</v>
      </c>
      <c r="D1100" s="823">
        <v>1</v>
      </c>
      <c r="E1100" s="1001">
        <v>43</v>
      </c>
      <c r="F1100" s="823" t="s">
        <v>1637</v>
      </c>
      <c r="G1100" s="980" t="str">
        <f>'Super Verify'!H10</f>
        <v/>
      </c>
      <c r="H1100" s="989">
        <f t="shared" si="107"/>
        <v>0</v>
      </c>
      <c r="I1100" s="1178"/>
    </row>
    <row r="1101" spans="1:11">
      <c r="A1101" s="956" t="s">
        <v>853</v>
      </c>
      <c r="B1101" s="1140" t="str">
        <f t="shared" si="134"/>
        <v/>
      </c>
      <c r="C1101" s="823" t="s">
        <v>1553</v>
      </c>
      <c r="D1101" s="823">
        <v>1</v>
      </c>
      <c r="E1101" s="1001">
        <v>44</v>
      </c>
      <c r="F1101" s="823" t="s">
        <v>1637</v>
      </c>
      <c r="G1101" s="984" t="str">
        <f>'Super Verify'!I10</f>
        <v/>
      </c>
      <c r="H1101" s="989">
        <f t="shared" si="107"/>
        <v>0</v>
      </c>
      <c r="I1101" s="1178"/>
    </row>
    <row r="1102" spans="1:11">
      <c r="A1102" s="956" t="s">
        <v>854</v>
      </c>
      <c r="B1102" s="1140" t="str">
        <f t="shared" si="134"/>
        <v/>
      </c>
      <c r="C1102" s="823" t="s">
        <v>1553</v>
      </c>
      <c r="D1102" s="823">
        <v>1</v>
      </c>
      <c r="E1102" s="1001">
        <v>45</v>
      </c>
      <c r="F1102" s="823" t="s">
        <v>1637</v>
      </c>
      <c r="G1102" s="980" t="str">
        <f>'Super Verify'!J10</f>
        <v/>
      </c>
      <c r="H1102" s="989">
        <f t="shared" si="107"/>
        <v>0</v>
      </c>
      <c r="I1102" s="1178"/>
    </row>
    <row r="1103" spans="1:11">
      <c r="A1103" s="956" t="s">
        <v>855</v>
      </c>
      <c r="B1103" s="1140" t="str">
        <f t="shared" si="134"/>
        <v/>
      </c>
      <c r="C1103" s="823" t="s">
        <v>1553</v>
      </c>
      <c r="D1103" s="823">
        <v>1</v>
      </c>
      <c r="E1103" s="1001">
        <v>46</v>
      </c>
      <c r="F1103" s="823" t="s">
        <v>1637</v>
      </c>
      <c r="G1103" s="980" t="str">
        <f>'Super Verify'!K10</f>
        <v/>
      </c>
      <c r="H1103" s="989">
        <f t="shared" si="107"/>
        <v>0</v>
      </c>
      <c r="I1103" s="1178"/>
    </row>
    <row r="1104" spans="1:11">
      <c r="A1104" s="956" t="s">
        <v>856</v>
      </c>
      <c r="B1104" s="1140" t="str">
        <f t="shared" si="134"/>
        <v/>
      </c>
      <c r="C1104" s="823" t="s">
        <v>1553</v>
      </c>
      <c r="D1104" s="823">
        <v>1</v>
      </c>
      <c r="E1104" s="1001">
        <v>47</v>
      </c>
      <c r="F1104" s="823" t="s">
        <v>1637</v>
      </c>
      <c r="G1104" s="980" t="str">
        <f>'Super Verify'!L10</f>
        <v/>
      </c>
      <c r="H1104" s="989">
        <f t="shared" si="107"/>
        <v>0</v>
      </c>
      <c r="I1104" s="1178"/>
      <c r="K1104" s="885"/>
    </row>
    <row r="1105" spans="1:11">
      <c r="A1105" s="956" t="s">
        <v>857</v>
      </c>
      <c r="B1105" s="1140" t="str">
        <f t="shared" si="134"/>
        <v/>
      </c>
      <c r="C1105" s="823" t="s">
        <v>1553</v>
      </c>
      <c r="D1105" s="823">
        <v>1</v>
      </c>
      <c r="E1105" s="1001">
        <v>48</v>
      </c>
      <c r="F1105" s="823" t="s">
        <v>1637</v>
      </c>
      <c r="G1105" s="980" t="str">
        <f>'Super Verify'!M10</f>
        <v/>
      </c>
      <c r="H1105" s="989">
        <f t="shared" si="107"/>
        <v>0</v>
      </c>
      <c r="I1105" s="1178"/>
      <c r="J1105" s="885"/>
    </row>
    <row r="1106" spans="1:11">
      <c r="A1106" s="956" t="s">
        <v>858</v>
      </c>
      <c r="B1106" s="1140" t="str">
        <f t="shared" si="134"/>
        <v/>
      </c>
      <c r="C1106" s="823" t="s">
        <v>1553</v>
      </c>
      <c r="D1106" s="823">
        <v>1</v>
      </c>
      <c r="E1106" s="1001">
        <v>49</v>
      </c>
      <c r="F1106" s="980" t="str">
        <f>'Super Verify'!N10</f>
        <v/>
      </c>
      <c r="G1106" s="1178"/>
      <c r="H1106" s="989">
        <f t="shared" si="107"/>
        <v>0</v>
      </c>
      <c r="I1106" s="1178"/>
      <c r="K1106" s="885"/>
    </row>
    <row r="1107" spans="1:11">
      <c r="A1107" s="956" t="s">
        <v>859</v>
      </c>
      <c r="B1107" s="1140" t="str">
        <f t="shared" si="134"/>
        <v/>
      </c>
      <c r="C1107" s="823" t="s">
        <v>1553</v>
      </c>
      <c r="D1107" s="823">
        <v>1</v>
      </c>
      <c r="E1107" s="1001">
        <v>50</v>
      </c>
      <c r="F1107" s="823" t="s">
        <v>1637</v>
      </c>
      <c r="G1107" s="980">
        <f>Superpave!N43</f>
        <v>0</v>
      </c>
      <c r="H1107" s="989">
        <f t="shared" si="107"/>
        <v>0</v>
      </c>
      <c r="I1107" s="1178"/>
    </row>
    <row r="1108" spans="1:11">
      <c r="A1108" s="956" t="s">
        <v>860</v>
      </c>
      <c r="B1108" s="1140" t="str">
        <f t="shared" si="134"/>
        <v/>
      </c>
      <c r="C1108" s="823" t="s">
        <v>1553</v>
      </c>
      <c r="D1108" s="823">
        <v>1</v>
      </c>
      <c r="E1108" s="1001">
        <v>51</v>
      </c>
      <c r="F1108" s="823" t="s">
        <v>1637</v>
      </c>
      <c r="G1108" s="984" t="str">
        <f>Superpave!N42</f>
        <v/>
      </c>
      <c r="H1108" s="989">
        <f t="shared" si="107"/>
        <v>0</v>
      </c>
      <c r="I1108" s="1178"/>
      <c r="K1108" s="885"/>
    </row>
    <row r="1109" spans="1:11">
      <c r="A1109" s="956" t="s">
        <v>546</v>
      </c>
      <c r="B1109" s="1140" t="str">
        <f t="shared" si="134"/>
        <v/>
      </c>
      <c r="C1109" s="823" t="s">
        <v>1553</v>
      </c>
      <c r="D1109" s="823">
        <v>1</v>
      </c>
      <c r="E1109" s="1001">
        <v>52</v>
      </c>
      <c r="F1109" s="823" t="s">
        <v>1637</v>
      </c>
      <c r="G1109" s="1003">
        <v>0</v>
      </c>
      <c r="H1109" s="989">
        <f t="shared" si="107"/>
        <v>0</v>
      </c>
      <c r="I1109" s="1178"/>
      <c r="K1109" s="885"/>
    </row>
    <row r="1110" spans="1:11">
      <c r="A1110" s="956" t="s">
        <v>547</v>
      </c>
      <c r="B1110" s="1140" t="str">
        <f t="shared" si="134"/>
        <v/>
      </c>
      <c r="C1110" s="823" t="s">
        <v>1553</v>
      </c>
      <c r="D1110" s="823">
        <v>1</v>
      </c>
      <c r="E1110" s="1001">
        <v>53</v>
      </c>
      <c r="F1110" s="823" t="s">
        <v>1637</v>
      </c>
      <c r="G1110" s="980" t="str">
        <f>'Super Verify'!D33</f>
        <v/>
      </c>
      <c r="H1110" s="989">
        <f t="shared" si="107"/>
        <v>0</v>
      </c>
      <c r="I1110" s="1178"/>
    </row>
    <row r="1111" spans="1:11">
      <c r="A1111" s="956" t="s">
        <v>548</v>
      </c>
      <c r="B1111" s="1140" t="str">
        <f t="shared" si="134"/>
        <v/>
      </c>
      <c r="C1111" s="823" t="s">
        <v>1553</v>
      </c>
      <c r="D1111" s="823">
        <v>1</v>
      </c>
      <c r="E1111" s="1001">
        <v>54</v>
      </c>
      <c r="F1111" s="823" t="s">
        <v>1637</v>
      </c>
      <c r="G1111" s="980" t="str">
        <f>'Super Verify'!D34</f>
        <v/>
      </c>
      <c r="H1111" s="989">
        <f t="shared" ref="H1111:H1292" si="135">H1110</f>
        <v>0</v>
      </c>
      <c r="I1111" s="1178"/>
      <c r="K1111" s="958"/>
    </row>
    <row r="1112" spans="1:11">
      <c r="A1112" s="956" t="s">
        <v>549</v>
      </c>
      <c r="B1112" s="1140" t="str">
        <f t="shared" si="134"/>
        <v/>
      </c>
      <c r="C1112" s="823" t="s">
        <v>1553</v>
      </c>
      <c r="D1112" s="823">
        <v>1</v>
      </c>
      <c r="E1112" s="1001">
        <v>55</v>
      </c>
      <c r="F1112" s="823" t="s">
        <v>1637</v>
      </c>
      <c r="G1112" s="980" t="str">
        <f>'Super Verify'!D35</f>
        <v/>
      </c>
      <c r="H1112" s="989">
        <f t="shared" si="135"/>
        <v>0</v>
      </c>
      <c r="I1112" s="1178"/>
    </row>
    <row r="1113" spans="1:11">
      <c r="A1113" s="956" t="s">
        <v>550</v>
      </c>
      <c r="B1113" s="1163" t="str">
        <f t="shared" si="134"/>
        <v/>
      </c>
      <c r="C1113" s="875" t="s">
        <v>1553</v>
      </c>
      <c r="D1113" s="875">
        <v>1</v>
      </c>
      <c r="E1113" s="1001">
        <v>56</v>
      </c>
      <c r="F1113" s="823" t="s">
        <v>1637</v>
      </c>
      <c r="G1113" s="980" t="str">
        <f>'Super Verify'!D36</f>
        <v/>
      </c>
      <c r="H1113" s="989">
        <f t="shared" si="135"/>
        <v>0</v>
      </c>
      <c r="I1113" s="1192"/>
      <c r="K1113" s="885"/>
    </row>
    <row r="1114" spans="1:11">
      <c r="A1114" s="956" t="s">
        <v>551</v>
      </c>
      <c r="B1114" s="1140" t="str">
        <f t="shared" si="134"/>
        <v/>
      </c>
      <c r="C1114" s="823" t="s">
        <v>1553</v>
      </c>
      <c r="D1114" s="823">
        <v>1</v>
      </c>
      <c r="E1114" s="1001">
        <v>57</v>
      </c>
      <c r="F1114" s="823" t="s">
        <v>1637</v>
      </c>
      <c r="G1114" s="980" t="str">
        <f>'Super Verify'!D37</f>
        <v/>
      </c>
      <c r="H1114" s="989">
        <f t="shared" si="135"/>
        <v>0</v>
      </c>
      <c r="I1114" s="1178"/>
    </row>
    <row r="1115" spans="1:11">
      <c r="A1115" s="956" t="s">
        <v>552</v>
      </c>
      <c r="B1115" s="1140" t="str">
        <f t="shared" si="134"/>
        <v/>
      </c>
      <c r="C1115" s="823" t="s">
        <v>1553</v>
      </c>
      <c r="D1115" s="823">
        <v>1</v>
      </c>
      <c r="E1115" s="1001">
        <v>58</v>
      </c>
      <c r="F1115" s="823" t="s">
        <v>1637</v>
      </c>
      <c r="G1115" s="980" t="str">
        <f>'Super Verify'!D38</f>
        <v/>
      </c>
      <c r="H1115" s="989">
        <f t="shared" si="135"/>
        <v>0</v>
      </c>
      <c r="I1115" s="1178"/>
    </row>
    <row r="1116" spans="1:11">
      <c r="A1116" s="956" t="s">
        <v>553</v>
      </c>
      <c r="B1116" s="1140" t="str">
        <f t="shared" si="134"/>
        <v/>
      </c>
      <c r="C1116" s="823" t="s">
        <v>1553</v>
      </c>
      <c r="D1116" s="823">
        <v>1</v>
      </c>
      <c r="E1116" s="1001">
        <v>59</v>
      </c>
      <c r="F1116" s="823" t="s">
        <v>1637</v>
      </c>
      <c r="G1116" s="980" t="str">
        <f>'Super Verify'!D39</f>
        <v/>
      </c>
      <c r="H1116" s="989">
        <f t="shared" si="135"/>
        <v>0</v>
      </c>
      <c r="I1116" s="1178"/>
    </row>
    <row r="1117" spans="1:11">
      <c r="A1117" s="956" t="s">
        <v>554</v>
      </c>
      <c r="B1117" s="1140" t="str">
        <f t="shared" si="134"/>
        <v/>
      </c>
      <c r="C1117" s="823" t="s">
        <v>1553</v>
      </c>
      <c r="D1117" s="823">
        <v>1</v>
      </c>
      <c r="E1117" s="1001">
        <v>60</v>
      </c>
      <c r="F1117" s="823" t="s">
        <v>1637</v>
      </c>
      <c r="G1117" s="980" t="str">
        <f>'Super Verify'!D40</f>
        <v/>
      </c>
      <c r="H1117" s="989">
        <f t="shared" si="135"/>
        <v>0</v>
      </c>
      <c r="I1117" s="1178"/>
    </row>
    <row r="1118" spans="1:11">
      <c r="A1118" s="956" t="s">
        <v>555</v>
      </c>
      <c r="B1118" s="1140" t="str">
        <f t="shared" si="134"/>
        <v/>
      </c>
      <c r="C1118" s="823" t="s">
        <v>1553</v>
      </c>
      <c r="D1118" s="823">
        <v>1</v>
      </c>
      <c r="E1118" s="1001">
        <v>61</v>
      </c>
      <c r="F1118" s="823" t="s">
        <v>1637</v>
      </c>
      <c r="G1118" s="980" t="str">
        <f>'Super Verify'!D41</f>
        <v/>
      </c>
      <c r="H1118" s="989">
        <f t="shared" si="135"/>
        <v>0</v>
      </c>
      <c r="I1118" s="1178"/>
    </row>
    <row r="1119" spans="1:11">
      <c r="A1119" s="956" t="s">
        <v>556</v>
      </c>
      <c r="B1119" s="1140" t="str">
        <f t="shared" si="134"/>
        <v/>
      </c>
      <c r="C1119" s="823" t="s">
        <v>1553</v>
      </c>
      <c r="D1119" s="823">
        <v>1</v>
      </c>
      <c r="E1119" s="1001">
        <v>62</v>
      </c>
      <c r="F1119" s="823" t="s">
        <v>1637</v>
      </c>
      <c r="G1119" s="980" t="str">
        <f>'Super Verify'!D42</f>
        <v/>
      </c>
      <c r="H1119" s="989">
        <f t="shared" si="135"/>
        <v>0</v>
      </c>
      <c r="I1119" s="1178"/>
    </row>
    <row r="1120" spans="1:11">
      <c r="A1120" s="956" t="s">
        <v>557</v>
      </c>
      <c r="B1120" s="1140" t="str">
        <f t="shared" si="134"/>
        <v/>
      </c>
      <c r="C1120" s="823" t="s">
        <v>1553</v>
      </c>
      <c r="D1120" s="823">
        <v>1</v>
      </c>
      <c r="E1120" s="1001">
        <v>63</v>
      </c>
      <c r="F1120" s="823" t="s">
        <v>1637</v>
      </c>
      <c r="G1120" s="980" t="str">
        <f>'Super Verify'!D43</f>
        <v/>
      </c>
      <c r="H1120" s="989">
        <f t="shared" si="135"/>
        <v>0</v>
      </c>
      <c r="I1120" s="1178"/>
      <c r="K1120" s="885"/>
    </row>
    <row r="1121" spans="1:11">
      <c r="A1121" s="956" t="s">
        <v>558</v>
      </c>
      <c r="B1121" s="1140" t="str">
        <f t="shared" si="134"/>
        <v/>
      </c>
      <c r="C1121" s="823" t="s">
        <v>1553</v>
      </c>
      <c r="D1121" s="823">
        <v>1</v>
      </c>
      <c r="E1121" s="1001">
        <v>64</v>
      </c>
      <c r="F1121" s="823" t="s">
        <v>1637</v>
      </c>
      <c r="G1121" s="980" t="str">
        <f>'Super Verify'!D44</f>
        <v/>
      </c>
      <c r="H1121" s="989">
        <f t="shared" si="135"/>
        <v>0</v>
      </c>
      <c r="I1121" s="1178"/>
      <c r="J1121" s="885"/>
    </row>
    <row r="1122" spans="1:11">
      <c r="A1122" s="956" t="s">
        <v>559</v>
      </c>
      <c r="B1122" s="1140" t="str">
        <f t="shared" si="134"/>
        <v/>
      </c>
      <c r="C1122" s="823" t="s">
        <v>1553</v>
      </c>
      <c r="D1122" s="823">
        <v>1</v>
      </c>
      <c r="E1122" s="1001">
        <v>65</v>
      </c>
      <c r="F1122" s="823" t="s">
        <v>1637</v>
      </c>
      <c r="G1122" s="980" t="str">
        <f>'Super Verify'!D45</f>
        <v/>
      </c>
      <c r="H1122" s="989">
        <f t="shared" si="135"/>
        <v>0</v>
      </c>
      <c r="I1122" s="1178"/>
      <c r="K1122" s="885"/>
    </row>
    <row r="1123" spans="1:11">
      <c r="A1123" s="956" t="s">
        <v>560</v>
      </c>
      <c r="B1123" s="1140" t="str">
        <f t="shared" si="134"/>
        <v/>
      </c>
      <c r="C1123" s="823" t="s">
        <v>1553</v>
      </c>
      <c r="D1123" s="823">
        <v>1</v>
      </c>
      <c r="E1123" s="1001">
        <v>66</v>
      </c>
      <c r="F1123" s="823" t="s">
        <v>1637</v>
      </c>
      <c r="G1123" s="980" t="str">
        <f>'Super Verify'!D46</f>
        <v/>
      </c>
      <c r="H1123" s="989">
        <f t="shared" si="135"/>
        <v>0</v>
      </c>
      <c r="I1123" s="1178"/>
    </row>
    <row r="1124" spans="1:11" ht="13.5" thickBot="1">
      <c r="A1124" s="956" t="s">
        <v>561</v>
      </c>
      <c r="B1124" s="1140" t="str">
        <f t="shared" si="134"/>
        <v/>
      </c>
      <c r="C1124" s="823" t="s">
        <v>1553</v>
      </c>
      <c r="D1124" s="823">
        <v>1</v>
      </c>
      <c r="E1124" s="1001">
        <v>67</v>
      </c>
      <c r="F1124" s="823" t="s">
        <v>1637</v>
      </c>
      <c r="G1124" s="1003">
        <v>0</v>
      </c>
      <c r="H1124" s="989">
        <f t="shared" si="135"/>
        <v>0</v>
      </c>
      <c r="I1124" s="1178"/>
      <c r="K1124" s="885"/>
    </row>
    <row r="1125" spans="1:11" ht="13.5" thickBot="1">
      <c r="A1125" s="956" t="s">
        <v>562</v>
      </c>
      <c r="B1125" s="1140" t="str">
        <f t="shared" si="134"/>
        <v/>
      </c>
      <c r="C1125" s="823" t="s">
        <v>1553</v>
      </c>
      <c r="D1125" s="823">
        <v>1</v>
      </c>
      <c r="E1125" s="1001">
        <v>68</v>
      </c>
      <c r="F1125" s="824" t="s">
        <v>1637</v>
      </c>
      <c r="G1125" s="1003">
        <v>0</v>
      </c>
      <c r="H1125" s="989">
        <f t="shared" si="135"/>
        <v>0</v>
      </c>
      <c r="I1125" s="1178"/>
      <c r="K1125" s="960" t="s">
        <v>1828</v>
      </c>
    </row>
    <row r="1126" spans="1:11" ht="13.5" thickBot="1">
      <c r="A1126" s="956" t="s">
        <v>563</v>
      </c>
      <c r="B1126" s="1140" t="str">
        <f t="shared" si="134"/>
        <v/>
      </c>
      <c r="C1126" s="823" t="s">
        <v>1553</v>
      </c>
      <c r="D1126" s="823">
        <v>1</v>
      </c>
      <c r="E1126" s="1001">
        <v>69</v>
      </c>
      <c r="F1126" s="824" t="s">
        <v>1637</v>
      </c>
      <c r="G1126" s="1003">
        <v>0</v>
      </c>
      <c r="H1126" s="989">
        <f t="shared" si="135"/>
        <v>0</v>
      </c>
      <c r="I1126" s="1178"/>
      <c r="K1126" s="960" t="s">
        <v>1828</v>
      </c>
    </row>
    <row r="1127" spans="1:11" ht="13.5" thickBot="1">
      <c r="A1127" s="956" t="s">
        <v>564</v>
      </c>
      <c r="B1127" s="1140" t="str">
        <f t="shared" si="134"/>
        <v/>
      </c>
      <c r="C1127" s="823" t="s">
        <v>1553</v>
      </c>
      <c r="D1127" s="823">
        <v>1</v>
      </c>
      <c r="E1127" s="1001">
        <v>70</v>
      </c>
      <c r="F1127" s="824" t="s">
        <v>1637</v>
      </c>
      <c r="G1127" s="1003">
        <v>0</v>
      </c>
      <c r="H1127" s="989">
        <f t="shared" si="135"/>
        <v>0</v>
      </c>
      <c r="I1127" s="1178"/>
      <c r="K1127" s="960" t="s">
        <v>1828</v>
      </c>
    </row>
    <row r="1128" spans="1:11" ht="13.5" thickBot="1">
      <c r="A1128" s="956" t="s">
        <v>565</v>
      </c>
      <c r="B1128" s="1140" t="str">
        <f t="shared" si="134"/>
        <v/>
      </c>
      <c r="C1128" s="823" t="s">
        <v>1553</v>
      </c>
      <c r="D1128" s="823">
        <v>1</v>
      </c>
      <c r="E1128" s="1001">
        <v>71</v>
      </c>
      <c r="F1128" s="824" t="s">
        <v>1637</v>
      </c>
      <c r="G1128" s="1003">
        <v>0</v>
      </c>
      <c r="H1128" s="989">
        <f t="shared" si="135"/>
        <v>0</v>
      </c>
      <c r="I1128" s="1178"/>
      <c r="K1128" s="960" t="s">
        <v>1828</v>
      </c>
    </row>
    <row r="1129" spans="1:11" ht="13.5" thickBot="1">
      <c r="A1129" s="956" t="s">
        <v>566</v>
      </c>
      <c r="B1129" s="1140" t="str">
        <f t="shared" si="134"/>
        <v/>
      </c>
      <c r="C1129" s="823" t="s">
        <v>1553</v>
      </c>
      <c r="D1129" s="823">
        <v>1</v>
      </c>
      <c r="E1129" s="1001">
        <v>72</v>
      </c>
      <c r="F1129" s="824" t="s">
        <v>1637</v>
      </c>
      <c r="G1129" s="1003">
        <v>0</v>
      </c>
      <c r="H1129" s="989">
        <f t="shared" si="135"/>
        <v>0</v>
      </c>
      <c r="I1129" s="1178"/>
      <c r="K1129" s="960" t="s">
        <v>1828</v>
      </c>
    </row>
    <row r="1130" spans="1:11" ht="13.5" thickBot="1">
      <c r="A1130" s="956" t="s">
        <v>567</v>
      </c>
      <c r="B1130" s="1140" t="str">
        <f t="shared" ref="B1130:B1148" si="136">B1129</f>
        <v/>
      </c>
      <c r="C1130" s="823" t="s">
        <v>1553</v>
      </c>
      <c r="D1130" s="823">
        <v>1</v>
      </c>
      <c r="E1130" s="1001">
        <v>73</v>
      </c>
      <c r="F1130" s="824" t="s">
        <v>1637</v>
      </c>
      <c r="G1130" s="1003">
        <v>0</v>
      </c>
      <c r="H1130" s="989">
        <f t="shared" si="135"/>
        <v>0</v>
      </c>
      <c r="I1130" s="1178"/>
      <c r="K1130" s="960" t="s">
        <v>1828</v>
      </c>
    </row>
    <row r="1131" spans="1:11" ht="13.5" thickBot="1">
      <c r="A1131" s="956" t="s">
        <v>568</v>
      </c>
      <c r="B1131" s="1140" t="str">
        <f t="shared" si="136"/>
        <v/>
      </c>
      <c r="C1131" s="823" t="s">
        <v>1553</v>
      </c>
      <c r="D1131" s="823">
        <v>1</v>
      </c>
      <c r="E1131" s="1001">
        <v>74</v>
      </c>
      <c r="F1131" s="824" t="s">
        <v>1637</v>
      </c>
      <c r="G1131" s="1003">
        <v>0</v>
      </c>
      <c r="H1131" s="989">
        <f t="shared" si="135"/>
        <v>0</v>
      </c>
      <c r="I1131" s="1178"/>
      <c r="K1131" s="960" t="s">
        <v>1828</v>
      </c>
    </row>
    <row r="1132" spans="1:11" ht="13.5" thickBot="1">
      <c r="A1132" s="956" t="s">
        <v>569</v>
      </c>
      <c r="B1132" s="1140" t="str">
        <f t="shared" si="136"/>
        <v/>
      </c>
      <c r="C1132" s="823" t="s">
        <v>1553</v>
      </c>
      <c r="D1132" s="823">
        <v>1</v>
      </c>
      <c r="E1132" s="1001">
        <v>75</v>
      </c>
      <c r="F1132" s="824" t="s">
        <v>1637</v>
      </c>
      <c r="G1132" s="1003">
        <v>0</v>
      </c>
      <c r="H1132" s="989">
        <f t="shared" si="135"/>
        <v>0</v>
      </c>
      <c r="I1132" s="1178"/>
      <c r="K1132" s="960" t="s">
        <v>1828</v>
      </c>
    </row>
    <row r="1133" spans="1:11" ht="13.5" thickBot="1">
      <c r="A1133" s="956" t="s">
        <v>570</v>
      </c>
      <c r="B1133" s="1140" t="str">
        <f t="shared" si="136"/>
        <v/>
      </c>
      <c r="C1133" s="823" t="s">
        <v>1553</v>
      </c>
      <c r="D1133" s="823">
        <v>1</v>
      </c>
      <c r="E1133" s="1001">
        <v>76</v>
      </c>
      <c r="F1133" s="824" t="s">
        <v>1637</v>
      </c>
      <c r="G1133" s="1003">
        <v>0</v>
      </c>
      <c r="H1133" s="989">
        <f t="shared" si="135"/>
        <v>0</v>
      </c>
      <c r="I1133" s="1178"/>
      <c r="K1133" s="960" t="s">
        <v>1828</v>
      </c>
    </row>
    <row r="1134" spans="1:11" ht="13.5" thickBot="1">
      <c r="A1134" s="956" t="s">
        <v>571</v>
      </c>
      <c r="B1134" s="1140" t="str">
        <f t="shared" si="136"/>
        <v/>
      </c>
      <c r="C1134" s="823" t="s">
        <v>1553</v>
      </c>
      <c r="D1134" s="823">
        <v>1</v>
      </c>
      <c r="E1134" s="1001">
        <v>77</v>
      </c>
      <c r="F1134" s="824" t="s">
        <v>1637</v>
      </c>
      <c r="G1134" s="1003">
        <v>0</v>
      </c>
      <c r="H1134" s="989">
        <f t="shared" si="135"/>
        <v>0</v>
      </c>
      <c r="I1134" s="1178"/>
      <c r="K1134" s="960" t="s">
        <v>1828</v>
      </c>
    </row>
    <row r="1135" spans="1:11" ht="13.5" thickBot="1">
      <c r="A1135" s="956" t="s">
        <v>572</v>
      </c>
      <c r="B1135" s="1140" t="str">
        <f t="shared" si="136"/>
        <v/>
      </c>
      <c r="C1135" s="823" t="s">
        <v>1553</v>
      </c>
      <c r="D1135" s="823">
        <v>1</v>
      </c>
      <c r="E1135" s="1001">
        <v>78</v>
      </c>
      <c r="F1135" s="824" t="s">
        <v>1637</v>
      </c>
      <c r="G1135" s="1003">
        <v>0</v>
      </c>
      <c r="H1135" s="989">
        <f t="shared" si="135"/>
        <v>0</v>
      </c>
      <c r="I1135" s="1178"/>
      <c r="K1135" s="960" t="s">
        <v>1828</v>
      </c>
    </row>
    <row r="1136" spans="1:11" ht="13.5" thickBot="1">
      <c r="A1136" s="956" t="s">
        <v>573</v>
      </c>
      <c r="B1136" s="1140" t="str">
        <f t="shared" si="136"/>
        <v/>
      </c>
      <c r="C1136" s="823" t="s">
        <v>1553</v>
      </c>
      <c r="D1136" s="823">
        <v>1</v>
      </c>
      <c r="E1136" s="1001">
        <v>79</v>
      </c>
      <c r="F1136" s="824" t="s">
        <v>1637</v>
      </c>
      <c r="G1136" s="1003">
        <v>0</v>
      </c>
      <c r="H1136" s="989">
        <f t="shared" si="135"/>
        <v>0</v>
      </c>
      <c r="I1136" s="1178"/>
      <c r="J1136" s="885"/>
      <c r="K1136" s="960" t="s">
        <v>1828</v>
      </c>
    </row>
    <row r="1137" spans="1:11" ht="13.5" thickBot="1">
      <c r="A1137" s="956" t="s">
        <v>574</v>
      </c>
      <c r="B1137" s="1140" t="str">
        <f t="shared" si="136"/>
        <v/>
      </c>
      <c r="C1137" s="823" t="s">
        <v>1553</v>
      </c>
      <c r="D1137" s="823">
        <v>1</v>
      </c>
      <c r="E1137" s="1001">
        <v>80</v>
      </c>
      <c r="F1137" s="823" t="s">
        <v>1637</v>
      </c>
      <c r="G1137" s="980">
        <v>0</v>
      </c>
      <c r="H1137" s="989">
        <f t="shared" si="135"/>
        <v>0</v>
      </c>
      <c r="I1137" s="1178"/>
      <c r="K1137" s="960" t="s">
        <v>1828</v>
      </c>
    </row>
    <row r="1138" spans="1:11" ht="13.5" thickBot="1">
      <c r="A1138" s="956" t="s">
        <v>575</v>
      </c>
      <c r="B1138" s="1140" t="str">
        <f t="shared" si="136"/>
        <v/>
      </c>
      <c r="C1138" s="823" t="s">
        <v>1553</v>
      </c>
      <c r="D1138" s="823">
        <v>1</v>
      </c>
      <c r="E1138" s="1001">
        <v>81</v>
      </c>
      <c r="F1138" s="823" t="s">
        <v>1637</v>
      </c>
      <c r="G1138" s="980">
        <v>0</v>
      </c>
      <c r="H1138" s="989">
        <f t="shared" si="135"/>
        <v>0</v>
      </c>
      <c r="I1138" s="1178"/>
      <c r="K1138" s="960" t="s">
        <v>1828</v>
      </c>
    </row>
    <row r="1139" spans="1:11" ht="13.5" thickBot="1">
      <c r="A1139" s="956" t="s">
        <v>576</v>
      </c>
      <c r="B1139" s="1140" t="str">
        <f t="shared" si="136"/>
        <v/>
      </c>
      <c r="C1139" s="823" t="s">
        <v>1553</v>
      </c>
      <c r="D1139" s="823">
        <v>1</v>
      </c>
      <c r="E1139" s="1001">
        <v>82</v>
      </c>
      <c r="F1139" s="823" t="s">
        <v>1637</v>
      </c>
      <c r="G1139" s="980">
        <v>0</v>
      </c>
      <c r="H1139" s="989">
        <f t="shared" si="135"/>
        <v>0</v>
      </c>
      <c r="I1139" s="1178"/>
      <c r="K1139" s="960" t="s">
        <v>1828</v>
      </c>
    </row>
    <row r="1140" spans="1:11" ht="13.5" thickBot="1">
      <c r="A1140" s="956" t="s">
        <v>577</v>
      </c>
      <c r="B1140" s="1140" t="str">
        <f t="shared" si="136"/>
        <v/>
      </c>
      <c r="C1140" s="823" t="s">
        <v>1553</v>
      </c>
      <c r="D1140" s="823">
        <v>1</v>
      </c>
      <c r="E1140" s="1001">
        <v>83</v>
      </c>
      <c r="F1140" s="823" t="s">
        <v>1637</v>
      </c>
      <c r="G1140" s="980">
        <v>0</v>
      </c>
      <c r="H1140" s="989">
        <f t="shared" si="135"/>
        <v>0</v>
      </c>
      <c r="I1140" s="1178"/>
      <c r="K1140" s="960" t="s">
        <v>1828</v>
      </c>
    </row>
    <row r="1141" spans="1:11" ht="13.5" thickBot="1">
      <c r="A1141" s="956" t="s">
        <v>578</v>
      </c>
      <c r="B1141" s="1140" t="str">
        <f t="shared" si="136"/>
        <v/>
      </c>
      <c r="C1141" s="823" t="s">
        <v>1553</v>
      </c>
      <c r="D1141" s="823">
        <v>1</v>
      </c>
      <c r="E1141" s="1001">
        <v>84</v>
      </c>
      <c r="F1141" s="823" t="s">
        <v>1637</v>
      </c>
      <c r="G1141" s="980">
        <v>0</v>
      </c>
      <c r="H1141" s="989">
        <f t="shared" si="135"/>
        <v>0</v>
      </c>
      <c r="I1141" s="1178"/>
      <c r="K1141" s="960" t="s">
        <v>1828</v>
      </c>
    </row>
    <row r="1142" spans="1:11" ht="13.5" thickBot="1">
      <c r="A1142" s="956" t="s">
        <v>579</v>
      </c>
      <c r="B1142" s="1140" t="str">
        <f t="shared" si="136"/>
        <v/>
      </c>
      <c r="C1142" s="823" t="s">
        <v>1553</v>
      </c>
      <c r="D1142" s="823">
        <v>1</v>
      </c>
      <c r="E1142" s="1001">
        <v>85</v>
      </c>
      <c r="F1142" s="823" t="s">
        <v>1637</v>
      </c>
      <c r="G1142" s="980">
        <v>0</v>
      </c>
      <c r="H1142" s="989">
        <f t="shared" si="135"/>
        <v>0</v>
      </c>
      <c r="I1142" s="1178"/>
      <c r="K1142" s="960" t="s">
        <v>1828</v>
      </c>
    </row>
    <row r="1143" spans="1:11" ht="13.5" thickBot="1">
      <c r="A1143" s="956" t="s">
        <v>580</v>
      </c>
      <c r="B1143" s="1140" t="str">
        <f t="shared" si="136"/>
        <v/>
      </c>
      <c r="C1143" s="823" t="s">
        <v>1553</v>
      </c>
      <c r="D1143" s="823">
        <v>1</v>
      </c>
      <c r="E1143" s="1001">
        <v>86</v>
      </c>
      <c r="F1143" s="823" t="s">
        <v>1637</v>
      </c>
      <c r="G1143" s="980">
        <v>0</v>
      </c>
      <c r="H1143" s="989">
        <f t="shared" si="135"/>
        <v>0</v>
      </c>
      <c r="I1143" s="1178"/>
      <c r="K1143" s="960" t="s">
        <v>1828</v>
      </c>
    </row>
    <row r="1144" spans="1:11" ht="13.5" thickBot="1">
      <c r="A1144" s="956" t="s">
        <v>581</v>
      </c>
      <c r="B1144" s="1163" t="str">
        <f t="shared" si="136"/>
        <v/>
      </c>
      <c r="C1144" s="875" t="s">
        <v>1553</v>
      </c>
      <c r="D1144" s="875">
        <v>1</v>
      </c>
      <c r="E1144" s="1001">
        <v>87</v>
      </c>
      <c r="F1144" s="823" t="s">
        <v>1637</v>
      </c>
      <c r="G1144" s="980">
        <v>0</v>
      </c>
      <c r="H1144" s="989">
        <f t="shared" si="135"/>
        <v>0</v>
      </c>
      <c r="I1144" s="1192"/>
      <c r="K1144" s="960" t="s">
        <v>1828</v>
      </c>
    </row>
    <row r="1145" spans="1:11" ht="13.5" thickBot="1">
      <c r="A1145" s="956" t="s">
        <v>582</v>
      </c>
      <c r="B1145" s="1140" t="str">
        <f t="shared" si="136"/>
        <v/>
      </c>
      <c r="C1145" s="823" t="s">
        <v>1553</v>
      </c>
      <c r="D1145" s="823">
        <v>1</v>
      </c>
      <c r="E1145" s="1001">
        <v>88</v>
      </c>
      <c r="F1145" s="823" t="s">
        <v>1637</v>
      </c>
      <c r="G1145" s="980">
        <v>0</v>
      </c>
      <c r="H1145" s="989">
        <f t="shared" si="135"/>
        <v>0</v>
      </c>
      <c r="I1145" s="1178"/>
      <c r="K1145" s="960" t="s">
        <v>1828</v>
      </c>
    </row>
    <row r="1146" spans="1:11" ht="13.5" thickBot="1">
      <c r="A1146" s="956" t="s">
        <v>583</v>
      </c>
      <c r="B1146" s="1140" t="str">
        <f t="shared" si="136"/>
        <v/>
      </c>
      <c r="C1146" s="823" t="s">
        <v>1553</v>
      </c>
      <c r="D1146" s="823">
        <v>1</v>
      </c>
      <c r="E1146" s="1001">
        <v>89</v>
      </c>
      <c r="F1146" s="823" t="s">
        <v>1637</v>
      </c>
      <c r="G1146" s="980">
        <v>0</v>
      </c>
      <c r="H1146" s="989">
        <f t="shared" si="135"/>
        <v>0</v>
      </c>
      <c r="I1146" s="1178"/>
      <c r="K1146" s="960" t="s">
        <v>1828</v>
      </c>
    </row>
    <row r="1147" spans="1:11" ht="13.5" thickBot="1">
      <c r="A1147" s="956" t="s">
        <v>584</v>
      </c>
      <c r="B1147" s="1140" t="str">
        <f t="shared" si="136"/>
        <v/>
      </c>
      <c r="C1147" s="823" t="s">
        <v>1553</v>
      </c>
      <c r="D1147" s="823">
        <v>1</v>
      </c>
      <c r="E1147" s="1001">
        <v>90</v>
      </c>
      <c r="F1147" s="823" t="s">
        <v>1637</v>
      </c>
      <c r="G1147" s="980">
        <v>0</v>
      </c>
      <c r="H1147" s="989">
        <f t="shared" si="135"/>
        <v>0</v>
      </c>
      <c r="I1147" s="1178"/>
      <c r="K1147" s="960" t="s">
        <v>1828</v>
      </c>
    </row>
    <row r="1148" spans="1:11" ht="12.75" customHeight="1">
      <c r="A1148" s="956" t="s">
        <v>585</v>
      </c>
      <c r="B1148" s="1140" t="str">
        <f t="shared" si="136"/>
        <v/>
      </c>
      <c r="C1148" s="823" t="s">
        <v>1553</v>
      </c>
      <c r="D1148" s="823">
        <v>1</v>
      </c>
      <c r="E1148" s="1001">
        <v>91</v>
      </c>
      <c r="F1148" s="823" t="s">
        <v>1637</v>
      </c>
      <c r="G1148" s="980">
        <v>0</v>
      </c>
      <c r="H1148" s="989">
        <f t="shared" si="135"/>
        <v>0</v>
      </c>
      <c r="I1148" s="1178"/>
      <c r="K1148" s="1227" t="s">
        <v>1828</v>
      </c>
    </row>
    <row r="1149" spans="1:11" ht="12.75" customHeight="1">
      <c r="A1149" s="956" t="s">
        <v>2421</v>
      </c>
      <c r="B1149" s="1219" t="str">
        <f>B1148</f>
        <v/>
      </c>
      <c r="C1149" s="823" t="s">
        <v>1553</v>
      </c>
      <c r="D1149" s="823">
        <v>1</v>
      </c>
      <c r="E1149" s="1001" t="s">
        <v>2304</v>
      </c>
      <c r="F1149" s="1220"/>
      <c r="G1149" s="1226">
        <f>Calculations!$D$15</f>
        <v>0</v>
      </c>
      <c r="H1149" s="1222">
        <f>H1148</f>
        <v>0</v>
      </c>
      <c r="I1149" s="1223"/>
      <c r="K1149" s="1228"/>
    </row>
    <row r="1150" spans="1:11" ht="12.75" customHeight="1">
      <c r="A1150" s="956" t="s">
        <v>850</v>
      </c>
      <c r="B1150" s="1219" t="str">
        <f t="shared" ref="B1150:D1187" si="137">B1149</f>
        <v/>
      </c>
      <c r="C1150" s="823" t="s">
        <v>1553</v>
      </c>
      <c r="D1150" s="823">
        <v>1</v>
      </c>
      <c r="E1150" s="1001" t="s">
        <v>2305</v>
      </c>
      <c r="F1150" s="1225" t="str">
        <f>Calculations!$H$20</f>
        <v/>
      </c>
      <c r="G1150" s="1220"/>
      <c r="H1150" s="1222">
        <f t="shared" ref="H1150:H1215" si="138">H1149</f>
        <v>0</v>
      </c>
      <c r="I1150" s="1223"/>
      <c r="K1150" s="1228"/>
    </row>
    <row r="1151" spans="1:11" ht="12.75" customHeight="1">
      <c r="A1151" s="956" t="s">
        <v>2422</v>
      </c>
      <c r="B1151" s="1219" t="str">
        <f t="shared" si="137"/>
        <v/>
      </c>
      <c r="C1151" s="823" t="s">
        <v>1553</v>
      </c>
      <c r="D1151" s="823">
        <v>1</v>
      </c>
      <c r="E1151" s="1001" t="s">
        <v>2307</v>
      </c>
      <c r="F1151" s="1225" t="str">
        <f>IF(Calculations!$H$12=1,"A",IF(Calculations!$H$12=2,"B"," "))</f>
        <v xml:space="preserve"> </v>
      </c>
      <c r="G1151" s="1220"/>
      <c r="H1151" s="1222">
        <f t="shared" si="138"/>
        <v>0</v>
      </c>
      <c r="I1151" s="1223"/>
      <c r="K1151" s="1228"/>
    </row>
    <row r="1152" spans="1:11" ht="12.75" customHeight="1">
      <c r="A1152" s="956" t="s">
        <v>2423</v>
      </c>
      <c r="B1152" s="1219" t="str">
        <f t="shared" si="137"/>
        <v/>
      </c>
      <c r="C1152" s="823" t="s">
        <v>1553</v>
      </c>
      <c r="D1152" s="823">
        <v>1</v>
      </c>
      <c r="E1152" s="1001" t="s">
        <v>2308</v>
      </c>
      <c r="F1152" s="1220"/>
      <c r="G1152" s="1221">
        <f>'Pay Values'!$A$16</f>
        <v>0</v>
      </c>
      <c r="H1152" s="1222">
        <f t="shared" si="138"/>
        <v>0</v>
      </c>
      <c r="I1152" s="1223"/>
      <c r="K1152" s="1228"/>
    </row>
    <row r="1153" spans="1:11" ht="12.75" customHeight="1">
      <c r="A1153" s="956" t="s">
        <v>2424</v>
      </c>
      <c r="B1153" s="1219" t="str">
        <f t="shared" si="137"/>
        <v/>
      </c>
      <c r="C1153" s="823" t="s">
        <v>1553</v>
      </c>
      <c r="D1153" s="823">
        <v>1</v>
      </c>
      <c r="E1153" s="1001" t="s">
        <v>2309</v>
      </c>
      <c r="F1153" s="1220"/>
      <c r="G1153" s="1221">
        <v>0</v>
      </c>
      <c r="H1153" s="1222">
        <f t="shared" si="138"/>
        <v>0</v>
      </c>
      <c r="I1153" s="1223"/>
      <c r="K1153" s="1228"/>
    </row>
    <row r="1154" spans="1:11" ht="12.75" customHeight="1">
      <c r="A1154" s="956" t="s">
        <v>2425</v>
      </c>
      <c r="B1154" s="1219" t="str">
        <f t="shared" si="137"/>
        <v/>
      </c>
      <c r="C1154" s="823" t="s">
        <v>1553</v>
      </c>
      <c r="D1154" s="823">
        <v>1</v>
      </c>
      <c r="E1154" s="1001" t="s">
        <v>2310</v>
      </c>
      <c r="F1154" s="1220"/>
      <c r="G1154" s="1221">
        <v>0</v>
      </c>
      <c r="H1154" s="1222">
        <f t="shared" si="138"/>
        <v>0</v>
      </c>
      <c r="I1154" s="1223"/>
      <c r="K1154" s="1228"/>
    </row>
    <row r="1155" spans="1:11" ht="12.75" customHeight="1">
      <c r="A1155" s="956" t="s">
        <v>2426</v>
      </c>
      <c r="B1155" s="1219" t="str">
        <f t="shared" si="137"/>
        <v/>
      </c>
      <c r="C1155" s="823" t="s">
        <v>1553</v>
      </c>
      <c r="D1155" s="823">
        <v>1</v>
      </c>
      <c r="E1155" s="1001" t="s">
        <v>2311</v>
      </c>
      <c r="F1155" s="1220"/>
      <c r="G1155" s="1221">
        <v>0</v>
      </c>
      <c r="H1155" s="1222">
        <f t="shared" si="138"/>
        <v>0</v>
      </c>
      <c r="I1155" s="1223"/>
      <c r="K1155" s="1228"/>
    </row>
    <row r="1156" spans="1:11" ht="12.75" customHeight="1">
      <c r="A1156" s="956" t="s">
        <v>2427</v>
      </c>
      <c r="B1156" s="1219" t="str">
        <f t="shared" si="137"/>
        <v/>
      </c>
      <c r="C1156" s="823" t="s">
        <v>1553</v>
      </c>
      <c r="D1156" s="823">
        <v>1</v>
      </c>
      <c r="E1156" s="1001" t="s">
        <v>2312</v>
      </c>
      <c r="F1156" s="1220"/>
      <c r="G1156" s="1221">
        <v>0</v>
      </c>
      <c r="H1156" s="1222">
        <f t="shared" si="138"/>
        <v>0</v>
      </c>
      <c r="I1156" s="1223"/>
      <c r="K1156" s="1228"/>
    </row>
    <row r="1157" spans="1:11" ht="12.75" customHeight="1">
      <c r="A1157" s="956" t="s">
        <v>2428</v>
      </c>
      <c r="B1157" s="1219" t="str">
        <f t="shared" si="137"/>
        <v/>
      </c>
      <c r="C1157" s="823" t="s">
        <v>1553</v>
      </c>
      <c r="D1157" s="823">
        <v>1</v>
      </c>
      <c r="E1157" s="1001" t="s">
        <v>2313</v>
      </c>
      <c r="F1157" s="1220"/>
      <c r="G1157" s="1221">
        <v>0</v>
      </c>
      <c r="H1157" s="1222">
        <f t="shared" si="138"/>
        <v>0</v>
      </c>
      <c r="I1157" s="1223"/>
      <c r="K1157" s="1228"/>
    </row>
    <row r="1158" spans="1:11" ht="12.75" customHeight="1">
      <c r="A1158" s="956" t="s">
        <v>2429</v>
      </c>
      <c r="B1158" s="1219" t="str">
        <f t="shared" si="137"/>
        <v/>
      </c>
      <c r="C1158" s="823" t="s">
        <v>1553</v>
      </c>
      <c r="D1158" s="823">
        <v>1</v>
      </c>
      <c r="E1158" s="1001" t="s">
        <v>2314</v>
      </c>
      <c r="F1158" s="1220"/>
      <c r="G1158" s="1225">
        <v>0</v>
      </c>
      <c r="H1158" s="1222">
        <f t="shared" si="138"/>
        <v>0</v>
      </c>
      <c r="I1158" s="1223"/>
      <c r="K1158" s="1228"/>
    </row>
    <row r="1159" spans="1:11" ht="12.75" customHeight="1">
      <c r="A1159" s="956" t="s">
        <v>2430</v>
      </c>
      <c r="B1159" s="1219" t="str">
        <f t="shared" si="137"/>
        <v/>
      </c>
      <c r="C1159" s="823" t="s">
        <v>1553</v>
      </c>
      <c r="D1159" s="823">
        <v>1</v>
      </c>
      <c r="E1159" s="1001" t="s">
        <v>2315</v>
      </c>
      <c r="F1159" s="1220"/>
      <c r="G1159" s="1225">
        <v>0</v>
      </c>
      <c r="H1159" s="1222">
        <f t="shared" si="138"/>
        <v>0</v>
      </c>
      <c r="I1159" s="1223"/>
      <c r="K1159" s="1228"/>
    </row>
    <row r="1160" spans="1:11" ht="12.75" customHeight="1">
      <c r="A1160" s="956" t="s">
        <v>2431</v>
      </c>
      <c r="B1160" s="1219" t="str">
        <f t="shared" si="137"/>
        <v/>
      </c>
      <c r="C1160" s="823" t="s">
        <v>1553</v>
      </c>
      <c r="D1160" s="823">
        <v>1</v>
      </c>
      <c r="E1160" s="1001" t="s">
        <v>2316</v>
      </c>
      <c r="F1160" s="1220"/>
      <c r="G1160" s="1225">
        <v>0</v>
      </c>
      <c r="H1160" s="1222">
        <f t="shared" si="138"/>
        <v>0</v>
      </c>
      <c r="I1160" s="1223"/>
      <c r="K1160" s="1228"/>
    </row>
    <row r="1161" spans="1:11" ht="12.75" customHeight="1">
      <c r="A1161" s="956" t="s">
        <v>2432</v>
      </c>
      <c r="B1161" s="1219" t="str">
        <f t="shared" si="137"/>
        <v/>
      </c>
      <c r="C1161" s="823" t="s">
        <v>1553</v>
      </c>
      <c r="D1161" s="823">
        <v>1</v>
      </c>
      <c r="E1161" s="1001" t="s">
        <v>2317</v>
      </c>
      <c r="F1161" s="1220"/>
      <c r="G1161" s="1225">
        <v>0</v>
      </c>
      <c r="H1161" s="1222">
        <f t="shared" si="138"/>
        <v>0</v>
      </c>
      <c r="I1161" s="1223"/>
      <c r="K1161" s="1228"/>
    </row>
    <row r="1162" spans="1:11" ht="12.75" customHeight="1">
      <c r="A1162" s="956" t="s">
        <v>2433</v>
      </c>
      <c r="B1162" s="1219" t="str">
        <f t="shared" si="137"/>
        <v/>
      </c>
      <c r="C1162" s="823" t="s">
        <v>1553</v>
      </c>
      <c r="D1162" s="823">
        <v>1</v>
      </c>
      <c r="E1162" s="1001" t="s">
        <v>2318</v>
      </c>
      <c r="F1162" s="1220"/>
      <c r="G1162" s="1225" t="str">
        <f>'Pay Values'!$J$24</f>
        <v/>
      </c>
      <c r="H1162" s="1222">
        <f t="shared" si="138"/>
        <v>0</v>
      </c>
      <c r="I1162" s="1223"/>
      <c r="K1162" s="1228"/>
    </row>
    <row r="1163" spans="1:11" ht="12.75" customHeight="1">
      <c r="A1163" s="956" t="s">
        <v>2434</v>
      </c>
      <c r="B1163" s="1219" t="str">
        <f t="shared" si="137"/>
        <v/>
      </c>
      <c r="C1163" s="823" t="s">
        <v>1553</v>
      </c>
      <c r="D1163" s="823">
        <v>1</v>
      </c>
      <c r="E1163" s="1001" t="s">
        <v>2319</v>
      </c>
      <c r="F1163" s="1221"/>
      <c r="G1163" s="1220"/>
      <c r="H1163" s="1222">
        <f t="shared" si="138"/>
        <v>0</v>
      </c>
      <c r="I1163" s="1223"/>
      <c r="K1163" s="1228"/>
    </row>
    <row r="1164" spans="1:11" ht="12.75" customHeight="1">
      <c r="A1164" s="956" t="s">
        <v>2435</v>
      </c>
      <c r="B1164" s="1219" t="str">
        <f t="shared" si="137"/>
        <v/>
      </c>
      <c r="C1164" s="823" t="s">
        <v>1553</v>
      </c>
      <c r="D1164" s="823">
        <v>1</v>
      </c>
      <c r="E1164" s="1001" t="s">
        <v>2320</v>
      </c>
      <c r="F1164" s="1221"/>
      <c r="G1164" s="1220"/>
      <c r="H1164" s="1222">
        <f t="shared" si="138"/>
        <v>0</v>
      </c>
      <c r="I1164" s="1223"/>
      <c r="K1164" s="1228"/>
    </row>
    <row r="1165" spans="1:11" ht="12.75" customHeight="1">
      <c r="A1165" s="956" t="s">
        <v>2436</v>
      </c>
      <c r="B1165" s="1219" t="str">
        <f t="shared" si="137"/>
        <v/>
      </c>
      <c r="C1165" s="823" t="s">
        <v>1553</v>
      </c>
      <c r="D1165" s="823">
        <v>1</v>
      </c>
      <c r="E1165" s="1001" t="s">
        <v>2321</v>
      </c>
      <c r="F1165" s="1220"/>
      <c r="G1165" s="1221"/>
      <c r="H1165" s="1222">
        <f t="shared" si="138"/>
        <v>0</v>
      </c>
      <c r="I1165" s="1223"/>
      <c r="K1165" s="1228"/>
    </row>
    <row r="1166" spans="1:11" ht="12.75" customHeight="1">
      <c r="A1166" s="956" t="s">
        <v>2437</v>
      </c>
      <c r="B1166" s="1219" t="str">
        <f t="shared" si="137"/>
        <v/>
      </c>
      <c r="C1166" s="823" t="s">
        <v>1553</v>
      </c>
      <c r="D1166" s="823">
        <v>1</v>
      </c>
      <c r="E1166" s="1001" t="s">
        <v>2322</v>
      </c>
      <c r="F1166" s="1221"/>
      <c r="G1166" s="1220"/>
      <c r="H1166" s="1222">
        <f t="shared" si="138"/>
        <v>0</v>
      </c>
      <c r="I1166" s="1223"/>
      <c r="K1166" s="1228"/>
    </row>
    <row r="1167" spans="1:11" ht="12.75" customHeight="1">
      <c r="A1167" s="956" t="s">
        <v>2438</v>
      </c>
      <c r="B1167" s="1219" t="str">
        <f t="shared" si="137"/>
        <v/>
      </c>
      <c r="C1167" s="823" t="s">
        <v>1553</v>
      </c>
      <c r="D1167" s="823">
        <v>1</v>
      </c>
      <c r="E1167" s="1001" t="s">
        <v>2323</v>
      </c>
      <c r="F1167" s="1221"/>
      <c r="G1167" s="1220"/>
      <c r="H1167" s="1222">
        <f t="shared" si="138"/>
        <v>0</v>
      </c>
      <c r="I1167" s="1223"/>
      <c r="K1167" s="1228"/>
    </row>
    <row r="1168" spans="1:11" ht="12.75" customHeight="1">
      <c r="A1168" s="956" t="s">
        <v>2439</v>
      </c>
      <c r="B1168" s="1219" t="str">
        <f t="shared" si="137"/>
        <v/>
      </c>
      <c r="C1168" s="823" t="s">
        <v>1553</v>
      </c>
      <c r="D1168" s="823">
        <v>1</v>
      </c>
      <c r="E1168" s="1001" t="s">
        <v>2324</v>
      </c>
      <c r="F1168" s="1225" t="e">
        <f>VLOOKUP(Calculations!$D$147,Calculations!$A$147:$B$161,2,FALSE)</f>
        <v>#N/A</v>
      </c>
      <c r="G1168" s="1220"/>
      <c r="H1168" s="1222">
        <f t="shared" si="138"/>
        <v>0</v>
      </c>
      <c r="I1168" s="1223"/>
      <c r="K1168" s="1228"/>
    </row>
    <row r="1169" spans="1:11" ht="12.75" customHeight="1">
      <c r="A1169" s="956" t="s">
        <v>2440</v>
      </c>
      <c r="B1169" s="1219" t="str">
        <f t="shared" si="137"/>
        <v/>
      </c>
      <c r="C1169" s="823" t="s">
        <v>1553</v>
      </c>
      <c r="D1169" s="823">
        <v>1</v>
      </c>
      <c r="E1169" s="1001" t="s">
        <v>2325</v>
      </c>
      <c r="F1169" s="1225" t="str">
        <f>'Pay Values'!$B$46</f>
        <v/>
      </c>
      <c r="G1169" s="1220"/>
      <c r="H1169" s="1222">
        <f t="shared" si="138"/>
        <v>0</v>
      </c>
      <c r="I1169" s="1223"/>
      <c r="K1169" s="1228"/>
    </row>
    <row r="1170" spans="1:11" ht="12.75" customHeight="1">
      <c r="A1170" s="956" t="s">
        <v>2441</v>
      </c>
      <c r="B1170" s="1219" t="str">
        <f t="shared" si="137"/>
        <v/>
      </c>
      <c r="C1170" s="823" t="s">
        <v>1553</v>
      </c>
      <c r="D1170" s="823">
        <v>1</v>
      </c>
      <c r="E1170" s="1001" t="s">
        <v>2326</v>
      </c>
      <c r="F1170" s="1225">
        <f>'Pay Values'!$C$46</f>
        <v>0</v>
      </c>
      <c r="G1170" s="1220"/>
      <c r="H1170" s="1222">
        <f t="shared" si="138"/>
        <v>0</v>
      </c>
      <c r="I1170" s="1223"/>
      <c r="K1170" s="1228"/>
    </row>
    <row r="1171" spans="1:11" ht="12.75" customHeight="1">
      <c r="A1171" s="956" t="s">
        <v>2442</v>
      </c>
      <c r="B1171" s="1219" t="str">
        <f t="shared" si="137"/>
        <v/>
      </c>
      <c r="C1171" s="823" t="s">
        <v>1553</v>
      </c>
      <c r="D1171" s="823">
        <v>1</v>
      </c>
      <c r="E1171" s="1001" t="s">
        <v>2327</v>
      </c>
      <c r="F1171" s="1225" t="str">
        <f>IF(Calculations!$O$1=1,"Yes", "No")</f>
        <v>No</v>
      </c>
      <c r="G1171" s="1220"/>
      <c r="H1171" s="1222">
        <f t="shared" si="138"/>
        <v>0</v>
      </c>
      <c r="I1171" s="1223"/>
      <c r="K1171" s="1228"/>
    </row>
    <row r="1172" spans="1:11" ht="12.75" customHeight="1">
      <c r="A1172" s="956" t="s">
        <v>2443</v>
      </c>
      <c r="B1172" s="1219" t="str">
        <f t="shared" si="137"/>
        <v/>
      </c>
      <c r="C1172" s="823" t="s">
        <v>1553</v>
      </c>
      <c r="D1172" s="823">
        <v>1</v>
      </c>
      <c r="E1172" s="1001" t="s">
        <v>2328</v>
      </c>
      <c r="F1172" s="1225" t="str">
        <f>IF(Calculations!$O$2=1,"Yes", "No")</f>
        <v>No</v>
      </c>
      <c r="G1172" s="1220"/>
      <c r="H1172" s="1222">
        <f t="shared" si="138"/>
        <v>0</v>
      </c>
      <c r="I1172" s="1223"/>
      <c r="K1172" s="1228"/>
    </row>
    <row r="1173" spans="1:11" ht="12.75" customHeight="1">
      <c r="A1173" s="956" t="s">
        <v>2589</v>
      </c>
      <c r="B1173" s="1219" t="str">
        <f t="shared" si="137"/>
        <v/>
      </c>
      <c r="C1173" s="823" t="s">
        <v>1553</v>
      </c>
      <c r="D1173" s="823">
        <v>1</v>
      </c>
      <c r="E1173" s="1001" t="s">
        <v>2519</v>
      </c>
      <c r="F1173" s="1001"/>
      <c r="G1173" s="980">
        <f>Gradation!$N$10</f>
        <v>0</v>
      </c>
      <c r="H1173" s="1222">
        <f t="shared" si="138"/>
        <v>0</v>
      </c>
      <c r="I1173" s="1223"/>
      <c r="K1173" s="1228"/>
    </row>
    <row r="1174" spans="1:11" ht="12.75" customHeight="1">
      <c r="A1174" s="956" t="s">
        <v>2590</v>
      </c>
      <c r="B1174" s="1219" t="str">
        <f t="shared" si="137"/>
        <v/>
      </c>
      <c r="C1174" s="823" t="s">
        <v>1553</v>
      </c>
      <c r="D1174" s="823">
        <v>1</v>
      </c>
      <c r="E1174" s="1001" t="s">
        <v>2520</v>
      </c>
      <c r="F1174" s="1001"/>
      <c r="G1174" s="980">
        <f>Gradation!$N$11</f>
        <v>0</v>
      </c>
      <c r="H1174" s="1222">
        <f t="shared" si="138"/>
        <v>0</v>
      </c>
      <c r="I1174" s="1223"/>
      <c r="K1174" s="1228"/>
    </row>
    <row r="1175" spans="1:11" ht="12.75" customHeight="1">
      <c r="A1175" s="956" t="s">
        <v>2591</v>
      </c>
      <c r="B1175" s="1219" t="str">
        <f t="shared" si="137"/>
        <v/>
      </c>
      <c r="C1175" s="823" t="s">
        <v>1553</v>
      </c>
      <c r="D1175" s="823">
        <v>1</v>
      </c>
      <c r="E1175" s="1001" t="s">
        <v>2521</v>
      </c>
      <c r="F1175" s="1001"/>
      <c r="G1175" s="980">
        <f>Gradation!$N$12</f>
        <v>0</v>
      </c>
      <c r="H1175" s="1222">
        <f t="shared" si="138"/>
        <v>0</v>
      </c>
      <c r="I1175" s="1223"/>
      <c r="K1175" s="1228"/>
    </row>
    <row r="1176" spans="1:11" ht="12.75" customHeight="1">
      <c r="A1176" s="956" t="s">
        <v>2592</v>
      </c>
      <c r="B1176" s="1219" t="str">
        <f t="shared" si="137"/>
        <v/>
      </c>
      <c r="C1176" s="823" t="s">
        <v>1553</v>
      </c>
      <c r="D1176" s="823">
        <v>1</v>
      </c>
      <c r="E1176" s="1001" t="s">
        <v>2522</v>
      </c>
      <c r="F1176" s="1001"/>
      <c r="G1176" s="980">
        <f>Gradation!$N$13</f>
        <v>0</v>
      </c>
      <c r="H1176" s="1222">
        <f t="shared" si="138"/>
        <v>0</v>
      </c>
      <c r="I1176" s="1223"/>
      <c r="K1176" s="1228"/>
    </row>
    <row r="1177" spans="1:11" ht="12.75" customHeight="1">
      <c r="A1177" s="956" t="s">
        <v>2593</v>
      </c>
      <c r="B1177" s="1219" t="str">
        <f t="shared" si="137"/>
        <v/>
      </c>
      <c r="C1177" s="823" t="s">
        <v>1553</v>
      </c>
      <c r="D1177" s="823">
        <v>1</v>
      </c>
      <c r="E1177" s="1001" t="s">
        <v>2523</v>
      </c>
      <c r="F1177" s="1001"/>
      <c r="G1177" s="980">
        <f>Gradation!$N$14</f>
        <v>0</v>
      </c>
      <c r="H1177" s="1222">
        <f t="shared" si="138"/>
        <v>0</v>
      </c>
      <c r="I1177" s="1223"/>
      <c r="K1177" s="1228"/>
    </row>
    <row r="1178" spans="1:11" ht="12.75" customHeight="1">
      <c r="A1178" s="956" t="s">
        <v>2594</v>
      </c>
      <c r="B1178" s="1219" t="str">
        <f t="shared" si="137"/>
        <v/>
      </c>
      <c r="C1178" s="823" t="s">
        <v>1553</v>
      </c>
      <c r="D1178" s="823">
        <v>1</v>
      </c>
      <c r="E1178" s="1001" t="s">
        <v>2524</v>
      </c>
      <c r="F1178" s="1001"/>
      <c r="G1178" s="980">
        <f>Gradation!$N$15</f>
        <v>0</v>
      </c>
      <c r="H1178" s="1222">
        <f t="shared" si="138"/>
        <v>0</v>
      </c>
      <c r="I1178" s="1223"/>
      <c r="K1178" s="1228"/>
    </row>
    <row r="1179" spans="1:11" ht="12.75" customHeight="1">
      <c r="A1179" s="956" t="s">
        <v>2595</v>
      </c>
      <c r="B1179" s="1219" t="str">
        <f t="shared" si="137"/>
        <v/>
      </c>
      <c r="C1179" s="823" t="s">
        <v>1553</v>
      </c>
      <c r="D1179" s="823">
        <v>1</v>
      </c>
      <c r="E1179" s="1001" t="s">
        <v>2525</v>
      </c>
      <c r="F1179" s="1001"/>
      <c r="G1179" s="980">
        <f>Gradation!$N$16</f>
        <v>0</v>
      </c>
      <c r="H1179" s="1222">
        <f t="shared" si="138"/>
        <v>0</v>
      </c>
      <c r="I1179" s="1223"/>
      <c r="K1179" s="1228"/>
    </row>
    <row r="1180" spans="1:11" ht="12.75" customHeight="1">
      <c r="A1180" s="956" t="s">
        <v>2596</v>
      </c>
      <c r="B1180" s="1219" t="str">
        <f t="shared" si="137"/>
        <v/>
      </c>
      <c r="C1180" s="823" t="s">
        <v>1553</v>
      </c>
      <c r="D1180" s="823">
        <v>1</v>
      </c>
      <c r="E1180" s="1001" t="s">
        <v>2526</v>
      </c>
      <c r="F1180" s="1001"/>
      <c r="G1180" s="980">
        <f>Gradation!$N$17</f>
        <v>0</v>
      </c>
      <c r="H1180" s="1222">
        <f t="shared" si="138"/>
        <v>0</v>
      </c>
      <c r="I1180" s="1223"/>
      <c r="K1180" s="1228"/>
    </row>
    <row r="1181" spans="1:11" ht="12.75" customHeight="1">
      <c r="A1181" s="956" t="s">
        <v>2597</v>
      </c>
      <c r="B1181" s="1219" t="str">
        <f t="shared" si="137"/>
        <v/>
      </c>
      <c r="C1181" s="823" t="s">
        <v>1553</v>
      </c>
      <c r="D1181" s="823">
        <v>1</v>
      </c>
      <c r="E1181" s="1001" t="s">
        <v>2527</v>
      </c>
      <c r="F1181" s="1001"/>
      <c r="G1181" s="980">
        <f>Gradation!$N$18</f>
        <v>0</v>
      </c>
      <c r="H1181" s="1222">
        <f t="shared" si="138"/>
        <v>0</v>
      </c>
      <c r="I1181" s="1223"/>
      <c r="K1181" s="1228"/>
    </row>
    <row r="1182" spans="1:11" ht="12.75" customHeight="1">
      <c r="A1182" s="956" t="s">
        <v>2598</v>
      </c>
      <c r="B1182" s="1219" t="str">
        <f t="shared" si="137"/>
        <v/>
      </c>
      <c r="C1182" s="823" t="s">
        <v>1553</v>
      </c>
      <c r="D1182" s="823">
        <v>1</v>
      </c>
      <c r="E1182" s="1001" t="s">
        <v>2528</v>
      </c>
      <c r="F1182" s="1001"/>
      <c r="G1182" s="980">
        <f>Gradation!$N$19</f>
        <v>0</v>
      </c>
      <c r="H1182" s="1222">
        <f t="shared" si="138"/>
        <v>0</v>
      </c>
      <c r="I1182" s="1223"/>
      <c r="K1182" s="1228"/>
    </row>
    <row r="1183" spans="1:11" ht="12.75" customHeight="1">
      <c r="A1183" s="956" t="s">
        <v>2599</v>
      </c>
      <c r="B1183" s="1219" t="str">
        <f t="shared" si="137"/>
        <v/>
      </c>
      <c r="C1183" s="823" t="s">
        <v>1553</v>
      </c>
      <c r="D1183" s="823">
        <v>1</v>
      </c>
      <c r="E1183" s="1001" t="s">
        <v>2529</v>
      </c>
      <c r="F1183" s="1001"/>
      <c r="G1183" s="980">
        <f>Gradation!$N$20</f>
        <v>0</v>
      </c>
      <c r="H1183" s="1222">
        <f t="shared" si="138"/>
        <v>0</v>
      </c>
      <c r="I1183" s="1223"/>
      <c r="K1183" s="1228"/>
    </row>
    <row r="1184" spans="1:11" ht="12.75" customHeight="1">
      <c r="A1184" s="956" t="s">
        <v>2600</v>
      </c>
      <c r="B1184" s="1219" t="str">
        <f t="shared" si="137"/>
        <v/>
      </c>
      <c r="C1184" s="823" t="s">
        <v>1553</v>
      </c>
      <c r="D1184" s="823">
        <v>1</v>
      </c>
      <c r="E1184" s="1001" t="s">
        <v>2530</v>
      </c>
      <c r="F1184" s="1001"/>
      <c r="G1184" s="980">
        <f>Gradation!$N$21</f>
        <v>0</v>
      </c>
      <c r="H1184" s="1222">
        <f t="shared" si="138"/>
        <v>0</v>
      </c>
      <c r="I1184" s="1223"/>
      <c r="K1184" s="1228"/>
    </row>
    <row r="1185" spans="1:11" ht="12.75" customHeight="1">
      <c r="A1185" s="956" t="s">
        <v>2601</v>
      </c>
      <c r="B1185" s="1219" t="str">
        <f t="shared" si="137"/>
        <v/>
      </c>
      <c r="C1185" s="823" t="s">
        <v>1553</v>
      </c>
      <c r="D1185" s="823">
        <v>1</v>
      </c>
      <c r="E1185" s="1001" t="s">
        <v>2531</v>
      </c>
      <c r="F1185" s="1001"/>
      <c r="G1185" s="980">
        <f>Gradation!$N$22</f>
        <v>0</v>
      </c>
      <c r="H1185" s="1222">
        <f t="shared" si="138"/>
        <v>0</v>
      </c>
      <c r="I1185" s="1223"/>
      <c r="K1185" s="1228"/>
    </row>
    <row r="1186" spans="1:11" ht="12.75" customHeight="1">
      <c r="A1186" s="956" t="s">
        <v>2602</v>
      </c>
      <c r="B1186" s="1219" t="str">
        <f t="shared" si="137"/>
        <v/>
      </c>
      <c r="C1186" s="823" t="s">
        <v>1553</v>
      </c>
      <c r="D1186" s="823">
        <v>1</v>
      </c>
      <c r="E1186" s="1001" t="s">
        <v>2532</v>
      </c>
      <c r="F1186" s="1001"/>
      <c r="G1186" s="980">
        <f>Gradation!$N$23</f>
        <v>0</v>
      </c>
      <c r="H1186" s="1222">
        <f t="shared" si="138"/>
        <v>0</v>
      </c>
      <c r="I1186" s="1223"/>
      <c r="K1186" s="1228"/>
    </row>
    <row r="1187" spans="1:11" ht="12.75" customHeight="1">
      <c r="A1187" s="1505" t="s">
        <v>3115</v>
      </c>
      <c r="B1187" s="1506" t="str">
        <f t="shared" si="137"/>
        <v/>
      </c>
      <c r="C1187" s="1507" t="str">
        <f t="shared" si="137"/>
        <v>AMAMAW</v>
      </c>
      <c r="D1187" s="1507">
        <f t="shared" si="137"/>
        <v>1</v>
      </c>
      <c r="E1187" s="1508">
        <v>130</v>
      </c>
      <c r="F1187" s="1509"/>
      <c r="G1187" s="1516">
        <f>IF('Performance Specimens'!$H$41="",0,'Performance Specimens'!$H$41)</f>
        <v>0</v>
      </c>
      <c r="H1187" s="1510">
        <f t="shared" si="138"/>
        <v>0</v>
      </c>
      <c r="I1187" s="1178"/>
      <c r="K1187" s="1228"/>
    </row>
    <row r="1188" spans="1:11" ht="12.75" customHeight="1">
      <c r="A1188" s="1505" t="s">
        <v>3116</v>
      </c>
      <c r="B1188" s="1506" t="str">
        <f t="shared" ref="B1188:D1205" si="139">B1187</f>
        <v/>
      </c>
      <c r="C1188" s="1507" t="str">
        <f t="shared" si="139"/>
        <v>AMAMAW</v>
      </c>
      <c r="D1188" s="1507">
        <f t="shared" si="139"/>
        <v>1</v>
      </c>
      <c r="E1188" s="1508">
        <v>131</v>
      </c>
      <c r="F1188" s="1509"/>
      <c r="G1188" s="1516">
        <f>IF('Performance Specimens'!$O$41="",0,'Performance Specimens'!$O$41)</f>
        <v>0</v>
      </c>
      <c r="H1188" s="1510">
        <f t="shared" si="138"/>
        <v>0</v>
      </c>
      <c r="I1188" s="1178"/>
      <c r="K1188" s="1228"/>
    </row>
    <row r="1189" spans="1:11" ht="12.75" customHeight="1">
      <c r="A1189" s="1505" t="s">
        <v>3249</v>
      </c>
      <c r="B1189" s="1140" t="s">
        <v>1915</v>
      </c>
      <c r="C1189" s="823" t="s">
        <v>1553</v>
      </c>
      <c r="D1189" s="823">
        <v>1</v>
      </c>
      <c r="E1189" s="1001">
        <v>132</v>
      </c>
      <c r="F1189" s="1509"/>
      <c r="G1189" s="1516">
        <f>IF('Performance Specimens'!$H$57="",0,'Performance Specimens'!$H$57)</f>
        <v>0</v>
      </c>
      <c r="H1189" s="989">
        <v>0</v>
      </c>
      <c r="I1189" s="1178"/>
      <c r="K1189" s="1228"/>
    </row>
    <row r="1190" spans="1:11" ht="12.75" customHeight="1">
      <c r="A1190" s="1505" t="s">
        <v>3250</v>
      </c>
      <c r="B1190" s="1140" t="s">
        <v>1915</v>
      </c>
      <c r="C1190" s="823" t="s">
        <v>1553</v>
      </c>
      <c r="D1190" s="823">
        <v>1</v>
      </c>
      <c r="E1190" s="1001">
        <v>133</v>
      </c>
      <c r="F1190" s="1509"/>
      <c r="G1190" s="1516">
        <f>IF('Performance Specimens'!$O$57="",0,'Performance Specimens'!$O$57)</f>
        <v>0</v>
      </c>
      <c r="H1190" s="989">
        <v>0</v>
      </c>
      <c r="I1190" s="1178"/>
      <c r="K1190" s="1228"/>
    </row>
    <row r="1191" spans="1:11" ht="12.75" customHeight="1">
      <c r="A1191" s="1505" t="s">
        <v>3117</v>
      </c>
      <c r="B1191" s="1506" t="str">
        <f>B1188</f>
        <v/>
      </c>
      <c r="C1191" s="1507" t="str">
        <f>C1188</f>
        <v>AMAMAW</v>
      </c>
      <c r="D1191" s="1507">
        <f>D1188</f>
        <v>1</v>
      </c>
      <c r="E1191" s="1508">
        <v>134</v>
      </c>
      <c r="F1191" s="1511">
        <f>Calculations!$AR$1</f>
        <v>0</v>
      </c>
      <c r="G1191" s="1509"/>
      <c r="H1191" s="1510">
        <f>H1188</f>
        <v>0</v>
      </c>
      <c r="I1191" s="1178"/>
      <c r="K1191" s="1228"/>
    </row>
    <row r="1192" spans="1:11" ht="12.75" customHeight="1">
      <c r="A1192" s="1505" t="s">
        <v>3118</v>
      </c>
      <c r="B1192" s="1506" t="str">
        <f t="shared" si="139"/>
        <v/>
      </c>
      <c r="C1192" s="1507" t="str">
        <f t="shared" si="139"/>
        <v>AMAMAW</v>
      </c>
      <c r="D1192" s="1507">
        <f t="shared" si="139"/>
        <v>1</v>
      </c>
      <c r="E1192" s="1508">
        <v>135</v>
      </c>
      <c r="F1192" s="1509"/>
      <c r="G1192" s="1510" t="s">
        <v>3253</v>
      </c>
      <c r="H1192" s="1510">
        <f t="shared" si="138"/>
        <v>0</v>
      </c>
      <c r="I1192" s="1178"/>
      <c r="K1192" s="1228"/>
    </row>
    <row r="1193" spans="1:11" ht="12.75" customHeight="1">
      <c r="A1193" s="1505" t="s">
        <v>3119</v>
      </c>
      <c r="B1193" s="1506" t="str">
        <f t="shared" si="139"/>
        <v/>
      </c>
      <c r="C1193" s="1507" t="str">
        <f t="shared" si="139"/>
        <v>AMAMAW</v>
      </c>
      <c r="D1193" s="1507">
        <f t="shared" si="139"/>
        <v>1</v>
      </c>
      <c r="E1193" s="1508">
        <v>136</v>
      </c>
      <c r="F1193" s="1509"/>
      <c r="G1193" s="1510" t="s">
        <v>3253</v>
      </c>
      <c r="H1193" s="1510">
        <f t="shared" si="138"/>
        <v>0</v>
      </c>
      <c r="I1193" s="1178"/>
      <c r="K1193" s="1228"/>
    </row>
    <row r="1194" spans="1:11" ht="12.75" customHeight="1">
      <c r="A1194" s="1505" t="s">
        <v>3120</v>
      </c>
      <c r="B1194" s="1506" t="str">
        <f t="shared" si="139"/>
        <v/>
      </c>
      <c r="C1194" s="1507" t="str">
        <f t="shared" si="139"/>
        <v>AMAMAW</v>
      </c>
      <c r="D1194" s="1507">
        <f t="shared" si="139"/>
        <v>1</v>
      </c>
      <c r="E1194" s="1508">
        <v>137</v>
      </c>
      <c r="F1194" s="1509"/>
      <c r="G1194" s="1510" t="s">
        <v>3253</v>
      </c>
      <c r="H1194" s="1510">
        <f t="shared" si="138"/>
        <v>0</v>
      </c>
      <c r="I1194" s="1178"/>
      <c r="K1194" s="1228"/>
    </row>
    <row r="1195" spans="1:11" ht="12.75" customHeight="1">
      <c r="A1195" s="1505" t="s">
        <v>3121</v>
      </c>
      <c r="B1195" s="1506" t="str">
        <f t="shared" si="139"/>
        <v/>
      </c>
      <c r="C1195" s="1507" t="str">
        <f t="shared" si="139"/>
        <v>AMAMAW</v>
      </c>
      <c r="D1195" s="1507">
        <f t="shared" si="139"/>
        <v>1</v>
      </c>
      <c r="E1195" s="1508">
        <v>138</v>
      </c>
      <c r="F1195" s="1509"/>
      <c r="G1195" s="1510" t="s">
        <v>3253</v>
      </c>
      <c r="H1195" s="1510">
        <f t="shared" si="138"/>
        <v>0</v>
      </c>
      <c r="I1195" s="1178"/>
      <c r="K1195" s="1228"/>
    </row>
    <row r="1196" spans="1:11" ht="12.75" customHeight="1">
      <c r="A1196" s="1505" t="s">
        <v>3122</v>
      </c>
      <c r="B1196" s="1506" t="str">
        <f t="shared" si="139"/>
        <v/>
      </c>
      <c r="C1196" s="1507" t="str">
        <f t="shared" si="139"/>
        <v>AMAMAW</v>
      </c>
      <c r="D1196" s="1507">
        <f t="shared" si="139"/>
        <v>1</v>
      </c>
      <c r="E1196" s="1508">
        <v>139</v>
      </c>
      <c r="F1196" s="1509"/>
      <c r="G1196" s="1510" t="s">
        <v>3253</v>
      </c>
      <c r="H1196" s="1510">
        <f t="shared" si="138"/>
        <v>0</v>
      </c>
      <c r="I1196" s="1178"/>
      <c r="K1196" s="1228"/>
    </row>
    <row r="1197" spans="1:11" ht="12.75" customHeight="1">
      <c r="A1197" s="1505" t="s">
        <v>3123</v>
      </c>
      <c r="B1197" s="1506" t="str">
        <f t="shared" si="139"/>
        <v/>
      </c>
      <c r="C1197" s="1507" t="str">
        <f t="shared" si="139"/>
        <v>AMAMAW</v>
      </c>
      <c r="D1197" s="1507">
        <f t="shared" si="139"/>
        <v>1</v>
      </c>
      <c r="E1197" s="1508">
        <v>140</v>
      </c>
      <c r="F1197" s="1509"/>
      <c r="G1197" s="1510" t="s">
        <v>3253</v>
      </c>
      <c r="H1197" s="1510">
        <f t="shared" si="138"/>
        <v>0</v>
      </c>
      <c r="I1197" s="1178"/>
      <c r="K1197" s="1228"/>
    </row>
    <row r="1198" spans="1:11" ht="12.75" customHeight="1">
      <c r="A1198" s="1505" t="s">
        <v>3124</v>
      </c>
      <c r="B1198" s="1506" t="str">
        <f t="shared" si="139"/>
        <v/>
      </c>
      <c r="C1198" s="1507" t="str">
        <f t="shared" si="139"/>
        <v>AMAMAW</v>
      </c>
      <c r="D1198" s="1507">
        <f t="shared" si="139"/>
        <v>1</v>
      </c>
      <c r="E1198" s="1508">
        <v>141</v>
      </c>
      <c r="F1198" s="1509"/>
      <c r="G1198" s="1510" t="s">
        <v>3253</v>
      </c>
      <c r="H1198" s="1510">
        <f t="shared" si="138"/>
        <v>0</v>
      </c>
      <c r="I1198" s="1178"/>
      <c r="K1198" s="1228"/>
    </row>
    <row r="1199" spans="1:11" ht="12.75" customHeight="1">
      <c r="A1199" s="1505" t="s">
        <v>3125</v>
      </c>
      <c r="B1199" s="1506" t="str">
        <f t="shared" si="139"/>
        <v/>
      </c>
      <c r="C1199" s="1507" t="str">
        <f t="shared" si="139"/>
        <v>AMAMAW</v>
      </c>
      <c r="D1199" s="1507">
        <f t="shared" si="139"/>
        <v>1</v>
      </c>
      <c r="E1199" s="1508">
        <v>142</v>
      </c>
      <c r="F1199" s="1509"/>
      <c r="G1199" s="1510" t="s">
        <v>3253</v>
      </c>
      <c r="H1199" s="1510">
        <f t="shared" si="138"/>
        <v>0</v>
      </c>
      <c r="I1199" s="1178"/>
      <c r="K1199" s="1228"/>
    </row>
    <row r="1200" spans="1:11" ht="12.75" customHeight="1">
      <c r="A1200" s="1505" t="s">
        <v>3126</v>
      </c>
      <c r="B1200" s="1506" t="str">
        <f t="shared" si="139"/>
        <v/>
      </c>
      <c r="C1200" s="1507" t="str">
        <f t="shared" si="139"/>
        <v>AMAMAW</v>
      </c>
      <c r="D1200" s="1507">
        <f t="shared" si="139"/>
        <v>1</v>
      </c>
      <c r="E1200" s="1508">
        <v>143</v>
      </c>
      <c r="F1200" s="1509"/>
      <c r="G1200" s="1510" t="s">
        <v>3253</v>
      </c>
      <c r="H1200" s="1510">
        <f t="shared" si="138"/>
        <v>0</v>
      </c>
      <c r="I1200" s="1178"/>
      <c r="K1200" s="1228"/>
    </row>
    <row r="1201" spans="1:11" ht="12.75" customHeight="1">
      <c r="A1201" s="1505" t="s">
        <v>3127</v>
      </c>
      <c r="B1201" s="1506" t="str">
        <f t="shared" si="139"/>
        <v/>
      </c>
      <c r="C1201" s="1507" t="str">
        <f t="shared" si="139"/>
        <v>AMAMAW</v>
      </c>
      <c r="D1201" s="1507">
        <f t="shared" si="139"/>
        <v>1</v>
      </c>
      <c r="E1201" s="1508">
        <v>144</v>
      </c>
      <c r="F1201" s="1509"/>
      <c r="G1201" s="1510" t="s">
        <v>3253</v>
      </c>
      <c r="H1201" s="1510">
        <f t="shared" si="138"/>
        <v>0</v>
      </c>
      <c r="I1201" s="1178"/>
      <c r="K1201" s="1228"/>
    </row>
    <row r="1202" spans="1:11" ht="12.75" customHeight="1">
      <c r="A1202" s="1505" t="s">
        <v>3128</v>
      </c>
      <c r="B1202" s="1506" t="str">
        <f t="shared" si="139"/>
        <v/>
      </c>
      <c r="C1202" s="1507" t="str">
        <f t="shared" si="139"/>
        <v>AMAMAW</v>
      </c>
      <c r="D1202" s="1507">
        <f t="shared" si="139"/>
        <v>1</v>
      </c>
      <c r="E1202" s="1508">
        <v>145</v>
      </c>
      <c r="F1202" s="1509"/>
      <c r="G1202" s="1510" t="s">
        <v>3253</v>
      </c>
      <c r="H1202" s="1510">
        <f t="shared" si="138"/>
        <v>0</v>
      </c>
      <c r="I1202" s="1178"/>
      <c r="K1202" s="1228"/>
    </row>
    <row r="1203" spans="1:11" ht="12.75" customHeight="1">
      <c r="A1203" s="1505" t="s">
        <v>3129</v>
      </c>
      <c r="B1203" s="1506" t="str">
        <f t="shared" si="139"/>
        <v/>
      </c>
      <c r="C1203" s="1507" t="str">
        <f t="shared" si="139"/>
        <v>AMAMAW</v>
      </c>
      <c r="D1203" s="1507">
        <f t="shared" si="139"/>
        <v>1</v>
      </c>
      <c r="E1203" s="1508">
        <v>146</v>
      </c>
      <c r="F1203" s="1509"/>
      <c r="G1203" s="1510" t="s">
        <v>3253</v>
      </c>
      <c r="H1203" s="1510">
        <f t="shared" si="138"/>
        <v>0</v>
      </c>
      <c r="I1203" s="1178"/>
      <c r="K1203" s="1228"/>
    </row>
    <row r="1204" spans="1:11" ht="12.75" customHeight="1">
      <c r="A1204" s="1505" t="s">
        <v>3130</v>
      </c>
      <c r="B1204" s="1506" t="str">
        <f t="shared" si="139"/>
        <v/>
      </c>
      <c r="C1204" s="1507" t="str">
        <f t="shared" si="139"/>
        <v>AMAMAW</v>
      </c>
      <c r="D1204" s="1507">
        <f t="shared" si="139"/>
        <v>1</v>
      </c>
      <c r="E1204" s="1508">
        <v>147</v>
      </c>
      <c r="F1204" s="1509"/>
      <c r="G1204" s="1510" t="s">
        <v>3253</v>
      </c>
      <c r="H1204" s="1510">
        <f t="shared" si="138"/>
        <v>0</v>
      </c>
      <c r="I1204" s="1178"/>
      <c r="K1204" s="1228"/>
    </row>
    <row r="1205" spans="1:11" ht="12.75" customHeight="1">
      <c r="A1205" s="1505" t="s">
        <v>3131</v>
      </c>
      <c r="B1205" s="1506" t="str">
        <f t="shared" si="139"/>
        <v/>
      </c>
      <c r="C1205" s="1507" t="str">
        <f t="shared" si="139"/>
        <v>AMAMAW</v>
      </c>
      <c r="D1205" s="1507">
        <f t="shared" si="139"/>
        <v>1</v>
      </c>
      <c r="E1205" s="1508">
        <v>148</v>
      </c>
      <c r="F1205" s="1509"/>
      <c r="G1205" s="1510" t="s">
        <v>3253</v>
      </c>
      <c r="H1205" s="1510">
        <f t="shared" si="138"/>
        <v>0</v>
      </c>
      <c r="I1205" s="1178"/>
      <c r="K1205" s="1228"/>
    </row>
    <row r="1206" spans="1:11" ht="12.75" customHeight="1">
      <c r="A1206" s="1505" t="s">
        <v>3132</v>
      </c>
      <c r="B1206" s="1506" t="str">
        <f t="shared" ref="B1206:D1221" si="140">B1205</f>
        <v/>
      </c>
      <c r="C1206" s="1507" t="str">
        <f t="shared" si="140"/>
        <v>AMAMAW</v>
      </c>
      <c r="D1206" s="1507">
        <f t="shared" si="140"/>
        <v>1</v>
      </c>
      <c r="E1206" s="1508">
        <v>149</v>
      </c>
      <c r="F1206" s="1509"/>
      <c r="G1206" s="1510" t="s">
        <v>3253</v>
      </c>
      <c r="H1206" s="1510">
        <f t="shared" si="138"/>
        <v>0</v>
      </c>
      <c r="I1206" s="1178"/>
      <c r="K1206" s="1228"/>
    </row>
    <row r="1207" spans="1:11" ht="12.75" customHeight="1">
      <c r="A1207" s="1505" t="s">
        <v>3133</v>
      </c>
      <c r="B1207" s="1506" t="str">
        <f t="shared" si="140"/>
        <v/>
      </c>
      <c r="C1207" s="1507" t="str">
        <f t="shared" si="140"/>
        <v>AMAMAW</v>
      </c>
      <c r="D1207" s="1507">
        <f t="shared" si="140"/>
        <v>1</v>
      </c>
      <c r="E1207" s="1508">
        <v>150</v>
      </c>
      <c r="F1207" s="1509"/>
      <c r="G1207" s="1510" t="s">
        <v>3253</v>
      </c>
      <c r="H1207" s="1510">
        <f t="shared" si="138"/>
        <v>0</v>
      </c>
      <c r="I1207" s="1178"/>
      <c r="K1207" s="1228"/>
    </row>
    <row r="1208" spans="1:11" ht="12.75" customHeight="1">
      <c r="A1208" s="1505" t="s">
        <v>3134</v>
      </c>
      <c r="B1208" s="1506" t="str">
        <f t="shared" si="140"/>
        <v/>
      </c>
      <c r="C1208" s="1507" t="str">
        <f t="shared" si="140"/>
        <v>AMAMAW</v>
      </c>
      <c r="D1208" s="1507">
        <f t="shared" si="140"/>
        <v>1</v>
      </c>
      <c r="E1208" s="1508">
        <v>151</v>
      </c>
      <c r="F1208" s="1509"/>
      <c r="G1208" s="1510" t="s">
        <v>3253</v>
      </c>
      <c r="H1208" s="1510">
        <f t="shared" si="138"/>
        <v>0</v>
      </c>
      <c r="I1208" s="1178"/>
      <c r="K1208" s="1228"/>
    </row>
    <row r="1209" spans="1:11" ht="12.75" customHeight="1">
      <c r="A1209" s="1505" t="s">
        <v>3135</v>
      </c>
      <c r="B1209" s="1506" t="str">
        <f t="shared" si="140"/>
        <v/>
      </c>
      <c r="C1209" s="1507" t="str">
        <f t="shared" si="140"/>
        <v>AMAMAW</v>
      </c>
      <c r="D1209" s="1507">
        <f t="shared" si="140"/>
        <v>1</v>
      </c>
      <c r="E1209" s="1508">
        <v>152</v>
      </c>
      <c r="F1209" s="1509"/>
      <c r="G1209" s="1510" t="s">
        <v>3253</v>
      </c>
      <c r="H1209" s="1510">
        <f t="shared" si="138"/>
        <v>0</v>
      </c>
      <c r="I1209" s="1178"/>
      <c r="K1209" s="1228"/>
    </row>
    <row r="1210" spans="1:11" ht="12.75" customHeight="1">
      <c r="A1210" s="1505" t="s">
        <v>3136</v>
      </c>
      <c r="B1210" s="1506" t="str">
        <f t="shared" si="140"/>
        <v/>
      </c>
      <c r="C1210" s="1507" t="str">
        <f t="shared" si="140"/>
        <v>AMAMAW</v>
      </c>
      <c r="D1210" s="1507">
        <f t="shared" si="140"/>
        <v>1</v>
      </c>
      <c r="E1210" s="1508">
        <v>153</v>
      </c>
      <c r="F1210" s="1509"/>
      <c r="G1210" s="1510" t="s">
        <v>3253</v>
      </c>
      <c r="H1210" s="1510">
        <f t="shared" si="138"/>
        <v>0</v>
      </c>
      <c r="I1210" s="1178"/>
      <c r="K1210" s="1228"/>
    </row>
    <row r="1211" spans="1:11" ht="12.75" customHeight="1">
      <c r="A1211" s="1505" t="s">
        <v>3137</v>
      </c>
      <c r="B1211" s="1506" t="str">
        <f t="shared" si="140"/>
        <v/>
      </c>
      <c r="C1211" s="1507" t="str">
        <f t="shared" si="140"/>
        <v>AMAMAW</v>
      </c>
      <c r="D1211" s="1507">
        <f t="shared" si="140"/>
        <v>1</v>
      </c>
      <c r="E1211" s="1508">
        <v>154</v>
      </c>
      <c r="F1211" s="1509"/>
      <c r="G1211" s="1510" t="s">
        <v>3253</v>
      </c>
      <c r="H1211" s="1510">
        <f t="shared" si="138"/>
        <v>0</v>
      </c>
      <c r="I1211" s="1178"/>
      <c r="K1211" s="1228"/>
    </row>
    <row r="1212" spans="1:11" ht="12.75" customHeight="1">
      <c r="A1212" s="1505" t="s">
        <v>3138</v>
      </c>
      <c r="B1212" s="1506" t="str">
        <f t="shared" si="140"/>
        <v/>
      </c>
      <c r="C1212" s="1507" t="str">
        <f t="shared" si="140"/>
        <v>AMAMAW</v>
      </c>
      <c r="D1212" s="1507">
        <f t="shared" si="140"/>
        <v>1</v>
      </c>
      <c r="E1212" s="1508">
        <v>155</v>
      </c>
      <c r="F1212" s="1509"/>
      <c r="G1212" s="1510" t="s">
        <v>3253</v>
      </c>
      <c r="H1212" s="1510">
        <f t="shared" si="138"/>
        <v>0</v>
      </c>
      <c r="I1212" s="1178"/>
      <c r="K1212" s="1228"/>
    </row>
    <row r="1213" spans="1:11" ht="12.75" customHeight="1">
      <c r="A1213" s="1505" t="s">
        <v>3139</v>
      </c>
      <c r="B1213" s="1506" t="str">
        <f t="shared" si="140"/>
        <v/>
      </c>
      <c r="C1213" s="1507" t="str">
        <f t="shared" si="140"/>
        <v>AMAMAW</v>
      </c>
      <c r="D1213" s="1507">
        <f t="shared" si="140"/>
        <v>1</v>
      </c>
      <c r="E1213" s="1508">
        <v>156</v>
      </c>
      <c r="F1213" s="1509"/>
      <c r="G1213" s="1510" t="s">
        <v>3253</v>
      </c>
      <c r="H1213" s="1510">
        <f t="shared" si="138"/>
        <v>0</v>
      </c>
      <c r="I1213" s="1178"/>
      <c r="K1213" s="1228"/>
    </row>
    <row r="1214" spans="1:11" ht="12.75" customHeight="1">
      <c r="A1214" s="1505" t="s">
        <v>3140</v>
      </c>
      <c r="B1214" s="1506" t="str">
        <f t="shared" si="140"/>
        <v/>
      </c>
      <c r="C1214" s="1507" t="str">
        <f t="shared" si="140"/>
        <v>AMAMAW</v>
      </c>
      <c r="D1214" s="1507">
        <f t="shared" si="140"/>
        <v>1</v>
      </c>
      <c r="E1214" s="1508">
        <v>157</v>
      </c>
      <c r="F1214" s="1509"/>
      <c r="G1214" s="1510" t="s">
        <v>3253</v>
      </c>
      <c r="H1214" s="1510">
        <f t="shared" si="138"/>
        <v>0</v>
      </c>
      <c r="I1214" s="1178"/>
      <c r="K1214" s="1228"/>
    </row>
    <row r="1215" spans="1:11" ht="12.75" customHeight="1">
      <c r="A1215" s="1505" t="s">
        <v>3141</v>
      </c>
      <c r="B1215" s="1506" t="str">
        <f t="shared" si="140"/>
        <v/>
      </c>
      <c r="C1215" s="1507" t="str">
        <f t="shared" si="140"/>
        <v>AMAMAW</v>
      </c>
      <c r="D1215" s="1507">
        <f t="shared" si="140"/>
        <v>1</v>
      </c>
      <c r="E1215" s="1508">
        <v>158</v>
      </c>
      <c r="F1215" s="1509"/>
      <c r="G1215" s="1510" t="s">
        <v>3253</v>
      </c>
      <c r="H1215" s="1510">
        <f t="shared" si="138"/>
        <v>0</v>
      </c>
      <c r="I1215" s="1178"/>
      <c r="K1215" s="1228"/>
    </row>
    <row r="1216" spans="1:11" ht="12.75" customHeight="1">
      <c r="A1216" s="1505" t="s">
        <v>3142</v>
      </c>
      <c r="B1216" s="1506" t="str">
        <f t="shared" si="140"/>
        <v/>
      </c>
      <c r="C1216" s="1507" t="str">
        <f t="shared" si="140"/>
        <v>AMAMAW</v>
      </c>
      <c r="D1216" s="1507">
        <f t="shared" si="140"/>
        <v>1</v>
      </c>
      <c r="E1216" s="1508">
        <v>159</v>
      </c>
      <c r="F1216" s="1509"/>
      <c r="G1216" s="1510" t="s">
        <v>3253</v>
      </c>
      <c r="H1216" s="1510">
        <f t="shared" ref="H1216:H1266" si="141">H1215</f>
        <v>0</v>
      </c>
      <c r="I1216" s="1178"/>
      <c r="K1216" s="1228"/>
    </row>
    <row r="1217" spans="1:11" ht="12.75" customHeight="1">
      <c r="A1217" s="1505" t="s">
        <v>3143</v>
      </c>
      <c r="B1217" s="1512" t="str">
        <f t="shared" si="140"/>
        <v/>
      </c>
      <c r="C1217" s="1513" t="str">
        <f t="shared" si="140"/>
        <v>AMAMAW</v>
      </c>
      <c r="D1217" s="1513">
        <f t="shared" si="140"/>
        <v>1</v>
      </c>
      <c r="E1217" s="1514">
        <v>160</v>
      </c>
      <c r="F1217" s="1509"/>
      <c r="G1217" s="1510" t="s">
        <v>3253</v>
      </c>
      <c r="H1217" s="1515">
        <f t="shared" si="141"/>
        <v>0</v>
      </c>
      <c r="I1217" s="1178"/>
      <c r="K1217" s="1228"/>
    </row>
    <row r="1218" spans="1:11" ht="12.75" customHeight="1">
      <c r="A1218" s="1505" t="s">
        <v>3144</v>
      </c>
      <c r="B1218" s="1512" t="str">
        <f t="shared" si="140"/>
        <v/>
      </c>
      <c r="C1218" s="1513" t="str">
        <f t="shared" si="140"/>
        <v>AMAMAW</v>
      </c>
      <c r="D1218" s="1513">
        <f t="shared" si="140"/>
        <v>1</v>
      </c>
      <c r="E1218" s="1514">
        <v>161</v>
      </c>
      <c r="F1218" s="1509"/>
      <c r="G1218" s="1510" t="s">
        <v>3253</v>
      </c>
      <c r="H1218" s="1515">
        <f t="shared" si="141"/>
        <v>0</v>
      </c>
      <c r="I1218" s="1178"/>
      <c r="K1218" s="1228"/>
    </row>
    <row r="1219" spans="1:11" ht="12.75" customHeight="1">
      <c r="A1219" s="1505" t="s">
        <v>3145</v>
      </c>
      <c r="B1219" s="1512" t="str">
        <f t="shared" si="140"/>
        <v/>
      </c>
      <c r="C1219" s="1513" t="str">
        <f t="shared" si="140"/>
        <v>AMAMAW</v>
      </c>
      <c r="D1219" s="1513">
        <f t="shared" si="140"/>
        <v>1</v>
      </c>
      <c r="E1219" s="1514">
        <v>162</v>
      </c>
      <c r="F1219" s="1509"/>
      <c r="G1219" s="1510" t="s">
        <v>3253</v>
      </c>
      <c r="H1219" s="1515">
        <f t="shared" si="141"/>
        <v>0</v>
      </c>
      <c r="I1219" s="1178"/>
      <c r="K1219" s="1228"/>
    </row>
    <row r="1220" spans="1:11" ht="12.75" customHeight="1">
      <c r="A1220" s="1505" t="s">
        <v>3146</v>
      </c>
      <c r="B1220" s="1512" t="str">
        <f t="shared" si="140"/>
        <v/>
      </c>
      <c r="C1220" s="1513" t="str">
        <f t="shared" si="140"/>
        <v>AMAMAW</v>
      </c>
      <c r="D1220" s="1513">
        <f t="shared" si="140"/>
        <v>1</v>
      </c>
      <c r="E1220" s="1514">
        <v>163</v>
      </c>
      <c r="F1220" s="1509"/>
      <c r="G1220" s="1510" t="s">
        <v>3253</v>
      </c>
      <c r="H1220" s="1515">
        <f t="shared" si="141"/>
        <v>0</v>
      </c>
      <c r="I1220" s="1178"/>
      <c r="K1220" s="1228"/>
    </row>
    <row r="1221" spans="1:11" ht="12.75" customHeight="1">
      <c r="A1221" s="1505" t="s">
        <v>3147</v>
      </c>
      <c r="B1221" s="1506" t="str">
        <f t="shared" si="140"/>
        <v/>
      </c>
      <c r="C1221" s="1507" t="str">
        <f t="shared" si="140"/>
        <v>AMAMAW</v>
      </c>
      <c r="D1221" s="1507">
        <f t="shared" si="140"/>
        <v>1</v>
      </c>
      <c r="E1221" s="1508">
        <v>164</v>
      </c>
      <c r="F1221" s="1509"/>
      <c r="G1221" s="1510" t="s">
        <v>3253</v>
      </c>
      <c r="H1221" s="1510">
        <f t="shared" si="141"/>
        <v>0</v>
      </c>
      <c r="I1221" s="1178"/>
      <c r="K1221" s="1228"/>
    </row>
    <row r="1222" spans="1:11" ht="12.75" customHeight="1">
      <c r="A1222" s="1505" t="s">
        <v>3148</v>
      </c>
      <c r="B1222" s="1512" t="str">
        <f t="shared" ref="B1222:D1237" si="142">B1221</f>
        <v/>
      </c>
      <c r="C1222" s="1513" t="str">
        <f t="shared" si="142"/>
        <v>AMAMAW</v>
      </c>
      <c r="D1222" s="1513">
        <f t="shared" si="142"/>
        <v>1</v>
      </c>
      <c r="E1222" s="1514">
        <v>165</v>
      </c>
      <c r="F1222" s="1509"/>
      <c r="G1222" s="1510" t="s">
        <v>3253</v>
      </c>
      <c r="H1222" s="1515">
        <f t="shared" si="141"/>
        <v>0</v>
      </c>
      <c r="I1222" s="1178"/>
      <c r="K1222" s="1228"/>
    </row>
    <row r="1223" spans="1:11" ht="12.75" customHeight="1">
      <c r="A1223" s="1505" t="s">
        <v>3149</v>
      </c>
      <c r="B1223" s="1512" t="str">
        <f t="shared" si="142"/>
        <v/>
      </c>
      <c r="C1223" s="1513" t="str">
        <f t="shared" si="142"/>
        <v>AMAMAW</v>
      </c>
      <c r="D1223" s="1513">
        <f t="shared" si="142"/>
        <v>1</v>
      </c>
      <c r="E1223" s="1514">
        <v>166</v>
      </c>
      <c r="F1223" s="1509"/>
      <c r="G1223" s="1510" t="s">
        <v>3253</v>
      </c>
      <c r="H1223" s="1515">
        <f t="shared" si="141"/>
        <v>0</v>
      </c>
      <c r="I1223" s="1178"/>
      <c r="K1223" s="1228"/>
    </row>
    <row r="1224" spans="1:11" ht="12.75" customHeight="1">
      <c r="A1224" s="1505" t="s">
        <v>3150</v>
      </c>
      <c r="B1224" s="1512" t="str">
        <f t="shared" si="142"/>
        <v/>
      </c>
      <c r="C1224" s="1513" t="str">
        <f t="shared" si="142"/>
        <v>AMAMAW</v>
      </c>
      <c r="D1224" s="1513">
        <f t="shared" si="142"/>
        <v>1</v>
      </c>
      <c r="E1224" s="1514">
        <v>167</v>
      </c>
      <c r="F1224" s="1509"/>
      <c r="G1224" s="1510" t="s">
        <v>3253</v>
      </c>
      <c r="H1224" s="1515">
        <f t="shared" si="141"/>
        <v>0</v>
      </c>
      <c r="I1224" s="1178"/>
      <c r="K1224" s="1228"/>
    </row>
    <row r="1225" spans="1:11" ht="12.75" customHeight="1">
      <c r="A1225" s="1505" t="s">
        <v>3151</v>
      </c>
      <c r="B1225" s="1512" t="str">
        <f t="shared" si="142"/>
        <v/>
      </c>
      <c r="C1225" s="1513" t="str">
        <f t="shared" si="142"/>
        <v>AMAMAW</v>
      </c>
      <c r="D1225" s="1513">
        <f t="shared" si="142"/>
        <v>1</v>
      </c>
      <c r="E1225" s="1514">
        <v>168</v>
      </c>
      <c r="F1225" s="1509"/>
      <c r="G1225" s="1510" t="s">
        <v>3253</v>
      </c>
      <c r="H1225" s="1515">
        <f t="shared" si="141"/>
        <v>0</v>
      </c>
      <c r="I1225" s="1178"/>
      <c r="K1225" s="1228"/>
    </row>
    <row r="1226" spans="1:11" ht="12.75" customHeight="1">
      <c r="A1226" s="1505" t="s">
        <v>3152</v>
      </c>
      <c r="B1226" s="1506" t="str">
        <f t="shared" si="142"/>
        <v/>
      </c>
      <c r="C1226" s="1507" t="str">
        <f t="shared" si="142"/>
        <v>AMAMAW</v>
      </c>
      <c r="D1226" s="1507">
        <f t="shared" si="142"/>
        <v>1</v>
      </c>
      <c r="E1226" s="1508">
        <v>169</v>
      </c>
      <c r="F1226" s="1509"/>
      <c r="G1226" s="1510" t="s">
        <v>3253</v>
      </c>
      <c r="H1226" s="1510">
        <f t="shared" si="141"/>
        <v>0</v>
      </c>
      <c r="I1226" s="1178"/>
      <c r="K1226" s="1228"/>
    </row>
    <row r="1227" spans="1:11" ht="12.75" customHeight="1">
      <c r="A1227" s="1505" t="s">
        <v>3153</v>
      </c>
      <c r="B1227" s="1512" t="str">
        <f t="shared" si="142"/>
        <v/>
      </c>
      <c r="C1227" s="1513" t="str">
        <f t="shared" si="142"/>
        <v>AMAMAW</v>
      </c>
      <c r="D1227" s="1513">
        <f t="shared" si="142"/>
        <v>1</v>
      </c>
      <c r="E1227" s="1514">
        <v>170</v>
      </c>
      <c r="F1227" s="1509"/>
      <c r="G1227" s="1510" t="s">
        <v>3253</v>
      </c>
      <c r="H1227" s="1515">
        <f t="shared" si="141"/>
        <v>0</v>
      </c>
      <c r="I1227" s="1178"/>
      <c r="K1227" s="1228"/>
    </row>
    <row r="1228" spans="1:11" ht="12.75" customHeight="1">
      <c r="A1228" s="1505" t="s">
        <v>3154</v>
      </c>
      <c r="B1228" s="1512" t="str">
        <f t="shared" si="142"/>
        <v/>
      </c>
      <c r="C1228" s="1513" t="str">
        <f t="shared" si="142"/>
        <v>AMAMAW</v>
      </c>
      <c r="D1228" s="1513">
        <f t="shared" si="142"/>
        <v>1</v>
      </c>
      <c r="E1228" s="1514">
        <v>171</v>
      </c>
      <c r="F1228" s="1509"/>
      <c r="G1228" s="1510" t="s">
        <v>3253</v>
      </c>
      <c r="H1228" s="1515">
        <f t="shared" si="141"/>
        <v>0</v>
      </c>
      <c r="I1228" s="1178"/>
      <c r="K1228" s="1228"/>
    </row>
    <row r="1229" spans="1:11" ht="12.75" customHeight="1">
      <c r="A1229" s="1505" t="s">
        <v>3155</v>
      </c>
      <c r="B1229" s="1512" t="str">
        <f t="shared" si="142"/>
        <v/>
      </c>
      <c r="C1229" s="1513" t="str">
        <f t="shared" si="142"/>
        <v>AMAMAW</v>
      </c>
      <c r="D1229" s="1513">
        <f t="shared" si="142"/>
        <v>1</v>
      </c>
      <c r="E1229" s="1514">
        <v>172</v>
      </c>
      <c r="F1229" s="1509"/>
      <c r="G1229" s="1510" t="s">
        <v>3253</v>
      </c>
      <c r="H1229" s="1515">
        <f t="shared" si="141"/>
        <v>0</v>
      </c>
      <c r="I1229" s="1178"/>
      <c r="K1229" s="1228"/>
    </row>
    <row r="1230" spans="1:11" ht="12.75" customHeight="1">
      <c r="A1230" s="1505" t="s">
        <v>3156</v>
      </c>
      <c r="B1230" s="1512" t="str">
        <f t="shared" si="142"/>
        <v/>
      </c>
      <c r="C1230" s="1513" t="str">
        <f t="shared" si="142"/>
        <v>AMAMAW</v>
      </c>
      <c r="D1230" s="1513">
        <f t="shared" si="142"/>
        <v>1</v>
      </c>
      <c r="E1230" s="1514">
        <v>173</v>
      </c>
      <c r="F1230" s="1509"/>
      <c r="G1230" s="1510" t="s">
        <v>3253</v>
      </c>
      <c r="H1230" s="1515">
        <f t="shared" si="141"/>
        <v>0</v>
      </c>
      <c r="I1230" s="1178"/>
      <c r="K1230" s="1228"/>
    </row>
    <row r="1231" spans="1:11" ht="12.75" customHeight="1">
      <c r="A1231" s="1505" t="s">
        <v>3157</v>
      </c>
      <c r="B1231" s="1512" t="str">
        <f t="shared" si="142"/>
        <v/>
      </c>
      <c r="C1231" s="1513" t="str">
        <f t="shared" si="142"/>
        <v>AMAMAW</v>
      </c>
      <c r="D1231" s="1513">
        <f t="shared" si="142"/>
        <v>1</v>
      </c>
      <c r="E1231" s="1514">
        <v>174</v>
      </c>
      <c r="F1231" s="1509"/>
      <c r="G1231" s="1510" t="s">
        <v>3253</v>
      </c>
      <c r="H1231" s="1510">
        <f t="shared" si="141"/>
        <v>0</v>
      </c>
      <c r="I1231" s="1178"/>
      <c r="K1231" s="1228"/>
    </row>
    <row r="1232" spans="1:11" ht="12.75" customHeight="1">
      <c r="A1232" s="1505" t="s">
        <v>3158</v>
      </c>
      <c r="B1232" s="1512" t="str">
        <f t="shared" si="142"/>
        <v/>
      </c>
      <c r="C1232" s="1513" t="str">
        <f t="shared" si="142"/>
        <v>AMAMAW</v>
      </c>
      <c r="D1232" s="1513">
        <f t="shared" si="142"/>
        <v>1</v>
      </c>
      <c r="E1232" s="1514">
        <v>175</v>
      </c>
      <c r="F1232" s="1510">
        <f>Calculations!$AR$1</f>
        <v>0</v>
      </c>
      <c r="G1232" s="1510" t="s">
        <v>3253</v>
      </c>
      <c r="H1232" s="1515">
        <f t="shared" si="141"/>
        <v>0</v>
      </c>
      <c r="I1232" s="1178"/>
      <c r="K1232" s="1228"/>
    </row>
    <row r="1233" spans="1:11" ht="12.75" customHeight="1">
      <c r="A1233" s="1505" t="s">
        <v>3159</v>
      </c>
      <c r="B1233" s="1512" t="str">
        <f t="shared" si="142"/>
        <v/>
      </c>
      <c r="C1233" s="1513" t="str">
        <f t="shared" si="142"/>
        <v>AMAMAW</v>
      </c>
      <c r="D1233" s="1513">
        <f t="shared" si="142"/>
        <v>1</v>
      </c>
      <c r="E1233" s="1514">
        <v>176</v>
      </c>
      <c r="F1233" s="1509"/>
      <c r="G1233" s="1510" t="s">
        <v>3253</v>
      </c>
      <c r="H1233" s="1515">
        <f t="shared" si="141"/>
        <v>0</v>
      </c>
      <c r="I1233" s="1178"/>
      <c r="K1233" s="1228"/>
    </row>
    <row r="1234" spans="1:11" ht="12.75" customHeight="1">
      <c r="A1234" s="1505" t="s">
        <v>3160</v>
      </c>
      <c r="B1234" s="1512" t="str">
        <f t="shared" si="142"/>
        <v/>
      </c>
      <c r="C1234" s="1513" t="str">
        <f t="shared" si="142"/>
        <v>AMAMAW</v>
      </c>
      <c r="D1234" s="1513">
        <f t="shared" si="142"/>
        <v>1</v>
      </c>
      <c r="E1234" s="1514">
        <v>177</v>
      </c>
      <c r="F1234" s="1509"/>
      <c r="G1234" s="1510" t="s">
        <v>3253</v>
      </c>
      <c r="H1234" s="1515">
        <f t="shared" si="141"/>
        <v>0</v>
      </c>
      <c r="I1234" s="1178"/>
      <c r="K1234" s="1228"/>
    </row>
    <row r="1235" spans="1:11" ht="12.75" customHeight="1">
      <c r="A1235" s="1505" t="s">
        <v>3161</v>
      </c>
      <c r="B1235" s="1512" t="str">
        <f t="shared" si="142"/>
        <v/>
      </c>
      <c r="C1235" s="1513" t="str">
        <f t="shared" si="142"/>
        <v>AMAMAW</v>
      </c>
      <c r="D1235" s="1513">
        <f t="shared" si="142"/>
        <v>1</v>
      </c>
      <c r="E1235" s="1514">
        <v>178</v>
      </c>
      <c r="F1235" s="1509"/>
      <c r="G1235" s="1510" t="s">
        <v>3253</v>
      </c>
      <c r="H1235" s="1515">
        <f t="shared" si="141"/>
        <v>0</v>
      </c>
      <c r="I1235" s="1178"/>
      <c r="K1235" s="1228"/>
    </row>
    <row r="1236" spans="1:11" ht="12.75" customHeight="1">
      <c r="A1236" s="1505" t="s">
        <v>3162</v>
      </c>
      <c r="B1236" s="1512" t="str">
        <f t="shared" si="142"/>
        <v/>
      </c>
      <c r="C1236" s="1513" t="str">
        <f t="shared" si="142"/>
        <v>AMAMAW</v>
      </c>
      <c r="D1236" s="1513">
        <f t="shared" si="142"/>
        <v>1</v>
      </c>
      <c r="E1236" s="1514">
        <v>179</v>
      </c>
      <c r="F1236" s="1509"/>
      <c r="G1236" s="1510" t="s">
        <v>3253</v>
      </c>
      <c r="H1236" s="1515">
        <f t="shared" si="141"/>
        <v>0</v>
      </c>
      <c r="I1236" s="1178"/>
      <c r="K1236" s="1228"/>
    </row>
    <row r="1237" spans="1:11" ht="12.75" customHeight="1">
      <c r="A1237" s="1505" t="s">
        <v>3163</v>
      </c>
      <c r="B1237" s="1512" t="str">
        <f t="shared" si="142"/>
        <v/>
      </c>
      <c r="C1237" s="1513" t="str">
        <f t="shared" si="142"/>
        <v>AMAMAW</v>
      </c>
      <c r="D1237" s="1513">
        <f t="shared" si="142"/>
        <v>1</v>
      </c>
      <c r="E1237" s="1514">
        <v>180</v>
      </c>
      <c r="F1237" s="1509"/>
      <c r="G1237" s="1510" t="s">
        <v>3253</v>
      </c>
      <c r="H1237" s="1515">
        <f t="shared" si="141"/>
        <v>0</v>
      </c>
      <c r="I1237" s="1178"/>
      <c r="K1237" s="1228"/>
    </row>
    <row r="1238" spans="1:11" ht="12.75" customHeight="1">
      <c r="A1238" s="1505" t="s">
        <v>3164</v>
      </c>
      <c r="B1238" s="1512" t="str">
        <f t="shared" ref="B1238:D1250" si="143">B1237</f>
        <v/>
      </c>
      <c r="C1238" s="1513" t="str">
        <f t="shared" si="143"/>
        <v>AMAMAW</v>
      </c>
      <c r="D1238" s="1513">
        <f t="shared" si="143"/>
        <v>1</v>
      </c>
      <c r="E1238" s="1514">
        <v>181</v>
      </c>
      <c r="F1238" s="1509"/>
      <c r="G1238" s="1510" t="s">
        <v>3253</v>
      </c>
      <c r="H1238" s="1515">
        <f t="shared" si="141"/>
        <v>0</v>
      </c>
      <c r="I1238" s="1178"/>
      <c r="K1238" s="1228"/>
    </row>
    <row r="1239" spans="1:11" ht="12.75" customHeight="1">
      <c r="A1239" s="1505" t="s">
        <v>3165</v>
      </c>
      <c r="B1239" s="1512" t="str">
        <f t="shared" si="143"/>
        <v/>
      </c>
      <c r="C1239" s="1513" t="str">
        <f t="shared" si="143"/>
        <v>AMAMAW</v>
      </c>
      <c r="D1239" s="1513">
        <f t="shared" si="143"/>
        <v>1</v>
      </c>
      <c r="E1239" s="1514">
        <v>182</v>
      </c>
      <c r="F1239" s="1509"/>
      <c r="G1239" s="1510" t="s">
        <v>3253</v>
      </c>
      <c r="H1239" s="1515">
        <f t="shared" si="141"/>
        <v>0</v>
      </c>
      <c r="I1239" s="1178"/>
      <c r="K1239" s="1228"/>
    </row>
    <row r="1240" spans="1:11" ht="12.75" customHeight="1">
      <c r="A1240" s="1505" t="s">
        <v>3166</v>
      </c>
      <c r="B1240" s="1512" t="str">
        <f t="shared" si="143"/>
        <v/>
      </c>
      <c r="C1240" s="1513" t="str">
        <f t="shared" si="143"/>
        <v>AMAMAW</v>
      </c>
      <c r="D1240" s="1513">
        <f t="shared" si="143"/>
        <v>1</v>
      </c>
      <c r="E1240" s="1514">
        <v>183</v>
      </c>
      <c r="F1240" s="1509"/>
      <c r="G1240" s="1510" t="s">
        <v>3253</v>
      </c>
      <c r="H1240" s="1515">
        <f t="shared" si="141"/>
        <v>0</v>
      </c>
      <c r="I1240" s="1178"/>
      <c r="K1240" s="1228"/>
    </row>
    <row r="1241" spans="1:11" ht="12.75" customHeight="1">
      <c r="A1241" s="1505" t="s">
        <v>3167</v>
      </c>
      <c r="B1241" s="1512" t="str">
        <f t="shared" si="143"/>
        <v/>
      </c>
      <c r="C1241" s="1513" t="str">
        <f t="shared" si="143"/>
        <v>AMAMAW</v>
      </c>
      <c r="D1241" s="1513">
        <f t="shared" si="143"/>
        <v>1</v>
      </c>
      <c r="E1241" s="1514">
        <v>184</v>
      </c>
      <c r="F1241" s="1509"/>
      <c r="G1241" s="1510" t="s">
        <v>3253</v>
      </c>
      <c r="H1241" s="1515">
        <f t="shared" si="141"/>
        <v>0</v>
      </c>
      <c r="I1241" s="1178"/>
      <c r="K1241" s="1228"/>
    </row>
    <row r="1242" spans="1:11" ht="12.75" customHeight="1">
      <c r="A1242" s="1505" t="s">
        <v>3168</v>
      </c>
      <c r="B1242" s="1512" t="str">
        <f t="shared" si="143"/>
        <v/>
      </c>
      <c r="C1242" s="1513" t="str">
        <f t="shared" si="143"/>
        <v>AMAMAW</v>
      </c>
      <c r="D1242" s="1513">
        <f t="shared" si="143"/>
        <v>1</v>
      </c>
      <c r="E1242" s="1514">
        <v>185</v>
      </c>
      <c r="F1242" s="1509"/>
      <c r="G1242" s="1510" t="s">
        <v>3253</v>
      </c>
      <c r="H1242" s="1515">
        <f t="shared" si="141"/>
        <v>0</v>
      </c>
      <c r="I1242" s="1178"/>
      <c r="K1242" s="1228"/>
    </row>
    <row r="1243" spans="1:11" ht="12.75" customHeight="1">
      <c r="A1243" s="1505" t="s">
        <v>3169</v>
      </c>
      <c r="B1243" s="1512" t="str">
        <f t="shared" si="143"/>
        <v/>
      </c>
      <c r="C1243" s="1513" t="str">
        <f t="shared" si="143"/>
        <v>AMAMAW</v>
      </c>
      <c r="D1243" s="1513">
        <f t="shared" si="143"/>
        <v>1</v>
      </c>
      <c r="E1243" s="1514">
        <v>186</v>
      </c>
      <c r="F1243" s="1509"/>
      <c r="G1243" s="1510" t="s">
        <v>3253</v>
      </c>
      <c r="H1243" s="1515">
        <f t="shared" si="141"/>
        <v>0</v>
      </c>
      <c r="I1243" s="1178"/>
      <c r="K1243" s="1228"/>
    </row>
    <row r="1244" spans="1:11" ht="12.75" customHeight="1">
      <c r="A1244" s="1505" t="s">
        <v>3170</v>
      </c>
      <c r="B1244" s="1512" t="str">
        <f t="shared" si="143"/>
        <v/>
      </c>
      <c r="C1244" s="1513" t="str">
        <f t="shared" si="143"/>
        <v>AMAMAW</v>
      </c>
      <c r="D1244" s="1513">
        <f t="shared" si="143"/>
        <v>1</v>
      </c>
      <c r="E1244" s="1514">
        <v>187</v>
      </c>
      <c r="F1244" s="1509"/>
      <c r="G1244" s="1510" t="s">
        <v>3253</v>
      </c>
      <c r="H1244" s="1515">
        <f t="shared" si="141"/>
        <v>0</v>
      </c>
      <c r="I1244" s="1178"/>
      <c r="K1244" s="1228"/>
    </row>
    <row r="1245" spans="1:11" ht="12.75" customHeight="1">
      <c r="A1245" s="1505" t="s">
        <v>3171</v>
      </c>
      <c r="B1245" s="1512" t="str">
        <f t="shared" si="143"/>
        <v/>
      </c>
      <c r="C1245" s="1513" t="str">
        <f t="shared" si="143"/>
        <v>AMAMAW</v>
      </c>
      <c r="D1245" s="1513">
        <f t="shared" si="143"/>
        <v>1</v>
      </c>
      <c r="E1245" s="1514">
        <v>188</v>
      </c>
      <c r="F1245" s="1509"/>
      <c r="G1245" s="1510" t="s">
        <v>3253</v>
      </c>
      <c r="H1245" s="1515">
        <f t="shared" si="141"/>
        <v>0</v>
      </c>
      <c r="I1245" s="1178"/>
      <c r="K1245" s="1228"/>
    </row>
    <row r="1246" spans="1:11" ht="12.75" customHeight="1">
      <c r="A1246" s="1505" t="s">
        <v>3172</v>
      </c>
      <c r="B1246" s="1512" t="str">
        <f t="shared" si="143"/>
        <v/>
      </c>
      <c r="C1246" s="1513" t="str">
        <f t="shared" si="143"/>
        <v>AMAMAW</v>
      </c>
      <c r="D1246" s="1513">
        <f t="shared" si="143"/>
        <v>1</v>
      </c>
      <c r="E1246" s="1514">
        <v>189</v>
      </c>
      <c r="F1246" s="1509"/>
      <c r="G1246" s="1510" t="s">
        <v>3253</v>
      </c>
      <c r="H1246" s="1515">
        <f t="shared" si="141"/>
        <v>0</v>
      </c>
      <c r="I1246" s="1178"/>
      <c r="K1246" s="1228"/>
    </row>
    <row r="1247" spans="1:11" ht="12.75" customHeight="1">
      <c r="A1247" s="1505" t="s">
        <v>3173</v>
      </c>
      <c r="B1247" s="1512" t="str">
        <f t="shared" si="143"/>
        <v/>
      </c>
      <c r="C1247" s="1513" t="str">
        <f t="shared" si="143"/>
        <v>AMAMAW</v>
      </c>
      <c r="D1247" s="1513">
        <f t="shared" si="143"/>
        <v>1</v>
      </c>
      <c r="E1247" s="1514">
        <v>190</v>
      </c>
      <c r="F1247" s="1509"/>
      <c r="G1247" s="1510" t="s">
        <v>3253</v>
      </c>
      <c r="H1247" s="1515">
        <f t="shared" si="141"/>
        <v>0</v>
      </c>
      <c r="I1247" s="1178"/>
      <c r="K1247" s="1228"/>
    </row>
    <row r="1248" spans="1:11" ht="12.75" customHeight="1">
      <c r="A1248" s="1505" t="s">
        <v>3174</v>
      </c>
      <c r="B1248" s="1512" t="str">
        <f t="shared" si="143"/>
        <v/>
      </c>
      <c r="C1248" s="1513" t="str">
        <f t="shared" si="143"/>
        <v>AMAMAW</v>
      </c>
      <c r="D1248" s="1513">
        <f t="shared" si="143"/>
        <v>1</v>
      </c>
      <c r="E1248" s="1514">
        <v>191</v>
      </c>
      <c r="F1248" s="1509"/>
      <c r="G1248" s="1510" t="s">
        <v>3253</v>
      </c>
      <c r="H1248" s="1515">
        <f t="shared" si="141"/>
        <v>0</v>
      </c>
      <c r="I1248" s="1178"/>
      <c r="K1248" s="1228"/>
    </row>
    <row r="1249" spans="1:11" ht="12.75" customHeight="1">
      <c r="A1249" s="1505" t="s">
        <v>3175</v>
      </c>
      <c r="B1249" s="1512" t="str">
        <f t="shared" si="143"/>
        <v/>
      </c>
      <c r="C1249" s="1513" t="str">
        <f t="shared" si="143"/>
        <v>AMAMAW</v>
      </c>
      <c r="D1249" s="1513">
        <f t="shared" si="143"/>
        <v>1</v>
      </c>
      <c r="E1249" s="1514">
        <v>192</v>
      </c>
      <c r="F1249" s="1509"/>
      <c r="G1249" s="1510" t="s">
        <v>3253</v>
      </c>
      <c r="H1249" s="1515">
        <f t="shared" si="141"/>
        <v>0</v>
      </c>
      <c r="I1249" s="1178"/>
      <c r="K1249" s="1228"/>
    </row>
    <row r="1250" spans="1:11" ht="12.75" customHeight="1">
      <c r="A1250" s="1505" t="s">
        <v>3176</v>
      </c>
      <c r="B1250" s="1506" t="str">
        <f t="shared" si="143"/>
        <v/>
      </c>
      <c r="C1250" s="1507" t="str">
        <f t="shared" si="143"/>
        <v>AMAMAW</v>
      </c>
      <c r="D1250" s="1507">
        <f t="shared" si="143"/>
        <v>1</v>
      </c>
      <c r="E1250" s="1508">
        <v>193</v>
      </c>
      <c r="F1250" s="1509"/>
      <c r="G1250" s="1510" t="s">
        <v>3253</v>
      </c>
      <c r="H1250" s="1510">
        <f t="shared" si="141"/>
        <v>0</v>
      </c>
      <c r="I1250" s="1178"/>
      <c r="K1250" s="1228"/>
    </row>
    <row r="1251" spans="1:11" ht="12.75" customHeight="1">
      <c r="A1251" s="1505" t="s">
        <v>3335</v>
      </c>
      <c r="B1251" s="1512" t="str">
        <f t="shared" ref="B1251:D1251" si="144">B1250</f>
        <v/>
      </c>
      <c r="C1251" s="1513" t="str">
        <f t="shared" si="144"/>
        <v>AMAMAW</v>
      </c>
      <c r="D1251" s="1513">
        <f t="shared" si="144"/>
        <v>1</v>
      </c>
      <c r="E1251" s="1514">
        <v>194</v>
      </c>
      <c r="F1251" s="1509"/>
      <c r="G1251" s="1515" t="s">
        <v>3253</v>
      </c>
      <c r="H1251" s="1515">
        <f t="shared" si="141"/>
        <v>0</v>
      </c>
      <c r="I1251" s="1517"/>
      <c r="K1251" s="1228"/>
    </row>
    <row r="1252" spans="1:11" ht="12.75" customHeight="1">
      <c r="A1252" s="1505" t="s">
        <v>3336</v>
      </c>
      <c r="B1252" s="1512" t="str">
        <f t="shared" ref="B1252:D1252" si="145">B1251</f>
        <v/>
      </c>
      <c r="C1252" s="1513" t="str">
        <f t="shared" si="145"/>
        <v>AMAMAW</v>
      </c>
      <c r="D1252" s="1513">
        <f t="shared" si="145"/>
        <v>1</v>
      </c>
      <c r="E1252" s="1514">
        <v>195</v>
      </c>
      <c r="F1252" s="1509"/>
      <c r="G1252" s="1515" t="s">
        <v>3253</v>
      </c>
      <c r="H1252" s="1515">
        <f t="shared" si="141"/>
        <v>0</v>
      </c>
      <c r="I1252" s="1517"/>
      <c r="K1252" s="1228"/>
    </row>
    <row r="1253" spans="1:11" ht="12.75" customHeight="1">
      <c r="A1253" s="1505" t="s">
        <v>3337</v>
      </c>
      <c r="B1253" s="1512" t="str">
        <f t="shared" ref="B1253:D1253" si="146">B1252</f>
        <v/>
      </c>
      <c r="C1253" s="1513" t="str">
        <f t="shared" si="146"/>
        <v>AMAMAW</v>
      </c>
      <c r="D1253" s="1513">
        <f t="shared" si="146"/>
        <v>1</v>
      </c>
      <c r="E1253" s="1514">
        <v>196</v>
      </c>
      <c r="F1253" s="1509"/>
      <c r="G1253" s="1515" t="s">
        <v>3253</v>
      </c>
      <c r="H1253" s="1515">
        <f t="shared" si="141"/>
        <v>0</v>
      </c>
      <c r="I1253" s="1517"/>
      <c r="K1253" s="1228"/>
    </row>
    <row r="1254" spans="1:11" ht="12.75" customHeight="1">
      <c r="A1254" s="1505" t="s">
        <v>3338</v>
      </c>
      <c r="B1254" s="1512" t="str">
        <f t="shared" ref="B1254:D1254" si="147">B1253</f>
        <v/>
      </c>
      <c r="C1254" s="1513" t="str">
        <f t="shared" si="147"/>
        <v>AMAMAW</v>
      </c>
      <c r="D1254" s="1513">
        <f t="shared" si="147"/>
        <v>1</v>
      </c>
      <c r="E1254" s="1514">
        <v>197</v>
      </c>
      <c r="F1254" s="1509"/>
      <c r="G1254" s="1515" t="s">
        <v>3253</v>
      </c>
      <c r="H1254" s="1515">
        <f t="shared" si="141"/>
        <v>0</v>
      </c>
      <c r="I1254" s="1517"/>
      <c r="K1254" s="1228"/>
    </row>
    <row r="1255" spans="1:11" ht="12.75" customHeight="1">
      <c r="A1255" s="1505" t="s">
        <v>3339</v>
      </c>
      <c r="B1255" s="1512" t="str">
        <f t="shared" ref="B1255:D1255" si="148">B1254</f>
        <v/>
      </c>
      <c r="C1255" s="1513" t="str">
        <f t="shared" si="148"/>
        <v>AMAMAW</v>
      </c>
      <c r="D1255" s="1513">
        <f t="shared" si="148"/>
        <v>1</v>
      </c>
      <c r="E1255" s="1514">
        <v>198</v>
      </c>
      <c r="F1255" s="1509"/>
      <c r="G1255" s="1515" t="s">
        <v>3253</v>
      </c>
      <c r="H1255" s="1515">
        <f t="shared" si="141"/>
        <v>0</v>
      </c>
      <c r="I1255" s="1517"/>
      <c r="K1255" s="1228"/>
    </row>
    <row r="1256" spans="1:11" ht="12.75" customHeight="1">
      <c r="A1256" s="1505" t="s">
        <v>3340</v>
      </c>
      <c r="B1256" s="1512" t="str">
        <f t="shared" ref="B1256:D1256" si="149">B1255</f>
        <v/>
      </c>
      <c r="C1256" s="1513" t="str">
        <f t="shared" si="149"/>
        <v>AMAMAW</v>
      </c>
      <c r="D1256" s="1513">
        <f t="shared" si="149"/>
        <v>1</v>
      </c>
      <c r="E1256" s="1514">
        <v>199</v>
      </c>
      <c r="F1256" s="1509"/>
      <c r="G1256" s="1515" t="s">
        <v>3253</v>
      </c>
      <c r="H1256" s="1515">
        <f t="shared" si="141"/>
        <v>0</v>
      </c>
      <c r="I1256" s="1517"/>
      <c r="K1256" s="1228"/>
    </row>
    <row r="1257" spans="1:11" ht="12.75" customHeight="1">
      <c r="A1257" s="1505" t="s">
        <v>3341</v>
      </c>
      <c r="B1257" s="1512" t="str">
        <f t="shared" ref="B1257:D1257" si="150">B1256</f>
        <v/>
      </c>
      <c r="C1257" s="1513" t="str">
        <f t="shared" si="150"/>
        <v>AMAMAW</v>
      </c>
      <c r="D1257" s="1513">
        <f t="shared" si="150"/>
        <v>1</v>
      </c>
      <c r="E1257" s="1514">
        <v>200</v>
      </c>
      <c r="F1257" s="1509"/>
      <c r="G1257" s="1515" t="s">
        <v>3253</v>
      </c>
      <c r="H1257" s="1515">
        <f t="shared" si="141"/>
        <v>0</v>
      </c>
      <c r="I1257" s="1517"/>
      <c r="K1257" s="1228"/>
    </row>
    <row r="1258" spans="1:11" ht="12.75" customHeight="1">
      <c r="A1258" s="1505" t="s">
        <v>3342</v>
      </c>
      <c r="B1258" s="1512" t="str">
        <f t="shared" ref="B1258:D1258" si="151">B1257</f>
        <v/>
      </c>
      <c r="C1258" s="1513" t="str">
        <f t="shared" si="151"/>
        <v>AMAMAW</v>
      </c>
      <c r="D1258" s="1513">
        <f t="shared" si="151"/>
        <v>1</v>
      </c>
      <c r="E1258" s="1514">
        <v>201</v>
      </c>
      <c r="F1258" s="1509"/>
      <c r="G1258" s="1515" t="s">
        <v>3253</v>
      </c>
      <c r="H1258" s="1515">
        <f t="shared" si="141"/>
        <v>0</v>
      </c>
      <c r="I1258" s="1517"/>
      <c r="K1258" s="1228"/>
    </row>
    <row r="1259" spans="1:11" ht="12.75" customHeight="1">
      <c r="A1259" s="1505" t="s">
        <v>3343</v>
      </c>
      <c r="B1259" s="1512" t="str">
        <f t="shared" ref="B1259:D1259" si="152">B1258</f>
        <v/>
      </c>
      <c r="C1259" s="1513" t="str">
        <f t="shared" si="152"/>
        <v>AMAMAW</v>
      </c>
      <c r="D1259" s="1513">
        <f t="shared" si="152"/>
        <v>1</v>
      </c>
      <c r="E1259" s="1514">
        <v>202</v>
      </c>
      <c r="F1259" s="1509"/>
      <c r="G1259" s="1515" t="s">
        <v>3253</v>
      </c>
      <c r="H1259" s="1515">
        <f t="shared" si="141"/>
        <v>0</v>
      </c>
      <c r="I1259" s="1517"/>
      <c r="K1259" s="1228"/>
    </row>
    <row r="1260" spans="1:11" ht="12.75" customHeight="1">
      <c r="A1260" s="1505" t="s">
        <v>3344</v>
      </c>
      <c r="B1260" s="1512" t="str">
        <f t="shared" ref="B1260:D1260" si="153">B1259</f>
        <v/>
      </c>
      <c r="C1260" s="1513" t="str">
        <f t="shared" si="153"/>
        <v>AMAMAW</v>
      </c>
      <c r="D1260" s="1513">
        <f t="shared" si="153"/>
        <v>1</v>
      </c>
      <c r="E1260" s="1514">
        <v>203</v>
      </c>
      <c r="F1260" s="1509"/>
      <c r="G1260" s="1515" t="s">
        <v>3253</v>
      </c>
      <c r="H1260" s="1515">
        <f t="shared" si="141"/>
        <v>0</v>
      </c>
      <c r="I1260" s="1517"/>
      <c r="K1260" s="1228"/>
    </row>
    <row r="1261" spans="1:11" ht="12.75" customHeight="1">
      <c r="A1261" s="1505" t="s">
        <v>3345</v>
      </c>
      <c r="B1261" s="1512" t="str">
        <f t="shared" ref="B1261:D1261" si="154">B1260</f>
        <v/>
      </c>
      <c r="C1261" s="1513" t="str">
        <f t="shared" si="154"/>
        <v>AMAMAW</v>
      </c>
      <c r="D1261" s="1513">
        <f t="shared" si="154"/>
        <v>1</v>
      </c>
      <c r="E1261" s="1514">
        <v>204</v>
      </c>
      <c r="F1261" s="1509"/>
      <c r="G1261" s="1515" t="s">
        <v>3253</v>
      </c>
      <c r="H1261" s="1515">
        <f t="shared" si="141"/>
        <v>0</v>
      </c>
      <c r="I1261" s="1517"/>
      <c r="K1261" s="1228"/>
    </row>
    <row r="1262" spans="1:11" ht="12.75" customHeight="1">
      <c r="A1262" s="1505" t="s">
        <v>3346</v>
      </c>
      <c r="B1262" s="1512" t="str">
        <f t="shared" ref="B1262:D1262" si="155">B1261</f>
        <v/>
      </c>
      <c r="C1262" s="1513" t="str">
        <f t="shared" si="155"/>
        <v>AMAMAW</v>
      </c>
      <c r="D1262" s="1513">
        <f t="shared" si="155"/>
        <v>1</v>
      </c>
      <c r="E1262" s="1514">
        <v>205</v>
      </c>
      <c r="F1262" s="1509"/>
      <c r="G1262" s="1515" t="s">
        <v>3253</v>
      </c>
      <c r="H1262" s="1515">
        <f t="shared" si="141"/>
        <v>0</v>
      </c>
      <c r="I1262" s="1517"/>
      <c r="K1262" s="1228"/>
    </row>
    <row r="1263" spans="1:11" ht="12.75" customHeight="1">
      <c r="A1263" s="1505" t="s">
        <v>3347</v>
      </c>
      <c r="B1263" s="1512" t="str">
        <f t="shared" ref="B1263:D1263" si="156">B1262</f>
        <v/>
      </c>
      <c r="C1263" s="1513" t="str">
        <f t="shared" si="156"/>
        <v>AMAMAW</v>
      </c>
      <c r="D1263" s="1513">
        <f t="shared" si="156"/>
        <v>1</v>
      </c>
      <c r="E1263" s="1514">
        <v>206</v>
      </c>
      <c r="F1263" s="1509"/>
      <c r="G1263" s="1515" t="s">
        <v>3253</v>
      </c>
      <c r="H1263" s="1515">
        <f t="shared" si="141"/>
        <v>0</v>
      </c>
      <c r="I1263" s="1517"/>
      <c r="K1263" s="1228"/>
    </row>
    <row r="1264" spans="1:11" ht="12.75" customHeight="1">
      <c r="A1264" s="1505" t="s">
        <v>3348</v>
      </c>
      <c r="B1264" s="1512" t="str">
        <f t="shared" ref="B1264:D1264" si="157">B1263</f>
        <v/>
      </c>
      <c r="C1264" s="1513" t="str">
        <f t="shared" si="157"/>
        <v>AMAMAW</v>
      </c>
      <c r="D1264" s="1513">
        <f t="shared" si="157"/>
        <v>1</v>
      </c>
      <c r="E1264" s="1514">
        <v>207</v>
      </c>
      <c r="F1264" s="1509"/>
      <c r="G1264" s="1515" t="s">
        <v>3253</v>
      </c>
      <c r="H1264" s="1515">
        <f t="shared" si="141"/>
        <v>0</v>
      </c>
      <c r="I1264" s="1517"/>
      <c r="K1264" s="1228"/>
    </row>
    <row r="1265" spans="1:11" ht="12.75" customHeight="1">
      <c r="A1265" s="1505" t="s">
        <v>3349</v>
      </c>
      <c r="B1265" s="1512" t="str">
        <f t="shared" ref="B1265:D1265" si="158">B1264</f>
        <v/>
      </c>
      <c r="C1265" s="1513" t="str">
        <f t="shared" si="158"/>
        <v>AMAMAW</v>
      </c>
      <c r="D1265" s="1513">
        <f t="shared" si="158"/>
        <v>1</v>
      </c>
      <c r="E1265" s="1514">
        <v>208</v>
      </c>
      <c r="F1265" s="1509"/>
      <c r="G1265" s="1515" t="s">
        <v>3253</v>
      </c>
      <c r="H1265" s="1515">
        <f t="shared" si="141"/>
        <v>0</v>
      </c>
      <c r="I1265" s="1517"/>
      <c r="K1265" s="1228"/>
    </row>
    <row r="1266" spans="1:11" ht="12.75" customHeight="1" thickBot="1">
      <c r="A1266" s="1505" t="s">
        <v>3350</v>
      </c>
      <c r="B1266" s="1506" t="str">
        <f t="shared" ref="B1266:D1266" si="159">B1265</f>
        <v/>
      </c>
      <c r="C1266" s="1507" t="str">
        <f t="shared" si="159"/>
        <v>AMAMAW</v>
      </c>
      <c r="D1266" s="1507">
        <f t="shared" si="159"/>
        <v>1</v>
      </c>
      <c r="E1266" s="1508">
        <v>209</v>
      </c>
      <c r="F1266" s="1509"/>
      <c r="G1266" s="1515" t="s">
        <v>3253</v>
      </c>
      <c r="H1266" s="1510">
        <f t="shared" si="141"/>
        <v>0</v>
      </c>
      <c r="I1266" s="1518"/>
      <c r="K1266" s="1228"/>
    </row>
    <row r="1267" spans="1:11" ht="13.5" thickBot="1">
      <c r="A1267" s="956" t="s">
        <v>586</v>
      </c>
      <c r="B1267" s="1140" t="str">
        <f>B1148</f>
        <v/>
      </c>
      <c r="C1267" s="823" t="s">
        <v>1553</v>
      </c>
      <c r="D1267" s="823">
        <v>1</v>
      </c>
      <c r="E1267" s="1039" t="s">
        <v>341</v>
      </c>
      <c r="F1267" s="823" t="s">
        <v>1637</v>
      </c>
      <c r="G1267" s="1003">
        <v>0</v>
      </c>
      <c r="H1267" s="989">
        <f>H1148</f>
        <v>0</v>
      </c>
      <c r="I1267" s="1178"/>
      <c r="K1267" s="957" t="s">
        <v>1341</v>
      </c>
    </row>
    <row r="1268" spans="1:11">
      <c r="A1268" s="956" t="s">
        <v>1664</v>
      </c>
      <c r="B1268" s="1190" t="str">
        <f>t_smpl!B14</f>
        <v/>
      </c>
      <c r="C1268" s="1000" t="s">
        <v>1553</v>
      </c>
      <c r="D1268" s="1000">
        <v>1</v>
      </c>
      <c r="E1268" s="1007">
        <v>1</v>
      </c>
      <c r="F1268" s="999" t="s">
        <v>1637</v>
      </c>
      <c r="G1268" s="1002">
        <v>0</v>
      </c>
      <c r="H1268" s="1006">
        <f t="shared" si="135"/>
        <v>0</v>
      </c>
      <c r="I1268" s="1191"/>
    </row>
    <row r="1269" spans="1:11">
      <c r="A1269" s="956" t="s">
        <v>351</v>
      </c>
      <c r="B1269" s="1140" t="str">
        <f t="shared" ref="B1269:B1332" si="160">B1268</f>
        <v/>
      </c>
      <c r="C1269" s="823" t="s">
        <v>1553</v>
      </c>
      <c r="D1269" s="823">
        <v>1</v>
      </c>
      <c r="E1269" s="1001">
        <v>2</v>
      </c>
      <c r="F1269" s="824" t="str">
        <f>IF(t_smpl!Z14="COMP","ISPC","OSPC")</f>
        <v>ISPC</v>
      </c>
      <c r="G1269" s="1003">
        <v>0</v>
      </c>
      <c r="H1269" s="989">
        <f t="shared" si="135"/>
        <v>0</v>
      </c>
      <c r="I1269" s="1178"/>
    </row>
    <row r="1270" spans="1:11">
      <c r="A1270" s="956" t="s">
        <v>1665</v>
      </c>
      <c r="B1270" s="1140" t="str">
        <f t="shared" si="160"/>
        <v/>
      </c>
      <c r="C1270" s="823" t="s">
        <v>1553</v>
      </c>
      <c r="D1270" s="823">
        <v>1</v>
      </c>
      <c r="E1270" s="1001">
        <v>3</v>
      </c>
      <c r="F1270" s="824" t="s">
        <v>1637</v>
      </c>
      <c r="G1270" s="1003">
        <v>0</v>
      </c>
      <c r="H1270" s="989">
        <f t="shared" si="135"/>
        <v>0</v>
      </c>
      <c r="I1270" s="1178"/>
    </row>
    <row r="1271" spans="1:11">
      <c r="A1271" s="956" t="s">
        <v>709</v>
      </c>
      <c r="B1271" s="1140" t="str">
        <f t="shared" si="160"/>
        <v/>
      </c>
      <c r="C1271" s="823" t="s">
        <v>1553</v>
      </c>
      <c r="D1271" s="823">
        <v>1</v>
      </c>
      <c r="E1271" s="1001">
        <v>4</v>
      </c>
      <c r="F1271" s="828" t="s">
        <v>1637</v>
      </c>
      <c r="G1271" s="1004">
        <v>0</v>
      </c>
      <c r="H1271" s="989">
        <f t="shared" si="135"/>
        <v>0</v>
      </c>
      <c r="I1271" s="1178"/>
    </row>
    <row r="1272" spans="1:11">
      <c r="A1272" s="956" t="s">
        <v>710</v>
      </c>
      <c r="B1272" s="1140" t="str">
        <f t="shared" si="160"/>
        <v/>
      </c>
      <c r="C1272" s="823" t="s">
        <v>1553</v>
      </c>
      <c r="D1272" s="823">
        <v>1</v>
      </c>
      <c r="E1272" s="1001">
        <v>5</v>
      </c>
      <c r="F1272" s="828" t="s">
        <v>1637</v>
      </c>
      <c r="G1272" s="1004">
        <v>0</v>
      </c>
      <c r="H1272" s="989">
        <f t="shared" si="135"/>
        <v>0</v>
      </c>
      <c r="I1272" s="1178"/>
    </row>
    <row r="1273" spans="1:11">
      <c r="A1273" s="956" t="s">
        <v>711</v>
      </c>
      <c r="B1273" s="1140" t="str">
        <f t="shared" si="160"/>
        <v/>
      </c>
      <c r="C1273" s="823" t="s">
        <v>1553</v>
      </c>
      <c r="D1273" s="823">
        <v>1</v>
      </c>
      <c r="E1273" s="1001">
        <v>6</v>
      </c>
      <c r="F1273" s="828" t="s">
        <v>1637</v>
      </c>
      <c r="G1273" s="1004">
        <v>0</v>
      </c>
      <c r="H1273" s="989">
        <f t="shared" si="135"/>
        <v>0</v>
      </c>
      <c r="I1273" s="1178"/>
    </row>
    <row r="1274" spans="1:11">
      <c r="A1274" s="956" t="s">
        <v>712</v>
      </c>
      <c r="B1274" s="1140" t="str">
        <f t="shared" si="160"/>
        <v/>
      </c>
      <c r="C1274" s="823" t="s">
        <v>1553</v>
      </c>
      <c r="D1274" s="823">
        <v>1</v>
      </c>
      <c r="E1274" s="1001">
        <v>7</v>
      </c>
      <c r="F1274" s="828" t="s">
        <v>1637</v>
      </c>
      <c r="G1274" s="1004">
        <v>0</v>
      </c>
      <c r="H1274" s="989">
        <f t="shared" si="135"/>
        <v>0</v>
      </c>
      <c r="I1274" s="1178"/>
    </row>
    <row r="1275" spans="1:11">
      <c r="A1275" s="956" t="s">
        <v>713</v>
      </c>
      <c r="B1275" s="1140" t="str">
        <f t="shared" si="160"/>
        <v/>
      </c>
      <c r="C1275" s="823" t="s">
        <v>1553</v>
      </c>
      <c r="D1275" s="823">
        <v>1</v>
      </c>
      <c r="E1275" s="1001">
        <v>8</v>
      </c>
      <c r="F1275" s="824">
        <f>'Pay Values'!I3</f>
        <v>0</v>
      </c>
      <c r="G1275" s="1003">
        <v>0</v>
      </c>
      <c r="H1275" s="989">
        <f t="shared" si="135"/>
        <v>0</v>
      </c>
      <c r="I1275" s="1178"/>
    </row>
    <row r="1276" spans="1:11" ht="13.5" thickBot="1">
      <c r="A1276" s="956" t="s">
        <v>714</v>
      </c>
      <c r="B1276" s="1140" t="str">
        <f t="shared" si="160"/>
        <v/>
      </c>
      <c r="C1276" s="823" t="s">
        <v>1553</v>
      </c>
      <c r="D1276" s="823">
        <v>1</v>
      </c>
      <c r="E1276" s="1001">
        <v>9</v>
      </c>
      <c r="F1276" s="823" t="s">
        <v>1637</v>
      </c>
      <c r="G1276" s="1003">
        <v>0</v>
      </c>
      <c r="H1276" s="989">
        <f t="shared" si="135"/>
        <v>0</v>
      </c>
      <c r="I1276" s="1178"/>
    </row>
    <row r="1277" spans="1:11" ht="13.5" thickBot="1">
      <c r="A1277" s="956" t="s">
        <v>715</v>
      </c>
      <c r="B1277" s="1140" t="str">
        <f t="shared" si="160"/>
        <v/>
      </c>
      <c r="C1277" s="823" t="s">
        <v>1553</v>
      </c>
      <c r="D1277" s="823">
        <v>1</v>
      </c>
      <c r="E1277" s="1001">
        <v>10</v>
      </c>
      <c r="F1277" s="823" t="s">
        <v>1637</v>
      </c>
      <c r="G1277" s="981" t="e">
        <f ca="1">INDIRECT("'Superpave'!"&amp;CHAR(81+'Super Verify'!B12)&amp;"9")</f>
        <v>#VALUE!</v>
      </c>
      <c r="H1277" s="989">
        <f t="shared" si="135"/>
        <v>0</v>
      </c>
      <c r="I1277" s="1178"/>
      <c r="K1277" s="960" t="s">
        <v>1827</v>
      </c>
    </row>
    <row r="1278" spans="1:11">
      <c r="A1278" s="956" t="s">
        <v>716</v>
      </c>
      <c r="B1278" s="1140" t="str">
        <f t="shared" si="160"/>
        <v/>
      </c>
      <c r="C1278" s="823" t="s">
        <v>1553</v>
      </c>
      <c r="D1278" s="823">
        <v>1</v>
      </c>
      <c r="E1278" s="1001">
        <v>11</v>
      </c>
      <c r="F1278" s="959" t="str">
        <f>Superpave!N3</f>
        <v/>
      </c>
      <c r="G1278" s="1003">
        <v>0</v>
      </c>
      <c r="H1278" s="989">
        <f t="shared" si="135"/>
        <v>0</v>
      </c>
      <c r="I1278" s="1178"/>
    </row>
    <row r="1279" spans="1:11">
      <c r="A1279" s="956" t="s">
        <v>719</v>
      </c>
      <c r="B1279" s="1140" t="str">
        <f t="shared" si="160"/>
        <v/>
      </c>
      <c r="C1279" s="823" t="s">
        <v>1553</v>
      </c>
      <c r="D1279" s="823">
        <v>1</v>
      </c>
      <c r="E1279" s="1001">
        <v>12</v>
      </c>
      <c r="F1279" s="824" t="str">
        <f>Superpave!N4</f>
        <v/>
      </c>
      <c r="G1279" s="1003">
        <v>0</v>
      </c>
      <c r="H1279" s="989">
        <f t="shared" si="135"/>
        <v>0</v>
      </c>
      <c r="I1279" s="1178"/>
    </row>
    <row r="1280" spans="1:11">
      <c r="A1280" s="956" t="s">
        <v>720</v>
      </c>
      <c r="B1280" s="1140" t="str">
        <f t="shared" si="160"/>
        <v/>
      </c>
      <c r="C1280" s="823" t="s">
        <v>1553</v>
      </c>
      <c r="D1280" s="823">
        <v>1</v>
      </c>
      <c r="E1280" s="1001">
        <v>13</v>
      </c>
      <c r="F1280" s="824" t="str">
        <f>Superpave!N5</f>
        <v/>
      </c>
      <c r="G1280" s="1003">
        <v>0</v>
      </c>
      <c r="H1280" s="989">
        <f t="shared" si="135"/>
        <v>0</v>
      </c>
      <c r="I1280" s="1178"/>
    </row>
    <row r="1281" spans="1:11">
      <c r="A1281" s="956" t="s">
        <v>721</v>
      </c>
      <c r="B1281" s="1140" t="str">
        <f t="shared" si="160"/>
        <v/>
      </c>
      <c r="C1281" s="823" t="s">
        <v>1553</v>
      </c>
      <c r="D1281" s="823">
        <v>1</v>
      </c>
      <c r="E1281" s="1001">
        <v>14</v>
      </c>
      <c r="F1281" s="824" t="str">
        <f>Superpave!N6</f>
        <v/>
      </c>
      <c r="G1281" s="1003">
        <v>0</v>
      </c>
      <c r="H1281" s="989">
        <f t="shared" si="135"/>
        <v>0</v>
      </c>
      <c r="I1281" s="1178"/>
    </row>
    <row r="1282" spans="1:11">
      <c r="A1282" s="956" t="s">
        <v>722</v>
      </c>
      <c r="B1282" s="1140" t="str">
        <f t="shared" si="160"/>
        <v/>
      </c>
      <c r="C1282" s="823" t="s">
        <v>1553</v>
      </c>
      <c r="D1282" s="823">
        <v>1</v>
      </c>
      <c r="E1282" s="1001">
        <v>15</v>
      </c>
      <c r="F1282" s="824" t="str">
        <f>Superpave!N7</f>
        <v/>
      </c>
      <c r="G1282" s="1003">
        <v>0</v>
      </c>
      <c r="H1282" s="989">
        <f t="shared" si="135"/>
        <v>0</v>
      </c>
      <c r="I1282" s="1178"/>
      <c r="K1282" s="885"/>
    </row>
    <row r="1283" spans="1:11">
      <c r="A1283" s="956" t="s">
        <v>723</v>
      </c>
      <c r="B1283" s="1140" t="str">
        <f t="shared" si="160"/>
        <v/>
      </c>
      <c r="C1283" s="823" t="s">
        <v>1553</v>
      </c>
      <c r="D1283" s="823">
        <v>1</v>
      </c>
      <c r="E1283" s="1001">
        <v>16</v>
      </c>
      <c r="F1283" s="824" t="str">
        <f>Superpave!N8</f>
        <v/>
      </c>
      <c r="G1283" s="1003">
        <v>0</v>
      </c>
      <c r="H1283" s="989">
        <f t="shared" si="135"/>
        <v>0</v>
      </c>
      <c r="I1283" s="1178"/>
      <c r="J1283" s="885"/>
    </row>
    <row r="1284" spans="1:11">
      <c r="A1284" s="956" t="s">
        <v>724</v>
      </c>
      <c r="B1284" s="1140" t="str">
        <f t="shared" si="160"/>
        <v/>
      </c>
      <c r="C1284" s="823" t="s">
        <v>1553</v>
      </c>
      <c r="D1284" s="823">
        <v>1</v>
      </c>
      <c r="E1284" s="1001">
        <v>17</v>
      </c>
      <c r="F1284" s="824" t="str">
        <f>Superpave!O3</f>
        <v/>
      </c>
      <c r="G1284" s="1003">
        <v>0</v>
      </c>
      <c r="H1284" s="989">
        <f t="shared" si="135"/>
        <v>0</v>
      </c>
      <c r="I1284" s="1178"/>
      <c r="K1284" s="885"/>
    </row>
    <row r="1285" spans="1:11">
      <c r="A1285" s="956" t="s">
        <v>725</v>
      </c>
      <c r="B1285" s="1140" t="str">
        <f t="shared" si="160"/>
        <v/>
      </c>
      <c r="C1285" s="823" t="s">
        <v>1553</v>
      </c>
      <c r="D1285" s="823">
        <v>1</v>
      </c>
      <c r="E1285" s="1001">
        <v>18</v>
      </c>
      <c r="F1285" s="824" t="str">
        <f>Superpave!O4</f>
        <v/>
      </c>
      <c r="G1285" s="1003">
        <v>0</v>
      </c>
      <c r="H1285" s="989">
        <f t="shared" si="135"/>
        <v>0</v>
      </c>
      <c r="I1285" s="1178"/>
    </row>
    <row r="1286" spans="1:11">
      <c r="A1286" s="956" t="s">
        <v>785</v>
      </c>
      <c r="B1286" s="1140" t="str">
        <f t="shared" si="160"/>
        <v/>
      </c>
      <c r="C1286" s="823" t="s">
        <v>1553</v>
      </c>
      <c r="D1286" s="823">
        <v>1</v>
      </c>
      <c r="E1286" s="1001">
        <v>19</v>
      </c>
      <c r="F1286" s="824" t="str">
        <f>Superpave!O5</f>
        <v/>
      </c>
      <c r="G1286" s="1003">
        <v>0</v>
      </c>
      <c r="H1286" s="989">
        <f t="shared" si="135"/>
        <v>0</v>
      </c>
      <c r="I1286" s="1178"/>
      <c r="K1286" s="885"/>
    </row>
    <row r="1287" spans="1:11">
      <c r="A1287" s="956" t="s">
        <v>786</v>
      </c>
      <c r="B1287" s="1140" t="str">
        <f t="shared" si="160"/>
        <v/>
      </c>
      <c r="C1287" s="823" t="s">
        <v>1553</v>
      </c>
      <c r="D1287" s="823">
        <v>1</v>
      </c>
      <c r="E1287" s="1001">
        <v>20</v>
      </c>
      <c r="F1287" s="824" t="str">
        <f>Superpave!O6</f>
        <v/>
      </c>
      <c r="G1287" s="1003">
        <v>0</v>
      </c>
      <c r="H1287" s="989">
        <f t="shared" si="135"/>
        <v>0</v>
      </c>
      <c r="I1287" s="1178"/>
      <c r="K1287" s="885"/>
    </row>
    <row r="1288" spans="1:11">
      <c r="A1288" s="956" t="s">
        <v>787</v>
      </c>
      <c r="B1288" s="1140" t="str">
        <f t="shared" si="160"/>
        <v/>
      </c>
      <c r="C1288" s="823" t="s">
        <v>1553</v>
      </c>
      <c r="D1288" s="823">
        <v>1</v>
      </c>
      <c r="E1288" s="1001">
        <v>21</v>
      </c>
      <c r="F1288" s="824" t="str">
        <f>Superpave!O7</f>
        <v/>
      </c>
      <c r="G1288" s="1003">
        <v>0</v>
      </c>
      <c r="H1288" s="989">
        <f t="shared" si="135"/>
        <v>0</v>
      </c>
      <c r="I1288" s="1178"/>
    </row>
    <row r="1289" spans="1:11" ht="13.5" thickBot="1">
      <c r="A1289" s="956" t="s">
        <v>1755</v>
      </c>
      <c r="B1289" s="1140" t="str">
        <f t="shared" si="160"/>
        <v/>
      </c>
      <c r="C1289" s="823" t="s">
        <v>1553</v>
      </c>
      <c r="D1289" s="823">
        <v>1</v>
      </c>
      <c r="E1289" s="1001">
        <v>22</v>
      </c>
      <c r="F1289" s="824" t="str">
        <f>Superpave!O8</f>
        <v/>
      </c>
      <c r="G1289" s="1003">
        <v>0</v>
      </c>
      <c r="H1289" s="989">
        <f t="shared" si="135"/>
        <v>0</v>
      </c>
      <c r="I1289" s="1178"/>
      <c r="K1289" s="958"/>
    </row>
    <row r="1290" spans="1:11" ht="13.5" thickBot="1">
      <c r="A1290" s="956" t="s">
        <v>1756</v>
      </c>
      <c r="B1290" s="1140" t="str">
        <f t="shared" si="160"/>
        <v/>
      </c>
      <c r="C1290" s="823" t="s">
        <v>1553</v>
      </c>
      <c r="D1290" s="823">
        <v>1</v>
      </c>
      <c r="E1290" s="1001">
        <v>23</v>
      </c>
      <c r="F1290" s="823" t="s">
        <v>1637</v>
      </c>
      <c r="G1290" s="980" t="e">
        <f ca="1">INDIRECT("'Superpave'!"&amp;CHAR(81+'Super Verify'!B12)&amp;"3")</f>
        <v>#VALUE!</v>
      </c>
      <c r="H1290" s="989">
        <f t="shared" si="135"/>
        <v>0</v>
      </c>
      <c r="I1290" s="1178"/>
      <c r="K1290" s="960" t="s">
        <v>1827</v>
      </c>
    </row>
    <row r="1291" spans="1:11" ht="13.5" thickBot="1">
      <c r="A1291" s="956" t="s">
        <v>1757</v>
      </c>
      <c r="B1291" s="1163" t="str">
        <f t="shared" si="160"/>
        <v/>
      </c>
      <c r="C1291" s="875" t="s">
        <v>1553</v>
      </c>
      <c r="D1291" s="875">
        <v>1</v>
      </c>
      <c r="E1291" s="1001">
        <v>24</v>
      </c>
      <c r="F1291" s="823" t="s">
        <v>1637</v>
      </c>
      <c r="G1291" s="980" t="e">
        <f ca="1">INDIRECT("'Superpave'!"&amp;CHAR(81+'Super Verify'!B12)&amp;"4")</f>
        <v>#VALUE!</v>
      </c>
      <c r="H1291" s="989">
        <f t="shared" si="135"/>
        <v>0</v>
      </c>
      <c r="I1291" s="1192"/>
      <c r="K1291" s="960" t="s">
        <v>1827</v>
      </c>
    </row>
    <row r="1292" spans="1:11" ht="13.5" thickBot="1">
      <c r="A1292" s="956" t="s">
        <v>1758</v>
      </c>
      <c r="B1292" s="1140" t="str">
        <f t="shared" si="160"/>
        <v/>
      </c>
      <c r="C1292" s="823" t="s">
        <v>1553</v>
      </c>
      <c r="D1292" s="823">
        <v>1</v>
      </c>
      <c r="E1292" s="1001">
        <v>25</v>
      </c>
      <c r="F1292" s="823" t="s">
        <v>1637</v>
      </c>
      <c r="G1292" s="980" t="e">
        <f ca="1">INDIRECT("'Superpave'!"&amp;CHAR(81+'Super Verify'!B12)&amp;"5")</f>
        <v>#VALUE!</v>
      </c>
      <c r="H1292" s="989">
        <f t="shared" si="135"/>
        <v>0</v>
      </c>
      <c r="I1292" s="1178"/>
      <c r="K1292" s="960" t="s">
        <v>1827</v>
      </c>
    </row>
    <row r="1293" spans="1:11" ht="13.5" thickBot="1">
      <c r="A1293" s="956" t="s">
        <v>1759</v>
      </c>
      <c r="B1293" s="1140" t="str">
        <f t="shared" si="160"/>
        <v/>
      </c>
      <c r="C1293" s="823" t="s">
        <v>1553</v>
      </c>
      <c r="D1293" s="823">
        <v>1</v>
      </c>
      <c r="E1293" s="1001">
        <v>26</v>
      </c>
      <c r="F1293" s="823" t="s">
        <v>1637</v>
      </c>
      <c r="G1293" s="980" t="e">
        <f ca="1">INDIRECT("'Superpave'!"&amp;CHAR(81+'Super Verify'!B12)&amp;"6")</f>
        <v>#VALUE!</v>
      </c>
      <c r="H1293" s="989">
        <f t="shared" ref="H1293:H1356" si="161">H1292</f>
        <v>0</v>
      </c>
      <c r="I1293" s="1178"/>
      <c r="K1293" s="960" t="s">
        <v>1827</v>
      </c>
    </row>
    <row r="1294" spans="1:11" ht="13.5" thickBot="1">
      <c r="A1294" s="956" t="s">
        <v>1760</v>
      </c>
      <c r="B1294" s="1140" t="str">
        <f t="shared" si="160"/>
        <v/>
      </c>
      <c r="C1294" s="823" t="s">
        <v>1553</v>
      </c>
      <c r="D1294" s="823">
        <v>1</v>
      </c>
      <c r="E1294" s="1001">
        <v>27</v>
      </c>
      <c r="F1294" s="823" t="s">
        <v>1637</v>
      </c>
      <c r="G1294" s="980" t="e">
        <f ca="1">INDIRECT("'Superpave'!"&amp;CHAR(81+'Super Verify'!B12)&amp;"7")</f>
        <v>#VALUE!</v>
      </c>
      <c r="H1294" s="989">
        <f t="shared" si="161"/>
        <v>0</v>
      </c>
      <c r="I1294" s="1178"/>
      <c r="K1294" s="960" t="s">
        <v>1827</v>
      </c>
    </row>
    <row r="1295" spans="1:11" ht="13.5" thickBot="1">
      <c r="A1295" s="956" t="s">
        <v>1761</v>
      </c>
      <c r="B1295" s="1140" t="str">
        <f t="shared" si="160"/>
        <v/>
      </c>
      <c r="C1295" s="823" t="s">
        <v>1553</v>
      </c>
      <c r="D1295" s="823">
        <v>1</v>
      </c>
      <c r="E1295" s="1001">
        <v>28</v>
      </c>
      <c r="F1295" s="823" t="s">
        <v>1637</v>
      </c>
      <c r="G1295" s="980" t="e">
        <f ca="1">INDIRECT("'Superpave'!"&amp;CHAR(81+'Super Verify'!B12)&amp;"8")</f>
        <v>#VALUE!</v>
      </c>
      <c r="H1295" s="989">
        <f t="shared" si="161"/>
        <v>0</v>
      </c>
      <c r="I1295" s="1178"/>
      <c r="K1295" s="960" t="s">
        <v>1827</v>
      </c>
    </row>
    <row r="1296" spans="1:11" ht="13.5" thickBot="1">
      <c r="A1296" s="956" t="s">
        <v>1762</v>
      </c>
      <c r="B1296" s="1140" t="str">
        <f t="shared" si="160"/>
        <v/>
      </c>
      <c r="C1296" s="823" t="s">
        <v>1553</v>
      </c>
      <c r="D1296" s="823">
        <v>1</v>
      </c>
      <c r="E1296" s="1001">
        <v>29</v>
      </c>
      <c r="F1296" s="823" t="s">
        <v>1637</v>
      </c>
      <c r="G1296" s="981">
        <f>Superpave!Q3</f>
        <v>0</v>
      </c>
      <c r="H1296" s="989">
        <f t="shared" si="161"/>
        <v>0</v>
      </c>
      <c r="I1296" s="1178"/>
      <c r="K1296" s="960" t="s">
        <v>1827</v>
      </c>
    </row>
    <row r="1297" spans="1:11" ht="13.5" thickBot="1">
      <c r="A1297" s="956" t="s">
        <v>1763</v>
      </c>
      <c r="B1297" s="1140" t="str">
        <f t="shared" si="160"/>
        <v/>
      </c>
      <c r="C1297" s="823" t="s">
        <v>1553</v>
      </c>
      <c r="D1297" s="823">
        <v>1</v>
      </c>
      <c r="E1297" s="1001">
        <v>30</v>
      </c>
      <c r="F1297" s="823" t="s">
        <v>1637</v>
      </c>
      <c r="G1297" s="981">
        <f>Superpave!Q4</f>
        <v>0</v>
      </c>
      <c r="H1297" s="989">
        <f t="shared" si="161"/>
        <v>0</v>
      </c>
      <c r="I1297" s="1178"/>
      <c r="K1297" s="960" t="s">
        <v>1827</v>
      </c>
    </row>
    <row r="1298" spans="1:11" ht="13.5" thickBot="1">
      <c r="A1298" s="956" t="s">
        <v>1764</v>
      </c>
      <c r="B1298" s="1140" t="str">
        <f t="shared" si="160"/>
        <v/>
      </c>
      <c r="C1298" s="823" t="s">
        <v>1553</v>
      </c>
      <c r="D1298" s="823">
        <v>1</v>
      </c>
      <c r="E1298" s="1001">
        <v>31</v>
      </c>
      <c r="F1298" s="823" t="s">
        <v>1637</v>
      </c>
      <c r="G1298" s="981">
        <f>Superpave!Q5</f>
        <v>0</v>
      </c>
      <c r="H1298" s="989">
        <f t="shared" si="161"/>
        <v>0</v>
      </c>
      <c r="I1298" s="1178"/>
      <c r="K1298" s="960" t="s">
        <v>1827</v>
      </c>
    </row>
    <row r="1299" spans="1:11" ht="13.5" thickBot="1">
      <c r="A1299" s="956" t="s">
        <v>1765</v>
      </c>
      <c r="B1299" s="1140" t="str">
        <f t="shared" si="160"/>
        <v/>
      </c>
      <c r="C1299" s="823" t="s">
        <v>1553</v>
      </c>
      <c r="D1299" s="823">
        <v>1</v>
      </c>
      <c r="E1299" s="1001">
        <v>32</v>
      </c>
      <c r="F1299" s="823" t="s">
        <v>1637</v>
      </c>
      <c r="G1299" s="981">
        <f>Superpave!Q6</f>
        <v>0</v>
      </c>
      <c r="H1299" s="989">
        <f t="shared" si="161"/>
        <v>0</v>
      </c>
      <c r="I1299" s="1178"/>
      <c r="J1299" s="885"/>
      <c r="K1299" s="960" t="s">
        <v>1827</v>
      </c>
    </row>
    <row r="1300" spans="1:11" ht="13.5" thickBot="1">
      <c r="A1300" s="956" t="s">
        <v>1766</v>
      </c>
      <c r="B1300" s="1140" t="str">
        <f t="shared" si="160"/>
        <v/>
      </c>
      <c r="C1300" s="823" t="s">
        <v>1553</v>
      </c>
      <c r="D1300" s="823">
        <v>1</v>
      </c>
      <c r="E1300" s="1001">
        <v>33</v>
      </c>
      <c r="F1300" s="823" t="s">
        <v>1637</v>
      </c>
      <c r="G1300" s="981">
        <f>Superpave!Q7</f>
        <v>0</v>
      </c>
      <c r="H1300" s="989">
        <f t="shared" si="161"/>
        <v>0</v>
      </c>
      <c r="I1300" s="1178"/>
      <c r="K1300" s="960" t="s">
        <v>1827</v>
      </c>
    </row>
    <row r="1301" spans="1:11" ht="13.5" thickBot="1">
      <c r="A1301" s="956" t="s">
        <v>1767</v>
      </c>
      <c r="B1301" s="1140" t="str">
        <f t="shared" si="160"/>
        <v/>
      </c>
      <c r="C1301" s="823" t="s">
        <v>1553</v>
      </c>
      <c r="D1301" s="823">
        <v>1</v>
      </c>
      <c r="E1301" s="1001">
        <v>34</v>
      </c>
      <c r="F1301" s="823" t="s">
        <v>1637</v>
      </c>
      <c r="G1301" s="981">
        <f>Superpave!Q8</f>
        <v>0</v>
      </c>
      <c r="H1301" s="989">
        <f t="shared" si="161"/>
        <v>0</v>
      </c>
      <c r="I1301" s="1178"/>
      <c r="K1301" s="960" t="s">
        <v>1827</v>
      </c>
    </row>
    <row r="1302" spans="1:11" ht="13.5" thickBot="1">
      <c r="A1302" s="956" t="s">
        <v>1768</v>
      </c>
      <c r="B1302" s="1140" t="str">
        <f t="shared" si="160"/>
        <v/>
      </c>
      <c r="C1302" s="823" t="s">
        <v>1553</v>
      </c>
      <c r="D1302" s="823">
        <v>1</v>
      </c>
      <c r="E1302" s="1001">
        <v>35</v>
      </c>
      <c r="F1302" s="823" t="s">
        <v>1637</v>
      </c>
      <c r="G1302" s="1003">
        <v>0</v>
      </c>
      <c r="H1302" s="989">
        <f t="shared" si="161"/>
        <v>0</v>
      </c>
      <c r="I1302" s="1178"/>
    </row>
    <row r="1303" spans="1:11" ht="13.5" thickBot="1">
      <c r="A1303" s="956" t="s">
        <v>1769</v>
      </c>
      <c r="B1303" s="1140" t="str">
        <f t="shared" si="160"/>
        <v/>
      </c>
      <c r="C1303" s="823" t="s">
        <v>1553</v>
      </c>
      <c r="D1303" s="823">
        <v>1</v>
      </c>
      <c r="E1303" s="1001">
        <v>36</v>
      </c>
      <c r="F1303" s="823" t="s">
        <v>1637</v>
      </c>
      <c r="G1303" s="982" t="e">
        <f ca="1">INDIRECT("'Superpave'!I"&amp;'Super Verify'!B12+2)</f>
        <v>#VALUE!</v>
      </c>
      <c r="H1303" s="989">
        <f t="shared" si="161"/>
        <v>0</v>
      </c>
      <c r="I1303" s="1178"/>
      <c r="K1303" s="960" t="s">
        <v>1827</v>
      </c>
    </row>
    <row r="1304" spans="1:11" ht="13.5" thickBot="1">
      <c r="A1304" s="956" t="s">
        <v>1770</v>
      </c>
      <c r="B1304" s="1140" t="str">
        <f t="shared" si="160"/>
        <v/>
      </c>
      <c r="C1304" s="823" t="s">
        <v>1553</v>
      </c>
      <c r="D1304" s="823">
        <v>1</v>
      </c>
      <c r="E1304" s="1001">
        <v>37</v>
      </c>
      <c r="F1304" s="823" t="s">
        <v>1637</v>
      </c>
      <c r="G1304" s="983" t="e">
        <f ca="1">INDIRECT("'Superpave'!J"&amp;'Super Verify'!B12+2)</f>
        <v>#VALUE!</v>
      </c>
      <c r="H1304" s="989">
        <f t="shared" si="161"/>
        <v>0</v>
      </c>
      <c r="I1304" s="1178"/>
      <c r="K1304" s="960" t="s">
        <v>1827</v>
      </c>
    </row>
    <row r="1305" spans="1:11" ht="13.5" thickBot="1">
      <c r="A1305" s="956" t="s">
        <v>1771</v>
      </c>
      <c r="B1305" s="1140" t="str">
        <f t="shared" si="160"/>
        <v/>
      </c>
      <c r="C1305" s="823" t="s">
        <v>1553</v>
      </c>
      <c r="D1305" s="823">
        <v>1</v>
      </c>
      <c r="E1305" s="1001">
        <v>38</v>
      </c>
      <c r="F1305" s="992" t="e">
        <f ca="1">INDIRECT("'Superpave'!K"&amp;'Super Verify'!B12+2)</f>
        <v>#VALUE!</v>
      </c>
      <c r="G1305" s="1005">
        <v>0</v>
      </c>
      <c r="H1305" s="989">
        <f t="shared" si="161"/>
        <v>0</v>
      </c>
      <c r="I1305" s="1178"/>
      <c r="K1305" s="960" t="s">
        <v>1827</v>
      </c>
    </row>
    <row r="1306" spans="1:11" ht="13.5" thickBot="1">
      <c r="A1306" s="956" t="s">
        <v>1772</v>
      </c>
      <c r="B1306" s="1140" t="str">
        <f t="shared" si="160"/>
        <v/>
      </c>
      <c r="C1306" s="823" t="s">
        <v>1553</v>
      </c>
      <c r="D1306" s="823">
        <v>1</v>
      </c>
      <c r="E1306" s="1001">
        <v>39</v>
      </c>
      <c r="F1306" s="823" t="s">
        <v>1637</v>
      </c>
      <c r="G1306" s="981" t="e">
        <f ca="1">INDIRECT("'Superpave'!L"&amp;'Super Verify'!B12+2)</f>
        <v>#VALUE!</v>
      </c>
      <c r="H1306" s="989">
        <f t="shared" si="161"/>
        <v>0</v>
      </c>
      <c r="I1306" s="1178"/>
      <c r="K1306" s="960" t="s">
        <v>1827</v>
      </c>
    </row>
    <row r="1307" spans="1:11">
      <c r="A1307" s="956" t="s">
        <v>1773</v>
      </c>
      <c r="B1307" s="1163" t="str">
        <f t="shared" si="160"/>
        <v/>
      </c>
      <c r="C1307" s="875" t="s">
        <v>1553</v>
      </c>
      <c r="D1307" s="875">
        <v>1</v>
      </c>
      <c r="E1307" s="1001">
        <v>40</v>
      </c>
      <c r="F1307" s="823" t="s">
        <v>1637</v>
      </c>
      <c r="G1307" s="1003">
        <v>0</v>
      </c>
      <c r="H1307" s="989">
        <f t="shared" si="161"/>
        <v>0</v>
      </c>
      <c r="I1307" s="1192"/>
      <c r="K1307" s="885"/>
    </row>
    <row r="1308" spans="1:11">
      <c r="A1308" s="956" t="s">
        <v>1774</v>
      </c>
      <c r="B1308" s="1140" t="str">
        <f t="shared" si="160"/>
        <v/>
      </c>
      <c r="C1308" s="823" t="s">
        <v>1553</v>
      </c>
      <c r="D1308" s="823">
        <v>1</v>
      </c>
      <c r="E1308" s="1001">
        <v>41</v>
      </c>
      <c r="F1308" s="824" t="str">
        <f>Calculations!AU34</f>
        <v/>
      </c>
      <c r="G1308" s="1003">
        <v>0</v>
      </c>
      <c r="H1308" s="989">
        <f t="shared" si="161"/>
        <v>0</v>
      </c>
      <c r="I1308" s="1178"/>
    </row>
    <row r="1309" spans="1:11">
      <c r="A1309" s="956" t="s">
        <v>1775</v>
      </c>
      <c r="B1309" s="1140" t="str">
        <f t="shared" si="160"/>
        <v/>
      </c>
      <c r="C1309" s="823" t="s">
        <v>1553</v>
      </c>
      <c r="D1309" s="823">
        <v>1</v>
      </c>
      <c r="E1309" s="1001">
        <v>42</v>
      </c>
      <c r="F1309" s="823" t="s">
        <v>1637</v>
      </c>
      <c r="G1309" s="980" t="str">
        <f>'Super Verify'!B17</f>
        <v/>
      </c>
      <c r="H1309" s="989">
        <f t="shared" si="161"/>
        <v>0</v>
      </c>
      <c r="I1309" s="1178"/>
    </row>
    <row r="1310" spans="1:11">
      <c r="A1310" s="956" t="s">
        <v>1776</v>
      </c>
      <c r="B1310" s="1140" t="str">
        <f t="shared" si="160"/>
        <v/>
      </c>
      <c r="C1310" s="823" t="s">
        <v>1553</v>
      </c>
      <c r="D1310" s="823">
        <v>1</v>
      </c>
      <c r="E1310" s="1001">
        <v>43</v>
      </c>
      <c r="F1310" s="823" t="s">
        <v>1637</v>
      </c>
      <c r="G1310" s="980" t="str">
        <f>'Super Verify'!H17</f>
        <v/>
      </c>
      <c r="H1310" s="989">
        <f t="shared" si="161"/>
        <v>0</v>
      </c>
      <c r="I1310" s="1178"/>
    </row>
    <row r="1311" spans="1:11">
      <c r="A1311" s="956" t="s">
        <v>1777</v>
      </c>
      <c r="B1311" s="1140" t="str">
        <f t="shared" si="160"/>
        <v/>
      </c>
      <c r="C1311" s="823" t="s">
        <v>1553</v>
      </c>
      <c r="D1311" s="823">
        <v>1</v>
      </c>
      <c r="E1311" s="1001">
        <v>44</v>
      </c>
      <c r="F1311" s="823" t="s">
        <v>1637</v>
      </c>
      <c r="G1311" s="984" t="str">
        <f>'Super Verify'!I17</f>
        <v/>
      </c>
      <c r="H1311" s="989">
        <f t="shared" si="161"/>
        <v>0</v>
      </c>
      <c r="I1311" s="1178"/>
    </row>
    <row r="1312" spans="1:11">
      <c r="A1312" s="956" t="s">
        <v>1778</v>
      </c>
      <c r="B1312" s="1140" t="str">
        <f t="shared" si="160"/>
        <v/>
      </c>
      <c r="C1312" s="823" t="s">
        <v>1553</v>
      </c>
      <c r="D1312" s="823">
        <v>1</v>
      </c>
      <c r="E1312" s="1001">
        <v>45</v>
      </c>
      <c r="F1312" s="823" t="s">
        <v>1637</v>
      </c>
      <c r="G1312" s="980" t="str">
        <f>'Super Verify'!J17</f>
        <v/>
      </c>
      <c r="H1312" s="989">
        <f t="shared" si="161"/>
        <v>0</v>
      </c>
      <c r="I1312" s="1178"/>
    </row>
    <row r="1313" spans="1:11">
      <c r="A1313" s="956" t="s">
        <v>1779</v>
      </c>
      <c r="B1313" s="1140" t="str">
        <f t="shared" si="160"/>
        <v/>
      </c>
      <c r="C1313" s="823" t="s">
        <v>1553</v>
      </c>
      <c r="D1313" s="823">
        <v>1</v>
      </c>
      <c r="E1313" s="1001">
        <v>46</v>
      </c>
      <c r="F1313" s="823" t="s">
        <v>1637</v>
      </c>
      <c r="G1313" s="980" t="str">
        <f>'Super Verify'!K17</f>
        <v/>
      </c>
      <c r="H1313" s="989">
        <f t="shared" si="161"/>
        <v>0</v>
      </c>
      <c r="I1313" s="1178"/>
    </row>
    <row r="1314" spans="1:11">
      <c r="A1314" s="956" t="s">
        <v>1780</v>
      </c>
      <c r="B1314" s="1140" t="str">
        <f t="shared" si="160"/>
        <v/>
      </c>
      <c r="C1314" s="823" t="s">
        <v>1553</v>
      </c>
      <c r="D1314" s="823">
        <v>1</v>
      </c>
      <c r="E1314" s="1001">
        <v>47</v>
      </c>
      <c r="F1314" s="823" t="s">
        <v>1637</v>
      </c>
      <c r="G1314" s="980" t="str">
        <f>'Super Verify'!L17</f>
        <v/>
      </c>
      <c r="H1314" s="989">
        <f t="shared" si="161"/>
        <v>0</v>
      </c>
      <c r="I1314" s="1178"/>
      <c r="K1314" s="885"/>
    </row>
    <row r="1315" spans="1:11">
      <c r="A1315" s="956" t="s">
        <v>1781</v>
      </c>
      <c r="B1315" s="1140" t="str">
        <f t="shared" si="160"/>
        <v/>
      </c>
      <c r="C1315" s="823" t="s">
        <v>1553</v>
      </c>
      <c r="D1315" s="823">
        <v>1</v>
      </c>
      <c r="E1315" s="1001">
        <v>48</v>
      </c>
      <c r="F1315" s="823" t="s">
        <v>1637</v>
      </c>
      <c r="G1315" s="980" t="str">
        <f>'Super Verify'!M17</f>
        <v/>
      </c>
      <c r="H1315" s="989">
        <f t="shared" si="161"/>
        <v>0</v>
      </c>
      <c r="I1315" s="1178"/>
      <c r="J1315" s="885"/>
    </row>
    <row r="1316" spans="1:11">
      <c r="A1316" s="956" t="s">
        <v>1782</v>
      </c>
      <c r="B1316" s="1140" t="str">
        <f t="shared" si="160"/>
        <v/>
      </c>
      <c r="C1316" s="823" t="s">
        <v>1553</v>
      </c>
      <c r="D1316" s="823">
        <v>1</v>
      </c>
      <c r="E1316" s="1001">
        <v>49</v>
      </c>
      <c r="F1316" s="980" t="str">
        <f>'Super Verify'!N17</f>
        <v/>
      </c>
      <c r="G1316" s="1178"/>
      <c r="H1316" s="989">
        <f t="shared" si="161"/>
        <v>0</v>
      </c>
      <c r="I1316" s="1178"/>
      <c r="K1316" s="885"/>
    </row>
    <row r="1317" spans="1:11">
      <c r="A1317" s="956" t="s">
        <v>1783</v>
      </c>
      <c r="B1317" s="1140" t="str">
        <f t="shared" si="160"/>
        <v/>
      </c>
      <c r="C1317" s="823" t="s">
        <v>1553</v>
      </c>
      <c r="D1317" s="823">
        <v>1</v>
      </c>
      <c r="E1317" s="1001">
        <v>50</v>
      </c>
      <c r="F1317" s="823" t="s">
        <v>1637</v>
      </c>
      <c r="G1317" s="980">
        <f>Superpave!N43</f>
        <v>0</v>
      </c>
      <c r="H1317" s="989">
        <f t="shared" si="161"/>
        <v>0</v>
      </c>
      <c r="I1317" s="1178"/>
    </row>
    <row r="1318" spans="1:11">
      <c r="A1318" s="956" t="s">
        <v>1784</v>
      </c>
      <c r="B1318" s="1140" t="str">
        <f t="shared" si="160"/>
        <v/>
      </c>
      <c r="C1318" s="823" t="s">
        <v>1553</v>
      </c>
      <c r="D1318" s="823">
        <v>1</v>
      </c>
      <c r="E1318" s="1001">
        <v>51</v>
      </c>
      <c r="F1318" s="823" t="s">
        <v>1637</v>
      </c>
      <c r="G1318" s="984" t="str">
        <f>Superpave!N42</f>
        <v/>
      </c>
      <c r="H1318" s="989">
        <f t="shared" si="161"/>
        <v>0</v>
      </c>
      <c r="I1318" s="1178"/>
      <c r="K1318" s="885"/>
    </row>
    <row r="1319" spans="1:11">
      <c r="A1319" s="956" t="s">
        <v>1785</v>
      </c>
      <c r="B1319" s="1140" t="str">
        <f t="shared" si="160"/>
        <v/>
      </c>
      <c r="C1319" s="823" t="s">
        <v>1553</v>
      </c>
      <c r="D1319" s="823">
        <v>1</v>
      </c>
      <c r="E1319" s="1001">
        <v>52</v>
      </c>
      <c r="F1319" s="823" t="s">
        <v>1637</v>
      </c>
      <c r="G1319" s="1003">
        <v>0</v>
      </c>
      <c r="H1319" s="989">
        <f t="shared" si="161"/>
        <v>0</v>
      </c>
      <c r="I1319" s="1178"/>
      <c r="K1319" s="885"/>
    </row>
    <row r="1320" spans="1:11">
      <c r="A1320" s="956" t="s">
        <v>1786</v>
      </c>
      <c r="B1320" s="1140" t="str">
        <f t="shared" si="160"/>
        <v/>
      </c>
      <c r="C1320" s="823" t="s">
        <v>1553</v>
      </c>
      <c r="D1320" s="823">
        <v>1</v>
      </c>
      <c r="E1320" s="1001">
        <v>53</v>
      </c>
      <c r="F1320" s="823" t="s">
        <v>1637</v>
      </c>
      <c r="G1320" s="980" t="str">
        <f>'Super Verify'!G33</f>
        <v/>
      </c>
      <c r="H1320" s="989">
        <f t="shared" si="161"/>
        <v>0</v>
      </c>
      <c r="I1320" s="1178"/>
    </row>
    <row r="1321" spans="1:11">
      <c r="A1321" s="956" t="s">
        <v>1787</v>
      </c>
      <c r="B1321" s="1140" t="str">
        <f t="shared" si="160"/>
        <v/>
      </c>
      <c r="C1321" s="823" t="s">
        <v>1553</v>
      </c>
      <c r="D1321" s="823">
        <v>1</v>
      </c>
      <c r="E1321" s="1001">
        <v>54</v>
      </c>
      <c r="F1321" s="823" t="s">
        <v>1637</v>
      </c>
      <c r="G1321" s="980" t="str">
        <f>'Super Verify'!G34</f>
        <v/>
      </c>
      <c r="H1321" s="989">
        <f t="shared" si="161"/>
        <v>0</v>
      </c>
      <c r="I1321" s="1178"/>
      <c r="K1321" s="958"/>
    </row>
    <row r="1322" spans="1:11">
      <c r="A1322" s="956" t="s">
        <v>1788</v>
      </c>
      <c r="B1322" s="1140" t="str">
        <f t="shared" si="160"/>
        <v/>
      </c>
      <c r="C1322" s="823" t="s">
        <v>1553</v>
      </c>
      <c r="D1322" s="823">
        <v>1</v>
      </c>
      <c r="E1322" s="1001">
        <v>55</v>
      </c>
      <c r="F1322" s="823" t="s">
        <v>1637</v>
      </c>
      <c r="G1322" s="980" t="str">
        <f>'Super Verify'!G35</f>
        <v/>
      </c>
      <c r="H1322" s="989">
        <f t="shared" si="161"/>
        <v>0</v>
      </c>
      <c r="I1322" s="1178"/>
    </row>
    <row r="1323" spans="1:11">
      <c r="A1323" s="956" t="s">
        <v>1789</v>
      </c>
      <c r="B1323" s="1163" t="str">
        <f t="shared" si="160"/>
        <v/>
      </c>
      <c r="C1323" s="875" t="s">
        <v>1553</v>
      </c>
      <c r="D1323" s="875">
        <v>1</v>
      </c>
      <c r="E1323" s="1001">
        <v>56</v>
      </c>
      <c r="F1323" s="823" t="s">
        <v>1637</v>
      </c>
      <c r="G1323" s="980" t="str">
        <f>'Super Verify'!G36</f>
        <v/>
      </c>
      <c r="H1323" s="989">
        <f t="shared" si="161"/>
        <v>0</v>
      </c>
      <c r="I1323" s="1192"/>
      <c r="K1323" s="885"/>
    </row>
    <row r="1324" spans="1:11">
      <c r="A1324" s="956" t="s">
        <v>1790</v>
      </c>
      <c r="B1324" s="1140" t="str">
        <f t="shared" si="160"/>
        <v/>
      </c>
      <c r="C1324" s="823" t="s">
        <v>1553</v>
      </c>
      <c r="D1324" s="823">
        <v>1</v>
      </c>
      <c r="E1324" s="1001">
        <v>57</v>
      </c>
      <c r="F1324" s="823" t="s">
        <v>1637</v>
      </c>
      <c r="G1324" s="980" t="str">
        <f>'Super Verify'!G37</f>
        <v/>
      </c>
      <c r="H1324" s="989">
        <f t="shared" si="161"/>
        <v>0</v>
      </c>
      <c r="I1324" s="1178"/>
    </row>
    <row r="1325" spans="1:11">
      <c r="A1325" s="956" t="s">
        <v>1791</v>
      </c>
      <c r="B1325" s="1140" t="str">
        <f t="shared" si="160"/>
        <v/>
      </c>
      <c r="C1325" s="823" t="s">
        <v>1553</v>
      </c>
      <c r="D1325" s="823">
        <v>1</v>
      </c>
      <c r="E1325" s="1001">
        <v>58</v>
      </c>
      <c r="F1325" s="823" t="s">
        <v>1637</v>
      </c>
      <c r="G1325" s="980" t="str">
        <f>'Super Verify'!G38</f>
        <v/>
      </c>
      <c r="H1325" s="989">
        <f t="shared" si="161"/>
        <v>0</v>
      </c>
      <c r="I1325" s="1178"/>
    </row>
    <row r="1326" spans="1:11">
      <c r="A1326" s="956" t="s">
        <v>1792</v>
      </c>
      <c r="B1326" s="1140" t="str">
        <f t="shared" si="160"/>
        <v/>
      </c>
      <c r="C1326" s="823" t="s">
        <v>1553</v>
      </c>
      <c r="D1326" s="823">
        <v>1</v>
      </c>
      <c r="E1326" s="1001">
        <v>59</v>
      </c>
      <c r="F1326" s="823" t="s">
        <v>1637</v>
      </c>
      <c r="G1326" s="980" t="str">
        <f>'Super Verify'!G39</f>
        <v/>
      </c>
      <c r="H1326" s="989">
        <f t="shared" si="161"/>
        <v>0</v>
      </c>
      <c r="I1326" s="1178"/>
    </row>
    <row r="1327" spans="1:11">
      <c r="A1327" s="956" t="s">
        <v>1793</v>
      </c>
      <c r="B1327" s="1140" t="str">
        <f t="shared" si="160"/>
        <v/>
      </c>
      <c r="C1327" s="823" t="s">
        <v>1553</v>
      </c>
      <c r="D1327" s="823">
        <v>1</v>
      </c>
      <c r="E1327" s="1001">
        <v>60</v>
      </c>
      <c r="F1327" s="823" t="s">
        <v>1637</v>
      </c>
      <c r="G1327" s="980" t="str">
        <f>'Super Verify'!G40</f>
        <v/>
      </c>
      <c r="H1327" s="989">
        <f t="shared" si="161"/>
        <v>0</v>
      </c>
      <c r="I1327" s="1178"/>
    </row>
    <row r="1328" spans="1:11">
      <c r="A1328" s="956" t="s">
        <v>1794</v>
      </c>
      <c r="B1328" s="1140" t="str">
        <f t="shared" si="160"/>
        <v/>
      </c>
      <c r="C1328" s="823" t="s">
        <v>1553</v>
      </c>
      <c r="D1328" s="823">
        <v>1</v>
      </c>
      <c r="E1328" s="1001">
        <v>61</v>
      </c>
      <c r="F1328" s="823" t="s">
        <v>1637</v>
      </c>
      <c r="G1328" s="980" t="str">
        <f>'Super Verify'!G41</f>
        <v/>
      </c>
      <c r="H1328" s="989">
        <f t="shared" si="161"/>
        <v>0</v>
      </c>
      <c r="I1328" s="1178"/>
    </row>
    <row r="1329" spans="1:11">
      <c r="A1329" s="956" t="s">
        <v>1795</v>
      </c>
      <c r="B1329" s="1140" t="str">
        <f t="shared" si="160"/>
        <v/>
      </c>
      <c r="C1329" s="823" t="s">
        <v>1553</v>
      </c>
      <c r="D1329" s="823">
        <v>1</v>
      </c>
      <c r="E1329" s="1001">
        <v>62</v>
      </c>
      <c r="F1329" s="823" t="s">
        <v>1637</v>
      </c>
      <c r="G1329" s="980" t="str">
        <f>'Super Verify'!G42</f>
        <v/>
      </c>
      <c r="H1329" s="989">
        <f t="shared" si="161"/>
        <v>0</v>
      </c>
      <c r="I1329" s="1178"/>
    </row>
    <row r="1330" spans="1:11">
      <c r="A1330" s="956" t="s">
        <v>1796</v>
      </c>
      <c r="B1330" s="1140" t="str">
        <f t="shared" si="160"/>
        <v/>
      </c>
      <c r="C1330" s="823" t="s">
        <v>1553</v>
      </c>
      <c r="D1330" s="823">
        <v>1</v>
      </c>
      <c r="E1330" s="1001">
        <v>63</v>
      </c>
      <c r="F1330" s="823" t="s">
        <v>1637</v>
      </c>
      <c r="G1330" s="980" t="str">
        <f>'Super Verify'!G43</f>
        <v/>
      </c>
      <c r="H1330" s="989">
        <f t="shared" si="161"/>
        <v>0</v>
      </c>
      <c r="I1330" s="1178"/>
      <c r="K1330" s="885"/>
    </row>
    <row r="1331" spans="1:11">
      <c r="A1331" s="956" t="s">
        <v>1797</v>
      </c>
      <c r="B1331" s="1140" t="str">
        <f t="shared" si="160"/>
        <v/>
      </c>
      <c r="C1331" s="823" t="s">
        <v>1553</v>
      </c>
      <c r="D1331" s="823">
        <v>1</v>
      </c>
      <c r="E1331" s="1001">
        <v>64</v>
      </c>
      <c r="F1331" s="823" t="s">
        <v>1637</v>
      </c>
      <c r="G1331" s="980" t="str">
        <f>'Super Verify'!G44</f>
        <v/>
      </c>
      <c r="H1331" s="989">
        <f t="shared" si="161"/>
        <v>0</v>
      </c>
      <c r="I1331" s="1178"/>
      <c r="J1331" s="885"/>
    </row>
    <row r="1332" spans="1:11">
      <c r="A1332" s="956" t="s">
        <v>1798</v>
      </c>
      <c r="B1332" s="1140" t="str">
        <f t="shared" si="160"/>
        <v/>
      </c>
      <c r="C1332" s="823" t="s">
        <v>1553</v>
      </c>
      <c r="D1332" s="823">
        <v>1</v>
      </c>
      <c r="E1332" s="1001">
        <v>65</v>
      </c>
      <c r="F1332" s="823" t="s">
        <v>1637</v>
      </c>
      <c r="G1332" s="980" t="str">
        <f>'Super Verify'!G45</f>
        <v/>
      </c>
      <c r="H1332" s="989">
        <f t="shared" si="161"/>
        <v>0</v>
      </c>
      <c r="I1332" s="1178"/>
      <c r="K1332" s="885"/>
    </row>
    <row r="1333" spans="1:11">
      <c r="A1333" s="956" t="s">
        <v>1799</v>
      </c>
      <c r="B1333" s="1140" t="str">
        <f t="shared" ref="B1333:B1358" si="162">B1332</f>
        <v/>
      </c>
      <c r="C1333" s="823" t="s">
        <v>1553</v>
      </c>
      <c r="D1333" s="823">
        <v>1</v>
      </c>
      <c r="E1333" s="1001">
        <v>66</v>
      </c>
      <c r="F1333" s="823" t="s">
        <v>1637</v>
      </c>
      <c r="G1333" s="980" t="str">
        <f>'Super Verify'!G46</f>
        <v/>
      </c>
      <c r="H1333" s="989">
        <f t="shared" si="161"/>
        <v>0</v>
      </c>
      <c r="I1333" s="1178"/>
    </row>
    <row r="1334" spans="1:11" ht="13.5" thickBot="1">
      <c r="A1334" s="956" t="s">
        <v>1800</v>
      </c>
      <c r="B1334" s="1140" t="str">
        <f t="shared" si="162"/>
        <v/>
      </c>
      <c r="C1334" s="823" t="s">
        <v>1553</v>
      </c>
      <c r="D1334" s="823">
        <v>1</v>
      </c>
      <c r="E1334" s="1001">
        <v>67</v>
      </c>
      <c r="F1334" s="823" t="s">
        <v>1637</v>
      </c>
      <c r="G1334" s="1003">
        <v>0</v>
      </c>
      <c r="H1334" s="989">
        <f t="shared" si="161"/>
        <v>0</v>
      </c>
      <c r="I1334" s="1178"/>
      <c r="K1334" s="885"/>
    </row>
    <row r="1335" spans="1:11" ht="13.5" thickBot="1">
      <c r="A1335" s="956" t="s">
        <v>1801</v>
      </c>
      <c r="B1335" s="1140" t="str">
        <f t="shared" si="162"/>
        <v/>
      </c>
      <c r="C1335" s="823" t="s">
        <v>1553</v>
      </c>
      <c r="D1335" s="823">
        <v>1</v>
      </c>
      <c r="E1335" s="1001">
        <v>68</v>
      </c>
      <c r="F1335" s="824" t="s">
        <v>1637</v>
      </c>
      <c r="G1335" s="1003">
        <v>0</v>
      </c>
      <c r="H1335" s="989">
        <f t="shared" si="161"/>
        <v>0</v>
      </c>
      <c r="I1335" s="1178"/>
      <c r="K1335" s="960" t="s">
        <v>1828</v>
      </c>
    </row>
    <row r="1336" spans="1:11" ht="13.5" thickBot="1">
      <c r="A1336" s="956" t="s">
        <v>1802</v>
      </c>
      <c r="B1336" s="1140" t="str">
        <f t="shared" si="162"/>
        <v/>
      </c>
      <c r="C1336" s="823" t="s">
        <v>1553</v>
      </c>
      <c r="D1336" s="823">
        <v>1</v>
      </c>
      <c r="E1336" s="1001">
        <v>69</v>
      </c>
      <c r="F1336" s="824" t="s">
        <v>1637</v>
      </c>
      <c r="G1336" s="1003">
        <v>0</v>
      </c>
      <c r="H1336" s="989">
        <f t="shared" si="161"/>
        <v>0</v>
      </c>
      <c r="I1336" s="1178"/>
      <c r="K1336" s="960" t="s">
        <v>1828</v>
      </c>
    </row>
    <row r="1337" spans="1:11" ht="13.5" thickBot="1">
      <c r="A1337" s="956" t="s">
        <v>1803</v>
      </c>
      <c r="B1337" s="1140" t="str">
        <f t="shared" si="162"/>
        <v/>
      </c>
      <c r="C1337" s="823" t="s">
        <v>1553</v>
      </c>
      <c r="D1337" s="823">
        <v>1</v>
      </c>
      <c r="E1337" s="1001">
        <v>70</v>
      </c>
      <c r="F1337" s="824" t="s">
        <v>1637</v>
      </c>
      <c r="G1337" s="1003">
        <v>0</v>
      </c>
      <c r="H1337" s="989">
        <f t="shared" si="161"/>
        <v>0</v>
      </c>
      <c r="I1337" s="1178"/>
      <c r="K1337" s="960" t="s">
        <v>1828</v>
      </c>
    </row>
    <row r="1338" spans="1:11" ht="13.5" thickBot="1">
      <c r="A1338" s="956" t="s">
        <v>1804</v>
      </c>
      <c r="B1338" s="1140" t="str">
        <f t="shared" si="162"/>
        <v/>
      </c>
      <c r="C1338" s="823" t="s">
        <v>1553</v>
      </c>
      <c r="D1338" s="823">
        <v>1</v>
      </c>
      <c r="E1338" s="1001">
        <v>71</v>
      </c>
      <c r="F1338" s="824" t="s">
        <v>1637</v>
      </c>
      <c r="G1338" s="1003">
        <v>0</v>
      </c>
      <c r="H1338" s="989">
        <f t="shared" si="161"/>
        <v>0</v>
      </c>
      <c r="I1338" s="1178"/>
      <c r="K1338" s="960" t="s">
        <v>1828</v>
      </c>
    </row>
    <row r="1339" spans="1:11" ht="13.5" thickBot="1">
      <c r="A1339" s="956" t="s">
        <v>1805</v>
      </c>
      <c r="B1339" s="1140" t="str">
        <f t="shared" si="162"/>
        <v/>
      </c>
      <c r="C1339" s="823" t="s">
        <v>1553</v>
      </c>
      <c r="D1339" s="823">
        <v>1</v>
      </c>
      <c r="E1339" s="1001">
        <v>72</v>
      </c>
      <c r="F1339" s="824" t="s">
        <v>1637</v>
      </c>
      <c r="G1339" s="1003">
        <v>0</v>
      </c>
      <c r="H1339" s="989">
        <f t="shared" si="161"/>
        <v>0</v>
      </c>
      <c r="I1339" s="1178"/>
      <c r="K1339" s="960" t="s">
        <v>1828</v>
      </c>
    </row>
    <row r="1340" spans="1:11" ht="13.5" thickBot="1">
      <c r="A1340" s="956" t="s">
        <v>1806</v>
      </c>
      <c r="B1340" s="1140" t="str">
        <f t="shared" si="162"/>
        <v/>
      </c>
      <c r="C1340" s="823" t="s">
        <v>1553</v>
      </c>
      <c r="D1340" s="823">
        <v>1</v>
      </c>
      <c r="E1340" s="1001">
        <v>73</v>
      </c>
      <c r="F1340" s="824" t="s">
        <v>1637</v>
      </c>
      <c r="G1340" s="1003">
        <v>0</v>
      </c>
      <c r="H1340" s="989">
        <f t="shared" si="161"/>
        <v>0</v>
      </c>
      <c r="I1340" s="1178"/>
      <c r="K1340" s="960" t="s">
        <v>1828</v>
      </c>
    </row>
    <row r="1341" spans="1:11" ht="13.5" thickBot="1">
      <c r="A1341" s="956" t="s">
        <v>1807</v>
      </c>
      <c r="B1341" s="1140" t="str">
        <f t="shared" si="162"/>
        <v/>
      </c>
      <c r="C1341" s="823" t="s">
        <v>1553</v>
      </c>
      <c r="D1341" s="823">
        <v>1</v>
      </c>
      <c r="E1341" s="1001">
        <v>74</v>
      </c>
      <c r="F1341" s="824" t="s">
        <v>1637</v>
      </c>
      <c r="G1341" s="1003">
        <v>0</v>
      </c>
      <c r="H1341" s="989">
        <f t="shared" si="161"/>
        <v>0</v>
      </c>
      <c r="I1341" s="1178"/>
      <c r="K1341" s="960" t="s">
        <v>1828</v>
      </c>
    </row>
    <row r="1342" spans="1:11" ht="13.5" thickBot="1">
      <c r="A1342" s="956" t="s">
        <v>1808</v>
      </c>
      <c r="B1342" s="1140" t="str">
        <f t="shared" si="162"/>
        <v/>
      </c>
      <c r="C1342" s="823" t="s">
        <v>1553</v>
      </c>
      <c r="D1342" s="823">
        <v>1</v>
      </c>
      <c r="E1342" s="1001">
        <v>75</v>
      </c>
      <c r="F1342" s="824" t="s">
        <v>1637</v>
      </c>
      <c r="G1342" s="1003">
        <v>0</v>
      </c>
      <c r="H1342" s="989">
        <f t="shared" si="161"/>
        <v>0</v>
      </c>
      <c r="I1342" s="1178"/>
      <c r="K1342" s="960" t="s">
        <v>1828</v>
      </c>
    </row>
    <row r="1343" spans="1:11" ht="13.5" thickBot="1">
      <c r="A1343" s="956" t="s">
        <v>1809</v>
      </c>
      <c r="B1343" s="1140" t="str">
        <f t="shared" si="162"/>
        <v/>
      </c>
      <c r="C1343" s="823" t="s">
        <v>1553</v>
      </c>
      <c r="D1343" s="823">
        <v>1</v>
      </c>
      <c r="E1343" s="1001">
        <v>76</v>
      </c>
      <c r="F1343" s="824" t="s">
        <v>1637</v>
      </c>
      <c r="G1343" s="1003">
        <v>0</v>
      </c>
      <c r="H1343" s="989">
        <f t="shared" si="161"/>
        <v>0</v>
      </c>
      <c r="I1343" s="1178"/>
      <c r="K1343" s="960" t="s">
        <v>1828</v>
      </c>
    </row>
    <row r="1344" spans="1:11" ht="13.5" thickBot="1">
      <c r="A1344" s="956" t="s">
        <v>1810</v>
      </c>
      <c r="B1344" s="1140" t="str">
        <f t="shared" si="162"/>
        <v/>
      </c>
      <c r="C1344" s="823" t="s">
        <v>1553</v>
      </c>
      <c r="D1344" s="823">
        <v>1</v>
      </c>
      <c r="E1344" s="1001">
        <v>77</v>
      </c>
      <c r="F1344" s="824" t="s">
        <v>1637</v>
      </c>
      <c r="G1344" s="1003">
        <v>0</v>
      </c>
      <c r="H1344" s="989">
        <f t="shared" si="161"/>
        <v>0</v>
      </c>
      <c r="I1344" s="1178"/>
      <c r="K1344" s="960" t="s">
        <v>1828</v>
      </c>
    </row>
    <row r="1345" spans="1:11" ht="13.5" thickBot="1">
      <c r="A1345" s="956" t="s">
        <v>1812</v>
      </c>
      <c r="B1345" s="1140" t="str">
        <f t="shared" si="162"/>
        <v/>
      </c>
      <c r="C1345" s="823" t="s">
        <v>1553</v>
      </c>
      <c r="D1345" s="823">
        <v>1</v>
      </c>
      <c r="E1345" s="1001">
        <v>78</v>
      </c>
      <c r="F1345" s="824" t="s">
        <v>1637</v>
      </c>
      <c r="G1345" s="1003">
        <v>0</v>
      </c>
      <c r="H1345" s="989">
        <f t="shared" si="161"/>
        <v>0</v>
      </c>
      <c r="I1345" s="1178"/>
      <c r="K1345" s="960" t="s">
        <v>1828</v>
      </c>
    </row>
    <row r="1346" spans="1:11" ht="13.5" thickBot="1">
      <c r="A1346" s="956" t="s">
        <v>1813</v>
      </c>
      <c r="B1346" s="1140" t="str">
        <f t="shared" si="162"/>
        <v/>
      </c>
      <c r="C1346" s="823" t="s">
        <v>1553</v>
      </c>
      <c r="D1346" s="823">
        <v>1</v>
      </c>
      <c r="E1346" s="1001">
        <v>79</v>
      </c>
      <c r="F1346" s="824" t="s">
        <v>1637</v>
      </c>
      <c r="G1346" s="1003">
        <v>0</v>
      </c>
      <c r="H1346" s="989">
        <f t="shared" si="161"/>
        <v>0</v>
      </c>
      <c r="I1346" s="1178"/>
      <c r="J1346" s="885"/>
      <c r="K1346" s="960" t="s">
        <v>1828</v>
      </c>
    </row>
    <row r="1347" spans="1:11" ht="13.5" thickBot="1">
      <c r="A1347" s="956" t="s">
        <v>1814</v>
      </c>
      <c r="B1347" s="1140" t="str">
        <f t="shared" si="162"/>
        <v/>
      </c>
      <c r="C1347" s="823" t="s">
        <v>1553</v>
      </c>
      <c r="D1347" s="823">
        <v>1</v>
      </c>
      <c r="E1347" s="1001">
        <v>80</v>
      </c>
      <c r="F1347" s="823" t="s">
        <v>1637</v>
      </c>
      <c r="G1347" s="980">
        <v>0</v>
      </c>
      <c r="H1347" s="989">
        <f t="shared" si="161"/>
        <v>0</v>
      </c>
      <c r="I1347" s="1178"/>
      <c r="K1347" s="960" t="s">
        <v>1828</v>
      </c>
    </row>
    <row r="1348" spans="1:11" ht="13.5" thickBot="1">
      <c r="A1348" s="956" t="s">
        <v>1815</v>
      </c>
      <c r="B1348" s="1140" t="str">
        <f t="shared" si="162"/>
        <v/>
      </c>
      <c r="C1348" s="823" t="s">
        <v>1553</v>
      </c>
      <c r="D1348" s="823">
        <v>1</v>
      </c>
      <c r="E1348" s="1001">
        <v>81</v>
      </c>
      <c r="F1348" s="823" t="s">
        <v>1637</v>
      </c>
      <c r="G1348" s="980">
        <v>0</v>
      </c>
      <c r="H1348" s="989">
        <f t="shared" si="161"/>
        <v>0</v>
      </c>
      <c r="I1348" s="1178"/>
      <c r="K1348" s="960" t="s">
        <v>1828</v>
      </c>
    </row>
    <row r="1349" spans="1:11" ht="13.5" thickBot="1">
      <c r="A1349" s="956" t="s">
        <v>1816</v>
      </c>
      <c r="B1349" s="1140" t="str">
        <f t="shared" si="162"/>
        <v/>
      </c>
      <c r="C1349" s="823" t="s">
        <v>1553</v>
      </c>
      <c r="D1349" s="823">
        <v>1</v>
      </c>
      <c r="E1349" s="1001">
        <v>82</v>
      </c>
      <c r="F1349" s="823" t="s">
        <v>1637</v>
      </c>
      <c r="G1349" s="980">
        <v>0</v>
      </c>
      <c r="H1349" s="989">
        <f t="shared" si="161"/>
        <v>0</v>
      </c>
      <c r="I1349" s="1178"/>
      <c r="K1349" s="960" t="s">
        <v>1828</v>
      </c>
    </row>
    <row r="1350" spans="1:11" ht="13.5" thickBot="1">
      <c r="A1350" s="956" t="s">
        <v>1817</v>
      </c>
      <c r="B1350" s="1140" t="str">
        <f t="shared" si="162"/>
        <v/>
      </c>
      <c r="C1350" s="823" t="s">
        <v>1553</v>
      </c>
      <c r="D1350" s="823">
        <v>1</v>
      </c>
      <c r="E1350" s="1001">
        <v>83</v>
      </c>
      <c r="F1350" s="823" t="s">
        <v>1637</v>
      </c>
      <c r="G1350" s="980">
        <v>0</v>
      </c>
      <c r="H1350" s="989">
        <f t="shared" si="161"/>
        <v>0</v>
      </c>
      <c r="I1350" s="1178"/>
      <c r="K1350" s="960" t="s">
        <v>1828</v>
      </c>
    </row>
    <row r="1351" spans="1:11" ht="13.5" thickBot="1">
      <c r="A1351" s="956" t="s">
        <v>1818</v>
      </c>
      <c r="B1351" s="1140" t="str">
        <f t="shared" si="162"/>
        <v/>
      </c>
      <c r="C1351" s="823" t="s">
        <v>1553</v>
      </c>
      <c r="D1351" s="823">
        <v>1</v>
      </c>
      <c r="E1351" s="1001">
        <v>84</v>
      </c>
      <c r="F1351" s="823" t="s">
        <v>1637</v>
      </c>
      <c r="G1351" s="980">
        <v>0</v>
      </c>
      <c r="H1351" s="989">
        <f t="shared" si="161"/>
        <v>0</v>
      </c>
      <c r="I1351" s="1178"/>
      <c r="K1351" s="960" t="s">
        <v>1828</v>
      </c>
    </row>
    <row r="1352" spans="1:11" ht="13.5" thickBot="1">
      <c r="A1352" s="956" t="s">
        <v>1819</v>
      </c>
      <c r="B1352" s="1140" t="str">
        <f t="shared" si="162"/>
        <v/>
      </c>
      <c r="C1352" s="823" t="s">
        <v>1553</v>
      </c>
      <c r="D1352" s="823">
        <v>1</v>
      </c>
      <c r="E1352" s="1001">
        <v>85</v>
      </c>
      <c r="F1352" s="823" t="s">
        <v>1637</v>
      </c>
      <c r="G1352" s="980">
        <v>0</v>
      </c>
      <c r="H1352" s="989">
        <f t="shared" si="161"/>
        <v>0</v>
      </c>
      <c r="I1352" s="1178"/>
      <c r="K1352" s="960" t="s">
        <v>1828</v>
      </c>
    </row>
    <row r="1353" spans="1:11" ht="13.5" thickBot="1">
      <c r="A1353" s="956" t="s">
        <v>1820</v>
      </c>
      <c r="B1353" s="1140" t="str">
        <f t="shared" si="162"/>
        <v/>
      </c>
      <c r="C1353" s="823" t="s">
        <v>1553</v>
      </c>
      <c r="D1353" s="823">
        <v>1</v>
      </c>
      <c r="E1353" s="1001">
        <v>86</v>
      </c>
      <c r="F1353" s="823" t="s">
        <v>1637</v>
      </c>
      <c r="G1353" s="980">
        <v>0</v>
      </c>
      <c r="H1353" s="989">
        <f t="shared" si="161"/>
        <v>0</v>
      </c>
      <c r="I1353" s="1178"/>
      <c r="K1353" s="960" t="s">
        <v>1828</v>
      </c>
    </row>
    <row r="1354" spans="1:11" ht="13.5" thickBot="1">
      <c r="A1354" s="956" t="s">
        <v>1821</v>
      </c>
      <c r="B1354" s="1163" t="str">
        <f t="shared" si="162"/>
        <v/>
      </c>
      <c r="C1354" s="875" t="s">
        <v>1553</v>
      </c>
      <c r="D1354" s="875">
        <v>1</v>
      </c>
      <c r="E1354" s="1001">
        <v>87</v>
      </c>
      <c r="F1354" s="823" t="s">
        <v>1637</v>
      </c>
      <c r="G1354" s="980">
        <v>0</v>
      </c>
      <c r="H1354" s="989">
        <f t="shared" si="161"/>
        <v>0</v>
      </c>
      <c r="I1354" s="1192"/>
      <c r="K1354" s="960" t="s">
        <v>1828</v>
      </c>
    </row>
    <row r="1355" spans="1:11" ht="13.5" thickBot="1">
      <c r="A1355" s="956" t="s">
        <v>1822</v>
      </c>
      <c r="B1355" s="1140" t="str">
        <f t="shared" si="162"/>
        <v/>
      </c>
      <c r="C1355" s="823" t="s">
        <v>1553</v>
      </c>
      <c r="D1355" s="823">
        <v>1</v>
      </c>
      <c r="E1355" s="1001">
        <v>88</v>
      </c>
      <c r="F1355" s="823" t="s">
        <v>1637</v>
      </c>
      <c r="G1355" s="980">
        <v>0</v>
      </c>
      <c r="H1355" s="989">
        <f t="shared" si="161"/>
        <v>0</v>
      </c>
      <c r="I1355" s="1178"/>
      <c r="K1355" s="960" t="s">
        <v>1828</v>
      </c>
    </row>
    <row r="1356" spans="1:11" ht="13.5" thickBot="1">
      <c r="A1356" s="956" t="s">
        <v>1823</v>
      </c>
      <c r="B1356" s="1140" t="str">
        <f t="shared" si="162"/>
        <v/>
      </c>
      <c r="C1356" s="823" t="s">
        <v>1553</v>
      </c>
      <c r="D1356" s="823">
        <v>1</v>
      </c>
      <c r="E1356" s="1001">
        <v>89</v>
      </c>
      <c r="F1356" s="823" t="s">
        <v>1637</v>
      </c>
      <c r="G1356" s="980">
        <v>0</v>
      </c>
      <c r="H1356" s="989">
        <f t="shared" si="161"/>
        <v>0</v>
      </c>
      <c r="I1356" s="1178"/>
      <c r="K1356" s="960" t="s">
        <v>1828</v>
      </c>
    </row>
    <row r="1357" spans="1:11" ht="13.5" thickBot="1">
      <c r="A1357" s="956" t="s">
        <v>1824</v>
      </c>
      <c r="B1357" s="1140" t="str">
        <f t="shared" si="162"/>
        <v/>
      </c>
      <c r="C1357" s="823" t="s">
        <v>1553</v>
      </c>
      <c r="D1357" s="823">
        <v>1</v>
      </c>
      <c r="E1357" s="1001">
        <v>90</v>
      </c>
      <c r="F1357" s="823" t="s">
        <v>1637</v>
      </c>
      <c r="G1357" s="980">
        <v>0</v>
      </c>
      <c r="H1357" s="989">
        <f>H1356</f>
        <v>0</v>
      </c>
      <c r="I1357" s="1178"/>
      <c r="K1357" s="960" t="s">
        <v>1828</v>
      </c>
    </row>
    <row r="1358" spans="1:11" ht="12.75" customHeight="1" thickBot="1">
      <c r="A1358" s="956" t="s">
        <v>1825</v>
      </c>
      <c r="B1358" s="1140" t="str">
        <f t="shared" si="162"/>
        <v/>
      </c>
      <c r="C1358" s="823" t="s">
        <v>1553</v>
      </c>
      <c r="D1358" s="823">
        <v>1</v>
      </c>
      <c r="E1358" s="1001">
        <v>91</v>
      </c>
      <c r="F1358" s="823" t="s">
        <v>1637</v>
      </c>
      <c r="G1358" s="980">
        <v>0</v>
      </c>
      <c r="H1358" s="989">
        <f>H1357</f>
        <v>0</v>
      </c>
      <c r="I1358" s="1178"/>
      <c r="K1358" s="960" t="s">
        <v>1828</v>
      </c>
    </row>
    <row r="1359" spans="1:11" ht="12.75" customHeight="1" thickBot="1">
      <c r="A1359" s="956" t="s">
        <v>2444</v>
      </c>
      <c r="B1359" s="1219" t="str">
        <f>B1358</f>
        <v/>
      </c>
      <c r="C1359" s="823" t="s">
        <v>1553</v>
      </c>
      <c r="D1359" s="823">
        <v>1</v>
      </c>
      <c r="E1359" s="1001" t="s">
        <v>2304</v>
      </c>
      <c r="F1359" s="1220"/>
      <c r="G1359" s="1226">
        <f>Calculations!$D$15</f>
        <v>0</v>
      </c>
      <c r="H1359" s="1222">
        <f>H1358</f>
        <v>0</v>
      </c>
      <c r="I1359" s="1223"/>
      <c r="K1359" s="960"/>
    </row>
    <row r="1360" spans="1:11" ht="12.75" customHeight="1" thickBot="1">
      <c r="A1360" s="956" t="s">
        <v>1774</v>
      </c>
      <c r="B1360" s="1219" t="str">
        <f t="shared" ref="B1360:D1397" si="163">B1359</f>
        <v/>
      </c>
      <c r="C1360" s="823" t="s">
        <v>1553</v>
      </c>
      <c r="D1360" s="823">
        <v>1</v>
      </c>
      <c r="E1360" s="1001" t="s">
        <v>2305</v>
      </c>
      <c r="F1360" s="1225" t="str">
        <f>Calculations!$H$20</f>
        <v/>
      </c>
      <c r="G1360" s="1220"/>
      <c r="H1360" s="1222">
        <f t="shared" ref="H1360:H1425" si="164">H1359</f>
        <v>0</v>
      </c>
      <c r="I1360" s="1223"/>
      <c r="K1360" s="960"/>
    </row>
    <row r="1361" spans="1:11" ht="12.75" customHeight="1" thickBot="1">
      <c r="A1361" s="956" t="s">
        <v>2445</v>
      </c>
      <c r="B1361" s="1219" t="str">
        <f t="shared" si="163"/>
        <v/>
      </c>
      <c r="C1361" s="823" t="s">
        <v>1553</v>
      </c>
      <c r="D1361" s="823">
        <v>1</v>
      </c>
      <c r="E1361" s="1001" t="s">
        <v>2307</v>
      </c>
      <c r="F1361" s="1225" t="str">
        <f>IF(Calculations!$H$12=1,"A",IF(Calculations!$H$12=2,"B"," "))</f>
        <v xml:space="preserve"> </v>
      </c>
      <c r="G1361" s="1220"/>
      <c r="H1361" s="1222">
        <f t="shared" si="164"/>
        <v>0</v>
      </c>
      <c r="I1361" s="1223"/>
      <c r="K1361" s="960"/>
    </row>
    <row r="1362" spans="1:11" ht="12.75" customHeight="1" thickBot="1">
      <c r="A1362" s="956" t="s">
        <v>2446</v>
      </c>
      <c r="B1362" s="1219" t="str">
        <f t="shared" si="163"/>
        <v/>
      </c>
      <c r="C1362" s="823" t="s">
        <v>1553</v>
      </c>
      <c r="D1362" s="823">
        <v>1</v>
      </c>
      <c r="E1362" s="1001" t="s">
        <v>2308</v>
      </c>
      <c r="F1362" s="1220"/>
      <c r="G1362" s="1221">
        <f>'Pay Values'!$A$16</f>
        <v>0</v>
      </c>
      <c r="H1362" s="1222">
        <f t="shared" si="164"/>
        <v>0</v>
      </c>
      <c r="I1362" s="1223"/>
      <c r="K1362" s="960"/>
    </row>
    <row r="1363" spans="1:11" ht="12.75" customHeight="1" thickBot="1">
      <c r="A1363" s="956" t="s">
        <v>2447</v>
      </c>
      <c r="B1363" s="1219" t="str">
        <f t="shared" si="163"/>
        <v/>
      </c>
      <c r="C1363" s="823" t="s">
        <v>1553</v>
      </c>
      <c r="D1363" s="823">
        <v>1</v>
      </c>
      <c r="E1363" s="1001" t="s">
        <v>2309</v>
      </c>
      <c r="F1363" s="1220"/>
      <c r="G1363" s="1221">
        <v>0</v>
      </c>
      <c r="H1363" s="1222">
        <f t="shared" si="164"/>
        <v>0</v>
      </c>
      <c r="I1363" s="1223"/>
      <c r="K1363" s="960"/>
    </row>
    <row r="1364" spans="1:11" ht="12.75" customHeight="1" thickBot="1">
      <c r="A1364" s="956" t="s">
        <v>2448</v>
      </c>
      <c r="B1364" s="1219" t="str">
        <f t="shared" si="163"/>
        <v/>
      </c>
      <c r="C1364" s="823" t="s">
        <v>1553</v>
      </c>
      <c r="D1364" s="823">
        <v>1</v>
      </c>
      <c r="E1364" s="1001" t="s">
        <v>2310</v>
      </c>
      <c r="F1364" s="1220"/>
      <c r="G1364" s="1221">
        <v>0</v>
      </c>
      <c r="H1364" s="1222">
        <f t="shared" si="164"/>
        <v>0</v>
      </c>
      <c r="I1364" s="1223"/>
      <c r="K1364" s="960"/>
    </row>
    <row r="1365" spans="1:11" ht="12.75" customHeight="1" thickBot="1">
      <c r="A1365" s="956" t="s">
        <v>2449</v>
      </c>
      <c r="B1365" s="1219" t="str">
        <f t="shared" si="163"/>
        <v/>
      </c>
      <c r="C1365" s="823" t="s">
        <v>1553</v>
      </c>
      <c r="D1365" s="823">
        <v>1</v>
      </c>
      <c r="E1365" s="1001" t="s">
        <v>2311</v>
      </c>
      <c r="F1365" s="1220"/>
      <c r="G1365" s="1221">
        <v>0</v>
      </c>
      <c r="H1365" s="1222">
        <f t="shared" si="164"/>
        <v>0</v>
      </c>
      <c r="I1365" s="1223"/>
      <c r="K1365" s="960"/>
    </row>
    <row r="1366" spans="1:11" ht="12.75" customHeight="1" thickBot="1">
      <c r="A1366" s="956" t="s">
        <v>2450</v>
      </c>
      <c r="B1366" s="1219" t="str">
        <f t="shared" si="163"/>
        <v/>
      </c>
      <c r="C1366" s="823" t="s">
        <v>1553</v>
      </c>
      <c r="D1366" s="823">
        <v>1</v>
      </c>
      <c r="E1366" s="1001" t="s">
        <v>2312</v>
      </c>
      <c r="F1366" s="1220"/>
      <c r="G1366" s="1221">
        <v>0</v>
      </c>
      <c r="H1366" s="1222">
        <f t="shared" si="164"/>
        <v>0</v>
      </c>
      <c r="I1366" s="1223"/>
      <c r="K1366" s="960"/>
    </row>
    <row r="1367" spans="1:11" ht="12.75" customHeight="1" thickBot="1">
      <c r="A1367" s="956" t="s">
        <v>2451</v>
      </c>
      <c r="B1367" s="1219" t="str">
        <f t="shared" si="163"/>
        <v/>
      </c>
      <c r="C1367" s="823" t="s">
        <v>1553</v>
      </c>
      <c r="D1367" s="823">
        <v>1</v>
      </c>
      <c r="E1367" s="1001" t="s">
        <v>2313</v>
      </c>
      <c r="F1367" s="1220"/>
      <c r="G1367" s="1221">
        <v>0</v>
      </c>
      <c r="H1367" s="1222">
        <f t="shared" si="164"/>
        <v>0</v>
      </c>
      <c r="I1367" s="1223"/>
      <c r="K1367" s="960"/>
    </row>
    <row r="1368" spans="1:11" ht="12.75" customHeight="1" thickBot="1">
      <c r="A1368" s="956" t="s">
        <v>2452</v>
      </c>
      <c r="B1368" s="1219" t="str">
        <f t="shared" si="163"/>
        <v/>
      </c>
      <c r="C1368" s="823" t="s">
        <v>1553</v>
      </c>
      <c r="D1368" s="823">
        <v>1</v>
      </c>
      <c r="E1368" s="1001" t="s">
        <v>2314</v>
      </c>
      <c r="F1368" s="1220"/>
      <c r="G1368" s="1225">
        <v>0</v>
      </c>
      <c r="H1368" s="1222">
        <f t="shared" si="164"/>
        <v>0</v>
      </c>
      <c r="I1368" s="1223"/>
      <c r="K1368" s="960"/>
    </row>
    <row r="1369" spans="1:11" ht="12.75" customHeight="1" thickBot="1">
      <c r="A1369" s="956" t="s">
        <v>2453</v>
      </c>
      <c r="B1369" s="1219" t="str">
        <f t="shared" si="163"/>
        <v/>
      </c>
      <c r="C1369" s="823" t="s">
        <v>1553</v>
      </c>
      <c r="D1369" s="823">
        <v>1</v>
      </c>
      <c r="E1369" s="1001" t="s">
        <v>2315</v>
      </c>
      <c r="F1369" s="1220"/>
      <c r="G1369" s="1225">
        <v>0</v>
      </c>
      <c r="H1369" s="1222">
        <f t="shared" si="164"/>
        <v>0</v>
      </c>
      <c r="I1369" s="1223"/>
      <c r="K1369" s="960"/>
    </row>
    <row r="1370" spans="1:11" ht="12.75" customHeight="1" thickBot="1">
      <c r="A1370" s="956" t="s">
        <v>2454</v>
      </c>
      <c r="B1370" s="1219" t="str">
        <f t="shared" si="163"/>
        <v/>
      </c>
      <c r="C1370" s="823" t="s">
        <v>1553</v>
      </c>
      <c r="D1370" s="823">
        <v>1</v>
      </c>
      <c r="E1370" s="1001" t="s">
        <v>2316</v>
      </c>
      <c r="F1370" s="1220"/>
      <c r="G1370" s="1225">
        <v>0</v>
      </c>
      <c r="H1370" s="1222">
        <f t="shared" si="164"/>
        <v>0</v>
      </c>
      <c r="I1370" s="1223"/>
      <c r="K1370" s="960"/>
    </row>
    <row r="1371" spans="1:11" ht="12.75" customHeight="1" thickBot="1">
      <c r="A1371" s="956" t="s">
        <v>2455</v>
      </c>
      <c r="B1371" s="1219" t="str">
        <f t="shared" si="163"/>
        <v/>
      </c>
      <c r="C1371" s="823" t="s">
        <v>1553</v>
      </c>
      <c r="D1371" s="823">
        <v>1</v>
      </c>
      <c r="E1371" s="1001" t="s">
        <v>2317</v>
      </c>
      <c r="F1371" s="1220"/>
      <c r="G1371" s="1225">
        <v>0</v>
      </c>
      <c r="H1371" s="1222">
        <f t="shared" si="164"/>
        <v>0</v>
      </c>
      <c r="I1371" s="1223"/>
      <c r="K1371" s="960"/>
    </row>
    <row r="1372" spans="1:11" ht="12.75" customHeight="1" thickBot="1">
      <c r="A1372" s="956" t="s">
        <v>2456</v>
      </c>
      <c r="B1372" s="1219" t="str">
        <f t="shared" si="163"/>
        <v/>
      </c>
      <c r="C1372" s="823" t="s">
        <v>1553</v>
      </c>
      <c r="D1372" s="823">
        <v>1</v>
      </c>
      <c r="E1372" s="1001" t="s">
        <v>2318</v>
      </c>
      <c r="F1372" s="1220"/>
      <c r="G1372" s="1225" t="str">
        <f>'Pay Values'!$J$24</f>
        <v/>
      </c>
      <c r="H1372" s="1222">
        <f t="shared" si="164"/>
        <v>0</v>
      </c>
      <c r="I1372" s="1223"/>
      <c r="K1372" s="960"/>
    </row>
    <row r="1373" spans="1:11" ht="12.75" customHeight="1" thickBot="1">
      <c r="A1373" s="956" t="s">
        <v>2457</v>
      </c>
      <c r="B1373" s="1219" t="str">
        <f t="shared" si="163"/>
        <v/>
      </c>
      <c r="C1373" s="823" t="s">
        <v>1553</v>
      </c>
      <c r="D1373" s="823">
        <v>1</v>
      </c>
      <c r="E1373" s="1001" t="s">
        <v>2319</v>
      </c>
      <c r="F1373" s="1221"/>
      <c r="G1373" s="1220"/>
      <c r="H1373" s="1222">
        <f t="shared" si="164"/>
        <v>0</v>
      </c>
      <c r="I1373" s="1223"/>
      <c r="K1373" s="960"/>
    </row>
    <row r="1374" spans="1:11" ht="12.75" customHeight="1" thickBot="1">
      <c r="A1374" s="956" t="s">
        <v>2458</v>
      </c>
      <c r="B1374" s="1219" t="str">
        <f t="shared" si="163"/>
        <v/>
      </c>
      <c r="C1374" s="823" t="s">
        <v>1553</v>
      </c>
      <c r="D1374" s="823">
        <v>1</v>
      </c>
      <c r="E1374" s="1001" t="s">
        <v>2320</v>
      </c>
      <c r="F1374" s="1221"/>
      <c r="G1374" s="1220"/>
      <c r="H1374" s="1222">
        <f t="shared" si="164"/>
        <v>0</v>
      </c>
      <c r="I1374" s="1223"/>
      <c r="K1374" s="960"/>
    </row>
    <row r="1375" spans="1:11" ht="12.75" customHeight="1" thickBot="1">
      <c r="A1375" s="956" t="s">
        <v>2459</v>
      </c>
      <c r="B1375" s="1219" t="str">
        <f t="shared" si="163"/>
        <v/>
      </c>
      <c r="C1375" s="823" t="s">
        <v>1553</v>
      </c>
      <c r="D1375" s="823">
        <v>1</v>
      </c>
      <c r="E1375" s="1001" t="s">
        <v>2321</v>
      </c>
      <c r="F1375" s="1220"/>
      <c r="G1375" s="1221"/>
      <c r="H1375" s="1222">
        <f t="shared" si="164"/>
        <v>0</v>
      </c>
      <c r="I1375" s="1223"/>
      <c r="K1375" s="960"/>
    </row>
    <row r="1376" spans="1:11" ht="12.75" customHeight="1" thickBot="1">
      <c r="A1376" s="956" t="s">
        <v>2460</v>
      </c>
      <c r="B1376" s="1219" t="str">
        <f t="shared" si="163"/>
        <v/>
      </c>
      <c r="C1376" s="823" t="s">
        <v>1553</v>
      </c>
      <c r="D1376" s="823">
        <v>1</v>
      </c>
      <c r="E1376" s="1001" t="s">
        <v>2322</v>
      </c>
      <c r="F1376" s="1221"/>
      <c r="G1376" s="1220"/>
      <c r="H1376" s="1222">
        <f t="shared" si="164"/>
        <v>0</v>
      </c>
      <c r="I1376" s="1223"/>
      <c r="K1376" s="960"/>
    </row>
    <row r="1377" spans="1:11" ht="12.75" customHeight="1" thickBot="1">
      <c r="A1377" s="956" t="s">
        <v>2461</v>
      </c>
      <c r="B1377" s="1219" t="str">
        <f t="shared" si="163"/>
        <v/>
      </c>
      <c r="C1377" s="823" t="s">
        <v>1553</v>
      </c>
      <c r="D1377" s="823">
        <v>1</v>
      </c>
      <c r="E1377" s="1001" t="s">
        <v>2323</v>
      </c>
      <c r="F1377" s="1221"/>
      <c r="G1377" s="1220"/>
      <c r="H1377" s="1222">
        <f t="shared" si="164"/>
        <v>0</v>
      </c>
      <c r="I1377" s="1223"/>
      <c r="K1377" s="960"/>
    </row>
    <row r="1378" spans="1:11" ht="12.75" customHeight="1" thickBot="1">
      <c r="A1378" s="956" t="s">
        <v>2462</v>
      </c>
      <c r="B1378" s="1219" t="str">
        <f t="shared" si="163"/>
        <v/>
      </c>
      <c r="C1378" s="823" t="s">
        <v>1553</v>
      </c>
      <c r="D1378" s="823">
        <v>1</v>
      </c>
      <c r="E1378" s="1001" t="s">
        <v>2324</v>
      </c>
      <c r="F1378" s="1225" t="e">
        <f>VLOOKUP(Calculations!$D$147,Calculations!$A$147:$B$161,2,FALSE)</f>
        <v>#N/A</v>
      </c>
      <c r="G1378" s="1220"/>
      <c r="H1378" s="1222">
        <f t="shared" si="164"/>
        <v>0</v>
      </c>
      <c r="I1378" s="1223"/>
      <c r="K1378" s="960"/>
    </row>
    <row r="1379" spans="1:11" ht="12.75" customHeight="1" thickBot="1">
      <c r="A1379" s="956" t="s">
        <v>2463</v>
      </c>
      <c r="B1379" s="1219" t="str">
        <f t="shared" si="163"/>
        <v/>
      </c>
      <c r="C1379" s="823" t="s">
        <v>1553</v>
      </c>
      <c r="D1379" s="823">
        <v>1</v>
      </c>
      <c r="E1379" s="1001" t="s">
        <v>2325</v>
      </c>
      <c r="F1379" s="1225" t="str">
        <f>'Pay Values'!$B$46</f>
        <v/>
      </c>
      <c r="G1379" s="1220"/>
      <c r="H1379" s="1222">
        <f t="shared" si="164"/>
        <v>0</v>
      </c>
      <c r="I1379" s="1223"/>
      <c r="K1379" s="960"/>
    </row>
    <row r="1380" spans="1:11" ht="12.75" customHeight="1" thickBot="1">
      <c r="A1380" s="956" t="s">
        <v>2464</v>
      </c>
      <c r="B1380" s="1219" t="str">
        <f t="shared" si="163"/>
        <v/>
      </c>
      <c r="C1380" s="823" t="s">
        <v>1553</v>
      </c>
      <c r="D1380" s="823">
        <v>1</v>
      </c>
      <c r="E1380" s="1001" t="s">
        <v>2326</v>
      </c>
      <c r="F1380" s="1225">
        <f>'Pay Values'!$C$46</f>
        <v>0</v>
      </c>
      <c r="G1380" s="1220"/>
      <c r="H1380" s="1222">
        <f t="shared" si="164"/>
        <v>0</v>
      </c>
      <c r="I1380" s="1223"/>
      <c r="K1380" s="960"/>
    </row>
    <row r="1381" spans="1:11" ht="12.75" customHeight="1" thickBot="1">
      <c r="A1381" s="956" t="s">
        <v>2465</v>
      </c>
      <c r="B1381" s="1219" t="str">
        <f t="shared" si="163"/>
        <v/>
      </c>
      <c r="C1381" s="823" t="s">
        <v>1553</v>
      </c>
      <c r="D1381" s="823">
        <v>1</v>
      </c>
      <c r="E1381" s="1001" t="s">
        <v>2327</v>
      </c>
      <c r="F1381" s="1225" t="str">
        <f>IF(Calculations!$O$1=1,"Yes", "No")</f>
        <v>No</v>
      </c>
      <c r="G1381" s="1220"/>
      <c r="H1381" s="1222">
        <f t="shared" si="164"/>
        <v>0</v>
      </c>
      <c r="I1381" s="1223"/>
      <c r="K1381" s="960"/>
    </row>
    <row r="1382" spans="1:11" ht="12.75" customHeight="1" thickBot="1">
      <c r="A1382" s="956" t="s">
        <v>2466</v>
      </c>
      <c r="B1382" s="1219" t="str">
        <f t="shared" si="163"/>
        <v/>
      </c>
      <c r="C1382" s="823" t="s">
        <v>1553</v>
      </c>
      <c r="D1382" s="823">
        <v>1</v>
      </c>
      <c r="E1382" s="1001" t="s">
        <v>2328</v>
      </c>
      <c r="F1382" s="1225" t="str">
        <f>IF(Calculations!$O$2=1,"Yes", "No")</f>
        <v>No</v>
      </c>
      <c r="G1382" s="1220"/>
      <c r="H1382" s="1222">
        <f t="shared" si="164"/>
        <v>0</v>
      </c>
      <c r="I1382" s="1223"/>
      <c r="K1382" s="960"/>
    </row>
    <row r="1383" spans="1:11" ht="12.75" customHeight="1" thickBot="1">
      <c r="A1383" s="956" t="s">
        <v>2603</v>
      </c>
      <c r="B1383" s="1219" t="str">
        <f t="shared" si="163"/>
        <v/>
      </c>
      <c r="C1383" s="823" t="s">
        <v>1553</v>
      </c>
      <c r="D1383" s="823">
        <v>1</v>
      </c>
      <c r="E1383" s="1001" t="s">
        <v>2519</v>
      </c>
      <c r="F1383" s="1001"/>
      <c r="G1383" s="980">
        <f>Gradation!$N$10</f>
        <v>0</v>
      </c>
      <c r="H1383" s="1222">
        <f t="shared" si="164"/>
        <v>0</v>
      </c>
      <c r="I1383" s="1223"/>
      <c r="K1383" s="960"/>
    </row>
    <row r="1384" spans="1:11" ht="12.75" customHeight="1" thickBot="1">
      <c r="A1384" s="956" t="s">
        <v>2604</v>
      </c>
      <c r="B1384" s="1219" t="str">
        <f t="shared" si="163"/>
        <v/>
      </c>
      <c r="C1384" s="823" t="s">
        <v>1553</v>
      </c>
      <c r="D1384" s="823">
        <v>1</v>
      </c>
      <c r="E1384" s="1001" t="s">
        <v>2520</v>
      </c>
      <c r="F1384" s="1001"/>
      <c r="G1384" s="980">
        <f>Gradation!$N$11</f>
        <v>0</v>
      </c>
      <c r="H1384" s="1222">
        <f t="shared" si="164"/>
        <v>0</v>
      </c>
      <c r="I1384" s="1223"/>
      <c r="K1384" s="960"/>
    </row>
    <row r="1385" spans="1:11" ht="12.75" customHeight="1" thickBot="1">
      <c r="A1385" s="956" t="s">
        <v>2605</v>
      </c>
      <c r="B1385" s="1219" t="str">
        <f t="shared" si="163"/>
        <v/>
      </c>
      <c r="C1385" s="823" t="s">
        <v>1553</v>
      </c>
      <c r="D1385" s="823">
        <v>1</v>
      </c>
      <c r="E1385" s="1001" t="s">
        <v>2521</v>
      </c>
      <c r="F1385" s="1001"/>
      <c r="G1385" s="980">
        <f>Gradation!$N$12</f>
        <v>0</v>
      </c>
      <c r="H1385" s="1222">
        <f t="shared" si="164"/>
        <v>0</v>
      </c>
      <c r="I1385" s="1223"/>
      <c r="K1385" s="960"/>
    </row>
    <row r="1386" spans="1:11" ht="12.75" customHeight="1" thickBot="1">
      <c r="A1386" s="956" t="s">
        <v>2606</v>
      </c>
      <c r="B1386" s="1219" t="str">
        <f t="shared" si="163"/>
        <v/>
      </c>
      <c r="C1386" s="823" t="s">
        <v>1553</v>
      </c>
      <c r="D1386" s="823">
        <v>1</v>
      </c>
      <c r="E1386" s="1001" t="s">
        <v>2522</v>
      </c>
      <c r="F1386" s="1001"/>
      <c r="G1386" s="980">
        <f>Gradation!$N$13</f>
        <v>0</v>
      </c>
      <c r="H1386" s="1222">
        <f t="shared" si="164"/>
        <v>0</v>
      </c>
      <c r="I1386" s="1223"/>
      <c r="K1386" s="960"/>
    </row>
    <row r="1387" spans="1:11" ht="12.75" customHeight="1" thickBot="1">
      <c r="A1387" s="956" t="s">
        <v>2607</v>
      </c>
      <c r="B1387" s="1219" t="str">
        <f t="shared" si="163"/>
        <v/>
      </c>
      <c r="C1387" s="823" t="s">
        <v>1553</v>
      </c>
      <c r="D1387" s="823">
        <v>1</v>
      </c>
      <c r="E1387" s="1001" t="s">
        <v>2523</v>
      </c>
      <c r="F1387" s="1001"/>
      <c r="G1387" s="980">
        <f>Gradation!$N$14</f>
        <v>0</v>
      </c>
      <c r="H1387" s="1222">
        <f t="shared" si="164"/>
        <v>0</v>
      </c>
      <c r="I1387" s="1223"/>
      <c r="K1387" s="960"/>
    </row>
    <row r="1388" spans="1:11" ht="12.75" customHeight="1" thickBot="1">
      <c r="A1388" s="956" t="s">
        <v>2608</v>
      </c>
      <c r="B1388" s="1219" t="str">
        <f t="shared" si="163"/>
        <v/>
      </c>
      <c r="C1388" s="823" t="s">
        <v>1553</v>
      </c>
      <c r="D1388" s="823">
        <v>1</v>
      </c>
      <c r="E1388" s="1001" t="s">
        <v>2524</v>
      </c>
      <c r="F1388" s="1001"/>
      <c r="G1388" s="980">
        <f>Gradation!$N$15</f>
        <v>0</v>
      </c>
      <c r="H1388" s="1222">
        <f t="shared" si="164"/>
        <v>0</v>
      </c>
      <c r="I1388" s="1223"/>
      <c r="K1388" s="960"/>
    </row>
    <row r="1389" spans="1:11" ht="12.75" customHeight="1" thickBot="1">
      <c r="A1389" s="956" t="s">
        <v>2609</v>
      </c>
      <c r="B1389" s="1219" t="str">
        <f t="shared" si="163"/>
        <v/>
      </c>
      <c r="C1389" s="823" t="s">
        <v>1553</v>
      </c>
      <c r="D1389" s="823">
        <v>1</v>
      </c>
      <c r="E1389" s="1001" t="s">
        <v>2525</v>
      </c>
      <c r="F1389" s="1001"/>
      <c r="G1389" s="980">
        <f>Gradation!$N$16</f>
        <v>0</v>
      </c>
      <c r="H1389" s="1222">
        <f t="shared" si="164"/>
        <v>0</v>
      </c>
      <c r="I1389" s="1223"/>
      <c r="K1389" s="960"/>
    </row>
    <row r="1390" spans="1:11" ht="12.75" customHeight="1" thickBot="1">
      <c r="A1390" s="956" t="s">
        <v>2610</v>
      </c>
      <c r="B1390" s="1219" t="str">
        <f t="shared" si="163"/>
        <v/>
      </c>
      <c r="C1390" s="823" t="s">
        <v>1553</v>
      </c>
      <c r="D1390" s="823">
        <v>1</v>
      </c>
      <c r="E1390" s="1001" t="s">
        <v>2526</v>
      </c>
      <c r="F1390" s="1001"/>
      <c r="G1390" s="980">
        <f>Gradation!$N$17</f>
        <v>0</v>
      </c>
      <c r="H1390" s="1222">
        <f t="shared" si="164"/>
        <v>0</v>
      </c>
      <c r="I1390" s="1223"/>
      <c r="K1390" s="960"/>
    </row>
    <row r="1391" spans="1:11" ht="12.75" customHeight="1" thickBot="1">
      <c r="A1391" s="956" t="s">
        <v>2611</v>
      </c>
      <c r="B1391" s="1219" t="str">
        <f t="shared" si="163"/>
        <v/>
      </c>
      <c r="C1391" s="823" t="s">
        <v>1553</v>
      </c>
      <c r="D1391" s="823">
        <v>1</v>
      </c>
      <c r="E1391" s="1001" t="s">
        <v>2527</v>
      </c>
      <c r="F1391" s="1001"/>
      <c r="G1391" s="980">
        <f>Gradation!$N$18</f>
        <v>0</v>
      </c>
      <c r="H1391" s="1222">
        <f t="shared" si="164"/>
        <v>0</v>
      </c>
      <c r="I1391" s="1223"/>
      <c r="K1391" s="960"/>
    </row>
    <row r="1392" spans="1:11" ht="12.75" customHeight="1" thickBot="1">
      <c r="A1392" s="956" t="s">
        <v>2612</v>
      </c>
      <c r="B1392" s="1219" t="str">
        <f t="shared" si="163"/>
        <v/>
      </c>
      <c r="C1392" s="823" t="s">
        <v>1553</v>
      </c>
      <c r="D1392" s="823">
        <v>1</v>
      </c>
      <c r="E1392" s="1001" t="s">
        <v>2528</v>
      </c>
      <c r="F1392" s="1001"/>
      <c r="G1392" s="980">
        <f>Gradation!$N$19</f>
        <v>0</v>
      </c>
      <c r="H1392" s="1222">
        <f t="shared" si="164"/>
        <v>0</v>
      </c>
      <c r="I1392" s="1223"/>
      <c r="K1392" s="960"/>
    </row>
    <row r="1393" spans="1:11" ht="12.75" customHeight="1" thickBot="1">
      <c r="A1393" s="956" t="s">
        <v>2613</v>
      </c>
      <c r="B1393" s="1219" t="str">
        <f t="shared" si="163"/>
        <v/>
      </c>
      <c r="C1393" s="823" t="s">
        <v>1553</v>
      </c>
      <c r="D1393" s="823">
        <v>1</v>
      </c>
      <c r="E1393" s="1001" t="s">
        <v>2529</v>
      </c>
      <c r="F1393" s="1001"/>
      <c r="G1393" s="980">
        <f>Gradation!$N$20</f>
        <v>0</v>
      </c>
      <c r="H1393" s="1222">
        <f t="shared" si="164"/>
        <v>0</v>
      </c>
      <c r="I1393" s="1223"/>
      <c r="K1393" s="960"/>
    </row>
    <row r="1394" spans="1:11" ht="12.75" customHeight="1" thickBot="1">
      <c r="A1394" s="956" t="s">
        <v>2614</v>
      </c>
      <c r="B1394" s="1219" t="str">
        <f t="shared" si="163"/>
        <v/>
      </c>
      <c r="C1394" s="823" t="s">
        <v>1553</v>
      </c>
      <c r="D1394" s="823">
        <v>1</v>
      </c>
      <c r="E1394" s="1001" t="s">
        <v>2530</v>
      </c>
      <c r="F1394" s="1001"/>
      <c r="G1394" s="980">
        <f>Gradation!$N$21</f>
        <v>0</v>
      </c>
      <c r="H1394" s="1222">
        <f t="shared" si="164"/>
        <v>0</v>
      </c>
      <c r="I1394" s="1223"/>
      <c r="K1394" s="960"/>
    </row>
    <row r="1395" spans="1:11" ht="12.75" customHeight="1" thickBot="1">
      <c r="A1395" s="956" t="s">
        <v>2615</v>
      </c>
      <c r="B1395" s="1219" t="str">
        <f t="shared" si="163"/>
        <v/>
      </c>
      <c r="C1395" s="823" t="s">
        <v>1553</v>
      </c>
      <c r="D1395" s="823">
        <v>1</v>
      </c>
      <c r="E1395" s="1001" t="s">
        <v>2531</v>
      </c>
      <c r="F1395" s="1001"/>
      <c r="G1395" s="980">
        <f>Gradation!$N$22</f>
        <v>0</v>
      </c>
      <c r="H1395" s="1222">
        <f t="shared" si="164"/>
        <v>0</v>
      </c>
      <c r="I1395" s="1223"/>
      <c r="K1395" s="960"/>
    </row>
    <row r="1396" spans="1:11" ht="12.75" customHeight="1" thickBot="1">
      <c r="A1396" s="956" t="s">
        <v>2616</v>
      </c>
      <c r="B1396" s="1219" t="str">
        <f t="shared" si="163"/>
        <v/>
      </c>
      <c r="C1396" s="823" t="s">
        <v>1553</v>
      </c>
      <c r="D1396" s="823">
        <v>1</v>
      </c>
      <c r="E1396" s="1001" t="s">
        <v>2532</v>
      </c>
      <c r="F1396" s="1001"/>
      <c r="G1396" s="980">
        <f>Gradation!$N$23</f>
        <v>0</v>
      </c>
      <c r="H1396" s="1222">
        <f t="shared" si="164"/>
        <v>0</v>
      </c>
      <c r="I1396" s="1223"/>
      <c r="K1396" s="960"/>
    </row>
    <row r="1397" spans="1:11" ht="12.75" customHeight="1" thickBot="1">
      <c r="A1397" s="1505" t="s">
        <v>3177</v>
      </c>
      <c r="B1397" s="1506" t="str">
        <f t="shared" si="163"/>
        <v/>
      </c>
      <c r="C1397" s="1507" t="str">
        <f t="shared" si="163"/>
        <v>AMAMAW</v>
      </c>
      <c r="D1397" s="1507">
        <f t="shared" si="163"/>
        <v>1</v>
      </c>
      <c r="E1397" s="1508">
        <v>130</v>
      </c>
      <c r="F1397" s="1509"/>
      <c r="G1397" s="1516">
        <f>IF('Performance Specimens'!$H$41="",0,'Performance Specimens'!$H$41)</f>
        <v>0</v>
      </c>
      <c r="H1397" s="1510">
        <f t="shared" si="164"/>
        <v>0</v>
      </c>
      <c r="I1397" s="1178"/>
      <c r="K1397" s="960"/>
    </row>
    <row r="1398" spans="1:11" ht="12.75" customHeight="1" thickBot="1">
      <c r="A1398" s="1505" t="s">
        <v>3178</v>
      </c>
      <c r="B1398" s="1506" t="str">
        <f t="shared" ref="B1398:D1415" si="165">B1397</f>
        <v/>
      </c>
      <c r="C1398" s="1507" t="str">
        <f t="shared" si="165"/>
        <v>AMAMAW</v>
      </c>
      <c r="D1398" s="1507">
        <f t="shared" si="165"/>
        <v>1</v>
      </c>
      <c r="E1398" s="1508">
        <v>131</v>
      </c>
      <c r="F1398" s="1509"/>
      <c r="G1398" s="1516">
        <f>IF('Performance Specimens'!$O$41="",0,'Performance Specimens'!$O$41)</f>
        <v>0</v>
      </c>
      <c r="H1398" s="1510">
        <f t="shared" si="164"/>
        <v>0</v>
      </c>
      <c r="I1398" s="1178"/>
      <c r="K1398" s="960"/>
    </row>
    <row r="1399" spans="1:11" ht="12.75" customHeight="1" thickBot="1">
      <c r="A1399" s="1505" t="s">
        <v>3251</v>
      </c>
      <c r="B1399" s="1506" t="str">
        <f t="shared" ref="B1399:D1399" si="166">B1398</f>
        <v/>
      </c>
      <c r="C1399" s="1507" t="str">
        <f t="shared" si="166"/>
        <v>AMAMAW</v>
      </c>
      <c r="D1399" s="1507">
        <f t="shared" si="166"/>
        <v>1</v>
      </c>
      <c r="E1399" s="1508">
        <v>132</v>
      </c>
      <c r="F1399" s="1509"/>
      <c r="G1399" s="1516">
        <f>IF('Performance Specimens'!$H$57="",0,'Performance Specimens'!$H$57)</f>
        <v>0</v>
      </c>
      <c r="H1399" s="1510">
        <f t="shared" si="164"/>
        <v>0</v>
      </c>
      <c r="I1399" s="1178"/>
      <c r="K1399" s="960"/>
    </row>
    <row r="1400" spans="1:11" ht="12.75" customHeight="1" thickBot="1">
      <c r="A1400" s="1505" t="s">
        <v>3252</v>
      </c>
      <c r="B1400" s="1506" t="str">
        <f t="shared" ref="B1400:D1400" si="167">B1399</f>
        <v/>
      </c>
      <c r="C1400" s="1507" t="str">
        <f t="shared" si="167"/>
        <v>AMAMAW</v>
      </c>
      <c r="D1400" s="1507">
        <f t="shared" si="167"/>
        <v>1</v>
      </c>
      <c r="E1400" s="1508">
        <v>133</v>
      </c>
      <c r="F1400" s="1509"/>
      <c r="G1400" s="1516">
        <f>IF('Performance Specimens'!$O$57="",0,'Performance Specimens'!$O$57)</f>
        <v>0</v>
      </c>
      <c r="H1400" s="1510">
        <f t="shared" si="164"/>
        <v>0</v>
      </c>
      <c r="I1400" s="1178"/>
      <c r="K1400" s="960"/>
    </row>
    <row r="1401" spans="1:11" ht="12.75" customHeight="1" thickBot="1">
      <c r="A1401" s="1505" t="s">
        <v>3179</v>
      </c>
      <c r="B1401" s="1506" t="str">
        <f>B1398</f>
        <v/>
      </c>
      <c r="C1401" s="1507" t="str">
        <f>C1398</f>
        <v>AMAMAW</v>
      </c>
      <c r="D1401" s="1507">
        <f>D1398</f>
        <v>1</v>
      </c>
      <c r="E1401" s="1508">
        <v>134</v>
      </c>
      <c r="F1401" s="1511">
        <f>Calculations!$AR$1</f>
        <v>0</v>
      </c>
      <c r="G1401" s="1509"/>
      <c r="H1401" s="1510">
        <f>H1398</f>
        <v>0</v>
      </c>
      <c r="I1401" s="1178"/>
      <c r="K1401" s="960"/>
    </row>
    <row r="1402" spans="1:11" ht="12.75" customHeight="1" thickBot="1">
      <c r="A1402" s="1505" t="s">
        <v>3180</v>
      </c>
      <c r="B1402" s="1506" t="str">
        <f t="shared" si="165"/>
        <v/>
      </c>
      <c r="C1402" s="1507" t="str">
        <f t="shared" si="165"/>
        <v>AMAMAW</v>
      </c>
      <c r="D1402" s="1507">
        <f t="shared" si="165"/>
        <v>1</v>
      </c>
      <c r="E1402" s="1508">
        <v>135</v>
      </c>
      <c r="F1402" s="1509"/>
      <c r="G1402" s="1510" t="s">
        <v>3253</v>
      </c>
      <c r="H1402" s="1510">
        <f t="shared" si="164"/>
        <v>0</v>
      </c>
      <c r="I1402" s="1178"/>
      <c r="K1402" s="960"/>
    </row>
    <row r="1403" spans="1:11" ht="12.75" customHeight="1" thickBot="1">
      <c r="A1403" s="1505" t="s">
        <v>3181</v>
      </c>
      <c r="B1403" s="1506" t="str">
        <f t="shared" si="165"/>
        <v/>
      </c>
      <c r="C1403" s="1507" t="str">
        <f t="shared" si="165"/>
        <v>AMAMAW</v>
      </c>
      <c r="D1403" s="1507">
        <f t="shared" si="165"/>
        <v>1</v>
      </c>
      <c r="E1403" s="1508">
        <v>136</v>
      </c>
      <c r="F1403" s="1509"/>
      <c r="G1403" s="1510" t="s">
        <v>3253</v>
      </c>
      <c r="H1403" s="1510">
        <f t="shared" si="164"/>
        <v>0</v>
      </c>
      <c r="I1403" s="1178"/>
      <c r="K1403" s="960"/>
    </row>
    <row r="1404" spans="1:11" ht="12.75" customHeight="1" thickBot="1">
      <c r="A1404" s="1505" t="s">
        <v>3182</v>
      </c>
      <c r="B1404" s="1506" t="str">
        <f t="shared" si="165"/>
        <v/>
      </c>
      <c r="C1404" s="1507" t="str">
        <f t="shared" si="165"/>
        <v>AMAMAW</v>
      </c>
      <c r="D1404" s="1507">
        <f t="shared" si="165"/>
        <v>1</v>
      </c>
      <c r="E1404" s="1508">
        <v>137</v>
      </c>
      <c r="F1404" s="1509"/>
      <c r="G1404" s="1510" t="s">
        <v>3253</v>
      </c>
      <c r="H1404" s="1510">
        <f t="shared" si="164"/>
        <v>0</v>
      </c>
      <c r="I1404" s="1178"/>
      <c r="K1404" s="960"/>
    </row>
    <row r="1405" spans="1:11" ht="12.75" customHeight="1" thickBot="1">
      <c r="A1405" s="1505" t="s">
        <v>3183</v>
      </c>
      <c r="B1405" s="1506" t="str">
        <f t="shared" si="165"/>
        <v/>
      </c>
      <c r="C1405" s="1507" t="str">
        <f t="shared" si="165"/>
        <v>AMAMAW</v>
      </c>
      <c r="D1405" s="1507">
        <f t="shared" si="165"/>
        <v>1</v>
      </c>
      <c r="E1405" s="1508">
        <v>138</v>
      </c>
      <c r="F1405" s="1509"/>
      <c r="G1405" s="1510" t="s">
        <v>3253</v>
      </c>
      <c r="H1405" s="1510">
        <f t="shared" si="164"/>
        <v>0</v>
      </c>
      <c r="I1405" s="1178"/>
      <c r="K1405" s="960"/>
    </row>
    <row r="1406" spans="1:11" ht="12.75" customHeight="1" thickBot="1">
      <c r="A1406" s="1505" t="s">
        <v>3184</v>
      </c>
      <c r="B1406" s="1506" t="str">
        <f t="shared" si="165"/>
        <v/>
      </c>
      <c r="C1406" s="1507" t="str">
        <f t="shared" si="165"/>
        <v>AMAMAW</v>
      </c>
      <c r="D1406" s="1507">
        <f t="shared" si="165"/>
        <v>1</v>
      </c>
      <c r="E1406" s="1508">
        <v>139</v>
      </c>
      <c r="F1406" s="1509"/>
      <c r="G1406" s="1510" t="s">
        <v>3253</v>
      </c>
      <c r="H1406" s="1510">
        <f t="shared" si="164"/>
        <v>0</v>
      </c>
      <c r="I1406" s="1178"/>
      <c r="K1406" s="960"/>
    </row>
    <row r="1407" spans="1:11" ht="12.75" customHeight="1" thickBot="1">
      <c r="A1407" s="1505" t="s">
        <v>3185</v>
      </c>
      <c r="B1407" s="1506" t="str">
        <f t="shared" si="165"/>
        <v/>
      </c>
      <c r="C1407" s="1507" t="str">
        <f t="shared" si="165"/>
        <v>AMAMAW</v>
      </c>
      <c r="D1407" s="1507">
        <f t="shared" si="165"/>
        <v>1</v>
      </c>
      <c r="E1407" s="1508">
        <v>140</v>
      </c>
      <c r="F1407" s="1509"/>
      <c r="G1407" s="1510" t="s">
        <v>3253</v>
      </c>
      <c r="H1407" s="1510">
        <f t="shared" si="164"/>
        <v>0</v>
      </c>
      <c r="I1407" s="1178"/>
      <c r="K1407" s="960"/>
    </row>
    <row r="1408" spans="1:11" ht="12.75" customHeight="1" thickBot="1">
      <c r="A1408" s="1505" t="s">
        <v>3186</v>
      </c>
      <c r="B1408" s="1506" t="str">
        <f t="shared" si="165"/>
        <v/>
      </c>
      <c r="C1408" s="1507" t="str">
        <f t="shared" si="165"/>
        <v>AMAMAW</v>
      </c>
      <c r="D1408" s="1507">
        <f t="shared" si="165"/>
        <v>1</v>
      </c>
      <c r="E1408" s="1508">
        <v>141</v>
      </c>
      <c r="F1408" s="1509"/>
      <c r="G1408" s="1510" t="s">
        <v>3253</v>
      </c>
      <c r="H1408" s="1510">
        <f t="shared" si="164"/>
        <v>0</v>
      </c>
      <c r="I1408" s="1178"/>
      <c r="K1408" s="960"/>
    </row>
    <row r="1409" spans="1:11" ht="12.75" customHeight="1" thickBot="1">
      <c r="A1409" s="1505" t="s">
        <v>3187</v>
      </c>
      <c r="B1409" s="1506" t="str">
        <f t="shared" si="165"/>
        <v/>
      </c>
      <c r="C1409" s="1507" t="str">
        <f t="shared" si="165"/>
        <v>AMAMAW</v>
      </c>
      <c r="D1409" s="1507">
        <f t="shared" si="165"/>
        <v>1</v>
      </c>
      <c r="E1409" s="1508">
        <v>142</v>
      </c>
      <c r="F1409" s="1509"/>
      <c r="G1409" s="1510" t="s">
        <v>3253</v>
      </c>
      <c r="H1409" s="1510">
        <f t="shared" si="164"/>
        <v>0</v>
      </c>
      <c r="I1409" s="1178"/>
      <c r="K1409" s="960"/>
    </row>
    <row r="1410" spans="1:11" ht="12.75" customHeight="1" thickBot="1">
      <c r="A1410" s="1505" t="s">
        <v>3188</v>
      </c>
      <c r="B1410" s="1506" t="str">
        <f t="shared" si="165"/>
        <v/>
      </c>
      <c r="C1410" s="1507" t="str">
        <f t="shared" si="165"/>
        <v>AMAMAW</v>
      </c>
      <c r="D1410" s="1507">
        <f t="shared" si="165"/>
        <v>1</v>
      </c>
      <c r="E1410" s="1508">
        <v>143</v>
      </c>
      <c r="F1410" s="1509"/>
      <c r="G1410" s="1510" t="s">
        <v>3253</v>
      </c>
      <c r="H1410" s="1510">
        <f t="shared" si="164"/>
        <v>0</v>
      </c>
      <c r="I1410" s="1178"/>
      <c r="K1410" s="960"/>
    </row>
    <row r="1411" spans="1:11" ht="12.75" customHeight="1" thickBot="1">
      <c r="A1411" s="1505" t="s">
        <v>3189</v>
      </c>
      <c r="B1411" s="1506" t="str">
        <f t="shared" si="165"/>
        <v/>
      </c>
      <c r="C1411" s="1507" t="str">
        <f t="shared" si="165"/>
        <v>AMAMAW</v>
      </c>
      <c r="D1411" s="1507">
        <f t="shared" si="165"/>
        <v>1</v>
      </c>
      <c r="E1411" s="1508">
        <v>144</v>
      </c>
      <c r="F1411" s="1509"/>
      <c r="G1411" s="1510" t="s">
        <v>3253</v>
      </c>
      <c r="H1411" s="1510">
        <f t="shared" si="164"/>
        <v>0</v>
      </c>
      <c r="I1411" s="1178"/>
      <c r="K1411" s="960"/>
    </row>
    <row r="1412" spans="1:11" ht="12.75" customHeight="1" thickBot="1">
      <c r="A1412" s="1505" t="s">
        <v>3190</v>
      </c>
      <c r="B1412" s="1506" t="str">
        <f t="shared" si="165"/>
        <v/>
      </c>
      <c r="C1412" s="1507" t="str">
        <f t="shared" si="165"/>
        <v>AMAMAW</v>
      </c>
      <c r="D1412" s="1507">
        <f t="shared" si="165"/>
        <v>1</v>
      </c>
      <c r="E1412" s="1508">
        <v>145</v>
      </c>
      <c r="F1412" s="1509"/>
      <c r="G1412" s="1510" t="s">
        <v>3253</v>
      </c>
      <c r="H1412" s="1510">
        <f t="shared" si="164"/>
        <v>0</v>
      </c>
      <c r="I1412" s="1178"/>
      <c r="K1412" s="960"/>
    </row>
    <row r="1413" spans="1:11" ht="12.75" customHeight="1" thickBot="1">
      <c r="A1413" s="1505" t="s">
        <v>3191</v>
      </c>
      <c r="B1413" s="1506" t="str">
        <f t="shared" si="165"/>
        <v/>
      </c>
      <c r="C1413" s="1507" t="str">
        <f t="shared" si="165"/>
        <v>AMAMAW</v>
      </c>
      <c r="D1413" s="1507">
        <f t="shared" si="165"/>
        <v>1</v>
      </c>
      <c r="E1413" s="1508">
        <v>146</v>
      </c>
      <c r="F1413" s="1509"/>
      <c r="G1413" s="1510" t="s">
        <v>3253</v>
      </c>
      <c r="H1413" s="1510">
        <f t="shared" si="164"/>
        <v>0</v>
      </c>
      <c r="I1413" s="1178"/>
      <c r="K1413" s="960"/>
    </row>
    <row r="1414" spans="1:11" ht="12.75" customHeight="1" thickBot="1">
      <c r="A1414" s="1505" t="s">
        <v>3192</v>
      </c>
      <c r="B1414" s="1506" t="str">
        <f t="shared" si="165"/>
        <v/>
      </c>
      <c r="C1414" s="1507" t="str">
        <f t="shared" si="165"/>
        <v>AMAMAW</v>
      </c>
      <c r="D1414" s="1507">
        <f t="shared" si="165"/>
        <v>1</v>
      </c>
      <c r="E1414" s="1508">
        <v>147</v>
      </c>
      <c r="F1414" s="1509"/>
      <c r="G1414" s="1510" t="s">
        <v>3253</v>
      </c>
      <c r="H1414" s="1510">
        <f t="shared" si="164"/>
        <v>0</v>
      </c>
      <c r="I1414" s="1178"/>
      <c r="K1414" s="960"/>
    </row>
    <row r="1415" spans="1:11" ht="12.75" customHeight="1" thickBot="1">
      <c r="A1415" s="1505" t="s">
        <v>3193</v>
      </c>
      <c r="B1415" s="1506" t="str">
        <f t="shared" si="165"/>
        <v/>
      </c>
      <c r="C1415" s="1507" t="str">
        <f t="shared" si="165"/>
        <v>AMAMAW</v>
      </c>
      <c r="D1415" s="1507">
        <f t="shared" si="165"/>
        <v>1</v>
      </c>
      <c r="E1415" s="1508">
        <v>148</v>
      </c>
      <c r="F1415" s="1509"/>
      <c r="G1415" s="1510" t="s">
        <v>3253</v>
      </c>
      <c r="H1415" s="1510">
        <f t="shared" si="164"/>
        <v>0</v>
      </c>
      <c r="I1415" s="1178"/>
      <c r="K1415" s="960"/>
    </row>
    <row r="1416" spans="1:11" ht="12.75" customHeight="1" thickBot="1">
      <c r="A1416" s="1505" t="s">
        <v>3194</v>
      </c>
      <c r="B1416" s="1506" t="str">
        <f t="shared" ref="B1416:D1431" si="168">B1415</f>
        <v/>
      </c>
      <c r="C1416" s="1507" t="str">
        <f t="shared" si="168"/>
        <v>AMAMAW</v>
      </c>
      <c r="D1416" s="1507">
        <f t="shared" si="168"/>
        <v>1</v>
      </c>
      <c r="E1416" s="1508">
        <v>149</v>
      </c>
      <c r="F1416" s="1509"/>
      <c r="G1416" s="1510" t="s">
        <v>3253</v>
      </c>
      <c r="H1416" s="1510">
        <f t="shared" si="164"/>
        <v>0</v>
      </c>
      <c r="I1416" s="1178"/>
      <c r="K1416" s="960"/>
    </row>
    <row r="1417" spans="1:11" ht="12.75" customHeight="1" thickBot="1">
      <c r="A1417" s="1505" t="s">
        <v>3195</v>
      </c>
      <c r="B1417" s="1506" t="str">
        <f t="shared" si="168"/>
        <v/>
      </c>
      <c r="C1417" s="1507" t="str">
        <f t="shared" si="168"/>
        <v>AMAMAW</v>
      </c>
      <c r="D1417" s="1507">
        <f t="shared" si="168"/>
        <v>1</v>
      </c>
      <c r="E1417" s="1508">
        <v>150</v>
      </c>
      <c r="F1417" s="1509"/>
      <c r="G1417" s="1510" t="s">
        <v>3253</v>
      </c>
      <c r="H1417" s="1510">
        <f t="shared" si="164"/>
        <v>0</v>
      </c>
      <c r="I1417" s="1178"/>
      <c r="K1417" s="960"/>
    </row>
    <row r="1418" spans="1:11" ht="12.75" customHeight="1" thickBot="1">
      <c r="A1418" s="1505" t="s">
        <v>3196</v>
      </c>
      <c r="B1418" s="1506" t="str">
        <f t="shared" si="168"/>
        <v/>
      </c>
      <c r="C1418" s="1507" t="str">
        <f t="shared" si="168"/>
        <v>AMAMAW</v>
      </c>
      <c r="D1418" s="1507">
        <f t="shared" si="168"/>
        <v>1</v>
      </c>
      <c r="E1418" s="1508">
        <v>151</v>
      </c>
      <c r="F1418" s="1509"/>
      <c r="G1418" s="1510" t="s">
        <v>3253</v>
      </c>
      <c r="H1418" s="1510">
        <f t="shared" si="164"/>
        <v>0</v>
      </c>
      <c r="I1418" s="1178"/>
      <c r="K1418" s="960"/>
    </row>
    <row r="1419" spans="1:11" ht="12.75" customHeight="1" thickBot="1">
      <c r="A1419" s="1505" t="s">
        <v>3197</v>
      </c>
      <c r="B1419" s="1506" t="str">
        <f t="shared" si="168"/>
        <v/>
      </c>
      <c r="C1419" s="1507" t="str">
        <f t="shared" si="168"/>
        <v>AMAMAW</v>
      </c>
      <c r="D1419" s="1507">
        <f t="shared" si="168"/>
        <v>1</v>
      </c>
      <c r="E1419" s="1508">
        <v>152</v>
      </c>
      <c r="F1419" s="1509"/>
      <c r="G1419" s="1510" t="s">
        <v>3253</v>
      </c>
      <c r="H1419" s="1510">
        <f t="shared" si="164"/>
        <v>0</v>
      </c>
      <c r="I1419" s="1178"/>
      <c r="K1419" s="960"/>
    </row>
    <row r="1420" spans="1:11" ht="12.75" customHeight="1" thickBot="1">
      <c r="A1420" s="1505" t="s">
        <v>3198</v>
      </c>
      <c r="B1420" s="1506" t="str">
        <f t="shared" si="168"/>
        <v/>
      </c>
      <c r="C1420" s="1507" t="str">
        <f t="shared" si="168"/>
        <v>AMAMAW</v>
      </c>
      <c r="D1420" s="1507">
        <f t="shared" si="168"/>
        <v>1</v>
      </c>
      <c r="E1420" s="1508">
        <v>153</v>
      </c>
      <c r="F1420" s="1509"/>
      <c r="G1420" s="1510" t="s">
        <v>3253</v>
      </c>
      <c r="H1420" s="1510">
        <f t="shared" si="164"/>
        <v>0</v>
      </c>
      <c r="I1420" s="1178"/>
      <c r="K1420" s="960"/>
    </row>
    <row r="1421" spans="1:11" ht="12.75" customHeight="1" thickBot="1">
      <c r="A1421" s="1505" t="s">
        <v>3199</v>
      </c>
      <c r="B1421" s="1506" t="str">
        <f t="shared" si="168"/>
        <v/>
      </c>
      <c r="C1421" s="1507" t="str">
        <f t="shared" si="168"/>
        <v>AMAMAW</v>
      </c>
      <c r="D1421" s="1507">
        <f t="shared" si="168"/>
        <v>1</v>
      </c>
      <c r="E1421" s="1508">
        <v>154</v>
      </c>
      <c r="F1421" s="1509"/>
      <c r="G1421" s="1510" t="s">
        <v>3253</v>
      </c>
      <c r="H1421" s="1510">
        <f t="shared" si="164"/>
        <v>0</v>
      </c>
      <c r="I1421" s="1178"/>
      <c r="K1421" s="960"/>
    </row>
    <row r="1422" spans="1:11" ht="12.75" customHeight="1" thickBot="1">
      <c r="A1422" s="1505" t="s">
        <v>3200</v>
      </c>
      <c r="B1422" s="1506" t="str">
        <f t="shared" si="168"/>
        <v/>
      </c>
      <c r="C1422" s="1507" t="str">
        <f t="shared" si="168"/>
        <v>AMAMAW</v>
      </c>
      <c r="D1422" s="1507">
        <f t="shared" si="168"/>
        <v>1</v>
      </c>
      <c r="E1422" s="1508">
        <v>155</v>
      </c>
      <c r="F1422" s="1509"/>
      <c r="G1422" s="1510" t="s">
        <v>3253</v>
      </c>
      <c r="H1422" s="1510">
        <f t="shared" si="164"/>
        <v>0</v>
      </c>
      <c r="I1422" s="1178"/>
      <c r="K1422" s="960"/>
    </row>
    <row r="1423" spans="1:11" ht="12.75" customHeight="1" thickBot="1">
      <c r="A1423" s="1505" t="s">
        <v>3201</v>
      </c>
      <c r="B1423" s="1506" t="str">
        <f t="shared" si="168"/>
        <v/>
      </c>
      <c r="C1423" s="1507" t="str">
        <f t="shared" si="168"/>
        <v>AMAMAW</v>
      </c>
      <c r="D1423" s="1507">
        <f t="shared" si="168"/>
        <v>1</v>
      </c>
      <c r="E1423" s="1508">
        <v>156</v>
      </c>
      <c r="F1423" s="1509"/>
      <c r="G1423" s="1510" t="s">
        <v>3253</v>
      </c>
      <c r="H1423" s="1510">
        <f t="shared" si="164"/>
        <v>0</v>
      </c>
      <c r="I1423" s="1178"/>
      <c r="K1423" s="960"/>
    </row>
    <row r="1424" spans="1:11" ht="12.75" customHeight="1" thickBot="1">
      <c r="A1424" s="1505" t="s">
        <v>3202</v>
      </c>
      <c r="B1424" s="1506" t="str">
        <f t="shared" si="168"/>
        <v/>
      </c>
      <c r="C1424" s="1507" t="str">
        <f t="shared" si="168"/>
        <v>AMAMAW</v>
      </c>
      <c r="D1424" s="1507">
        <f t="shared" si="168"/>
        <v>1</v>
      </c>
      <c r="E1424" s="1508">
        <v>157</v>
      </c>
      <c r="F1424" s="1509"/>
      <c r="G1424" s="1510" t="s">
        <v>3253</v>
      </c>
      <c r="H1424" s="1510">
        <f t="shared" si="164"/>
        <v>0</v>
      </c>
      <c r="I1424" s="1178"/>
      <c r="K1424" s="960"/>
    </row>
    <row r="1425" spans="1:11" ht="12.75" customHeight="1" thickBot="1">
      <c r="A1425" s="1505" t="s">
        <v>3203</v>
      </c>
      <c r="B1425" s="1506" t="str">
        <f t="shared" si="168"/>
        <v/>
      </c>
      <c r="C1425" s="1507" t="str">
        <f t="shared" si="168"/>
        <v>AMAMAW</v>
      </c>
      <c r="D1425" s="1507">
        <f t="shared" si="168"/>
        <v>1</v>
      </c>
      <c r="E1425" s="1508">
        <v>158</v>
      </c>
      <c r="F1425" s="1509"/>
      <c r="G1425" s="1510" t="s">
        <v>3253</v>
      </c>
      <c r="H1425" s="1510">
        <f t="shared" si="164"/>
        <v>0</v>
      </c>
      <c r="I1425" s="1178"/>
      <c r="K1425" s="960"/>
    </row>
    <row r="1426" spans="1:11" ht="12.75" customHeight="1" thickBot="1">
      <c r="A1426" s="1505" t="s">
        <v>3204</v>
      </c>
      <c r="B1426" s="1506" t="str">
        <f t="shared" si="168"/>
        <v/>
      </c>
      <c r="C1426" s="1507" t="str">
        <f t="shared" si="168"/>
        <v>AMAMAW</v>
      </c>
      <c r="D1426" s="1507">
        <f t="shared" si="168"/>
        <v>1</v>
      </c>
      <c r="E1426" s="1508">
        <v>159</v>
      </c>
      <c r="F1426" s="1509"/>
      <c r="G1426" s="1510" t="s">
        <v>3253</v>
      </c>
      <c r="H1426" s="1510">
        <f t="shared" ref="H1426:H1476" si="169">H1425</f>
        <v>0</v>
      </c>
      <c r="I1426" s="1178"/>
      <c r="K1426" s="960"/>
    </row>
    <row r="1427" spans="1:11" ht="12.75" customHeight="1" thickBot="1">
      <c r="A1427" s="1505" t="s">
        <v>3205</v>
      </c>
      <c r="B1427" s="1512" t="str">
        <f t="shared" si="168"/>
        <v/>
      </c>
      <c r="C1427" s="1513" t="str">
        <f t="shared" si="168"/>
        <v>AMAMAW</v>
      </c>
      <c r="D1427" s="1513">
        <f t="shared" si="168"/>
        <v>1</v>
      </c>
      <c r="E1427" s="1514">
        <v>160</v>
      </c>
      <c r="F1427" s="1509"/>
      <c r="G1427" s="1510" t="s">
        <v>3253</v>
      </c>
      <c r="H1427" s="1515">
        <f t="shared" si="169"/>
        <v>0</v>
      </c>
      <c r="I1427" s="1178"/>
      <c r="K1427" s="960"/>
    </row>
    <row r="1428" spans="1:11" ht="12.75" customHeight="1" thickBot="1">
      <c r="A1428" s="1505" t="s">
        <v>3206</v>
      </c>
      <c r="B1428" s="1512" t="str">
        <f t="shared" si="168"/>
        <v/>
      </c>
      <c r="C1428" s="1513" t="str">
        <f t="shared" si="168"/>
        <v>AMAMAW</v>
      </c>
      <c r="D1428" s="1513">
        <f t="shared" si="168"/>
        <v>1</v>
      </c>
      <c r="E1428" s="1514">
        <v>161</v>
      </c>
      <c r="F1428" s="1509"/>
      <c r="G1428" s="1510" t="s">
        <v>3253</v>
      </c>
      <c r="H1428" s="1515">
        <f t="shared" si="169"/>
        <v>0</v>
      </c>
      <c r="I1428" s="1178"/>
      <c r="K1428" s="960"/>
    </row>
    <row r="1429" spans="1:11" ht="12.75" customHeight="1" thickBot="1">
      <c r="A1429" s="1505" t="s">
        <v>3207</v>
      </c>
      <c r="B1429" s="1512" t="str">
        <f t="shared" si="168"/>
        <v/>
      </c>
      <c r="C1429" s="1513" t="str">
        <f t="shared" si="168"/>
        <v>AMAMAW</v>
      </c>
      <c r="D1429" s="1513">
        <f t="shared" si="168"/>
        <v>1</v>
      </c>
      <c r="E1429" s="1514">
        <v>162</v>
      </c>
      <c r="F1429" s="1509"/>
      <c r="G1429" s="1510" t="s">
        <v>3253</v>
      </c>
      <c r="H1429" s="1515">
        <f t="shared" si="169"/>
        <v>0</v>
      </c>
      <c r="I1429" s="1178"/>
      <c r="K1429" s="960"/>
    </row>
    <row r="1430" spans="1:11" ht="12.75" customHeight="1" thickBot="1">
      <c r="A1430" s="1505" t="s">
        <v>3208</v>
      </c>
      <c r="B1430" s="1512" t="str">
        <f t="shared" si="168"/>
        <v/>
      </c>
      <c r="C1430" s="1513" t="str">
        <f t="shared" si="168"/>
        <v>AMAMAW</v>
      </c>
      <c r="D1430" s="1513">
        <f t="shared" si="168"/>
        <v>1</v>
      </c>
      <c r="E1430" s="1514">
        <v>163</v>
      </c>
      <c r="F1430" s="1509"/>
      <c r="G1430" s="1510" t="s">
        <v>3253</v>
      </c>
      <c r="H1430" s="1515">
        <f t="shared" si="169"/>
        <v>0</v>
      </c>
      <c r="I1430" s="1178"/>
      <c r="K1430" s="960"/>
    </row>
    <row r="1431" spans="1:11" ht="12.75" customHeight="1" thickBot="1">
      <c r="A1431" s="1505" t="s">
        <v>3209</v>
      </c>
      <c r="B1431" s="1506" t="str">
        <f t="shared" si="168"/>
        <v/>
      </c>
      <c r="C1431" s="1507" t="str">
        <f t="shared" si="168"/>
        <v>AMAMAW</v>
      </c>
      <c r="D1431" s="1507">
        <f t="shared" si="168"/>
        <v>1</v>
      </c>
      <c r="E1431" s="1508">
        <v>164</v>
      </c>
      <c r="F1431" s="1509"/>
      <c r="G1431" s="1510" t="s">
        <v>3253</v>
      </c>
      <c r="H1431" s="1510">
        <f t="shared" si="169"/>
        <v>0</v>
      </c>
      <c r="I1431" s="1178"/>
      <c r="K1431" s="960"/>
    </row>
    <row r="1432" spans="1:11" ht="12.75" customHeight="1" thickBot="1">
      <c r="A1432" s="1505" t="s">
        <v>3210</v>
      </c>
      <c r="B1432" s="1512" t="str">
        <f t="shared" ref="B1432:D1447" si="170">B1431</f>
        <v/>
      </c>
      <c r="C1432" s="1513" t="str">
        <f t="shared" si="170"/>
        <v>AMAMAW</v>
      </c>
      <c r="D1432" s="1513">
        <f t="shared" si="170"/>
        <v>1</v>
      </c>
      <c r="E1432" s="1514">
        <v>165</v>
      </c>
      <c r="F1432" s="1509"/>
      <c r="G1432" s="1510" t="s">
        <v>3253</v>
      </c>
      <c r="H1432" s="1515">
        <f t="shared" si="169"/>
        <v>0</v>
      </c>
      <c r="I1432" s="1178"/>
      <c r="K1432" s="960"/>
    </row>
    <row r="1433" spans="1:11" ht="12.75" customHeight="1" thickBot="1">
      <c r="A1433" s="1505" t="s">
        <v>3211</v>
      </c>
      <c r="B1433" s="1512" t="str">
        <f t="shared" si="170"/>
        <v/>
      </c>
      <c r="C1433" s="1513" t="str">
        <f t="shared" si="170"/>
        <v>AMAMAW</v>
      </c>
      <c r="D1433" s="1513">
        <f t="shared" si="170"/>
        <v>1</v>
      </c>
      <c r="E1433" s="1514">
        <v>166</v>
      </c>
      <c r="F1433" s="1509"/>
      <c r="G1433" s="1510" t="s">
        <v>3253</v>
      </c>
      <c r="H1433" s="1515">
        <f t="shared" si="169"/>
        <v>0</v>
      </c>
      <c r="I1433" s="1178"/>
      <c r="K1433" s="960"/>
    </row>
    <row r="1434" spans="1:11" ht="12.75" customHeight="1" thickBot="1">
      <c r="A1434" s="1505" t="s">
        <v>3212</v>
      </c>
      <c r="B1434" s="1512" t="str">
        <f t="shared" si="170"/>
        <v/>
      </c>
      <c r="C1434" s="1513" t="str">
        <f t="shared" si="170"/>
        <v>AMAMAW</v>
      </c>
      <c r="D1434" s="1513">
        <f t="shared" si="170"/>
        <v>1</v>
      </c>
      <c r="E1434" s="1514">
        <v>167</v>
      </c>
      <c r="F1434" s="1509"/>
      <c r="G1434" s="1510" t="s">
        <v>3253</v>
      </c>
      <c r="H1434" s="1515">
        <f t="shared" si="169"/>
        <v>0</v>
      </c>
      <c r="I1434" s="1178"/>
      <c r="K1434" s="960"/>
    </row>
    <row r="1435" spans="1:11" ht="12.75" customHeight="1" thickBot="1">
      <c r="A1435" s="1505" t="s">
        <v>3213</v>
      </c>
      <c r="B1435" s="1512" t="str">
        <f t="shared" si="170"/>
        <v/>
      </c>
      <c r="C1435" s="1513" t="str">
        <f t="shared" si="170"/>
        <v>AMAMAW</v>
      </c>
      <c r="D1435" s="1513">
        <f t="shared" si="170"/>
        <v>1</v>
      </c>
      <c r="E1435" s="1514">
        <v>168</v>
      </c>
      <c r="F1435" s="1509"/>
      <c r="G1435" s="1510" t="s">
        <v>3253</v>
      </c>
      <c r="H1435" s="1515">
        <f t="shared" si="169"/>
        <v>0</v>
      </c>
      <c r="I1435" s="1178"/>
      <c r="K1435" s="960"/>
    </row>
    <row r="1436" spans="1:11" ht="12.75" customHeight="1" thickBot="1">
      <c r="A1436" s="1505" t="s">
        <v>3214</v>
      </c>
      <c r="B1436" s="1506" t="str">
        <f t="shared" si="170"/>
        <v/>
      </c>
      <c r="C1436" s="1507" t="str">
        <f t="shared" si="170"/>
        <v>AMAMAW</v>
      </c>
      <c r="D1436" s="1507">
        <f t="shared" si="170"/>
        <v>1</v>
      </c>
      <c r="E1436" s="1508">
        <v>169</v>
      </c>
      <c r="F1436" s="1509"/>
      <c r="G1436" s="1510" t="s">
        <v>3253</v>
      </c>
      <c r="H1436" s="1510">
        <f t="shared" si="169"/>
        <v>0</v>
      </c>
      <c r="I1436" s="1178"/>
      <c r="K1436" s="960"/>
    </row>
    <row r="1437" spans="1:11" ht="12.75" customHeight="1" thickBot="1">
      <c r="A1437" s="1505" t="s">
        <v>3215</v>
      </c>
      <c r="B1437" s="1512" t="str">
        <f t="shared" si="170"/>
        <v/>
      </c>
      <c r="C1437" s="1513" t="str">
        <f t="shared" si="170"/>
        <v>AMAMAW</v>
      </c>
      <c r="D1437" s="1513">
        <f t="shared" si="170"/>
        <v>1</v>
      </c>
      <c r="E1437" s="1514">
        <v>170</v>
      </c>
      <c r="F1437" s="1509"/>
      <c r="G1437" s="1510" t="s">
        <v>3253</v>
      </c>
      <c r="H1437" s="1515">
        <f t="shared" si="169"/>
        <v>0</v>
      </c>
      <c r="I1437" s="1178"/>
      <c r="K1437" s="960"/>
    </row>
    <row r="1438" spans="1:11" ht="12.75" customHeight="1" thickBot="1">
      <c r="A1438" s="1505" t="s">
        <v>3216</v>
      </c>
      <c r="B1438" s="1512" t="str">
        <f t="shared" si="170"/>
        <v/>
      </c>
      <c r="C1438" s="1513" t="str">
        <f t="shared" si="170"/>
        <v>AMAMAW</v>
      </c>
      <c r="D1438" s="1513">
        <f t="shared" si="170"/>
        <v>1</v>
      </c>
      <c r="E1438" s="1514">
        <v>171</v>
      </c>
      <c r="F1438" s="1509"/>
      <c r="G1438" s="1510" t="s">
        <v>3253</v>
      </c>
      <c r="H1438" s="1515">
        <f t="shared" si="169"/>
        <v>0</v>
      </c>
      <c r="I1438" s="1178"/>
      <c r="K1438" s="960"/>
    </row>
    <row r="1439" spans="1:11" ht="12.75" customHeight="1" thickBot="1">
      <c r="A1439" s="1505" t="s">
        <v>3217</v>
      </c>
      <c r="B1439" s="1512" t="str">
        <f t="shared" si="170"/>
        <v/>
      </c>
      <c r="C1439" s="1513" t="str">
        <f t="shared" si="170"/>
        <v>AMAMAW</v>
      </c>
      <c r="D1439" s="1513">
        <f t="shared" si="170"/>
        <v>1</v>
      </c>
      <c r="E1439" s="1514">
        <v>172</v>
      </c>
      <c r="F1439" s="1509"/>
      <c r="G1439" s="1510" t="s">
        <v>3253</v>
      </c>
      <c r="H1439" s="1515">
        <f t="shared" si="169"/>
        <v>0</v>
      </c>
      <c r="I1439" s="1178"/>
      <c r="K1439" s="960"/>
    </row>
    <row r="1440" spans="1:11" ht="12.75" customHeight="1" thickBot="1">
      <c r="A1440" s="1505" t="s">
        <v>3218</v>
      </c>
      <c r="B1440" s="1512" t="str">
        <f t="shared" si="170"/>
        <v/>
      </c>
      <c r="C1440" s="1513" t="str">
        <f t="shared" si="170"/>
        <v>AMAMAW</v>
      </c>
      <c r="D1440" s="1513">
        <f t="shared" si="170"/>
        <v>1</v>
      </c>
      <c r="E1440" s="1514">
        <v>173</v>
      </c>
      <c r="F1440" s="1509"/>
      <c r="G1440" s="1510" t="s">
        <v>3253</v>
      </c>
      <c r="H1440" s="1515">
        <f t="shared" si="169"/>
        <v>0</v>
      </c>
      <c r="I1440" s="1178"/>
      <c r="K1440" s="960"/>
    </row>
    <row r="1441" spans="1:11" ht="12.75" customHeight="1" thickBot="1">
      <c r="A1441" s="1505" t="s">
        <v>3219</v>
      </c>
      <c r="B1441" s="1512" t="str">
        <f t="shared" si="170"/>
        <v/>
      </c>
      <c r="C1441" s="1513" t="str">
        <f t="shared" si="170"/>
        <v>AMAMAW</v>
      </c>
      <c r="D1441" s="1513">
        <f t="shared" si="170"/>
        <v>1</v>
      </c>
      <c r="E1441" s="1514">
        <v>174</v>
      </c>
      <c r="F1441" s="1509"/>
      <c r="G1441" s="1510" t="s">
        <v>3253</v>
      </c>
      <c r="H1441" s="1510">
        <f t="shared" si="169"/>
        <v>0</v>
      </c>
      <c r="I1441" s="1178"/>
      <c r="K1441" s="960"/>
    </row>
    <row r="1442" spans="1:11" ht="12.75" customHeight="1" thickBot="1">
      <c r="A1442" s="1505" t="s">
        <v>3220</v>
      </c>
      <c r="B1442" s="1512" t="str">
        <f t="shared" si="170"/>
        <v/>
      </c>
      <c r="C1442" s="1513" t="str">
        <f t="shared" si="170"/>
        <v>AMAMAW</v>
      </c>
      <c r="D1442" s="1513">
        <f t="shared" si="170"/>
        <v>1</v>
      </c>
      <c r="E1442" s="1514">
        <v>175</v>
      </c>
      <c r="F1442" s="1510">
        <f>Calculations!$AR$1</f>
        <v>0</v>
      </c>
      <c r="G1442" s="1509"/>
      <c r="H1442" s="1515">
        <f t="shared" si="169"/>
        <v>0</v>
      </c>
      <c r="I1442" s="1178"/>
      <c r="K1442" s="960"/>
    </row>
    <row r="1443" spans="1:11" ht="12.75" customHeight="1" thickBot="1">
      <c r="A1443" s="1505" t="s">
        <v>3221</v>
      </c>
      <c r="B1443" s="1512" t="str">
        <f t="shared" si="170"/>
        <v/>
      </c>
      <c r="C1443" s="1513" t="str">
        <f t="shared" si="170"/>
        <v>AMAMAW</v>
      </c>
      <c r="D1443" s="1513">
        <f t="shared" si="170"/>
        <v>1</v>
      </c>
      <c r="E1443" s="1514">
        <v>176</v>
      </c>
      <c r="F1443" s="1509"/>
      <c r="G1443" s="1516">
        <f>IF('Field Rutting'!$D$19="",0,'Field Rutting'!$D$19)</f>
        <v>0</v>
      </c>
      <c r="H1443" s="1515">
        <f t="shared" si="169"/>
        <v>0</v>
      </c>
      <c r="I1443" s="1178"/>
      <c r="K1443" s="960"/>
    </row>
    <row r="1444" spans="1:11" ht="12.75" customHeight="1" thickBot="1">
      <c r="A1444" s="1505" t="s">
        <v>3222</v>
      </c>
      <c r="B1444" s="1512" t="str">
        <f t="shared" si="170"/>
        <v/>
      </c>
      <c r="C1444" s="1513" t="str">
        <f t="shared" si="170"/>
        <v>AMAMAW</v>
      </c>
      <c r="D1444" s="1513">
        <f t="shared" si="170"/>
        <v>1</v>
      </c>
      <c r="E1444" s="1514">
        <v>177</v>
      </c>
      <c r="F1444" s="1509"/>
      <c r="G1444" s="1516">
        <f>IF('Field Rutting'!$D$19="",0,'Field Rutting'!$D$19)</f>
        <v>0</v>
      </c>
      <c r="H1444" s="1515">
        <f t="shared" si="169"/>
        <v>0</v>
      </c>
      <c r="I1444" s="1178"/>
      <c r="K1444" s="960"/>
    </row>
    <row r="1445" spans="1:11" ht="12.75" customHeight="1" thickBot="1">
      <c r="A1445" s="1505" t="s">
        <v>3223</v>
      </c>
      <c r="B1445" s="1512" t="str">
        <f t="shared" si="170"/>
        <v/>
      </c>
      <c r="C1445" s="1513" t="str">
        <f t="shared" si="170"/>
        <v>AMAMAW</v>
      </c>
      <c r="D1445" s="1513">
        <f t="shared" si="170"/>
        <v>1</v>
      </c>
      <c r="E1445" s="1514">
        <v>178</v>
      </c>
      <c r="F1445" s="1509"/>
      <c r="G1445" s="1516">
        <f>IF('Field Rutting'!$D$20="",0,'Field Rutting'!$D$20)</f>
        <v>0</v>
      </c>
      <c r="H1445" s="1515">
        <f t="shared" si="169"/>
        <v>0</v>
      </c>
      <c r="I1445" s="1178"/>
      <c r="K1445" s="960"/>
    </row>
    <row r="1446" spans="1:11" ht="12.75" customHeight="1" thickBot="1">
      <c r="A1446" s="1505" t="s">
        <v>3224</v>
      </c>
      <c r="B1446" s="1512" t="str">
        <f t="shared" si="170"/>
        <v/>
      </c>
      <c r="C1446" s="1513" t="str">
        <f t="shared" si="170"/>
        <v>AMAMAW</v>
      </c>
      <c r="D1446" s="1513">
        <f t="shared" si="170"/>
        <v>1</v>
      </c>
      <c r="E1446" s="1514">
        <v>179</v>
      </c>
      <c r="F1446" s="1509"/>
      <c r="G1446" s="1516">
        <f>IF('Field Rutting'!$D$21="",0,'Field Rutting'!$D$21)</f>
        <v>0</v>
      </c>
      <c r="H1446" s="1515">
        <f t="shared" si="169"/>
        <v>0</v>
      </c>
      <c r="I1446" s="1178"/>
      <c r="K1446" s="960"/>
    </row>
    <row r="1447" spans="1:11" ht="12.75" customHeight="1" thickBot="1">
      <c r="A1447" s="1505" t="s">
        <v>3225</v>
      </c>
      <c r="B1447" s="1512" t="str">
        <f t="shared" si="170"/>
        <v/>
      </c>
      <c r="C1447" s="1513" t="str">
        <f t="shared" si="170"/>
        <v>AMAMAW</v>
      </c>
      <c r="D1447" s="1513">
        <f t="shared" si="170"/>
        <v>1</v>
      </c>
      <c r="E1447" s="1514">
        <v>180</v>
      </c>
      <c r="F1447" s="1509"/>
      <c r="G1447" s="1516">
        <f>IF('Field Rutting'!$D$22="",0,'Field Rutting'!$D$22)</f>
        <v>0</v>
      </c>
      <c r="H1447" s="1515">
        <f t="shared" si="169"/>
        <v>0</v>
      </c>
      <c r="I1447" s="1178"/>
      <c r="K1447" s="960"/>
    </row>
    <row r="1448" spans="1:11" ht="12.75" customHeight="1" thickBot="1">
      <c r="A1448" s="1505" t="s">
        <v>3226</v>
      </c>
      <c r="B1448" s="1512" t="str">
        <f t="shared" ref="B1448:D1460" si="171">B1447</f>
        <v/>
      </c>
      <c r="C1448" s="1513" t="str">
        <f t="shared" si="171"/>
        <v>AMAMAW</v>
      </c>
      <c r="D1448" s="1513">
        <f t="shared" si="171"/>
        <v>1</v>
      </c>
      <c r="E1448" s="1514">
        <v>181</v>
      </c>
      <c r="F1448" s="1509"/>
      <c r="G1448" s="1516">
        <f>IF('Field Rutting'!$D$23="",0,'Field Rutting'!$D$23)</f>
        <v>0</v>
      </c>
      <c r="H1448" s="1515">
        <f t="shared" si="169"/>
        <v>0</v>
      </c>
      <c r="I1448" s="1178"/>
      <c r="K1448" s="960"/>
    </row>
    <row r="1449" spans="1:11" ht="12.75" customHeight="1" thickBot="1">
      <c r="A1449" s="1505" t="s">
        <v>3227</v>
      </c>
      <c r="B1449" s="1512" t="str">
        <f t="shared" si="171"/>
        <v/>
      </c>
      <c r="C1449" s="1513" t="str">
        <f t="shared" si="171"/>
        <v>AMAMAW</v>
      </c>
      <c r="D1449" s="1513">
        <f t="shared" si="171"/>
        <v>1</v>
      </c>
      <c r="E1449" s="1514">
        <v>182</v>
      </c>
      <c r="F1449" s="1509"/>
      <c r="G1449" s="1516">
        <f>IF('Field Rutting'!$D$24="",0,'Field Rutting'!$D$24)</f>
        <v>0</v>
      </c>
      <c r="H1449" s="1515">
        <f t="shared" si="169"/>
        <v>0</v>
      </c>
      <c r="I1449" s="1178"/>
      <c r="K1449" s="960"/>
    </row>
    <row r="1450" spans="1:11" ht="12.75" customHeight="1" thickBot="1">
      <c r="A1450" s="1505" t="s">
        <v>3228</v>
      </c>
      <c r="B1450" s="1512" t="str">
        <f t="shared" si="171"/>
        <v/>
      </c>
      <c r="C1450" s="1513" t="str">
        <f t="shared" si="171"/>
        <v>AMAMAW</v>
      </c>
      <c r="D1450" s="1513">
        <f t="shared" si="171"/>
        <v>1</v>
      </c>
      <c r="E1450" s="1514">
        <v>183</v>
      </c>
      <c r="F1450" s="1509"/>
      <c r="G1450" s="1516">
        <f>IF('Field Rutting'!$L$19="",0,'Field Rutting'!$L$19)</f>
        <v>0</v>
      </c>
      <c r="H1450" s="1515">
        <f t="shared" si="169"/>
        <v>0</v>
      </c>
      <c r="I1450" s="1178"/>
      <c r="K1450" s="960"/>
    </row>
    <row r="1451" spans="1:11" ht="12.75" customHeight="1" thickBot="1">
      <c r="A1451" s="1505" t="s">
        <v>3229</v>
      </c>
      <c r="B1451" s="1512" t="str">
        <f t="shared" si="171"/>
        <v/>
      </c>
      <c r="C1451" s="1513" t="str">
        <f t="shared" si="171"/>
        <v>AMAMAW</v>
      </c>
      <c r="D1451" s="1513">
        <f t="shared" si="171"/>
        <v>1</v>
      </c>
      <c r="E1451" s="1514">
        <v>184</v>
      </c>
      <c r="F1451" s="1509"/>
      <c r="G1451" s="1516">
        <f>IF('Field Rutting'!$L$20="",0,'Field Rutting'!$L$20)</f>
        <v>0</v>
      </c>
      <c r="H1451" s="1515">
        <f t="shared" si="169"/>
        <v>0</v>
      </c>
      <c r="I1451" s="1178"/>
      <c r="K1451" s="960"/>
    </row>
    <row r="1452" spans="1:11" ht="12.75" customHeight="1" thickBot="1">
      <c r="A1452" s="1505" t="s">
        <v>3230</v>
      </c>
      <c r="B1452" s="1512" t="str">
        <f t="shared" si="171"/>
        <v/>
      </c>
      <c r="C1452" s="1513" t="str">
        <f t="shared" si="171"/>
        <v>AMAMAW</v>
      </c>
      <c r="D1452" s="1513">
        <f t="shared" si="171"/>
        <v>1</v>
      </c>
      <c r="E1452" s="1514">
        <v>185</v>
      </c>
      <c r="F1452" s="1509"/>
      <c r="G1452" s="1516">
        <f>IF('Field Rutting'!$L$21="",0,'Field Rutting'!$L$21)</f>
        <v>0</v>
      </c>
      <c r="H1452" s="1515">
        <f t="shared" si="169"/>
        <v>0</v>
      </c>
      <c r="I1452" s="1178"/>
      <c r="K1452" s="960"/>
    </row>
    <row r="1453" spans="1:11" ht="12.75" customHeight="1" thickBot="1">
      <c r="A1453" s="1505" t="s">
        <v>3231</v>
      </c>
      <c r="B1453" s="1512" t="str">
        <f t="shared" si="171"/>
        <v/>
      </c>
      <c r="C1453" s="1513" t="str">
        <f t="shared" si="171"/>
        <v>AMAMAW</v>
      </c>
      <c r="D1453" s="1513">
        <f t="shared" si="171"/>
        <v>1</v>
      </c>
      <c r="E1453" s="1514">
        <v>186</v>
      </c>
      <c r="F1453" s="1509"/>
      <c r="G1453" s="1516">
        <f>IF('Field Rutting'!$L$22="",0,'Field Rutting'!$L$22)</f>
        <v>0</v>
      </c>
      <c r="H1453" s="1515">
        <f t="shared" si="169"/>
        <v>0</v>
      </c>
      <c r="I1453" s="1178"/>
      <c r="K1453" s="960"/>
    </row>
    <row r="1454" spans="1:11" ht="12.75" customHeight="1" thickBot="1">
      <c r="A1454" s="1505" t="s">
        <v>3232</v>
      </c>
      <c r="B1454" s="1512" t="str">
        <f t="shared" si="171"/>
        <v/>
      </c>
      <c r="C1454" s="1513" t="str">
        <f t="shared" si="171"/>
        <v>AMAMAW</v>
      </c>
      <c r="D1454" s="1513">
        <f t="shared" si="171"/>
        <v>1</v>
      </c>
      <c r="E1454" s="1514">
        <v>187</v>
      </c>
      <c r="F1454" s="1509"/>
      <c r="G1454" s="1516">
        <f>IF('Field Rutting'!$L$23="",0,'Field Rutting'!$L$23)</f>
        <v>0</v>
      </c>
      <c r="H1454" s="1515">
        <f t="shared" si="169"/>
        <v>0</v>
      </c>
      <c r="I1454" s="1178"/>
      <c r="K1454" s="960"/>
    </row>
    <row r="1455" spans="1:11" ht="12.75" customHeight="1" thickBot="1">
      <c r="A1455" s="1505" t="s">
        <v>3233</v>
      </c>
      <c r="B1455" s="1512" t="str">
        <f t="shared" si="171"/>
        <v/>
      </c>
      <c r="C1455" s="1513" t="str">
        <f t="shared" si="171"/>
        <v>AMAMAW</v>
      </c>
      <c r="D1455" s="1513">
        <f t="shared" si="171"/>
        <v>1</v>
      </c>
      <c r="E1455" s="1514">
        <v>188</v>
      </c>
      <c r="F1455" s="1509"/>
      <c r="G1455" s="1516">
        <f>IF('Field Rutting'!$L$24="",0,'Field Rutting'!$L$24)</f>
        <v>0</v>
      </c>
      <c r="H1455" s="1515">
        <f t="shared" si="169"/>
        <v>0</v>
      </c>
      <c r="I1455" s="1178"/>
      <c r="K1455" s="960"/>
    </row>
    <row r="1456" spans="1:11" ht="12.75" customHeight="1" thickBot="1">
      <c r="A1456" s="1505" t="s">
        <v>3234</v>
      </c>
      <c r="B1456" s="1512" t="str">
        <f t="shared" si="171"/>
        <v/>
      </c>
      <c r="C1456" s="1513" t="str">
        <f t="shared" si="171"/>
        <v>AMAMAW</v>
      </c>
      <c r="D1456" s="1513">
        <f t="shared" si="171"/>
        <v>1</v>
      </c>
      <c r="E1456" s="1514">
        <v>189</v>
      </c>
      <c r="F1456" s="1509"/>
      <c r="G1456" s="1510"/>
      <c r="H1456" s="1515">
        <f t="shared" si="169"/>
        <v>0</v>
      </c>
      <c r="I1456" s="1178"/>
      <c r="K1456" s="960"/>
    </row>
    <row r="1457" spans="1:11" ht="12.75" customHeight="1" thickBot="1">
      <c r="A1457" s="1505" t="s">
        <v>3235</v>
      </c>
      <c r="B1457" s="1512" t="str">
        <f t="shared" si="171"/>
        <v/>
      </c>
      <c r="C1457" s="1513" t="str">
        <f t="shared" si="171"/>
        <v>AMAMAW</v>
      </c>
      <c r="D1457" s="1513">
        <f t="shared" si="171"/>
        <v>1</v>
      </c>
      <c r="E1457" s="1514">
        <v>190</v>
      </c>
      <c r="F1457" s="1509"/>
      <c r="G1457" s="1510"/>
      <c r="H1457" s="1515">
        <f t="shared" si="169"/>
        <v>0</v>
      </c>
      <c r="I1457" s="1178"/>
      <c r="K1457" s="960"/>
    </row>
    <row r="1458" spans="1:11" ht="12.75" customHeight="1" thickBot="1">
      <c r="A1458" s="1505" t="s">
        <v>3236</v>
      </c>
      <c r="B1458" s="1512" t="str">
        <f t="shared" si="171"/>
        <v/>
      </c>
      <c r="C1458" s="1513" t="str">
        <f t="shared" si="171"/>
        <v>AMAMAW</v>
      </c>
      <c r="D1458" s="1513">
        <f t="shared" si="171"/>
        <v>1</v>
      </c>
      <c r="E1458" s="1514">
        <v>191</v>
      </c>
      <c r="F1458" s="1509"/>
      <c r="G1458" s="1510"/>
      <c r="H1458" s="1515">
        <f t="shared" si="169"/>
        <v>0</v>
      </c>
      <c r="I1458" s="1178"/>
      <c r="K1458" s="960"/>
    </row>
    <row r="1459" spans="1:11" ht="12.75" customHeight="1" thickBot="1">
      <c r="A1459" s="1505" t="s">
        <v>3237</v>
      </c>
      <c r="B1459" s="1512" t="str">
        <f t="shared" si="171"/>
        <v/>
      </c>
      <c r="C1459" s="1513" t="str">
        <f t="shared" si="171"/>
        <v>AMAMAW</v>
      </c>
      <c r="D1459" s="1513">
        <f t="shared" si="171"/>
        <v>1</v>
      </c>
      <c r="E1459" s="1514">
        <v>192</v>
      </c>
      <c r="F1459" s="1509"/>
      <c r="G1459" s="1510"/>
      <c r="H1459" s="1515">
        <f t="shared" si="169"/>
        <v>0</v>
      </c>
      <c r="I1459" s="1178"/>
      <c r="K1459" s="960"/>
    </row>
    <row r="1460" spans="1:11" ht="12.75" customHeight="1" thickBot="1">
      <c r="A1460" s="1505" t="s">
        <v>3238</v>
      </c>
      <c r="B1460" s="1506" t="str">
        <f t="shared" si="171"/>
        <v/>
      </c>
      <c r="C1460" s="1507" t="str">
        <f t="shared" si="171"/>
        <v>AMAMAW</v>
      </c>
      <c r="D1460" s="1507">
        <f t="shared" si="171"/>
        <v>1</v>
      </c>
      <c r="E1460" s="1508">
        <v>193</v>
      </c>
      <c r="F1460" s="1509"/>
      <c r="G1460" s="1510"/>
      <c r="H1460" s="1510">
        <f t="shared" si="169"/>
        <v>0</v>
      </c>
      <c r="I1460" s="1178"/>
      <c r="K1460" s="960"/>
    </row>
    <row r="1461" spans="1:11" ht="12.75" customHeight="1" thickBot="1">
      <c r="A1461" s="1505" t="s">
        <v>3351</v>
      </c>
      <c r="B1461" s="1512" t="str">
        <f t="shared" ref="B1461:D1461" si="172">B1460</f>
        <v/>
      </c>
      <c r="C1461" s="1513" t="str">
        <f t="shared" si="172"/>
        <v>AMAMAW</v>
      </c>
      <c r="D1461" s="1513">
        <f t="shared" si="172"/>
        <v>1</v>
      </c>
      <c r="E1461" s="1514">
        <v>194</v>
      </c>
      <c r="F1461" s="1509"/>
      <c r="G1461" s="1515" t="s">
        <v>3253</v>
      </c>
      <c r="H1461" s="1515">
        <f t="shared" si="169"/>
        <v>0</v>
      </c>
      <c r="I1461" s="1517"/>
      <c r="K1461" s="960"/>
    </row>
    <row r="1462" spans="1:11" ht="12.75" customHeight="1" thickBot="1">
      <c r="A1462" s="1505" t="s">
        <v>3352</v>
      </c>
      <c r="B1462" s="1512" t="str">
        <f t="shared" ref="B1462:D1462" si="173">B1461</f>
        <v/>
      </c>
      <c r="C1462" s="1513" t="str">
        <f t="shared" si="173"/>
        <v>AMAMAW</v>
      </c>
      <c r="D1462" s="1513">
        <f t="shared" si="173"/>
        <v>1</v>
      </c>
      <c r="E1462" s="1514">
        <v>195</v>
      </c>
      <c r="F1462" s="1509"/>
      <c r="G1462" s="1515" t="s">
        <v>3253</v>
      </c>
      <c r="H1462" s="1515">
        <f t="shared" si="169"/>
        <v>0</v>
      </c>
      <c r="I1462" s="1517"/>
      <c r="K1462" s="960"/>
    </row>
    <row r="1463" spans="1:11" ht="12.75" customHeight="1" thickBot="1">
      <c r="A1463" s="1505" t="s">
        <v>3353</v>
      </c>
      <c r="B1463" s="1512" t="str">
        <f t="shared" ref="B1463:D1463" si="174">B1462</f>
        <v/>
      </c>
      <c r="C1463" s="1513" t="str">
        <f t="shared" si="174"/>
        <v>AMAMAW</v>
      </c>
      <c r="D1463" s="1513">
        <f t="shared" si="174"/>
        <v>1</v>
      </c>
      <c r="E1463" s="1514">
        <v>196</v>
      </c>
      <c r="F1463" s="1509"/>
      <c r="G1463" s="1515" t="s">
        <v>3253</v>
      </c>
      <c r="H1463" s="1515">
        <f t="shared" si="169"/>
        <v>0</v>
      </c>
      <c r="I1463" s="1517"/>
      <c r="K1463" s="960"/>
    </row>
    <row r="1464" spans="1:11" ht="12.75" customHeight="1" thickBot="1">
      <c r="A1464" s="1505" t="s">
        <v>3354</v>
      </c>
      <c r="B1464" s="1512" t="str">
        <f t="shared" ref="B1464:D1464" si="175">B1463</f>
        <v/>
      </c>
      <c r="C1464" s="1513" t="str">
        <f t="shared" si="175"/>
        <v>AMAMAW</v>
      </c>
      <c r="D1464" s="1513">
        <f t="shared" si="175"/>
        <v>1</v>
      </c>
      <c r="E1464" s="1514">
        <v>197</v>
      </c>
      <c r="F1464" s="1509"/>
      <c r="G1464" s="1515" t="s">
        <v>3253</v>
      </c>
      <c r="H1464" s="1515">
        <f t="shared" si="169"/>
        <v>0</v>
      </c>
      <c r="I1464" s="1517"/>
      <c r="K1464" s="960"/>
    </row>
    <row r="1465" spans="1:11" ht="12.75" customHeight="1" thickBot="1">
      <c r="A1465" s="1505" t="s">
        <v>3355</v>
      </c>
      <c r="B1465" s="1512" t="str">
        <f t="shared" ref="B1465:D1465" si="176">B1464</f>
        <v/>
      </c>
      <c r="C1465" s="1513" t="str">
        <f t="shared" si="176"/>
        <v>AMAMAW</v>
      </c>
      <c r="D1465" s="1513">
        <f t="shared" si="176"/>
        <v>1</v>
      </c>
      <c r="E1465" s="1514">
        <v>198</v>
      </c>
      <c r="F1465" s="1509"/>
      <c r="G1465" s="1515" t="s">
        <v>3253</v>
      </c>
      <c r="H1465" s="1515">
        <f t="shared" si="169"/>
        <v>0</v>
      </c>
      <c r="I1465" s="1517"/>
      <c r="K1465" s="960"/>
    </row>
    <row r="1466" spans="1:11" ht="12.75" customHeight="1" thickBot="1">
      <c r="A1466" s="1505" t="s">
        <v>3356</v>
      </c>
      <c r="B1466" s="1512" t="str">
        <f t="shared" ref="B1466:D1466" si="177">B1465</f>
        <v/>
      </c>
      <c r="C1466" s="1513" t="str">
        <f t="shared" si="177"/>
        <v>AMAMAW</v>
      </c>
      <c r="D1466" s="1513">
        <f t="shared" si="177"/>
        <v>1</v>
      </c>
      <c r="E1466" s="1514">
        <v>199</v>
      </c>
      <c r="F1466" s="1509"/>
      <c r="G1466" s="1515" t="s">
        <v>3253</v>
      </c>
      <c r="H1466" s="1515">
        <f t="shared" si="169"/>
        <v>0</v>
      </c>
      <c r="I1466" s="1517"/>
      <c r="K1466" s="960"/>
    </row>
    <row r="1467" spans="1:11" ht="12.75" customHeight="1" thickBot="1">
      <c r="A1467" s="1505" t="s">
        <v>3357</v>
      </c>
      <c r="B1467" s="1512" t="str">
        <f t="shared" ref="B1467:D1467" si="178">B1466</f>
        <v/>
      </c>
      <c r="C1467" s="1513" t="str">
        <f t="shared" si="178"/>
        <v>AMAMAW</v>
      </c>
      <c r="D1467" s="1513">
        <f t="shared" si="178"/>
        <v>1</v>
      </c>
      <c r="E1467" s="1514">
        <v>200</v>
      </c>
      <c r="F1467" s="1509"/>
      <c r="G1467" s="1515" t="s">
        <v>3253</v>
      </c>
      <c r="H1467" s="1515">
        <f t="shared" si="169"/>
        <v>0</v>
      </c>
      <c r="I1467" s="1517"/>
      <c r="K1467" s="960"/>
    </row>
    <row r="1468" spans="1:11" ht="12.75" customHeight="1" thickBot="1">
      <c r="A1468" s="1505" t="s">
        <v>3358</v>
      </c>
      <c r="B1468" s="1512" t="str">
        <f t="shared" ref="B1468:D1468" si="179">B1467</f>
        <v/>
      </c>
      <c r="C1468" s="1513" t="str">
        <f t="shared" si="179"/>
        <v>AMAMAW</v>
      </c>
      <c r="D1468" s="1513">
        <f t="shared" si="179"/>
        <v>1</v>
      </c>
      <c r="E1468" s="1514">
        <v>201</v>
      </c>
      <c r="F1468" s="1509"/>
      <c r="G1468" s="1515" t="s">
        <v>3253</v>
      </c>
      <c r="H1468" s="1515">
        <f t="shared" si="169"/>
        <v>0</v>
      </c>
      <c r="I1468" s="1517"/>
      <c r="K1468" s="960"/>
    </row>
    <row r="1469" spans="1:11" ht="12.75" customHeight="1" thickBot="1">
      <c r="A1469" s="1505" t="s">
        <v>3359</v>
      </c>
      <c r="B1469" s="1512" t="str">
        <f t="shared" ref="B1469:D1469" si="180">B1468</f>
        <v/>
      </c>
      <c r="C1469" s="1513" t="str">
        <f t="shared" si="180"/>
        <v>AMAMAW</v>
      </c>
      <c r="D1469" s="1513">
        <f t="shared" si="180"/>
        <v>1</v>
      </c>
      <c r="E1469" s="1514">
        <v>202</v>
      </c>
      <c r="F1469" s="1509"/>
      <c r="G1469" s="1515" t="s">
        <v>3253</v>
      </c>
      <c r="H1469" s="1515">
        <f t="shared" si="169"/>
        <v>0</v>
      </c>
      <c r="I1469" s="1517"/>
      <c r="K1469" s="960"/>
    </row>
    <row r="1470" spans="1:11" ht="12.75" customHeight="1" thickBot="1">
      <c r="A1470" s="1505" t="s">
        <v>3360</v>
      </c>
      <c r="B1470" s="1512" t="str">
        <f t="shared" ref="B1470:D1470" si="181">B1469</f>
        <v/>
      </c>
      <c r="C1470" s="1513" t="str">
        <f t="shared" si="181"/>
        <v>AMAMAW</v>
      </c>
      <c r="D1470" s="1513">
        <f t="shared" si="181"/>
        <v>1</v>
      </c>
      <c r="E1470" s="1514">
        <v>203</v>
      </c>
      <c r="F1470" s="1509"/>
      <c r="G1470" s="1515" t="s">
        <v>3253</v>
      </c>
      <c r="H1470" s="1515">
        <f t="shared" si="169"/>
        <v>0</v>
      </c>
      <c r="I1470" s="1517"/>
      <c r="K1470" s="960"/>
    </row>
    <row r="1471" spans="1:11" ht="12.75" customHeight="1" thickBot="1">
      <c r="A1471" s="1505" t="s">
        <v>3361</v>
      </c>
      <c r="B1471" s="1512" t="str">
        <f t="shared" ref="B1471:D1471" si="182">B1470</f>
        <v/>
      </c>
      <c r="C1471" s="1513" t="str">
        <f t="shared" si="182"/>
        <v>AMAMAW</v>
      </c>
      <c r="D1471" s="1513">
        <f t="shared" si="182"/>
        <v>1</v>
      </c>
      <c r="E1471" s="1514">
        <v>204</v>
      </c>
      <c r="F1471" s="1509"/>
      <c r="G1471" s="1515" t="s">
        <v>3253</v>
      </c>
      <c r="H1471" s="1515">
        <f t="shared" si="169"/>
        <v>0</v>
      </c>
      <c r="I1471" s="1517"/>
      <c r="K1471" s="960"/>
    </row>
    <row r="1472" spans="1:11" ht="12.75" customHeight="1" thickBot="1">
      <c r="A1472" s="1505" t="s">
        <v>3362</v>
      </c>
      <c r="B1472" s="1512" t="str">
        <f t="shared" ref="B1472:D1472" si="183">B1471</f>
        <v/>
      </c>
      <c r="C1472" s="1513" t="str">
        <f t="shared" si="183"/>
        <v>AMAMAW</v>
      </c>
      <c r="D1472" s="1513">
        <f t="shared" si="183"/>
        <v>1</v>
      </c>
      <c r="E1472" s="1514">
        <v>205</v>
      </c>
      <c r="F1472" s="1509"/>
      <c r="G1472" s="1515" t="s">
        <v>3253</v>
      </c>
      <c r="H1472" s="1515">
        <f t="shared" si="169"/>
        <v>0</v>
      </c>
      <c r="I1472" s="1517"/>
      <c r="K1472" s="960"/>
    </row>
    <row r="1473" spans="1:11" ht="12.75" customHeight="1" thickBot="1">
      <c r="A1473" s="1505" t="s">
        <v>3363</v>
      </c>
      <c r="B1473" s="1512" t="str">
        <f t="shared" ref="B1473:D1473" si="184">B1472</f>
        <v/>
      </c>
      <c r="C1473" s="1513" t="str">
        <f t="shared" si="184"/>
        <v>AMAMAW</v>
      </c>
      <c r="D1473" s="1513">
        <f t="shared" si="184"/>
        <v>1</v>
      </c>
      <c r="E1473" s="1514">
        <v>206</v>
      </c>
      <c r="F1473" s="1509"/>
      <c r="G1473" s="1515" t="s">
        <v>3253</v>
      </c>
      <c r="H1473" s="1515">
        <f t="shared" si="169"/>
        <v>0</v>
      </c>
      <c r="I1473" s="1517"/>
      <c r="K1473" s="960"/>
    </row>
    <row r="1474" spans="1:11" ht="12.75" customHeight="1" thickBot="1">
      <c r="A1474" s="1505" t="s">
        <v>3364</v>
      </c>
      <c r="B1474" s="1512" t="str">
        <f t="shared" ref="B1474:D1474" si="185">B1473</f>
        <v/>
      </c>
      <c r="C1474" s="1513" t="str">
        <f t="shared" si="185"/>
        <v>AMAMAW</v>
      </c>
      <c r="D1474" s="1513">
        <f t="shared" si="185"/>
        <v>1</v>
      </c>
      <c r="E1474" s="1514">
        <v>207</v>
      </c>
      <c r="F1474" s="1509"/>
      <c r="G1474" s="1515" t="s">
        <v>3253</v>
      </c>
      <c r="H1474" s="1515">
        <f t="shared" si="169"/>
        <v>0</v>
      </c>
      <c r="I1474" s="1517"/>
      <c r="K1474" s="960"/>
    </row>
    <row r="1475" spans="1:11" ht="12.75" customHeight="1" thickBot="1">
      <c r="A1475" s="1505" t="s">
        <v>3365</v>
      </c>
      <c r="B1475" s="1512" t="str">
        <f t="shared" ref="B1475:D1475" si="186">B1474</f>
        <v/>
      </c>
      <c r="C1475" s="1513" t="str">
        <f t="shared" si="186"/>
        <v>AMAMAW</v>
      </c>
      <c r="D1475" s="1513">
        <f t="shared" si="186"/>
        <v>1</v>
      </c>
      <c r="E1475" s="1514">
        <v>208</v>
      </c>
      <c r="F1475" s="1509"/>
      <c r="G1475" s="1515" t="s">
        <v>3253</v>
      </c>
      <c r="H1475" s="1515">
        <f t="shared" si="169"/>
        <v>0</v>
      </c>
      <c r="I1475" s="1517"/>
      <c r="K1475" s="960"/>
    </row>
    <row r="1476" spans="1:11" ht="12.75" customHeight="1" thickBot="1">
      <c r="A1476" s="1505" t="s">
        <v>3366</v>
      </c>
      <c r="B1476" s="1506" t="str">
        <f t="shared" ref="B1476:D1476" si="187">B1475</f>
        <v/>
      </c>
      <c r="C1476" s="1507" t="str">
        <f t="shared" si="187"/>
        <v>AMAMAW</v>
      </c>
      <c r="D1476" s="1507">
        <f t="shared" si="187"/>
        <v>1</v>
      </c>
      <c r="E1476" s="1508">
        <v>209</v>
      </c>
      <c r="F1476" s="1509"/>
      <c r="G1476" s="1515" t="s">
        <v>3253</v>
      </c>
      <c r="H1476" s="1510">
        <f t="shared" si="169"/>
        <v>0</v>
      </c>
      <c r="I1476" s="1518"/>
      <c r="K1476" s="960"/>
    </row>
    <row r="1477" spans="1:11" ht="13.5" thickBot="1">
      <c r="A1477" s="1519" t="s">
        <v>1826</v>
      </c>
      <c r="B1477" s="1149" t="str">
        <f>B1358</f>
        <v/>
      </c>
      <c r="C1477" s="1155" t="s">
        <v>1553</v>
      </c>
      <c r="D1477" s="1155">
        <v>1</v>
      </c>
      <c r="E1477" s="1193" t="s">
        <v>341</v>
      </c>
      <c r="F1477" s="1155" t="s">
        <v>1637</v>
      </c>
      <c r="G1477" s="1194">
        <v>0</v>
      </c>
      <c r="H1477" s="1157">
        <f>H1358</f>
        <v>0</v>
      </c>
      <c r="I1477" s="1183"/>
      <c r="K1477" s="957" t="s">
        <v>1341</v>
      </c>
    </row>
    <row r="1478" spans="1:11">
      <c r="B1478"/>
      <c r="C1478"/>
      <c r="D1478"/>
      <c r="E1478"/>
      <c r="F1478"/>
      <c r="G1478"/>
      <c r="H1478"/>
      <c r="I1478"/>
    </row>
  </sheetData>
  <phoneticPr fontId="3" type="noConversion"/>
  <pageMargins left="0.75" right="0.75" top="1" bottom="1" header="0.5" footer="0.5"/>
  <pageSetup orientation="portrait" r:id="rId1"/>
  <headerFooter alignWithMargins="0"/>
  <ignoredErrors>
    <ignoredError sqref="E217 E99:E136" numberStoredAsText="1"/>
  </ignoredErrors>
  <legacyDrawing r:id="rId2"/>
  <tableParts count="1">
    <tablePart r:id="rId3"/>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tabColor indexed="45"/>
  </sheetPr>
  <dimension ref="A1:U120"/>
  <sheetViews>
    <sheetView zoomScale="64" workbookViewId="0">
      <selection activeCell="A63" sqref="A63"/>
    </sheetView>
  </sheetViews>
  <sheetFormatPr defaultRowHeight="12.75"/>
  <cols>
    <col min="1" max="1" width="8.5703125" style="753" customWidth="1"/>
    <col min="2" max="2" width="14.28515625" style="753" customWidth="1"/>
    <col min="3" max="16384" width="9.140625" style="753"/>
  </cols>
  <sheetData>
    <row r="1" spans="1:2">
      <c r="A1" s="753" t="s">
        <v>595</v>
      </c>
    </row>
    <row r="2" spans="1:2">
      <c r="A2" s="753" t="s">
        <v>589</v>
      </c>
    </row>
    <row r="5" spans="1:2">
      <c r="A5" s="885" t="s">
        <v>596</v>
      </c>
      <c r="B5" s="753">
        <v>41295</v>
      </c>
    </row>
    <row r="6" spans="1:2">
      <c r="A6" s="753" t="s">
        <v>1920</v>
      </c>
      <c r="B6" s="753">
        <v>40905</v>
      </c>
    </row>
    <row r="7" spans="1:2">
      <c r="A7" s="753" t="s">
        <v>597</v>
      </c>
      <c r="B7" s="753">
        <v>40960</v>
      </c>
    </row>
    <row r="8" spans="1:2">
      <c r="A8" s="753" t="s">
        <v>598</v>
      </c>
      <c r="B8" s="753">
        <v>40980</v>
      </c>
    </row>
    <row r="9" spans="1:2">
      <c r="A9" s="753" t="s">
        <v>599</v>
      </c>
      <c r="B9" s="753">
        <v>40990</v>
      </c>
    </row>
    <row r="10" spans="1:2">
      <c r="A10" s="753" t="s">
        <v>600</v>
      </c>
      <c r="B10" s="753">
        <v>41040</v>
      </c>
    </row>
    <row r="11" spans="1:2">
      <c r="A11" s="753" t="s">
        <v>601</v>
      </c>
      <c r="B11" s="753">
        <v>41045</v>
      </c>
    </row>
    <row r="12" spans="1:2">
      <c r="A12" s="753" t="s">
        <v>1923</v>
      </c>
      <c r="B12" s="753">
        <v>41095</v>
      </c>
    </row>
    <row r="13" spans="1:2">
      <c r="A13" s="753" t="s">
        <v>1929</v>
      </c>
      <c r="B13" s="753">
        <v>41215</v>
      </c>
    </row>
    <row r="14" spans="1:2">
      <c r="A14" s="753" t="s">
        <v>602</v>
      </c>
      <c r="B14" s="753">
        <v>41235</v>
      </c>
    </row>
    <row r="15" spans="1:2">
      <c r="A15" s="753" t="s">
        <v>603</v>
      </c>
      <c r="B15" s="753">
        <v>41255</v>
      </c>
    </row>
    <row r="16" spans="1:2">
      <c r="A16" s="753" t="s">
        <v>604</v>
      </c>
      <c r="B16" s="753">
        <v>99999</v>
      </c>
    </row>
    <row r="17" spans="1:2">
      <c r="A17" s="753" t="s">
        <v>605</v>
      </c>
      <c r="B17" s="753">
        <v>41310</v>
      </c>
    </row>
    <row r="18" spans="1:2">
      <c r="A18" s="753" t="s">
        <v>606</v>
      </c>
      <c r="B18" s="753">
        <v>41320</v>
      </c>
    </row>
    <row r="19" spans="1:2">
      <c r="A19" s="753" t="s">
        <v>607</v>
      </c>
      <c r="B19" s="753">
        <v>41330</v>
      </c>
    </row>
    <row r="21" spans="1:2">
      <c r="A21" s="886" t="s">
        <v>608</v>
      </c>
    </row>
    <row r="22" spans="1:2">
      <c r="A22" s="783" t="s">
        <v>609</v>
      </c>
    </row>
    <row r="24" spans="1:2">
      <c r="A24" s="753" t="s">
        <v>610</v>
      </c>
      <c r="B24" s="887" t="s">
        <v>611</v>
      </c>
    </row>
    <row r="25" spans="1:2">
      <c r="A25" s="753" t="s">
        <v>612</v>
      </c>
      <c r="B25" s="887" t="s">
        <v>611</v>
      </c>
    </row>
    <row r="27" spans="1:2">
      <c r="A27" s="753">
        <v>0.2</v>
      </c>
    </row>
    <row r="28" spans="1:2">
      <c r="A28" s="753">
        <v>0.4</v>
      </c>
    </row>
    <row r="30" spans="1:2">
      <c r="A30" s="753" t="s">
        <v>592</v>
      </c>
    </row>
    <row r="31" spans="1:2">
      <c r="A31" s="753" t="s">
        <v>593</v>
      </c>
    </row>
    <row r="32" spans="1:2">
      <c r="A32" s="753" t="s">
        <v>594</v>
      </c>
    </row>
    <row r="33" spans="1:2">
      <c r="A33" s="753" t="s">
        <v>613</v>
      </c>
    </row>
    <row r="34" spans="1:2">
      <c r="A34" s="753" t="s">
        <v>614</v>
      </c>
    </row>
    <row r="35" spans="1:2">
      <c r="A35" s="753" t="s">
        <v>615</v>
      </c>
    </row>
    <row r="37" spans="1:2">
      <c r="A37" s="753" t="s">
        <v>587</v>
      </c>
      <c r="B37" s="887" t="s">
        <v>611</v>
      </c>
    </row>
    <row r="38" spans="1:2">
      <c r="A38" s="753" t="s">
        <v>616</v>
      </c>
      <c r="B38" s="887" t="s">
        <v>611</v>
      </c>
    </row>
    <row r="40" spans="1:2">
      <c r="A40" s="753" t="s">
        <v>1937</v>
      </c>
      <c r="B40" s="887" t="s">
        <v>611</v>
      </c>
    </row>
    <row r="41" spans="1:2">
      <c r="A41" s="753" t="s">
        <v>1925</v>
      </c>
      <c r="B41" s="887" t="s">
        <v>611</v>
      </c>
    </row>
    <row r="43" spans="1:2">
      <c r="A43" s="753" t="s">
        <v>590</v>
      </c>
      <c r="B43" s="887" t="s">
        <v>611</v>
      </c>
    </row>
    <row r="44" spans="1:2">
      <c r="A44" s="753" t="s">
        <v>617</v>
      </c>
      <c r="B44" s="887" t="s">
        <v>611</v>
      </c>
    </row>
    <row r="46" spans="1:2">
      <c r="A46" s="753" t="s">
        <v>591</v>
      </c>
      <c r="B46" s="887" t="s">
        <v>611</v>
      </c>
    </row>
    <row r="47" spans="1:2">
      <c r="A47" s="753" t="s">
        <v>618</v>
      </c>
      <c r="B47" s="887" t="s">
        <v>611</v>
      </c>
    </row>
    <row r="49" spans="1:2">
      <c r="A49" s="756"/>
      <c r="B49" s="756"/>
    </row>
    <row r="50" spans="1:2">
      <c r="A50" s="756" t="s">
        <v>970</v>
      </c>
      <c r="B50" s="756" t="s">
        <v>969</v>
      </c>
    </row>
    <row r="51" spans="1:2">
      <c r="A51" s="756" t="s">
        <v>619</v>
      </c>
      <c r="B51" s="756" t="s">
        <v>620</v>
      </c>
    </row>
    <row r="52" spans="1:2">
      <c r="A52" s="756" t="s">
        <v>621</v>
      </c>
      <c r="B52" s="888" t="s">
        <v>622</v>
      </c>
    </row>
    <row r="54" spans="1:2">
      <c r="A54" s="753" t="s">
        <v>623</v>
      </c>
    </row>
    <row r="55" spans="1:2">
      <c r="A55" s="753" t="s">
        <v>624</v>
      </c>
    </row>
    <row r="59" spans="1:2" ht="15.75">
      <c r="A59" s="889" t="s">
        <v>2178</v>
      </c>
      <c r="B59" s="753" t="s">
        <v>625</v>
      </c>
    </row>
    <row r="60" spans="1:2">
      <c r="A60" s="890" t="s">
        <v>942</v>
      </c>
      <c r="B60" s="753" t="s">
        <v>626</v>
      </c>
    </row>
    <row r="63" spans="1:2">
      <c r="A63" s="885" t="s">
        <v>1516</v>
      </c>
      <c r="B63" s="753" t="s">
        <v>1830</v>
      </c>
    </row>
    <row r="64" spans="1:2">
      <c r="A64" s="753" t="s">
        <v>1552</v>
      </c>
      <c r="B64" s="753" t="s">
        <v>1829</v>
      </c>
    </row>
    <row r="65" spans="1:21">
      <c r="A65" s="951" t="s">
        <v>909</v>
      </c>
    </row>
    <row r="68" spans="1:21">
      <c r="A68" s="891" t="s">
        <v>588</v>
      </c>
      <c r="B68" s="884" t="s">
        <v>627</v>
      </c>
    </row>
    <row r="69" spans="1:21">
      <c r="A69" s="891" t="s">
        <v>861</v>
      </c>
      <c r="B69" s="892" t="s">
        <v>862</v>
      </c>
    </row>
    <row r="72" spans="1:21">
      <c r="A72" s="755" t="s">
        <v>948</v>
      </c>
      <c r="B72" s="755"/>
      <c r="C72" s="755"/>
      <c r="D72" s="755"/>
      <c r="E72" s="1752" t="s">
        <v>949</v>
      </c>
      <c r="F72" s="1753"/>
      <c r="G72" s="1753"/>
      <c r="H72" s="1753"/>
      <c r="I72" s="1753"/>
      <c r="J72" s="1753"/>
    </row>
    <row r="73" spans="1:21">
      <c r="A73" s="755" t="s">
        <v>950</v>
      </c>
      <c r="B73" s="755"/>
      <c r="C73" s="755"/>
      <c r="D73" s="755"/>
      <c r="E73" s="1754" t="s">
        <v>951</v>
      </c>
      <c r="F73" s="1755"/>
      <c r="G73" s="1755"/>
      <c r="H73" s="1755"/>
      <c r="I73" s="1755"/>
      <c r="J73" s="1755"/>
    </row>
    <row r="74" spans="1:21">
      <c r="A74" s="755" t="s">
        <v>952</v>
      </c>
      <c r="B74" s="755"/>
      <c r="C74" s="755"/>
      <c r="D74" s="755"/>
      <c r="E74" s="1754" t="str">
        <f>E91</f>
        <v>TR</v>
      </c>
      <c r="F74" s="1755"/>
      <c r="G74" s="1755"/>
      <c r="H74" s="1755"/>
      <c r="I74" s="1755"/>
      <c r="J74" s="1755"/>
    </row>
    <row r="75" spans="1:21">
      <c r="A75" s="755" t="s">
        <v>953</v>
      </c>
      <c r="B75" s="755"/>
      <c r="C75" s="755"/>
      <c r="D75" s="755"/>
      <c r="E75" s="1754" t="s">
        <v>951</v>
      </c>
      <c r="F75" s="1755"/>
      <c r="G75" s="1755"/>
      <c r="H75" s="1755"/>
      <c r="I75" s="1755"/>
      <c r="J75" s="1755"/>
    </row>
    <row r="76" spans="1:21">
      <c r="A76" s="755" t="s">
        <v>954</v>
      </c>
      <c r="B76" s="755"/>
      <c r="C76" s="755"/>
      <c r="D76" s="755"/>
      <c r="E76" s="1754" t="s">
        <v>955</v>
      </c>
      <c r="F76" s="1755"/>
      <c r="G76" s="1755"/>
      <c r="H76" s="1755"/>
      <c r="I76" s="1755"/>
      <c r="J76" s="1755"/>
    </row>
    <row r="77" spans="1:21">
      <c r="A77" s="755" t="s">
        <v>956</v>
      </c>
      <c r="B77" s="755"/>
      <c r="C77" s="755"/>
      <c r="D77" s="755"/>
      <c r="E77" s="1759">
        <v>2004</v>
      </c>
      <c r="F77" s="1760"/>
      <c r="G77" s="1760"/>
      <c r="H77" s="1760"/>
      <c r="I77" s="1760"/>
      <c r="J77" s="1760"/>
    </row>
    <row r="78" spans="1:21">
      <c r="A78" s="755" t="s">
        <v>957</v>
      </c>
      <c r="B78" s="754"/>
      <c r="C78" s="754"/>
      <c r="D78" s="754"/>
      <c r="E78" s="1756" t="s">
        <v>958</v>
      </c>
      <c r="F78" s="1757"/>
      <c r="G78" s="1757"/>
      <c r="H78" s="1757"/>
      <c r="I78" s="1757"/>
      <c r="J78" s="1757"/>
    </row>
    <row r="79" spans="1:21">
      <c r="A79" s="755" t="s">
        <v>959</v>
      </c>
      <c r="B79" s="754"/>
      <c r="C79" s="754"/>
      <c r="D79" s="754"/>
      <c r="E79" s="1756" t="e">
        <f>#REF!</f>
        <v>#REF!</v>
      </c>
      <c r="F79" s="1757"/>
      <c r="G79" s="1757"/>
      <c r="H79" s="1757"/>
      <c r="I79" s="1757"/>
      <c r="J79" s="1757"/>
    </row>
    <row r="80" spans="1:21">
      <c r="A80" s="755" t="s">
        <v>960</v>
      </c>
      <c r="B80" s="754"/>
      <c r="C80" s="754"/>
      <c r="D80" s="754"/>
      <c r="E80" s="1756" t="e">
        <f>IF(#REF!="","",#REF!)</f>
        <v>#REF!</v>
      </c>
      <c r="F80" s="1757"/>
      <c r="G80" s="1757"/>
      <c r="H80" s="1757"/>
      <c r="I80" s="1757"/>
      <c r="J80" s="1757"/>
      <c r="K80" s="754"/>
      <c r="L80" s="754"/>
      <c r="M80" s="754"/>
      <c r="N80" s="893" t="s">
        <v>961</v>
      </c>
      <c r="O80" s="1761" t="e">
        <f>IF(#REF!="","",#REF!)</f>
        <v>#REF!</v>
      </c>
      <c r="P80" s="1761"/>
      <c r="Q80" s="754"/>
      <c r="R80" s="754"/>
      <c r="S80" s="754"/>
      <c r="T80" s="754"/>
      <c r="U80" s="754"/>
    </row>
    <row r="81" spans="1:21">
      <c r="A81" s="755" t="s">
        <v>962</v>
      </c>
      <c r="B81" s="754"/>
      <c r="C81" s="754"/>
      <c r="D81" s="754"/>
      <c r="E81" s="1754" t="e">
        <f ca="1">CONCATENATE(#REF!,TEXT(NOW(),"yyyymmddhhmmss"))</f>
        <v>#REF!</v>
      </c>
      <c r="F81" s="1755"/>
      <c r="G81" s="1755"/>
      <c r="H81" s="1755"/>
      <c r="I81" s="1755"/>
      <c r="J81" s="1755"/>
      <c r="K81" s="894"/>
      <c r="L81" s="754"/>
      <c r="M81" s="754"/>
      <c r="N81" s="893" t="s">
        <v>963</v>
      </c>
      <c r="O81" s="1758" t="s">
        <v>964</v>
      </c>
      <c r="P81" s="1753"/>
      <c r="Q81" s="754"/>
      <c r="R81" s="754"/>
      <c r="S81" s="754"/>
      <c r="T81" s="893" t="s">
        <v>965</v>
      </c>
      <c r="U81" s="895">
        <v>1</v>
      </c>
    </row>
    <row r="83" spans="1:21">
      <c r="A83" s="896" t="s">
        <v>966</v>
      </c>
      <c r="B83" s="754"/>
      <c r="C83" s="754"/>
      <c r="D83" s="754"/>
      <c r="E83" s="754"/>
      <c r="F83" s="754"/>
      <c r="G83" s="754"/>
    </row>
    <row r="84" spans="1:21">
      <c r="A84" s="755" t="s">
        <v>968</v>
      </c>
      <c r="B84" s="897"/>
      <c r="C84" s="754"/>
      <c r="D84" s="754"/>
      <c r="E84" s="897" t="s">
        <v>968</v>
      </c>
      <c r="F84" s="754"/>
      <c r="G84" s="754"/>
    </row>
    <row r="85" spans="1:21">
      <c r="A85" s="755" t="s">
        <v>971</v>
      </c>
      <c r="B85" s="897"/>
      <c r="C85" s="754"/>
      <c r="D85" s="754"/>
      <c r="E85" s="897" t="s">
        <v>971</v>
      </c>
      <c r="F85" s="754"/>
      <c r="G85" s="754"/>
    </row>
    <row r="86" spans="1:21">
      <c r="A86" s="755" t="s">
        <v>972</v>
      </c>
      <c r="B86" s="897"/>
      <c r="C86" s="754"/>
      <c r="D86" s="754"/>
      <c r="E86" s="897" t="s">
        <v>973</v>
      </c>
      <c r="F86" s="754"/>
      <c r="G86" s="754"/>
    </row>
    <row r="87" spans="1:21">
      <c r="A87" s="755" t="s">
        <v>975</v>
      </c>
      <c r="B87" s="897"/>
      <c r="C87" s="754"/>
      <c r="D87" s="754"/>
      <c r="E87" s="897" t="s">
        <v>976</v>
      </c>
      <c r="F87" s="754"/>
      <c r="G87" s="754"/>
    </row>
    <row r="88" spans="1:21">
      <c r="A88" s="755" t="s">
        <v>979</v>
      </c>
      <c r="B88" s="898"/>
      <c r="C88" s="754"/>
      <c r="D88" s="754"/>
      <c r="E88" s="897" t="s">
        <v>980</v>
      </c>
      <c r="F88" s="754"/>
      <c r="G88" s="754"/>
    </row>
    <row r="89" spans="1:21">
      <c r="A89" s="755"/>
      <c r="B89" s="897"/>
      <c r="C89" s="754"/>
      <c r="D89" s="754"/>
      <c r="E89" s="897"/>
      <c r="F89" s="754"/>
      <c r="G89" s="754"/>
    </row>
    <row r="90" spans="1:21">
      <c r="A90" s="899" t="s">
        <v>983</v>
      </c>
      <c r="B90" s="897"/>
      <c r="C90" s="754"/>
      <c r="D90" s="754"/>
      <c r="E90" s="897"/>
      <c r="F90" s="754"/>
      <c r="G90" s="754"/>
    </row>
    <row r="91" spans="1:21">
      <c r="A91" s="755" t="s">
        <v>985</v>
      </c>
      <c r="B91" s="897"/>
      <c r="C91" s="754"/>
      <c r="D91" s="754"/>
      <c r="E91" s="897" t="s">
        <v>986</v>
      </c>
      <c r="F91" s="754"/>
      <c r="G91" s="754"/>
    </row>
    <row r="92" spans="1:21">
      <c r="A92" s="755" t="s">
        <v>979</v>
      </c>
      <c r="B92" s="898"/>
      <c r="C92" s="754"/>
      <c r="D92" s="754"/>
      <c r="E92" s="897" t="s">
        <v>980</v>
      </c>
      <c r="F92" s="754"/>
      <c r="G92" s="754"/>
    </row>
    <row r="93" spans="1:21">
      <c r="A93" s="755"/>
      <c r="B93" s="898"/>
      <c r="C93" s="754"/>
      <c r="D93" s="754"/>
      <c r="E93" s="898"/>
      <c r="F93" s="754"/>
      <c r="G93" s="754"/>
    </row>
    <row r="94" spans="1:21">
      <c r="A94" s="899" t="s">
        <v>993</v>
      </c>
      <c r="B94" s="898"/>
      <c r="C94" s="754"/>
      <c r="D94" s="754"/>
      <c r="E94" s="898"/>
      <c r="F94" s="754"/>
      <c r="G94" s="754"/>
    </row>
    <row r="95" spans="1:21">
      <c r="A95" s="755" t="s">
        <v>996</v>
      </c>
      <c r="B95" s="897"/>
      <c r="C95" s="754"/>
      <c r="D95" s="754"/>
      <c r="E95" s="897" t="s">
        <v>1637</v>
      </c>
      <c r="F95" s="754"/>
      <c r="G95" s="754"/>
    </row>
    <row r="96" spans="1:21">
      <c r="A96" s="755" t="s">
        <v>997</v>
      </c>
      <c r="B96" s="897"/>
      <c r="C96" s="754"/>
      <c r="D96" s="754"/>
      <c r="E96" s="897">
        <v>0</v>
      </c>
      <c r="F96" s="754"/>
      <c r="G96" s="754"/>
    </row>
    <row r="97" spans="1:7">
      <c r="A97" s="755"/>
      <c r="B97" s="897"/>
      <c r="C97" s="754"/>
      <c r="D97" s="754"/>
      <c r="E97" s="897"/>
      <c r="F97" s="754"/>
      <c r="G97" s="754"/>
    </row>
    <row r="98" spans="1:7">
      <c r="A98" s="899" t="s">
        <v>998</v>
      </c>
      <c r="B98" s="897"/>
      <c r="C98" s="754"/>
      <c r="D98" s="754"/>
      <c r="E98" s="897"/>
      <c r="F98" s="754"/>
      <c r="G98" s="754"/>
    </row>
    <row r="99" spans="1:7">
      <c r="A99" s="755" t="s">
        <v>1000</v>
      </c>
      <c r="B99" s="897"/>
      <c r="C99" s="754"/>
      <c r="D99" s="754"/>
      <c r="E99" s="897" t="s">
        <v>1001</v>
      </c>
      <c r="F99" s="754"/>
      <c r="G99" s="754"/>
    </row>
    <row r="100" spans="1:7">
      <c r="A100" s="755"/>
      <c r="B100" s="897"/>
      <c r="C100" s="754"/>
      <c r="D100" s="754"/>
      <c r="E100" s="897"/>
      <c r="F100" s="754"/>
      <c r="G100" s="754"/>
    </row>
    <row r="101" spans="1:7">
      <c r="A101" s="896" t="s">
        <v>967</v>
      </c>
      <c r="B101" s="754"/>
      <c r="C101" s="754"/>
      <c r="D101" s="754"/>
      <c r="E101" s="754"/>
      <c r="F101" s="754"/>
      <c r="G101" s="754"/>
    </row>
    <row r="102" spans="1:7">
      <c r="A102" s="755" t="s">
        <v>969</v>
      </c>
      <c r="B102" s="897"/>
      <c r="C102" s="754"/>
      <c r="D102" s="754"/>
      <c r="E102" s="897" t="s">
        <v>970</v>
      </c>
      <c r="F102" s="754"/>
      <c r="G102" s="754"/>
    </row>
    <row r="103" spans="1:7">
      <c r="A103" s="755"/>
      <c r="B103" s="897"/>
      <c r="C103" s="754"/>
      <c r="D103" s="754"/>
      <c r="E103" s="897"/>
      <c r="F103" s="754"/>
      <c r="G103" s="754"/>
    </row>
    <row r="104" spans="1:7">
      <c r="A104" s="899" t="s">
        <v>974</v>
      </c>
      <c r="B104" s="897"/>
      <c r="C104" s="754"/>
      <c r="D104" s="754"/>
      <c r="E104" s="897"/>
      <c r="F104" s="754"/>
      <c r="G104" s="754"/>
    </row>
    <row r="105" spans="1:7">
      <c r="A105" s="755" t="s">
        <v>977</v>
      </c>
      <c r="B105" s="897"/>
      <c r="C105" s="754"/>
      <c r="D105" s="754"/>
      <c r="E105" s="900" t="s">
        <v>978</v>
      </c>
      <c r="F105" s="754"/>
      <c r="G105" s="754"/>
    </row>
    <row r="106" spans="1:7">
      <c r="A106" s="755" t="s">
        <v>981</v>
      </c>
      <c r="B106" s="901"/>
      <c r="C106" s="754"/>
      <c r="D106" s="754"/>
      <c r="E106" s="902" t="s">
        <v>982</v>
      </c>
      <c r="F106" s="754"/>
      <c r="G106" s="754"/>
    </row>
    <row r="107" spans="1:7">
      <c r="A107" s="755"/>
      <c r="B107" s="897"/>
      <c r="C107" s="754"/>
      <c r="D107" s="754"/>
      <c r="E107" s="897"/>
      <c r="F107" s="754"/>
      <c r="G107" s="754"/>
    </row>
    <row r="108" spans="1:7">
      <c r="A108" s="899" t="s">
        <v>984</v>
      </c>
      <c r="B108" s="897"/>
      <c r="C108" s="754"/>
      <c r="D108" s="754"/>
      <c r="E108" s="897"/>
      <c r="F108" s="754"/>
      <c r="G108" s="754"/>
    </row>
    <row r="109" spans="1:7">
      <c r="A109" s="755" t="s">
        <v>987</v>
      </c>
      <c r="B109" s="897"/>
      <c r="C109" s="754"/>
      <c r="D109" s="754"/>
      <c r="E109" s="897" t="s">
        <v>988</v>
      </c>
      <c r="F109" s="754"/>
      <c r="G109" s="754"/>
    </row>
    <row r="110" spans="1:7">
      <c r="A110" s="755" t="s">
        <v>989</v>
      </c>
      <c r="B110" s="898"/>
      <c r="C110" s="754"/>
      <c r="D110" s="754"/>
      <c r="E110" s="897" t="s">
        <v>990</v>
      </c>
      <c r="F110" s="754"/>
      <c r="G110" s="754"/>
    </row>
    <row r="111" spans="1:7">
      <c r="A111" s="755" t="s">
        <v>991</v>
      </c>
      <c r="B111" s="898"/>
      <c r="C111" s="754"/>
      <c r="D111" s="754"/>
      <c r="E111" s="897" t="s">
        <v>992</v>
      </c>
      <c r="F111" s="754"/>
      <c r="G111" s="754"/>
    </row>
    <row r="112" spans="1:7">
      <c r="A112" s="903" t="s">
        <v>994</v>
      </c>
      <c r="B112" s="898"/>
      <c r="C112" s="754"/>
      <c r="D112" s="754"/>
      <c r="E112" s="897" t="s">
        <v>995</v>
      </c>
      <c r="F112" s="754"/>
      <c r="G112" s="754"/>
    </row>
    <row r="113" spans="1:7">
      <c r="A113" s="903"/>
      <c r="B113" s="901"/>
      <c r="C113" s="883"/>
      <c r="D113" s="883"/>
      <c r="E113" s="901"/>
      <c r="F113" s="883"/>
      <c r="G113" s="883"/>
    </row>
    <row r="114" spans="1:7">
      <c r="A114" s="899" t="s">
        <v>999</v>
      </c>
      <c r="B114" s="901"/>
      <c r="C114" s="883"/>
      <c r="D114" s="883"/>
      <c r="E114" s="901"/>
      <c r="F114" s="883"/>
      <c r="G114" s="883"/>
    </row>
    <row r="115" spans="1:7">
      <c r="A115" s="903" t="s">
        <v>1002</v>
      </c>
      <c r="B115" s="901"/>
      <c r="C115" s="883"/>
      <c r="D115" s="883"/>
      <c r="E115" s="901" t="s">
        <v>1003</v>
      </c>
      <c r="F115" s="883"/>
      <c r="G115" s="883"/>
    </row>
    <row r="116" spans="1:7">
      <c r="A116" s="903" t="s">
        <v>1004</v>
      </c>
      <c r="B116" s="901"/>
      <c r="C116" s="883"/>
      <c r="D116" s="883"/>
      <c r="E116" s="901" t="s">
        <v>1005</v>
      </c>
      <c r="F116" s="883"/>
      <c r="G116" s="883"/>
    </row>
    <row r="117" spans="1:7">
      <c r="A117" s="903"/>
      <c r="B117" s="901"/>
      <c r="C117" s="883"/>
      <c r="D117" s="883"/>
      <c r="E117" s="901"/>
      <c r="F117" s="883"/>
      <c r="G117" s="883"/>
    </row>
    <row r="118" spans="1:7">
      <c r="A118" s="903"/>
      <c r="B118" s="901"/>
      <c r="C118" s="883"/>
      <c r="D118" s="883"/>
      <c r="E118" s="901"/>
      <c r="F118" s="883"/>
      <c r="G118" s="883"/>
    </row>
    <row r="119" spans="1:7">
      <c r="A119" s="903"/>
      <c r="B119" s="901"/>
      <c r="C119" s="883"/>
      <c r="D119" s="883"/>
      <c r="E119" s="901"/>
      <c r="F119" s="883"/>
      <c r="G119" s="883"/>
    </row>
    <row r="120" spans="1:7">
      <c r="A120" s="903"/>
      <c r="B120" s="901"/>
      <c r="C120" s="883"/>
      <c r="D120" s="883"/>
      <c r="E120" s="901"/>
      <c r="F120" s="883"/>
      <c r="G120" s="883"/>
    </row>
  </sheetData>
  <sheetProtection selectLockedCells="1" selectUnlockedCells="1"/>
  <mergeCells count="12">
    <mergeCell ref="E81:J81"/>
    <mergeCell ref="O81:P81"/>
    <mergeCell ref="E76:J76"/>
    <mergeCell ref="E77:J77"/>
    <mergeCell ref="E78:J78"/>
    <mergeCell ref="E79:J79"/>
    <mergeCell ref="O80:P80"/>
    <mergeCell ref="E72:J72"/>
    <mergeCell ref="E73:J73"/>
    <mergeCell ref="E74:J74"/>
    <mergeCell ref="E75:J75"/>
    <mergeCell ref="E80:J80"/>
  </mergeCells>
  <phoneticPr fontId="3"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Description0 xmlns="36644ac8-d00d-4a23-acd5-011baa1a4b01" xsi:nil="true"/>
    <Lab xmlns="36644ac8-d00d-4a23-acd5-011baa1a4b01">N/A</Lab>
    <Document_x0020_Version xmlns="36644ac8-d00d-4a23-acd5-011baa1a4b01">N/A</Document_x0020_Version>
    <PublishingExpirationDate xmlns="http://schemas.microsoft.com/sharepoint/v3" xsi:nil="true"/>
    <PublishingStartDate xmlns="http://schemas.microsoft.com/sharepoint/v3" xsi:nil="true"/>
    <Area xmlns="36644ac8-d00d-4a23-acd5-011baa1a4b01">AMAW</Area>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B3CF659712926249932A081BEC423588" ma:contentTypeVersion="8" ma:contentTypeDescription="Create a new document." ma:contentTypeScope="" ma:versionID="3a0487c2c11703537ecb8d2fd5144c03">
  <xsd:schema xmlns:xsd="http://www.w3.org/2001/XMLSchema" xmlns:xs="http://www.w3.org/2001/XMLSchema" xmlns:p="http://schemas.microsoft.com/office/2006/metadata/properties" xmlns:ns1="http://schemas.microsoft.com/sharepoint/v3" xmlns:ns2="36644ac8-d00d-4a23-acd5-011baa1a4b01" xmlns:ns3="9c16dc54-5a24-4afd-a61c-664ec7eab416" targetNamespace="http://schemas.microsoft.com/office/2006/metadata/properties" ma:root="true" ma:fieldsID="68a5245281c067ed5091e6e56f6319e3" ns1:_="" ns2:_="" ns3:_="">
    <xsd:import namespace="http://schemas.microsoft.com/sharepoint/v3"/>
    <xsd:import namespace="36644ac8-d00d-4a23-acd5-011baa1a4b01"/>
    <xsd:import namespace="9c16dc54-5a24-4afd-a61c-664ec7eab416"/>
    <xsd:element name="properties">
      <xsd:complexType>
        <xsd:sequence>
          <xsd:element name="documentManagement">
            <xsd:complexType>
              <xsd:all>
                <xsd:element ref="ns1:PublishingStartDate" minOccurs="0"/>
                <xsd:element ref="ns1:PublishingExpirationDate" minOccurs="0"/>
                <xsd:element ref="ns2:Area" minOccurs="0"/>
                <xsd:element ref="ns2:Description0" minOccurs="0"/>
                <xsd:element ref="ns2:Lab" minOccurs="0"/>
                <xsd:element ref="ns2:Document_x0020_Version"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4" nillable="true" ma:displayName="Scheduling Start Date" ma:description="Scheduling Start Date is a site column created by the Publishing feature. It is used to specify the date and time on which this page will first appear to site visitors." ma:hidden="true" ma:internalName="PublishingStartDate">
      <xsd:simpleType>
        <xsd:restriction base="dms:Unknown"/>
      </xsd:simpleType>
    </xsd:element>
    <xsd:element name="PublishingExpirationDate" ma:index="5"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6644ac8-d00d-4a23-acd5-011baa1a4b01" elementFormDefault="qualified">
    <xsd:import namespace="http://schemas.microsoft.com/office/2006/documentManagement/types"/>
    <xsd:import namespace="http://schemas.microsoft.com/office/infopath/2007/PartnerControls"/>
    <xsd:element name="Area" ma:index="6" nillable="true" ma:displayName="Area" ma:default="N/A" ma:format="Dropdown" ma:internalName="Area" ma:readOnly="false">
      <xsd:simpleType>
        <xsd:restriction base="dms:Choice">
          <xsd:enumeration value="Aggregates"/>
          <xsd:enumeration value="AMAW"/>
          <xsd:enumeration value="Asphalt Plant Approval"/>
          <xsd:enumeration value="Chemistry"/>
          <xsd:enumeration value="Concrete Mix Design"/>
          <xsd:enumeration value="Concrete Plant Application"/>
          <xsd:enumeration value="F &amp; T Comparison"/>
          <xsd:enumeration value="Guidance Manual"/>
          <xsd:enumeration value="IAS"/>
          <xsd:enumeration value="KQTL"/>
          <xsd:enumeration value="Kentucky Methods"/>
          <xsd:enumeration value="List of Appoved Materials"/>
          <xsd:enumeration value="Manual"/>
          <xsd:enumeration value="Materials Roles"/>
          <xsd:enumeration value="Maturity Meter"/>
          <xsd:enumeration value="MixPack"/>
          <xsd:enumeration value="PC-PS Concrete Manual"/>
          <xsd:enumeration value="Quality Assurance Program"/>
          <xsd:enumeration value="Reference Mix Design Approval"/>
          <xsd:enumeration value="Sampling Manual"/>
          <xsd:enumeration value="SiteManager"/>
          <xsd:enumeration value="Superpave Study Material"/>
          <xsd:enumeration value="Asphalt Warrants &amp; Guidelines"/>
          <xsd:enumeration value="Concrete Maturity Meter"/>
          <xsd:enumeration value="N/A"/>
        </xsd:restriction>
      </xsd:simpleType>
    </xsd:element>
    <xsd:element name="Description0" ma:index="7" nillable="true" ma:displayName="Description" ma:internalName="Description0" ma:readOnly="false">
      <xsd:simpleType>
        <xsd:restriction base="dms:Text">
          <xsd:maxLength value="255"/>
        </xsd:restriction>
      </xsd:simpleType>
    </xsd:element>
    <xsd:element name="Lab" ma:index="8" nillable="true" ma:displayName="Section" ma:default="N/A" ma:format="Dropdown" ma:internalName="Lab" ma:readOnly="false">
      <xsd:simpleType>
        <xsd:restriction base="dms:Choice">
          <xsd:enumeration value="Aggregate"/>
          <xsd:enumeration value="Asphalt"/>
          <xsd:enumeration value="Chemistry"/>
          <xsd:enumeration value="Concrete &amp; Cement"/>
          <xsd:enumeration value="Geotechnical"/>
          <xsd:enumeration value="Miscellaneous"/>
          <xsd:enumeration value="Physical"/>
          <xsd:enumeration value="N/A"/>
        </xsd:restriction>
      </xsd:simpleType>
    </xsd:element>
    <xsd:element name="Document_x0020_Version" ma:index="9" nillable="true" ma:displayName="Document Version" ma:default="N/A" ma:format="Dropdown" ma:internalName="Document_x0020_Version" ma:readOnly="false">
      <xsd:simpleType>
        <xsd:restriction base="dms:Choice">
          <xsd:enumeration value="Final"/>
          <xsd:enumeration value="With Edits"/>
          <xsd:enumeration value="N/A"/>
        </xsd:restriction>
      </xsd:simpleType>
    </xsd:element>
  </xsd:schema>
  <xsd:schema xmlns:xsd="http://www.w3.org/2001/XMLSchema" xmlns:xs="http://www.w3.org/2001/XMLSchema" xmlns:dms="http://schemas.microsoft.com/office/2006/documentManagement/types" xmlns:pc="http://schemas.microsoft.com/office/infopath/2007/PartnerControls" targetNamespace="9c16dc54-5a24-4afd-a61c-664ec7eab41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515751B-6B5A-4E01-A698-282FCB1A7E23}">
  <ds:schemaRefs>
    <ds:schemaRef ds:uri="http://schemas.microsoft.com/office/2006/metadata/properties"/>
    <ds:schemaRef ds:uri="http://schemas.microsoft.com/sharepoint/v3"/>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36644ac8-d00d-4a23-acd5-011baa1a4b01"/>
    <ds:schemaRef ds:uri="http://www.w3.org/XML/1998/namespace"/>
    <ds:schemaRef ds:uri="http://purl.org/dc/dcmitype/"/>
  </ds:schemaRefs>
</ds:datastoreItem>
</file>

<file path=customXml/itemProps2.xml><?xml version="1.0" encoding="utf-8"?>
<ds:datastoreItem xmlns:ds="http://schemas.openxmlformats.org/officeDocument/2006/customXml" ds:itemID="{2F8F470C-73AD-488B-A767-B7B386A8EDA9}">
  <ds:schemaRefs>
    <ds:schemaRef ds:uri="http://schemas.microsoft.com/sharepoint/v3/contenttype/forms"/>
  </ds:schemaRefs>
</ds:datastoreItem>
</file>

<file path=customXml/itemProps3.xml><?xml version="1.0" encoding="utf-8"?>
<ds:datastoreItem xmlns:ds="http://schemas.openxmlformats.org/officeDocument/2006/customXml" ds:itemID="{A8A68C03-6E86-4E19-A77F-9EA4131D2C38}">
  <ds:schemaRefs>
    <ds:schemaRef ds:uri="http://schemas.microsoft.com/office/2006/metadata/longProperties"/>
  </ds:schemaRefs>
</ds:datastoreItem>
</file>

<file path=customXml/itemProps4.xml><?xml version="1.0" encoding="utf-8"?>
<ds:datastoreItem xmlns:ds="http://schemas.openxmlformats.org/officeDocument/2006/customXml" ds:itemID="{C39EF7ED-8EB7-4A64-AE51-CA52D4F3F7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6644ac8-d00d-4a23-acd5-011baa1a4b01"/>
    <ds:schemaRef ds:uri="9c16dc54-5a24-4afd-a61c-664ec7eab41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8" baseType="variant">
      <vt:variant>
        <vt:lpstr>Worksheets</vt:lpstr>
      </vt:variant>
      <vt:variant>
        <vt:i4>14</vt:i4>
      </vt:variant>
      <vt:variant>
        <vt:lpstr>Charts</vt:lpstr>
      </vt:variant>
      <vt:variant>
        <vt:i4>1</vt:i4>
      </vt:variant>
      <vt:variant>
        <vt:lpstr>Dialogs</vt:lpstr>
      </vt:variant>
      <vt:variant>
        <vt:i4>1</vt:i4>
      </vt:variant>
      <vt:variant>
        <vt:lpstr>Named Ranges</vt:lpstr>
      </vt:variant>
      <vt:variant>
        <vt:i4>145</vt:i4>
      </vt:variant>
    </vt:vector>
  </HeadingPairs>
  <TitlesOfParts>
    <vt:vector size="161" baseType="lpstr">
      <vt:lpstr>Pay Values</vt:lpstr>
      <vt:lpstr>Project Items</vt:lpstr>
      <vt:lpstr>Superpave</vt:lpstr>
      <vt:lpstr>Cores</vt:lpstr>
      <vt:lpstr>Super Verify</vt:lpstr>
      <vt:lpstr>Gradation</vt:lpstr>
      <vt:lpstr>Control Charts</vt:lpstr>
      <vt:lpstr>Comments</vt:lpstr>
      <vt:lpstr>Accept. Grad. # 1</vt:lpstr>
      <vt:lpstr>Accept. Grad. # 2</vt:lpstr>
      <vt:lpstr>Accept. Grad. # 3</vt:lpstr>
      <vt:lpstr>Accept. Grad. # 4</vt:lpstr>
      <vt:lpstr>PG Producer</vt:lpstr>
      <vt:lpstr>Cert. Techs</vt:lpstr>
      <vt:lpstr>0.45 Chart</vt:lpstr>
      <vt:lpstr>Dialog1</vt:lpstr>
      <vt:lpstr>AggType</vt:lpstr>
      <vt:lpstr>'KYCT Data Sublot # 2'!AirVoids</vt:lpstr>
      <vt:lpstr>'KYCT Data Sublot # 3'!AirVoids</vt:lpstr>
      <vt:lpstr>'KYCT Data Sublot # 4'!AirVoids</vt:lpstr>
      <vt:lpstr>AirVoids</vt:lpstr>
      <vt:lpstr>'KYCT Data Sublot # 2'!COM_Port</vt:lpstr>
      <vt:lpstr>'KYCT Data Sublot # 3'!COM_Port</vt:lpstr>
      <vt:lpstr>'KYCT Data Sublot # 4'!COM_Port</vt:lpstr>
      <vt:lpstr>COM_Port</vt:lpstr>
      <vt:lpstr>'KYCT Data Sublot # 2'!COM_Settings</vt:lpstr>
      <vt:lpstr>'KYCT Data Sublot # 3'!COM_Settings</vt:lpstr>
      <vt:lpstr>'KYCT Data Sublot # 4'!COM_Settings</vt:lpstr>
      <vt:lpstr>COM_Settings</vt:lpstr>
      <vt:lpstr>'KYCT Data Sublot # 2'!CT_Index</vt:lpstr>
      <vt:lpstr>'KYCT Data Sublot # 3'!CT_Index</vt:lpstr>
      <vt:lpstr>'KYCT Data Sublot # 4'!CT_Index</vt:lpstr>
      <vt:lpstr>CT_Index</vt:lpstr>
      <vt:lpstr>'KYCT Data Sublot # 2'!disp75</vt:lpstr>
      <vt:lpstr>'KYCT Data Sublot # 3'!disp75</vt:lpstr>
      <vt:lpstr>'KYCT Data Sublot # 4'!disp75</vt:lpstr>
      <vt:lpstr>disp75</vt:lpstr>
      <vt:lpstr>'KYCT Data Sublot # 2'!EnergyOfFailure</vt:lpstr>
      <vt:lpstr>'KYCT Data Sublot # 3'!EnergyOfFailure</vt:lpstr>
      <vt:lpstr>'KYCT Data Sublot # 4'!EnergyOfFailure</vt:lpstr>
      <vt:lpstr>EnergyOfFailure</vt:lpstr>
      <vt:lpstr>'KYCT Data Sublot # 2'!First_Data_Point</vt:lpstr>
      <vt:lpstr>'KYCT Data Sublot # 3'!First_Data_Point</vt:lpstr>
      <vt:lpstr>'KYCT Data Sublot # 4'!First_Data_Point</vt:lpstr>
      <vt:lpstr>First_Data_Point</vt:lpstr>
      <vt:lpstr>'KYCT Data Sublot # 1'!FirstRow</vt:lpstr>
      <vt:lpstr>'KYCT Data Sublot # 2'!FirstRow</vt:lpstr>
      <vt:lpstr>'KYCT Data Sublot # 3'!FirstRow</vt:lpstr>
      <vt:lpstr>'KYCT Data Sublot # 4'!FirstRow</vt:lpstr>
      <vt:lpstr>'KYCT Data Sublot # 2'!l_at_PeakStability</vt:lpstr>
      <vt:lpstr>'KYCT Data Sublot # 3'!l_at_PeakStability</vt:lpstr>
      <vt:lpstr>'KYCT Data Sublot # 4'!l_at_PeakStability</vt:lpstr>
      <vt:lpstr>l_at_PeakStability</vt:lpstr>
      <vt:lpstr>'KYCT Data Sublot # 2'!MaxStability</vt:lpstr>
      <vt:lpstr>'KYCT Data Sublot # 3'!MaxStability</vt:lpstr>
      <vt:lpstr>'KYCT Data Sublot # 4'!MaxStability</vt:lpstr>
      <vt:lpstr>MaxStability</vt:lpstr>
      <vt:lpstr>Drop_Downs_and_Tables!OLE_LINK4</vt:lpstr>
      <vt:lpstr>'KYCT Data Sublot # 2'!PeakStability</vt:lpstr>
      <vt:lpstr>'KYCT Data Sublot # 3'!PeakStability</vt:lpstr>
      <vt:lpstr>'KYCT Data Sublot # 4'!PeakStability</vt:lpstr>
      <vt:lpstr>PeakStability</vt:lpstr>
      <vt:lpstr>'Accept. Grad. # 1'!Print_Area</vt:lpstr>
      <vt:lpstr>'Accept. Grad. # 2'!Print_Area</vt:lpstr>
      <vt:lpstr>'Accept. Grad. # 3'!Print_Area</vt:lpstr>
      <vt:lpstr>'Accept. Grad. # 4'!Print_Area</vt:lpstr>
      <vt:lpstr>AMAMAW!Print_Area</vt:lpstr>
      <vt:lpstr>Cores!Print_Area</vt:lpstr>
      <vt:lpstr>'Field Rutting'!Print_Area</vt:lpstr>
      <vt:lpstr>Gradation!Print_Area</vt:lpstr>
      <vt:lpstr>'Pay Values'!Print_Area</vt:lpstr>
      <vt:lpstr>'Performance Specimens'!Print_Area</vt:lpstr>
      <vt:lpstr>'PG Producer'!Print_Area</vt:lpstr>
      <vt:lpstr>'Project Items'!Print_Area</vt:lpstr>
      <vt:lpstr>Superpave!Print_Area</vt:lpstr>
      <vt:lpstr>'KYCT Data Sublot # 2'!Project_ID</vt:lpstr>
      <vt:lpstr>'KYCT Data Sublot # 3'!Project_ID</vt:lpstr>
      <vt:lpstr>'KYCT Data Sublot # 4'!Project_ID</vt:lpstr>
      <vt:lpstr>Project_ID</vt:lpstr>
      <vt:lpstr>'KYCT Data Sublot # 2'!RowsAtTop</vt:lpstr>
      <vt:lpstr>'KYCT Data Sublot # 3'!RowsAtTop</vt:lpstr>
      <vt:lpstr>'KYCT Data Sublot # 4'!RowsAtTop</vt:lpstr>
      <vt:lpstr>RowsAtTop</vt:lpstr>
      <vt:lpstr>'KYCT Data Sublot # 2'!SelectedSpecimen_X</vt:lpstr>
      <vt:lpstr>'KYCT Data Sublot # 3'!SelectedSpecimen_X</vt:lpstr>
      <vt:lpstr>'KYCT Data Sublot # 4'!SelectedSpecimen_X</vt:lpstr>
      <vt:lpstr>SelectedSpecimen_X</vt:lpstr>
      <vt:lpstr>'KYCT Data Sublot # 2'!SelectedSpecimen_Y</vt:lpstr>
      <vt:lpstr>'KYCT Data Sublot # 3'!SelectedSpecimen_Y</vt:lpstr>
      <vt:lpstr>'KYCT Data Sublot # 4'!SelectedSpecimen_Y</vt:lpstr>
      <vt:lpstr>SelectedSpecimen_Y</vt:lpstr>
      <vt:lpstr>'KYCT Data Sublot # 2'!SelectedTest</vt:lpstr>
      <vt:lpstr>'KYCT Data Sublot # 3'!SelectedTest</vt:lpstr>
      <vt:lpstr>'KYCT Data Sublot # 4'!SelectedTest</vt:lpstr>
      <vt:lpstr>SelectedTest</vt:lpstr>
      <vt:lpstr>'KYCT Data Sublot # 2'!Series1_Name</vt:lpstr>
      <vt:lpstr>'KYCT Data Sublot # 3'!Series1_Name</vt:lpstr>
      <vt:lpstr>'KYCT Data Sublot # 4'!Series1_Name</vt:lpstr>
      <vt:lpstr>Series1_Name</vt:lpstr>
      <vt:lpstr>'KYCT Data Sublot # 2'!Series2_Name</vt:lpstr>
      <vt:lpstr>'KYCT Data Sublot # 3'!Series2_Name</vt:lpstr>
      <vt:lpstr>'KYCT Data Sublot # 4'!Series2_Name</vt:lpstr>
      <vt:lpstr>Series2_Name</vt:lpstr>
      <vt:lpstr>'KYCT Data Sublot # 2'!Series3_Name</vt:lpstr>
      <vt:lpstr>'KYCT Data Sublot # 3'!Series3_Name</vt:lpstr>
      <vt:lpstr>'KYCT Data Sublot # 4'!Series3_Name</vt:lpstr>
      <vt:lpstr>Series3_Name</vt:lpstr>
      <vt:lpstr>'KYCT Data Sublot # 2'!Series4_Name</vt:lpstr>
      <vt:lpstr>'KYCT Data Sublot # 3'!Series4_Name</vt:lpstr>
      <vt:lpstr>'KYCT Data Sublot # 4'!Series4_Name</vt:lpstr>
      <vt:lpstr>Series4_Name</vt:lpstr>
      <vt:lpstr>'KYCT Data Sublot # 2'!Series5_Name</vt:lpstr>
      <vt:lpstr>'KYCT Data Sublot # 3'!Series5_Name</vt:lpstr>
      <vt:lpstr>'KYCT Data Sublot # 4'!Series5_Name</vt:lpstr>
      <vt:lpstr>Series5_Name</vt:lpstr>
      <vt:lpstr>'KYCT Data Sublot # 2'!Series6_Name</vt:lpstr>
      <vt:lpstr>'KYCT Data Sublot # 3'!Series6_Name</vt:lpstr>
      <vt:lpstr>'KYCT Data Sublot # 4'!Series6_Name</vt:lpstr>
      <vt:lpstr>Series6_Name</vt:lpstr>
      <vt:lpstr>'KYCT Data Sublot # 2'!Series7_Name</vt:lpstr>
      <vt:lpstr>'KYCT Data Sublot # 3'!Series7_Name</vt:lpstr>
      <vt:lpstr>'KYCT Data Sublot # 4'!Series7_Name</vt:lpstr>
      <vt:lpstr>Series7_Name</vt:lpstr>
      <vt:lpstr>'KYCT Data Sublot # 2'!Series8_Name</vt:lpstr>
      <vt:lpstr>'KYCT Data Sublot # 3'!Series8_Name</vt:lpstr>
      <vt:lpstr>'KYCT Data Sublot # 4'!Series8_Name</vt:lpstr>
      <vt:lpstr>Series8_Name</vt:lpstr>
      <vt:lpstr>'KYCT Data Sublot # 2'!SeriesName</vt:lpstr>
      <vt:lpstr>'KYCT Data Sublot # 3'!SeriesName</vt:lpstr>
      <vt:lpstr>'KYCT Data Sublot # 4'!SeriesName</vt:lpstr>
      <vt:lpstr>SeriesName</vt:lpstr>
      <vt:lpstr>'KYCT Data Sublot # 2'!slope75</vt:lpstr>
      <vt:lpstr>'KYCT Data Sublot # 3'!slope75</vt:lpstr>
      <vt:lpstr>'KYCT Data Sublot # 4'!slope75</vt:lpstr>
      <vt:lpstr>slope75</vt:lpstr>
      <vt:lpstr>SMPLSTAT</vt:lpstr>
      <vt:lpstr>'KYCT Data Sublot # 2'!Spec_diam</vt:lpstr>
      <vt:lpstr>'KYCT Data Sublot # 3'!Spec_diam</vt:lpstr>
      <vt:lpstr>'KYCT Data Sublot # 4'!Spec_diam</vt:lpstr>
      <vt:lpstr>Spec_diam</vt:lpstr>
      <vt:lpstr>'KYCT Data Sublot # 2'!Spec_t</vt:lpstr>
      <vt:lpstr>'KYCT Data Sublot # 3'!Spec_t</vt:lpstr>
      <vt:lpstr>'KYCT Data Sublot # 4'!Spec_t</vt:lpstr>
      <vt:lpstr>Spec_t</vt:lpstr>
      <vt:lpstr>'KYCT Data Sublot # 2'!Spec_temp</vt:lpstr>
      <vt:lpstr>'KYCT Data Sublot # 3'!Spec_temp</vt:lpstr>
      <vt:lpstr>'KYCT Data Sublot # 4'!Spec_temp</vt:lpstr>
      <vt:lpstr>Spec_temp</vt:lpstr>
      <vt:lpstr>'KYCT Data Sublot # 1'!SpringLimitsData</vt:lpstr>
      <vt:lpstr>'KYCT Data Sublot # 2'!SpringLimitsData</vt:lpstr>
      <vt:lpstr>'KYCT Data Sublot # 3'!SpringLimitsData</vt:lpstr>
      <vt:lpstr>'KYCT Data Sublot # 4'!SpringLimitsData</vt:lpstr>
      <vt:lpstr>'KYCT Data Sublot # 2'!SpringLimitsFirstCell</vt:lpstr>
      <vt:lpstr>'KYCT Data Sublot # 3'!SpringLimitsFirstCell</vt:lpstr>
      <vt:lpstr>'KYCT Data Sublot # 4'!SpringLimitsFirstCell</vt:lpstr>
      <vt:lpstr>SpringLimitsFirstCell</vt:lpstr>
      <vt:lpstr>TotalUnits</vt:lpstr>
      <vt:lpstr>'KYCT Data Sublot # 2'!WorkOfFailure</vt:lpstr>
      <vt:lpstr>'KYCT Data Sublot # 3'!WorkOfFailure</vt:lpstr>
      <vt:lpstr>'KYCT Data Sublot # 4'!WorkOfFailure</vt:lpstr>
      <vt:lpstr>WorkOfFailure</vt:lpstr>
    </vt:vector>
  </TitlesOfParts>
  <Manager>Tate Sallee</Manager>
  <Company>KY Transportation Cabinet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Mixture Acceptance Workbook</dc:title>
  <dc:subject>Version 13.3</dc:subject>
  <dc:creator>Mark D. Higdon</dc:creator>
  <cp:lastModifiedBy>Denmark, Andrew G (KYTC-WSC)</cp:lastModifiedBy>
  <cp:lastPrinted>2020-02-13T15:52:00Z</cp:lastPrinted>
  <dcterms:created xsi:type="dcterms:W3CDTF">1998-03-11T23:03:56Z</dcterms:created>
  <dcterms:modified xsi:type="dcterms:W3CDTF">2026-07-14T11:47:38Z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aterialDisciplines_Map">
    <vt:lpwstr>D:\My Documents\Materials\Current\Maps\Disciplines_20060919_Map.xsd</vt:lpwstr>
  </property>
  <property fmtid="{D5CDD505-2E9C-101B-9397-08002B2CF9AE}" pid="3" name="ContentTypeId">
    <vt:lpwstr>0x010100B3CF659712926249932A081BEC423588</vt:lpwstr>
  </property>
</Properties>
</file>